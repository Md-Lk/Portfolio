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MDi\Desktop\Analysis\Portfolio\Dashboards\Excel\NPRI Dashboard\"/>
    </mc:Choice>
  </mc:AlternateContent>
  <xr:revisionPtr revIDLastSave="0" documentId="13_ncr:1_{13B6045D-FC9A-4913-A4AD-14107C8953AD}" xr6:coauthVersionLast="47" xr6:coauthVersionMax="47" xr10:uidLastSave="{00000000-0000-0000-0000-000000000000}"/>
  <bookViews>
    <workbookView xWindow="-120" yWindow="-120" windowWidth="29040" windowHeight="15840" tabRatio="944" xr2:uid="{8C760E32-B342-4364-A807-42EBBAD5BCB4}"/>
  </bookViews>
  <sheets>
    <sheet name="Dashboard" sheetId="16" r:id="rId1"/>
    <sheet name="Pivot - pollutant totals" sheetId="14" r:id="rId2"/>
    <sheet name="Pivot - facility count" sheetId="11" r:id="rId3"/>
    <sheet name="Pivot - provinces by year" sheetId="9" r:id="rId4"/>
    <sheet name="Pivot - quantity by method" sheetId="13" r:id="rId5"/>
    <sheet name="Merged table" sheetId="6" r:id="rId6"/>
    <sheet name="transfers" sheetId="1" r:id="rId7"/>
    <sheet name="releases" sheetId="2" r:id="rId8"/>
    <sheet name="disposals" sheetId="4" r:id="rId9"/>
    <sheet name="geolocations" sheetId="3" r:id="rId10"/>
    <sheet name="comments" sheetId="5" r:id="rId11"/>
    <sheet name="References" sheetId="17" r:id="rId12"/>
  </sheets>
  <definedNames>
    <definedName name="Slicer_Company_Name___Dénomination_sociale_de_l_entreprise">#N/A</definedName>
    <definedName name="Slicer_From_Table">#N/A</definedName>
    <definedName name="Slicer_Group__English____Groupe__Anglais">#N/A</definedName>
    <definedName name="Slicer_PROVINCE">#N/A</definedName>
    <definedName name="Slicer_Reporting_Year___Année">#N/A</definedName>
    <definedName name="Slicer_Substance_Name__English____Nom_de_substance__Anglais">#N/A</definedName>
    <definedName name="Slicer_Units___Unités">#N/A</definedName>
  </definedNames>
  <calcPr calcId="191029"/>
  <pivotCaches>
    <pivotCache cacheId="29"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 i="16" l="1"/>
  <c r="A11" i="16"/>
  <c r="A21" i="16"/>
</calcChain>
</file>

<file path=xl/sharedStrings.xml><?xml version="1.0" encoding="utf-8"?>
<sst xmlns="http://schemas.openxmlformats.org/spreadsheetml/2006/main" count="57715" uniqueCount="6952">
  <si>
    <t>Reporting_Year / Année</t>
  </si>
  <si>
    <t>NPRI_ID / No_INRP</t>
  </si>
  <si>
    <t>Company_Name / Dénomination_sociale_de_l'entreprise</t>
  </si>
  <si>
    <t>Facility_Name / Installation</t>
  </si>
  <si>
    <t>NAICS / Code_SCIAN</t>
  </si>
  <si>
    <t>NAICS Title EN / Titre Code SCIAN EN</t>
  </si>
  <si>
    <t>NAICS Title FR / Titre Code SCIAN FR</t>
  </si>
  <si>
    <t>PROVINCE</t>
  </si>
  <si>
    <t>CAS_Number / No_CAS</t>
  </si>
  <si>
    <t>Substance Name (English) / Nom de substance (Anglais)</t>
  </si>
  <si>
    <t>Substance Name (French) / Nom de substance (Français)</t>
  </si>
  <si>
    <t>Group (English) / Groupe (Anglais)</t>
  </si>
  <si>
    <t>Group (French) / Groupe (Français)</t>
  </si>
  <si>
    <t>Category (English) / Catégorie (Anglais)</t>
  </si>
  <si>
    <t>Category (French) / Catégorie (Français)</t>
  </si>
  <si>
    <t>Quantity / Quantité</t>
  </si>
  <si>
    <t>Units / Unités</t>
  </si>
  <si>
    <t>Estimation_Method / Méthode_destimation</t>
  </si>
  <si>
    <t>POLYCON INDUSTRIES</t>
  </si>
  <si>
    <t>Motor Vehicle Plastic Parts Manufacturing</t>
  </si>
  <si>
    <t>Fabrication de pièces en plastique pour véhicules automobiles</t>
  </si>
  <si>
    <t>ON</t>
  </si>
  <si>
    <t>78-93-3</t>
  </si>
  <si>
    <t>Methyl ethyl ketone</t>
  </si>
  <si>
    <t>Méthyléthylcétone</t>
  </si>
  <si>
    <t>Off-site Transfers for Recycling</t>
  </si>
  <si>
    <t>Transferts hors site pour recyclage</t>
  </si>
  <si>
    <t>Recovery of Solvents</t>
  </si>
  <si>
    <t>Récupération de solvants</t>
  </si>
  <si>
    <t>tonnes</t>
  </si>
  <si>
    <t>O - Engineering Estimates</t>
  </si>
  <si>
    <t>KP Bronze Ltd.</t>
  </si>
  <si>
    <t>KP Bronze Plant</t>
  </si>
  <si>
    <t>Non-ferrous die-casting foundries</t>
  </si>
  <si>
    <t>Fonderies de métaux non ferreux, moulage sous pression</t>
  </si>
  <si>
    <t>NA - 08</t>
  </si>
  <si>
    <t>Lead (and its compounds)</t>
  </si>
  <si>
    <t>Plomb (et ses composés)</t>
  </si>
  <si>
    <t>Recovery of Metals and Metal Compounds</t>
  </si>
  <si>
    <t>Récupération de métaux et leurs composés</t>
  </si>
  <si>
    <t>kg</t>
  </si>
  <si>
    <t>Honda Canada Inc.</t>
  </si>
  <si>
    <t>Alliston</t>
  </si>
  <si>
    <t>Automobile and light-duty motor vehicle manufacturing</t>
  </si>
  <si>
    <t>Fabrication de voitures et de véhicules automobiles légers</t>
  </si>
  <si>
    <t>872-50-4</t>
  </si>
  <si>
    <t>N-Methyl-2-pyrrolidone</t>
  </si>
  <si>
    <t>N-Méthyl-2-pyrrolidone</t>
  </si>
  <si>
    <t>Energy Recovery</t>
  </si>
  <si>
    <t>Récupération d'énergie</t>
  </si>
  <si>
    <t>C - Mass Balance</t>
  </si>
  <si>
    <t>MILLER ENVIRONMENTAL CORPORATION</t>
  </si>
  <si>
    <t>Waste Treatment and Disposal</t>
  </si>
  <si>
    <t>Traitement et élimination des déchets</t>
  </si>
  <si>
    <t>MB</t>
  </si>
  <si>
    <t>67-56-1</t>
  </si>
  <si>
    <t>Methanol</t>
  </si>
  <si>
    <t>Méthanol</t>
  </si>
  <si>
    <t>Tenneco Automotive</t>
  </si>
  <si>
    <t>Walker Exhausts</t>
  </si>
  <si>
    <t>Other Motor Vehicle Parts Manufacturing</t>
  </si>
  <si>
    <t>Fabrication d'autres pièces pour véhicules automobiles</t>
  </si>
  <si>
    <t>NA - 11</t>
  </si>
  <si>
    <t>Nickel (and its compounds)</t>
  </si>
  <si>
    <t>Nickel (et ses composés)</t>
  </si>
  <si>
    <t>Newalta Corporation</t>
  </si>
  <si>
    <t>Cranbrook</t>
  </si>
  <si>
    <t>Waste Collection</t>
  </si>
  <si>
    <t>Collecte des déchets</t>
  </si>
  <si>
    <t>BC</t>
  </si>
  <si>
    <t>108-88-3</t>
  </si>
  <si>
    <t>Toluene</t>
  </si>
  <si>
    <t>Toluène</t>
  </si>
  <si>
    <t>Refining or Re-use of Used Oil</t>
  </si>
  <si>
    <t>Raffinage ou réutilisation d'huiles usées</t>
  </si>
  <si>
    <t>SONOCO CANADA</t>
  </si>
  <si>
    <t>USINE DE FABRICATION D'EMBALLAGES FLEXIBLES</t>
  </si>
  <si>
    <t>Plastics Bag Manufacturing</t>
  </si>
  <si>
    <t>Fabrication de sacs en plastique</t>
  </si>
  <si>
    <t>QC</t>
  </si>
  <si>
    <t>67-63-0</t>
  </si>
  <si>
    <t>Isopropyl alcohol</t>
  </si>
  <si>
    <t>Alcool isopropylique</t>
  </si>
  <si>
    <t>RBW Waste Management Ltd.</t>
  </si>
  <si>
    <t>Waste treatment and disposal</t>
  </si>
  <si>
    <t>AB</t>
  </si>
  <si>
    <t>7647-01-0</t>
  </si>
  <si>
    <t>Hydrochloric acid</t>
  </si>
  <si>
    <t>Acide chlorhydrique</t>
  </si>
  <si>
    <t>Off-site Transfers for Treatment Prior to Final Disposal</t>
  </si>
  <si>
    <t>Transferts hors site pour traitement avant élimination final</t>
  </si>
  <si>
    <t>Chemical Treatment</t>
  </si>
  <si>
    <t>Traitement chimique</t>
  </si>
  <si>
    <t>CHEVRON CANADA LIMITED</t>
  </si>
  <si>
    <t>BURNABY REFINERY</t>
  </si>
  <si>
    <t>Petroleum Refineries</t>
  </si>
  <si>
    <t>Raffineries de pétrole</t>
  </si>
  <si>
    <t>NA - 22</t>
  </si>
  <si>
    <t>Phosphorus (total)</t>
  </si>
  <si>
    <t>Phosphore (total)</t>
  </si>
  <si>
    <t>Municipal Sewage Treatment Plant</t>
  </si>
  <si>
    <t>Usine municipale d'épuration des eaux usées</t>
  </si>
  <si>
    <t>VEOLIA ES CANADA SERVICES INDUSTRIELS INC.</t>
  </si>
  <si>
    <t>VEOLIA ES CANADA SERVICES INDUSTRIELS INC.- SITE MONTRÉAL-ES</t>
  </si>
  <si>
    <t>All Other Waste Management Services</t>
  </si>
  <si>
    <t>Tous les autres services de gestion des déchets</t>
  </si>
  <si>
    <t>NA - 10</t>
  </si>
  <si>
    <t>Mercury (and its compounds)</t>
  </si>
  <si>
    <t>Mercure (et ses composés)</t>
  </si>
  <si>
    <t>Tempo Aerospace</t>
  </si>
  <si>
    <t>TEMPO AEROSPACE INC.</t>
  </si>
  <si>
    <t>Paint and coating manufacturing</t>
  </si>
  <si>
    <t>Fabrication de peintures et de revêtements</t>
  </si>
  <si>
    <t>Les Forges de Sorel Cie</t>
  </si>
  <si>
    <t>LES FORGES DE SOREL CIE - ST-JOSEPH-DE-SOREL</t>
  </si>
  <si>
    <t>Forging</t>
  </si>
  <si>
    <t>Forgeage</t>
  </si>
  <si>
    <t>7429-90-5</t>
  </si>
  <si>
    <t>Aluminum (fume or dust only)</t>
  </si>
  <si>
    <t>Aluminium (fumée ou poussière seulement)</t>
  </si>
  <si>
    <t>Physical Treatment</t>
  </si>
  <si>
    <t>Traitement physique</t>
  </si>
  <si>
    <t>NEWALTA CORPORATION</t>
  </si>
  <si>
    <t>WINDSOR FACILITY</t>
  </si>
  <si>
    <t>M3 - Source Testing</t>
  </si>
  <si>
    <t>IMPERIAL OIL</t>
  </si>
  <si>
    <t>Lougheed Terminal</t>
  </si>
  <si>
    <t>Petroleum and petroleum products merchant wholesalers</t>
  </si>
  <si>
    <t>Grossistes-marchands de pétrole et de produits pétroliers</t>
  </si>
  <si>
    <t>100-41-4</t>
  </si>
  <si>
    <t>Ethylbenzene</t>
  </si>
  <si>
    <t>Éthylbenzène</t>
  </si>
  <si>
    <t>TransAlta Corporation</t>
  </si>
  <si>
    <t>Wabamun Thermal Generating Plant</t>
  </si>
  <si>
    <t>Fossil-Fuel Electric Power Generation</t>
  </si>
  <si>
    <t>Production d'électricité à partir de combustibles fossiles</t>
  </si>
  <si>
    <t>NA - 09</t>
  </si>
  <si>
    <t>Manganese (and its compounds)</t>
  </si>
  <si>
    <t>Manganèse (et ses composés)</t>
  </si>
  <si>
    <t>Recovery of Pollution Abatement Residues</t>
  </si>
  <si>
    <t>Récupération de résidus de dépollution</t>
  </si>
  <si>
    <t>SCHWARTZ CHEMICAL CORPORATION</t>
  </si>
  <si>
    <t>SCHWARTZ CHEMICAL COROPORATION</t>
  </si>
  <si>
    <t>Paint and Coating Manufacturing</t>
  </si>
  <si>
    <t>City of Calgary</t>
  </si>
  <si>
    <t>Pine Creek Wastewater Treatment Plant</t>
  </si>
  <si>
    <t>Sewage treatment facilities</t>
  </si>
  <si>
    <t>Installations d'épuration des eaux usées</t>
  </si>
  <si>
    <t>Louisiana-Pacific Canada Ltd.</t>
  </si>
  <si>
    <t>LP Swan Valley OSB</t>
  </si>
  <si>
    <t>Waferboard mills</t>
  </si>
  <si>
    <t>Usines de panneaux de copeaux</t>
  </si>
  <si>
    <t>NA - 14</t>
  </si>
  <si>
    <t>Zinc (and its compounds)</t>
  </si>
  <si>
    <t>Zinc (et ses composés)</t>
  </si>
  <si>
    <t>Other</t>
  </si>
  <si>
    <t>Autres</t>
  </si>
  <si>
    <t>E1 - Site Specific Emission Factors</t>
  </si>
  <si>
    <t>AFFINIA CANADA CORP.</t>
  </si>
  <si>
    <t>ST.CATHARINES PLANT</t>
  </si>
  <si>
    <t>Iron Foundries</t>
  </si>
  <si>
    <t>Fonderies de fer</t>
  </si>
  <si>
    <t>ARBORITE,DIVISION DE / OF  ITW  CANADA</t>
  </si>
  <si>
    <t>Arborite-LaSalle</t>
  </si>
  <si>
    <t>Laminated Plastics Plate, Sheet (except Packaging), and Shape Manufacturing</t>
  </si>
  <si>
    <t>Fabrication de plaques, de feuilles (sauf d'emballage) et de formes stratifiées en plastique</t>
  </si>
  <si>
    <t>Incineration / Thermal</t>
  </si>
  <si>
    <t>Incinération / thermique</t>
  </si>
  <si>
    <t>INVISTA (Canada) Company</t>
  </si>
  <si>
    <t>Kingston Site</t>
  </si>
  <si>
    <t>Artificial and synthetic fibres and filaments manufacturing</t>
  </si>
  <si>
    <t>Fabrication de fibres et de filaments artificiels et synthétiques</t>
  </si>
  <si>
    <t>92-52-4</t>
  </si>
  <si>
    <t>Biphenyl</t>
  </si>
  <si>
    <t>Biphényle</t>
  </si>
  <si>
    <t>Revolution Environmental Solutions Acquisition GP Inc</t>
  </si>
  <si>
    <t>Nanaimo</t>
  </si>
  <si>
    <t>NA - 06</t>
  </si>
  <si>
    <t>Copper (and its compounds)</t>
  </si>
  <si>
    <t>Cuivre (et ses composés)</t>
  </si>
  <si>
    <t>ArcelorMittal Tailored Blanks Americas Limited</t>
  </si>
  <si>
    <t>ArcelorMittal Woodstock</t>
  </si>
  <si>
    <t>Other motor vehicle parts manufacturing</t>
  </si>
  <si>
    <t>Toxco Waste Management Ltd.</t>
  </si>
  <si>
    <t>NA - 05</t>
  </si>
  <si>
    <t>Cobalt (and its compounds)</t>
  </si>
  <si>
    <t>Cobalt (et ses composés)</t>
  </si>
  <si>
    <t>3M CANADA</t>
  </si>
  <si>
    <t>LONDON</t>
  </si>
  <si>
    <t>Paper Bag and Coated and Treated Paper Manufacturing</t>
  </si>
  <si>
    <t>Fabrication de sacs en papier et de papier couché et traité</t>
  </si>
  <si>
    <t>50-00-0</t>
  </si>
  <si>
    <t>Formaldehyde</t>
  </si>
  <si>
    <t>Formaldéhyde</t>
  </si>
  <si>
    <t>Imperial Oil</t>
  </si>
  <si>
    <t>Strathcona Refinery</t>
  </si>
  <si>
    <t>Petroleum refineries</t>
  </si>
  <si>
    <t>207-08-9</t>
  </si>
  <si>
    <t>Benzo[k]fluoranthene</t>
  </si>
  <si>
    <t>Benzo[k]fluoranthène</t>
  </si>
  <si>
    <t>Recovery of Catalysts</t>
  </si>
  <si>
    <t>Récupération de catalyseurs</t>
  </si>
  <si>
    <t>Alberta Power Limited</t>
  </si>
  <si>
    <t>Battle River Generating Station</t>
  </si>
  <si>
    <t>E - Emission Factor</t>
  </si>
  <si>
    <t>GFL Environmental Services Inc.</t>
  </si>
  <si>
    <t>Revolution Environmental Solutions Acquisition GP Inc.</t>
  </si>
  <si>
    <t>ONTARIO POWER GENERATION INC.</t>
  </si>
  <si>
    <t>Thunder Bay Generating Station</t>
  </si>
  <si>
    <t>NA - 04</t>
  </si>
  <si>
    <t>Chromium (and its compounds)</t>
  </si>
  <si>
    <t>Chrome (et ses composés)</t>
  </si>
  <si>
    <t>Greater Vancouver Sewerage and Drainage District</t>
  </si>
  <si>
    <t>Lulu Island Wastewater Treatment Plant</t>
  </si>
  <si>
    <t>BASF Canada Inc.</t>
  </si>
  <si>
    <t>Windsor Site</t>
  </si>
  <si>
    <t>APOTEX PHARMACHEM INC.</t>
  </si>
  <si>
    <t>APOTEX PHARMACHEM INC</t>
  </si>
  <si>
    <t>Pharmaceutical and Medicine Manufacturing</t>
  </si>
  <si>
    <t>Fabrication de produits pharmaceutiques et de médicaments</t>
  </si>
  <si>
    <t>68-12-2</t>
  </si>
  <si>
    <t>n,n-Dimethylformamide</t>
  </si>
  <si>
    <t>n,n-Diméthylformamide</t>
  </si>
  <si>
    <t>Wajax</t>
  </si>
  <si>
    <t>Delom Services,Montreal</t>
  </si>
  <si>
    <t>Motor and generator manufacturing</t>
  </si>
  <si>
    <t>Fabrication de moteurs et de générateurs</t>
  </si>
  <si>
    <t>Valero Energy Inc.</t>
  </si>
  <si>
    <t>Raffinerie Jean-Gaulin</t>
  </si>
  <si>
    <t>DURA-CHROME LIMITED</t>
  </si>
  <si>
    <t>DURA-CHROME</t>
  </si>
  <si>
    <t>AltaGas Ltd.</t>
  </si>
  <si>
    <t>Townsend Gas Plant</t>
  </si>
  <si>
    <t>Oil and gas extraction (except oil sands)</t>
  </si>
  <si>
    <t>Extraction de pétrole et de gaz (à l'exception des sables bitumineux)</t>
  </si>
  <si>
    <t>OLYMPIC COATERS</t>
  </si>
  <si>
    <t>OLYMPIC COATERS INC.</t>
  </si>
  <si>
    <t>Coating, Engraving, Heat Treating and Allied Activities</t>
  </si>
  <si>
    <t>Revêtement, gravure, traitement thermique et activités analogues</t>
  </si>
  <si>
    <t>Cameco Corporation</t>
  </si>
  <si>
    <t>Key Lake Operation</t>
  </si>
  <si>
    <t>Uranium ore mining</t>
  </si>
  <si>
    <t>Extraction de minerais d'uranium</t>
  </si>
  <si>
    <t>SK</t>
  </si>
  <si>
    <t>NA - 02</t>
  </si>
  <si>
    <t>Arsenic (and its compounds)</t>
  </si>
  <si>
    <t>Arsenic (et ses composés)</t>
  </si>
  <si>
    <t>NOVA CHEMICALS CORPORATION</t>
  </si>
  <si>
    <t>Moore Site</t>
  </si>
  <si>
    <t>All Other Plastic Product Manufacturing</t>
  </si>
  <si>
    <t>Fabrication de tous les autres produits en plastique</t>
  </si>
  <si>
    <t>Fonderie générale du Canada</t>
  </si>
  <si>
    <t>Fonderie Générale du Canada, XStrata Zinc Canada</t>
  </si>
  <si>
    <t>Non-ferrous metal (except copper and aluminum) rolling, drawing, extruding and alloying</t>
  </si>
  <si>
    <t>Laminage, étirage, extrusion et alliage de métaux non ferreux (sauf le cuivre et l'aluminium)</t>
  </si>
  <si>
    <t>NA - 13</t>
  </si>
  <si>
    <t>Silver (and its compounds)</t>
  </si>
  <si>
    <t>Argent (et ses composés)</t>
  </si>
  <si>
    <t>M1 - Continuous Emission Monitoring</t>
  </si>
  <si>
    <t>Boeing Toronto Ltd.</t>
  </si>
  <si>
    <t>Aerospace Product and Parts Manufacturing</t>
  </si>
  <si>
    <t>Fabrication de produits aérospatiaux et de leurs pièces</t>
  </si>
  <si>
    <t>Chrysler Canada Inc.</t>
  </si>
  <si>
    <t>Brampton Assembly Plant</t>
  </si>
  <si>
    <t>78-83-1</t>
  </si>
  <si>
    <t>i-Butyl alcohol</t>
  </si>
  <si>
    <t>2-Méthylpropan-1-ol</t>
  </si>
  <si>
    <t>KRUG</t>
  </si>
  <si>
    <t>MANITOU CASEGOODS</t>
  </si>
  <si>
    <t>Wood Office Furniture, including Custom Architectural Woodwork, Manufacturing</t>
  </si>
  <si>
    <t>Fabrication de meubles de bureau en bois, y compris les boiseries architecturales faites sur commande</t>
  </si>
  <si>
    <t>1330-20-7</t>
  </si>
  <si>
    <t>Xylene (all isomers)</t>
  </si>
  <si>
    <t>Xylène (tous les isomères)</t>
  </si>
  <si>
    <t xml:space="preserve">Suncor Enery Products Partenership </t>
  </si>
  <si>
    <t>Raffinerie de Montreal</t>
  </si>
  <si>
    <t>Toyota Motor Manufacturing Canada Inc.</t>
  </si>
  <si>
    <t>Toyota Motor Manufacturing Canada (Woodstock)</t>
  </si>
  <si>
    <t>Rolls-Royce Canada</t>
  </si>
  <si>
    <t>ROLLS-ROYCE CANADA - LACHINE</t>
  </si>
  <si>
    <t>Aerospace product and parts manufacturing</t>
  </si>
  <si>
    <t>7697-37-2</t>
  </si>
  <si>
    <t>Nitric acid</t>
  </si>
  <si>
    <t>Acide nitrique</t>
  </si>
  <si>
    <t>Central Wire Industries Ltd.</t>
  </si>
  <si>
    <t>Central Wire Perth</t>
  </si>
  <si>
    <t>Steel wire drawing</t>
  </si>
  <si>
    <t>Étirage de fils d'acier</t>
  </si>
  <si>
    <t>Recovery of Inorganic Materials (not metals)</t>
  </si>
  <si>
    <t>Récupération de matières inorganiques (pas les métaux)</t>
  </si>
  <si>
    <t>Griffin Canada Inc.</t>
  </si>
  <si>
    <t>GRIFFIN CANADA - WINNIPEG</t>
  </si>
  <si>
    <t>Steel foundries</t>
  </si>
  <si>
    <t>Fonderies d'acier</t>
  </si>
  <si>
    <t>Decor Cabinets Ltd.</t>
  </si>
  <si>
    <t>DECOR CABINETS</t>
  </si>
  <si>
    <t>All other miscellaneous wood product manufacturing</t>
  </si>
  <si>
    <t>Fabrication de tous les autres produits divers en bois</t>
  </si>
  <si>
    <t>Laboratoires Choisy Ltée.</t>
  </si>
  <si>
    <t>LABORATOIRES CHOISY LTÉE - LOUISEVILLE</t>
  </si>
  <si>
    <t>Soap and cleaning compound manufacturing</t>
  </si>
  <si>
    <t>Fabrication de savons et d'autres produits nettoyants</t>
  </si>
  <si>
    <t>CR3X Inc.</t>
  </si>
  <si>
    <t>All other miscellaneous fabricated metal product manufacturing</t>
  </si>
  <si>
    <t>Fabrication de tous les autres produits métalliques divers</t>
  </si>
  <si>
    <t>PPG CANADA INC.</t>
  </si>
  <si>
    <t>Coatings Plant, Mississauga</t>
  </si>
  <si>
    <t>MORTON-PARKER LIMITED</t>
  </si>
  <si>
    <t>MORTON-PARKER</t>
  </si>
  <si>
    <t>All Other Miscellaneous Fabricated Metal Product Manufacturing</t>
  </si>
  <si>
    <t>NA - 07</t>
  </si>
  <si>
    <t>Cyanides (ionic)</t>
  </si>
  <si>
    <t>Cyanures (ioniques)</t>
  </si>
  <si>
    <t>Ashland Chemical Canada Ltd.</t>
  </si>
  <si>
    <t>Distribution Services</t>
  </si>
  <si>
    <t>Chemical (except Agricultural) and Allied Product Wholesaler-Distributors</t>
  </si>
  <si>
    <t>Grossistes-distributeurs de produits chimiques et de produits analogues, sauf les produits chimiques agricoles</t>
  </si>
  <si>
    <t>127-18-4</t>
  </si>
  <si>
    <t>Tetrachloroethylene</t>
  </si>
  <si>
    <t>Tétrachloroéthylène</t>
  </si>
  <si>
    <t>Société en commandite Boralex Énergie</t>
  </si>
  <si>
    <t>Centrale de Senneterre</t>
  </si>
  <si>
    <t>Other electric power generation</t>
  </si>
  <si>
    <t>Autres activités de production d'électricité</t>
  </si>
  <si>
    <t>NA - 03</t>
  </si>
  <si>
    <t>Cadmium (and its compounds)</t>
  </si>
  <si>
    <t>Cadmium (et ses composés)</t>
  </si>
  <si>
    <t>Revolution ORS Acquisition GP Inc.</t>
  </si>
  <si>
    <t>North Vancouver Process Facility</t>
  </si>
  <si>
    <t>Material recovery facilities</t>
  </si>
  <si>
    <t>Installations de récupération de matériaux</t>
  </si>
  <si>
    <t>107-21-1</t>
  </si>
  <si>
    <t>Ethylene glycol</t>
  </si>
  <si>
    <t>Éthylène glycol</t>
  </si>
  <si>
    <t>Dofasco Inc.</t>
  </si>
  <si>
    <t>Iron and Steel Mills and Ferro-Alloy Manufacturing</t>
  </si>
  <si>
    <t>Sidérurgie</t>
  </si>
  <si>
    <t>7664-93-9</t>
  </si>
  <si>
    <t>Sulphuric acid</t>
  </si>
  <si>
    <t>Acide sulfurique</t>
  </si>
  <si>
    <t>Saputo Produits Laitiers Canada s.e.n.c.</t>
  </si>
  <si>
    <t>Usine de Saint-Raymond</t>
  </si>
  <si>
    <t>Butter, cheese, and dry and condensed dairy product manufacturing</t>
  </si>
  <si>
    <t>Fabrication de beurre, de fromage et de produits laitiers secs et concentrés</t>
  </si>
  <si>
    <t>IMPERIAL OIL LIMITED</t>
  </si>
  <si>
    <t>FINCH TERMINAL</t>
  </si>
  <si>
    <t>Petroleum Product Wholesaler-Distributors</t>
  </si>
  <si>
    <t>Grossistes-distributeurs de produits pétroliers</t>
  </si>
  <si>
    <t>71-43-2</t>
  </si>
  <si>
    <t>Benzene</t>
  </si>
  <si>
    <t>Benzène</t>
  </si>
  <si>
    <t>Sun Chemical Ltd. (Brampton)</t>
  </si>
  <si>
    <t>Brampton</t>
  </si>
  <si>
    <t>Support Activities for Printing</t>
  </si>
  <si>
    <t>Activités de soutien à l'impression</t>
  </si>
  <si>
    <t>Shell Canada Energy Limited</t>
  </si>
  <si>
    <t>Scotford Upgrader and Upgrader Cogeneration</t>
  </si>
  <si>
    <t>Mined oil sands extraction</t>
  </si>
  <si>
    <t>Extraction minière de sables bitumineux</t>
  </si>
  <si>
    <t>TC Industries of Canada</t>
  </si>
  <si>
    <t>TC INDUSTRIES OF CANADA (WEST)</t>
  </si>
  <si>
    <t>Coating, engraving, cold and heat treating and allied activities</t>
  </si>
  <si>
    <t>Revêtement, gravure, traitement thermique et par le froid, et activités analogues</t>
  </si>
  <si>
    <t>STELLA-JONES INC.</t>
  </si>
  <si>
    <t>PRINCE GEORGE PLANT</t>
  </si>
  <si>
    <t>Wood Preservation</t>
  </si>
  <si>
    <t>Préservation du bois</t>
  </si>
  <si>
    <t>56-55-3</t>
  </si>
  <si>
    <t>Benz[a]anthracene</t>
  </si>
  <si>
    <t>Benz[a]anthracène</t>
  </si>
  <si>
    <t>Clean Harbors Canada, Inc.</t>
  </si>
  <si>
    <t>Clean Harbors Québec, Inc.</t>
  </si>
  <si>
    <t>84-74-2</t>
  </si>
  <si>
    <t>Dibutyl phthalate</t>
  </si>
  <si>
    <t>Phtalate de dibutyle</t>
  </si>
  <si>
    <t>FORD MOTOR OF CANADA</t>
  </si>
  <si>
    <t>St. Thomas Assembly Plant</t>
  </si>
  <si>
    <t>Automobile and Light-Duty Motor Vehicle Manufacturing</t>
  </si>
  <si>
    <t>Hay River Terminal</t>
  </si>
  <si>
    <t>NT</t>
  </si>
  <si>
    <t>Recovery of Organic Substances (not solvents)</t>
  </si>
  <si>
    <t>Récupération de substances organiques (pas les solvants)</t>
  </si>
  <si>
    <t>Ryley Facility</t>
  </si>
  <si>
    <t>Goodrich Aerospace Canada Ltd.</t>
  </si>
  <si>
    <t>Goodrich Landing Gear</t>
  </si>
  <si>
    <t>Bramalea Assembly Plant</t>
  </si>
  <si>
    <t>BRAMALEA ASSEMBLY PLANT</t>
  </si>
  <si>
    <t>Xylene (mixed isomers)</t>
  </si>
  <si>
    <t>Xylène (mélanges d'isomères)</t>
  </si>
  <si>
    <t>ANNACIS ISLAND WASTEWATER TREATMENT PLANT</t>
  </si>
  <si>
    <t>Sewage Treatment Facilities</t>
  </si>
  <si>
    <t>205-99-2</t>
  </si>
  <si>
    <t>Benzo[b]fluoranthene</t>
  </si>
  <si>
    <t>Benzo[b]fluoranthène</t>
  </si>
  <si>
    <t>BRENNTAG CANADA</t>
  </si>
  <si>
    <t>TITAN ROAD (OS52)</t>
  </si>
  <si>
    <t>All Other Miscellaneous Chemical Product Manufacturing</t>
  </si>
  <si>
    <t>Fabrication de tous les autres produits chimiques divers</t>
  </si>
  <si>
    <t>SIMS Group Recycling Solutions Canada Ltd.</t>
  </si>
  <si>
    <t>Sims Recycling Solutions-Brampton</t>
  </si>
  <si>
    <t>City of Brockville (Corporation of the)</t>
  </si>
  <si>
    <t>Water Pollution Control Centre</t>
  </si>
  <si>
    <t>NA - 17</t>
  </si>
  <si>
    <t>Nitrate ion in solution at pH &gt;= 6.0</t>
  </si>
  <si>
    <t>Nitrate (ion en sol. à un pH de &gt;= 6.0)</t>
  </si>
  <si>
    <t>HCI CANADA INC. (QS65)</t>
  </si>
  <si>
    <t>St. AMBROISE (QS65)</t>
  </si>
  <si>
    <t>117-81-7</t>
  </si>
  <si>
    <t>Bis(2-ethylhexyl) phthalate</t>
  </si>
  <si>
    <t>Phtalate de bis(2-éthylhexyle)</t>
  </si>
  <si>
    <t>FIELDING CHEMICAL TECHNOLOGIES INC.</t>
  </si>
  <si>
    <t>75-69-4</t>
  </si>
  <si>
    <t>CFC-11</t>
  </si>
  <si>
    <t>NOVA Chemicals (Canada) Ltd.</t>
  </si>
  <si>
    <t>Resin and synthetic rubber manufacturing</t>
  </si>
  <si>
    <t>Fabrication de résines et de caoutchouc synthétique</t>
  </si>
  <si>
    <t>A.G.Simpson Co. Ltd.</t>
  </si>
  <si>
    <t>A.G.Simpson Co. Ltd.-Oakville</t>
  </si>
  <si>
    <t>Cold-Rolled Steel Shape Manufacturing</t>
  </si>
  <si>
    <t>Fabrication de formes en acier laminé à froid</t>
  </si>
  <si>
    <t>83-32-9</t>
  </si>
  <si>
    <t>Acenaphthene</t>
  </si>
  <si>
    <t>Acénaphtène</t>
  </si>
  <si>
    <t>KEYERA ENERGY LTD.</t>
  </si>
  <si>
    <t>RIMBEY GAS PLANT</t>
  </si>
  <si>
    <t>Conventional Oil and Gas Extraction</t>
  </si>
  <si>
    <t>Extraction de pétrole et de gaz par des méthodes classiques</t>
  </si>
  <si>
    <t>95-63-6</t>
  </si>
  <si>
    <t>1,2,4-Trimethylbenzene</t>
  </si>
  <si>
    <t>1,2,4-Triméthylbenzène</t>
  </si>
  <si>
    <t>E2 - Published Emission Factors</t>
  </si>
  <si>
    <t>Canada Colors &amp; Chemicals Limited</t>
  </si>
  <si>
    <t>BRAMPTON WAREHOUSE</t>
  </si>
  <si>
    <t>Chemical (except agricultural) and allied product merchant wholesalers</t>
  </si>
  <si>
    <t>Grossistes-marchands de produits chimiques et de produits analogues (sauf agricoles)</t>
  </si>
  <si>
    <t>75-09-2</t>
  </si>
  <si>
    <t>Dichloromethane</t>
  </si>
  <si>
    <t>Dichlorométhane</t>
  </si>
  <si>
    <t>Falconbridge Ltd-Kidd Metallurgical Div.</t>
  </si>
  <si>
    <t>Kidd Metallurgical Site</t>
  </si>
  <si>
    <t>Copper-Zinc Ore Mining</t>
  </si>
  <si>
    <t>Extraction de minerais de cuivre-zinc</t>
  </si>
  <si>
    <t>M - Monitoring or Direct Measurement</t>
  </si>
  <si>
    <t>Sarnia Chemical Plant</t>
  </si>
  <si>
    <t>Petrochemical manufacturing</t>
  </si>
  <si>
    <t>Fabrication de produits pétrochimiques</t>
  </si>
  <si>
    <t>192-97-2</t>
  </si>
  <si>
    <t>Benzo[e]pyrene</t>
  </si>
  <si>
    <t>Benzo[e]pyrène</t>
  </si>
  <si>
    <t>Produits American Biltrite Ltée</t>
  </si>
  <si>
    <t>PRODUITS AMERICAN BILTRITE LTEE. - SHERBROOKE</t>
  </si>
  <si>
    <t>Other Rubber Product Manufacturing</t>
  </si>
  <si>
    <t>Fabrication d'autres produits en caoutchouc</t>
  </si>
  <si>
    <t>EDMONTON - AIR CANADA</t>
  </si>
  <si>
    <t>EDMONTON INTERNATIONAL AIRPORT</t>
  </si>
  <si>
    <t>Scheduled Air Transportation</t>
  </si>
  <si>
    <t>Transport aérien régulier</t>
  </si>
  <si>
    <t>A.G. Simpson Automotive Inc.</t>
  </si>
  <si>
    <t>OSHAWA PLANT</t>
  </si>
  <si>
    <t>Stamping</t>
  </si>
  <si>
    <t>Estampage</t>
  </si>
  <si>
    <t>NA - 19</t>
  </si>
  <si>
    <t>Hexavalent chromium (and its compounds)</t>
  </si>
  <si>
    <t>Chrome hexavalent (et ses composés)</t>
  </si>
  <si>
    <t>SPRAY LAKE SAWMILLS (1980)</t>
  </si>
  <si>
    <t>COCHRANE</t>
  </si>
  <si>
    <t>SICO INC.</t>
  </si>
  <si>
    <t>SICO #4 PRILCO</t>
  </si>
  <si>
    <t>Sarnia Refinery Plant</t>
  </si>
  <si>
    <t>191-24-2</t>
  </si>
  <si>
    <t>Benzo[ghi]perylene</t>
  </si>
  <si>
    <t>Benzo[ghi]pérylène</t>
  </si>
  <si>
    <t>Biological Treatment</t>
  </si>
  <si>
    <t>Traitement biologique</t>
  </si>
  <si>
    <t>Van Waters &amp; Rogers Ltd.</t>
  </si>
  <si>
    <t>Downsview</t>
  </si>
  <si>
    <t>Petroleum Product Agents and Brokers</t>
  </si>
  <si>
    <t>Agents et courtiers -- produits pétroliers</t>
  </si>
  <si>
    <t>79-01-6</t>
  </si>
  <si>
    <t>Trichloroethylene</t>
  </si>
  <si>
    <t>Trichloroéthylène</t>
  </si>
  <si>
    <t>IMP GROUP</t>
  </si>
  <si>
    <t>AEROSPACE COMPONENTS</t>
  </si>
  <si>
    <t>NS</t>
  </si>
  <si>
    <t>Nexeo Solutions Canada Corporation</t>
  </si>
  <si>
    <t>Mississauga - Distribution</t>
  </si>
  <si>
    <t>111-42-2</t>
  </si>
  <si>
    <t>Diethanolamine (and its salts)</t>
  </si>
  <si>
    <t>Diéthanolamine (et ses sels)</t>
  </si>
  <si>
    <t>ARC RESOURCES LTD.</t>
  </si>
  <si>
    <t>Parkland Gas Plant 03-09</t>
  </si>
  <si>
    <t>110-54-3</t>
  </si>
  <si>
    <t>n-Hexane</t>
  </si>
  <si>
    <t>Abbott Point of Care Canada Limited</t>
  </si>
  <si>
    <t>Abbott Point of Care Canada Limited - Ottawa</t>
  </si>
  <si>
    <t>Medical equipment and supplies manufacturing</t>
  </si>
  <si>
    <t>Fabrication de fournitures et de matériel médicaux</t>
  </si>
  <si>
    <t>Saskatchewan Power Corporation</t>
  </si>
  <si>
    <t>Shand Power Station</t>
  </si>
  <si>
    <t>Fossil-fuel electric power generation</t>
  </si>
  <si>
    <t>NA - 12</t>
  </si>
  <si>
    <t>Selenium (and its compounds)</t>
  </si>
  <si>
    <t>Sélénium (et ses composés)</t>
  </si>
  <si>
    <t>Bonnybrook Wastewater Treatment Plant</t>
  </si>
  <si>
    <t>NA - 16</t>
  </si>
  <si>
    <t>Ammonia (total)</t>
  </si>
  <si>
    <t>Ammoniac (total)</t>
  </si>
  <si>
    <t xml:space="preserve">Shell Canada Products </t>
  </si>
  <si>
    <t>Sarnia Manufacturing Centre</t>
  </si>
  <si>
    <t>GREAT LAKES COPPER INC.</t>
  </si>
  <si>
    <t>FORMERLY WOLVERINE TUBE (CANADA) INC.</t>
  </si>
  <si>
    <t>Copper Rolling, Drawing, Extruding and Alloying</t>
  </si>
  <si>
    <t>Laminage, étirage, extrusion et alliage du cuivre</t>
  </si>
  <si>
    <t>CHEMREC INC.</t>
  </si>
  <si>
    <t>CHEMREC</t>
  </si>
  <si>
    <t>MAUSER CANADA LIMITED</t>
  </si>
  <si>
    <t>Mauser Canada Limited - Burlington</t>
  </si>
  <si>
    <t>LES INDUSTRIES CAPITOL INC.</t>
  </si>
  <si>
    <t>Ventra Group Co.</t>
  </si>
  <si>
    <t>Ventra Plastics - Peterborough</t>
  </si>
  <si>
    <t>71-36-3</t>
  </si>
  <si>
    <t>n-Butyl alcohol</t>
  </si>
  <si>
    <t>Butan-1-ol</t>
  </si>
  <si>
    <t>ARCELORMITTAL DOFASCO INC.</t>
  </si>
  <si>
    <t>DOFASCO HAMILTON</t>
  </si>
  <si>
    <t>7440-62-2</t>
  </si>
  <si>
    <t>Vanadium (except when in an alloy) and its compounds</t>
  </si>
  <si>
    <t>Vanadium (sauf lorsqu'il est dans un alliage) et ses composés</t>
  </si>
  <si>
    <t>Anachem Ltée.</t>
  </si>
  <si>
    <t>ANACHEM LTEE/LTD</t>
  </si>
  <si>
    <t>Cooper Standard Automotive Canada Ltd.</t>
  </si>
  <si>
    <t>Stratford Mixing - Erie</t>
  </si>
  <si>
    <t>149-30-4</t>
  </si>
  <si>
    <t>2-Mercaptobenzothiazole</t>
  </si>
  <si>
    <t>Edmonton Terminal</t>
  </si>
  <si>
    <t>198-55-0</t>
  </si>
  <si>
    <t>Perylene</t>
  </si>
  <si>
    <t>Pérylène</t>
  </si>
  <si>
    <t>NEXEN MARKETING</t>
  </si>
  <si>
    <t>SASKOIL PLOVER LAKE 09-09 TRUCK TERMINAL</t>
  </si>
  <si>
    <t>Pipeline Transportation of Crude Oil</t>
  </si>
  <si>
    <t>Transport du pétrole brut par oléoduc</t>
  </si>
  <si>
    <t>Winnipeg Terminal</t>
  </si>
  <si>
    <t>85-01-8</t>
  </si>
  <si>
    <t>Phenanthrene</t>
  </si>
  <si>
    <t>Phénanthrène</t>
  </si>
  <si>
    <t>Kleen-Flo Tumbler Industries Ltd.</t>
  </si>
  <si>
    <t>KLEEN-FLO TUMBLER INDUSTRIES LTD.</t>
  </si>
  <si>
    <t>All other miscellaneous chemical product manufacturing</t>
  </si>
  <si>
    <t>HONEYWELL</t>
  </si>
  <si>
    <t>SCARBOROUGH FACILITY</t>
  </si>
  <si>
    <t>Lantic Inc. - Vancouver Refinery</t>
  </si>
  <si>
    <t>Sugar manufacturing</t>
  </si>
  <si>
    <t>Fabrication de sucre</t>
  </si>
  <si>
    <t>Traxle Manufacturing Ltd.</t>
  </si>
  <si>
    <t>TRAXLE MANUFACTURING</t>
  </si>
  <si>
    <t>Machine shops</t>
  </si>
  <si>
    <t>Ateliers d'usinage</t>
  </si>
  <si>
    <t>Russel Metals Inc.</t>
  </si>
  <si>
    <t>Regina</t>
  </si>
  <si>
    <t>Metal service centres</t>
  </si>
  <si>
    <t>Grossistes-distributeurs de métaux et de produits métalliques</t>
  </si>
  <si>
    <t>BAKER PERFORMANCE CHEMICALS,INC.</t>
  </si>
  <si>
    <t>BAKER PERFORMANCE CHEMICALS,INC.(Calgary)</t>
  </si>
  <si>
    <t>SOUTHWIRE CANADA COMPANY</t>
  </si>
  <si>
    <t>Stouffville Plant</t>
  </si>
  <si>
    <t>Communication and Energy Wire and Cable Manufacturing</t>
  </si>
  <si>
    <t>Fabrication de fils et de câbles électriques et de communication</t>
  </si>
  <si>
    <t>PHILLIPS &amp; TEMRO INDUSTRIES LTD.</t>
  </si>
  <si>
    <t>PHILLIPS $ TEMRO INDUSTRIES LTD.</t>
  </si>
  <si>
    <t>Fielding Chemical Technologies Inc.</t>
  </si>
  <si>
    <t>EPCOR Distribution and Transmission</t>
  </si>
  <si>
    <t>South Service Centre</t>
  </si>
  <si>
    <t>Electric power distribution</t>
  </si>
  <si>
    <t>Distribution d'électricité</t>
  </si>
  <si>
    <t>ROCTEL MANUFACTURING</t>
  </si>
  <si>
    <t>AJAX TEXTILE PROCESSING COMPANY LTD</t>
  </si>
  <si>
    <t>AJAX TEXTILE DYERS AND FINISHERS</t>
  </si>
  <si>
    <t>Textile and Fabric Finishing</t>
  </si>
  <si>
    <t>Finissage de textiles et de tissus</t>
  </si>
  <si>
    <t>Calgary Service Centre</t>
  </si>
  <si>
    <t>All other waste management services</t>
  </si>
  <si>
    <t>BOMBARDIER INC.</t>
  </si>
  <si>
    <t>Usine St-Laurent</t>
  </si>
  <si>
    <t>ROLLSTAMP MANUFACTURING</t>
  </si>
  <si>
    <t>141 STAFFERN DR.</t>
  </si>
  <si>
    <t>Motor Vehicle Metal Stamping</t>
  </si>
  <si>
    <t>Emboutissage de pièces en métal pour véhicules automobiles</t>
  </si>
  <si>
    <t>Finch Distribution Terminal</t>
  </si>
  <si>
    <t>Petroleum, petroleum products, and other hydrocarbons merchant wholesalers</t>
  </si>
  <si>
    <t>Grossistes-marchands de pétrole, de produits pétroliers, et d'autres hydrocarbures</t>
  </si>
  <si>
    <t>Kuntz Electroplating Inc.</t>
  </si>
  <si>
    <t>KUNTZ ELECTROPLATING INC.</t>
  </si>
  <si>
    <t>Daam Galvanizing Co Ltd.</t>
  </si>
  <si>
    <t>DAAM GALVANIZING - EDMONTON</t>
  </si>
  <si>
    <t>Recovery of Acids and Bases</t>
  </si>
  <si>
    <t>Récupération d'acides ou de bases</t>
  </si>
  <si>
    <t>Annacis Island Wastewater Treatment Plant</t>
  </si>
  <si>
    <t>BIOX Canada Ltd.</t>
  </si>
  <si>
    <t>BIOX Biodiesel Plant 01 - Hamilton</t>
  </si>
  <si>
    <t>Other basic organic chemical manufacturing</t>
  </si>
  <si>
    <t>Fabrication d'autres produits chimiques organiques de base</t>
  </si>
  <si>
    <t>Viasystems Canada inc.</t>
  </si>
  <si>
    <t>Kirkland</t>
  </si>
  <si>
    <t>Semiconductor and Other Electronic Component Manufacturing</t>
  </si>
  <si>
    <t>Fabrication de semi-conducteurs et d'autres composants électroniques</t>
  </si>
  <si>
    <t>CANADIAN OCCIDENTAL PETROLEUM LTD.</t>
  </si>
  <si>
    <t>BALZAC GAS PLANT</t>
  </si>
  <si>
    <t>FORD MOTOR COMPANY</t>
  </si>
  <si>
    <t>WINDSOR CASTING PLANT</t>
  </si>
  <si>
    <t>COLGATE-PALMOLIVE CANADA INC.</t>
  </si>
  <si>
    <t>Colgate-Palmolive Canada Mississauga Facility</t>
  </si>
  <si>
    <t>Soap and Cleaning Compound Manufacturing</t>
  </si>
  <si>
    <t>Fabrication de savons et de détachants</t>
  </si>
  <si>
    <t>7681-49-4</t>
  </si>
  <si>
    <t>Sodium fluoride</t>
  </si>
  <si>
    <t>Fluorure de sodium</t>
  </si>
  <si>
    <t>Sherwin-Williams Canada</t>
  </si>
  <si>
    <t>DOMTAR PAPERS</t>
  </si>
  <si>
    <t>CORNWALL BUSINESS UNIT</t>
  </si>
  <si>
    <t>Chemical Pulp Mills</t>
  </si>
  <si>
    <t>Usines de pâte chimique</t>
  </si>
  <si>
    <t>205-82-3</t>
  </si>
  <si>
    <t>Benzo[j]fluoranthene</t>
  </si>
  <si>
    <t>Benzo[j]fluoranthène</t>
  </si>
  <si>
    <t>Gerdau Ameristeel Corporation</t>
  </si>
  <si>
    <t>Gerdau Ameristeel Corporation, Cambridge Mill</t>
  </si>
  <si>
    <t>Iron and steel mills and ferro-alloy manufacturing</t>
  </si>
  <si>
    <t>NA - D/F</t>
  </si>
  <si>
    <t>Dioxins and furans - total</t>
  </si>
  <si>
    <t>Dioxines et furannes - totales</t>
  </si>
  <si>
    <t>g TEQ</t>
  </si>
  <si>
    <t>EPCOR WATER SERVICES INC.</t>
  </si>
  <si>
    <t>GOLD BAR WASTEWATER TREATMENT PLANT</t>
  </si>
  <si>
    <t>PETRO-CANADA</t>
  </si>
  <si>
    <t>Kaybob Gas Plant</t>
  </si>
  <si>
    <t>HULS CANADA (Leaside)</t>
  </si>
  <si>
    <t>Leaside facility</t>
  </si>
  <si>
    <t>GURIT (CANADA) INC</t>
  </si>
  <si>
    <t>USINE DE CORECELL</t>
  </si>
  <si>
    <t>Urethane and Other Foam Product (except Polystyrene) Manufacturing</t>
  </si>
  <si>
    <t>Fabrication de produits en mousse d'uréthane et en d'autres mousses plastiques (sauf de polystyrène)</t>
  </si>
  <si>
    <t>Safety-Kleen Canada Inc.</t>
  </si>
  <si>
    <t>Nisku Branch</t>
  </si>
  <si>
    <t>Waste collection</t>
  </si>
  <si>
    <t>Collecte de déchets</t>
  </si>
  <si>
    <t>HUNTSMAN CORPORATION CANADA INC.</t>
  </si>
  <si>
    <t>Guelph Plant</t>
  </si>
  <si>
    <t>108-95-2</t>
  </si>
  <si>
    <t>Phenol (and its salts)</t>
  </si>
  <si>
    <t>Phénol (et ses sels)</t>
  </si>
  <si>
    <t>Imperial Oil, Strathcona Refinery</t>
  </si>
  <si>
    <t>CLEAN HARBORS QUÉBEC, INC.</t>
  </si>
  <si>
    <t>CENTRE DE TRANSFERT DE THURSO</t>
  </si>
  <si>
    <t>Douglas Barwick Inc.</t>
  </si>
  <si>
    <t>BROCKVILLE</t>
  </si>
  <si>
    <t>Iron and steel pipes and tubes manufacturing from purchased steel</t>
  </si>
  <si>
    <t>Fabrication de tubes et de tuyaux en fer et en acier à partir d'acier acheté</t>
  </si>
  <si>
    <t>AV Nackawic Inc.</t>
  </si>
  <si>
    <t>AV Nackawic</t>
  </si>
  <si>
    <t>Chemical pulp mills</t>
  </si>
  <si>
    <t>NB</t>
  </si>
  <si>
    <t>RHONE-POULENC SPECIALTY CHEMICALS</t>
  </si>
  <si>
    <t>Rhone-Poulenc Specialty Chemicals</t>
  </si>
  <si>
    <t>Shrader Canada</t>
  </si>
  <si>
    <t>SHRADER CANADA</t>
  </si>
  <si>
    <t>Other petroleum and coal product manufacturing</t>
  </si>
  <si>
    <t>Fabrication d'autres produits du pétrole et du charbon</t>
  </si>
  <si>
    <t>111-76-2</t>
  </si>
  <si>
    <t>2-Butoxyethanol</t>
  </si>
  <si>
    <t>2-Butoxyéthanol</t>
  </si>
  <si>
    <t>General Paint</t>
  </si>
  <si>
    <t>Musashi Auto Parts Canada Inc.</t>
  </si>
  <si>
    <t>Musashi Auto Parts Canada Inc. (MAP-C)</t>
  </si>
  <si>
    <t>Motor vehicle steering and suspension components (except spring) manufacturing</t>
  </si>
  <si>
    <t>Fabrication de composants de direction et de suspension pour véhicules automobiles (sauf les ressorts)</t>
  </si>
  <si>
    <t>Héroux-Devtek Inc.</t>
  </si>
  <si>
    <t>Division Trains d'atterrissage, Longueuil</t>
  </si>
  <si>
    <t>AP&amp;C Advanced Powders &amp; Coatings Inc.</t>
  </si>
  <si>
    <t>AP&amp;C Boisbriand</t>
  </si>
  <si>
    <t>WEST PEMBINA GAS PLANT</t>
  </si>
  <si>
    <t>Nanticoke Refinery</t>
  </si>
  <si>
    <t>NA - 01</t>
  </si>
  <si>
    <t>Antimony (and its compounds)</t>
  </si>
  <si>
    <t>Antimoine (et ses composés)</t>
  </si>
  <si>
    <t>ArcelorMittal Dofasco Inc.</t>
  </si>
  <si>
    <t>Dofasco Hamilton</t>
  </si>
  <si>
    <t>ALCATEL CANADA WIRE</t>
  </si>
  <si>
    <t>Weyburn Plant</t>
  </si>
  <si>
    <t>Other Fabricated Wire Product Manufacturing</t>
  </si>
  <si>
    <t>Fabrication d'autres produits en fil métallique</t>
  </si>
  <si>
    <t>Newalta Corporation Barrie</t>
  </si>
  <si>
    <t>Durapaint Industries</t>
  </si>
  <si>
    <t>Durapaint Brampton</t>
  </si>
  <si>
    <t>Windsor Assembly Plant</t>
  </si>
  <si>
    <t>GALVCAST MANUFACTURING INC.</t>
  </si>
  <si>
    <t>GALVCAST PLANTS</t>
  </si>
  <si>
    <t>CANBRO INC</t>
  </si>
  <si>
    <t>The Valspar Corporation</t>
  </si>
  <si>
    <t>West Hill Facility</t>
  </si>
  <si>
    <t>USINE DE DELSON</t>
  </si>
  <si>
    <t>VFT Inc.</t>
  </si>
  <si>
    <t>Other Petroleum and Coal Products Manufacturing</t>
  </si>
  <si>
    <t>1319-77-3</t>
  </si>
  <si>
    <t>Cresol (mixed isomers, and their salts)</t>
  </si>
  <si>
    <t>Crésol (mélange d'isomères et leurs sels)</t>
  </si>
  <si>
    <t>WESCAST INDUSTRIES INC.</t>
  </si>
  <si>
    <t>NORTH HURON CASTING</t>
  </si>
  <si>
    <t>Hanson Pressure Pipes</t>
  </si>
  <si>
    <t>Hanson St-Eustache</t>
  </si>
  <si>
    <t>Concrete pipe, brick and block manufacturing</t>
  </si>
  <si>
    <t>Fabrication de tuyaux, briques et blocs en béton</t>
  </si>
  <si>
    <t>Centre de recyclage et succursale Chambly</t>
  </si>
  <si>
    <t>Canadian Technical Tape Ltd.</t>
  </si>
  <si>
    <t>Montreal plant</t>
  </si>
  <si>
    <t>All other converted paper product manufacturing</t>
  </si>
  <si>
    <t>Fabrication de tous les autres produits en papier transformé</t>
  </si>
  <si>
    <t>DIAGEO APPROVISIONNEMENT MONDIAL</t>
  </si>
  <si>
    <t>USINE DE VALLEYFIELD</t>
  </si>
  <si>
    <t>Distilleries</t>
  </si>
  <si>
    <t>Lactalis Canada Inc.</t>
  </si>
  <si>
    <t>Fluid milk manufacturing</t>
  </si>
  <si>
    <t>Fabrication de lait de consommation</t>
  </si>
  <si>
    <t>TEMBEC, ARC RESINS</t>
  </si>
  <si>
    <t>ARC Resins Corp., Longueuil</t>
  </si>
  <si>
    <t>M2 - Predictive Emission Monitoring</t>
  </si>
  <si>
    <t>Olin Canada ULC</t>
  </si>
  <si>
    <t>Usine de Bécancour</t>
  </si>
  <si>
    <t>Alkali and chlorine manufacturing</t>
  </si>
  <si>
    <t>Fabrication d'alcalis et de chlore</t>
  </si>
  <si>
    <t>67-66-3</t>
  </si>
  <si>
    <t>Chloroform</t>
  </si>
  <si>
    <t>Chloroforme</t>
  </si>
  <si>
    <t>Irving Pulp &amp; Paper, Limited</t>
  </si>
  <si>
    <t>North Vancouver</t>
  </si>
  <si>
    <t>Material Recovery Facilities</t>
  </si>
  <si>
    <t>Multichair Inc.</t>
  </si>
  <si>
    <t>MULTITUBE INC.</t>
  </si>
  <si>
    <t>Office Furniture (except Wood) Manufacturing</t>
  </si>
  <si>
    <t>Fabrication de meubles de bureau, sauf les meubles en bois</t>
  </si>
  <si>
    <t>Progressive Anodizers Inc.</t>
  </si>
  <si>
    <t>PROGRESSIVE</t>
  </si>
  <si>
    <t>PPG Phillips Industrial Coatings Inc</t>
  </si>
  <si>
    <t>PPG PHILLIPS INDUSTRIAL COATINGS - WINNIPEG</t>
  </si>
  <si>
    <t>Sherwin-Williams Canada Inc</t>
  </si>
  <si>
    <t>Fort Erie Plant</t>
  </si>
  <si>
    <t>FINCH  DISTRIBUTION TERMINAL</t>
  </si>
  <si>
    <t>GÉNÉRALE ÉLECTRIQUE DU CANADA</t>
  </si>
  <si>
    <t>GE AVIATION</t>
  </si>
  <si>
    <t>M &amp; P Tool Products Inc.</t>
  </si>
  <si>
    <t>M &amp; P TOOL PRODUCTS INC.</t>
  </si>
  <si>
    <t>AKZO NOBEL COATINGS</t>
  </si>
  <si>
    <t>SANDVIK MINING AND CONSTRUCTION</t>
  </si>
  <si>
    <t>SANDVIK MINING AND CONSTRUCTION NORTH BAY</t>
  </si>
  <si>
    <t>Machine Shops</t>
  </si>
  <si>
    <t>KUNTZ ELECTROPLATING</t>
  </si>
  <si>
    <t>Degussa-Hüls Canada Inc.</t>
  </si>
  <si>
    <t>HOTZ ENVIRONMENTAL SERVICES INC.</t>
  </si>
  <si>
    <t>FORD MOTOR COMPANY OF CANADA LIMITED</t>
  </si>
  <si>
    <t>WINDSOR ALUMINUM PLANT</t>
  </si>
  <si>
    <t>Non-Ferrous Foundries (except Die-Casting)</t>
  </si>
  <si>
    <t>Fonderies de métaux non ferreux (sauf moulage sous pression)</t>
  </si>
  <si>
    <t>CASCADES INC.</t>
  </si>
  <si>
    <t>CASCADES EAST ANGUS INC.</t>
  </si>
  <si>
    <t>Paper (except Newsprint) Mills</t>
  </si>
  <si>
    <t>Usines de papier (sauf le papier journal)</t>
  </si>
  <si>
    <t>Kawneer Canada Ltd.</t>
  </si>
  <si>
    <t>Lethbridge</t>
  </si>
  <si>
    <t>Aluminum rolling, drawing, extruding and alloying</t>
  </si>
  <si>
    <t>Laminage, étirage, extrusion et alliage de l'aluminium</t>
  </si>
  <si>
    <t>The Electromac Group</t>
  </si>
  <si>
    <t>Cannon Automotive</t>
  </si>
  <si>
    <t>Other plate work and fabricated structural product manufacturing</t>
  </si>
  <si>
    <t>Fabrication d'autres tôles fortes et éléments de charpentes</t>
  </si>
  <si>
    <t>Windsor Engine Plant</t>
  </si>
  <si>
    <t>Motor Vehicle Gasoline Engine and Engine Parts Manufacturing</t>
  </si>
  <si>
    <t>Fabrication de moteurs et de pièces de moteurs à essence pour véhicules automobiles</t>
  </si>
  <si>
    <t>Winnipeg South</t>
  </si>
  <si>
    <t>108-10-1</t>
  </si>
  <si>
    <t>Methyl isobutyl ketone</t>
  </si>
  <si>
    <t>Méthylisobutylcétone</t>
  </si>
  <si>
    <t>3M Canada Co.</t>
  </si>
  <si>
    <t>PERTH</t>
  </si>
  <si>
    <t>Paper bag and coated and treated paper manufacturing</t>
  </si>
  <si>
    <t>Spectra Energy Midstream Corporation</t>
  </si>
  <si>
    <t>Gordondale East Gas Plant</t>
  </si>
  <si>
    <t>Conventional oil and gas extraction</t>
  </si>
  <si>
    <t>Walinga Inc.</t>
  </si>
  <si>
    <t>Guelph Facility</t>
  </si>
  <si>
    <t>Truck trailer manufacturing</t>
  </si>
  <si>
    <t>Fabrication de remorques de camions</t>
  </si>
  <si>
    <t>Washington Mills Electro Minerals Corp.</t>
  </si>
  <si>
    <t>W.M.E.M.C.</t>
  </si>
  <si>
    <t>Abrasive Product Manufacturing</t>
  </si>
  <si>
    <t>Fabrication de produits abrasifs</t>
  </si>
  <si>
    <t>EMI RFI SHIELD PLATING</t>
  </si>
  <si>
    <t>EMIRFI SHIELD PLATING INC.</t>
  </si>
  <si>
    <t>PARMALAT DAIRY &amp; BAKERY INC.</t>
  </si>
  <si>
    <t>Marieville</t>
  </si>
  <si>
    <t>Butter, Cheese, and Dry and Condensed Dairy Product Manufacturing</t>
  </si>
  <si>
    <t>GOODYEAR CANADA</t>
  </si>
  <si>
    <t>Owen Sound Plant</t>
  </si>
  <si>
    <t>Rubber and Plastic Hose and Belting Manufacturing</t>
  </si>
  <si>
    <t>Fabrication de tuyaux souples et de courroies en caoutchouc et en plastique</t>
  </si>
  <si>
    <t>Ball Packaging Products Canada, Inc.</t>
  </si>
  <si>
    <t>Ball Packaging Products Canada, Inc. Richmond</t>
  </si>
  <si>
    <t>Shell Canada Products</t>
  </si>
  <si>
    <t>SHELL SCOTFORD REFINERY</t>
  </si>
  <si>
    <t>IOL Strathcona Refinery</t>
  </si>
  <si>
    <t>Town of Orangeville</t>
  </si>
  <si>
    <t>Orangeville Water Pollution Control Plant</t>
  </si>
  <si>
    <t>208-96-8</t>
  </si>
  <si>
    <t>Acenaphthylene</t>
  </si>
  <si>
    <t>Acénaphtylène</t>
  </si>
  <si>
    <t>Tooga Gas Plant</t>
  </si>
  <si>
    <t>Brampton facility</t>
  </si>
  <si>
    <t>P&amp;F TOOL AND DIE</t>
  </si>
  <si>
    <t>P&amp;F TOOL AND DIE II</t>
  </si>
  <si>
    <t>Trilogy Energy Corp.</t>
  </si>
  <si>
    <t>Envirotec Services Incorporated</t>
  </si>
  <si>
    <t>DURO-KOTE LTÉE</t>
  </si>
  <si>
    <t>DURO-KOTE</t>
  </si>
  <si>
    <t>Kaiser Aluminum Canada Limited</t>
  </si>
  <si>
    <t>Anachemia Ltee/Ltd</t>
  </si>
  <si>
    <t>Ontario Power Generation Inc</t>
  </si>
  <si>
    <t>NANTICOKE GENERATING STATION</t>
  </si>
  <si>
    <t>Iona Island Wastewater Treatment Plant</t>
  </si>
  <si>
    <t>91-22-5</t>
  </si>
  <si>
    <t>Quinoline</t>
  </si>
  <si>
    <t>Quinoléine</t>
  </si>
  <si>
    <t>Durez Canada Company, Ltd.</t>
  </si>
  <si>
    <t>Durez Canada Company Ltd.</t>
  </si>
  <si>
    <t>Other Basic Organic Chemical Manufacturing</t>
  </si>
  <si>
    <t>SHELL CANADA LIMITED</t>
  </si>
  <si>
    <t>SCOTFORD UPGRADER</t>
  </si>
  <si>
    <t>Non-Conventional Oil Extraction</t>
  </si>
  <si>
    <t>Extraction de pétrole par des méthodes non classiques</t>
  </si>
  <si>
    <t>218-01-9</t>
  </si>
  <si>
    <t>Chrysene</t>
  </si>
  <si>
    <t>Chrysène</t>
  </si>
  <si>
    <t>CP LOEWEN ENTERPRISES</t>
  </si>
  <si>
    <t>Loewen Windows</t>
  </si>
  <si>
    <t>Wood Window and Door Manufacturing</t>
  </si>
  <si>
    <t>Fabrication de portes et de fenêtres en bois</t>
  </si>
  <si>
    <t>91-20-3</t>
  </si>
  <si>
    <t>Naphthalene</t>
  </si>
  <si>
    <t>Naphtalène</t>
  </si>
  <si>
    <t>206-44-0</t>
  </si>
  <si>
    <t>Fluoranthene</t>
  </si>
  <si>
    <t>Fluoranthène</t>
  </si>
  <si>
    <t>NALCO CANADA</t>
  </si>
  <si>
    <t>BURLINGTON</t>
  </si>
  <si>
    <t>Dyno Nobel Canada Inc.</t>
  </si>
  <si>
    <t>North Bay</t>
  </si>
  <si>
    <t>Explosives manufacturing</t>
  </si>
  <si>
    <t>Fabrication d'explosifs</t>
  </si>
  <si>
    <t>Ford Motor Company of Canada, Limited</t>
  </si>
  <si>
    <t>Motor vehicle gasoline engine and engine parts manufacturing</t>
  </si>
  <si>
    <t>Plains Midstream Canada</t>
  </si>
  <si>
    <t>Fort Saskatchewan Storage and Fractionation</t>
  </si>
  <si>
    <t>Lambton Conveyor Limited</t>
  </si>
  <si>
    <t>LAMBTON CONVEYOR LIMITED FLORENCE</t>
  </si>
  <si>
    <t>Material Handling Equipment Manufacturing</t>
  </si>
  <si>
    <t>Fabrication de matériel de manutention</t>
  </si>
  <si>
    <t>Morton International, Ltd.</t>
  </si>
  <si>
    <t>Ajax Facility</t>
  </si>
  <si>
    <t>Ball Packaging Products Canada, Inc. Hamilton</t>
  </si>
  <si>
    <t>SUPERFINISH</t>
  </si>
  <si>
    <t>SUPERFINISH CO. LTD.</t>
  </si>
  <si>
    <t>CORUS L.P.</t>
  </si>
  <si>
    <t>CCD</t>
  </si>
  <si>
    <t>All Other Miscellaneous Manufacturing</t>
  </si>
  <si>
    <t>Toutes les autres activités diverses de fabrication</t>
  </si>
  <si>
    <t>ROLL SURFACE TECHNOLOGIES INC.</t>
  </si>
  <si>
    <t>Vulsay Industries Ltd.</t>
  </si>
  <si>
    <t>Co-Steel LASCO</t>
  </si>
  <si>
    <t>TRURO PLANT</t>
  </si>
  <si>
    <t>118-74-1</t>
  </si>
  <si>
    <t>Hexachlorobenzene</t>
  </si>
  <si>
    <t>Hexachlorobenzène</t>
  </si>
  <si>
    <t>grams</t>
  </si>
  <si>
    <t>GENERAL MOTORS OF CANADA LIMITED</t>
  </si>
  <si>
    <t>St. Catharines Engine - Glendale Plant</t>
  </si>
  <si>
    <t>ASHLAND CANADA</t>
  </si>
  <si>
    <t>ASHLAND DISTRIBUTION - EDMONTON</t>
  </si>
  <si>
    <t>Grossistes-distributeurs de produits chimiques et de produits analogues (sauf agricoles)</t>
  </si>
  <si>
    <t>Iron Ore Company of Canada</t>
  </si>
  <si>
    <t>Sept-Iles</t>
  </si>
  <si>
    <t>Iron ore mining</t>
  </si>
  <si>
    <t>Extraction de minerais de fer</t>
  </si>
  <si>
    <t>Bohler-Uddeholm Ltd.</t>
  </si>
  <si>
    <t>BOHLER UDDEHOLM</t>
  </si>
  <si>
    <t>Direct Energy Marketing Ltd.</t>
  </si>
  <si>
    <t>Hanlan Robb Gas Plant</t>
  </si>
  <si>
    <t>TOYOTA MOTOR MANUFACTURING CANADA INC.</t>
  </si>
  <si>
    <t>TOYOTA MOTOR MANUFACTURING CANADA (WOODSTOCK)</t>
  </si>
  <si>
    <t>City of Regina</t>
  </si>
  <si>
    <t>Wastewater Facility</t>
  </si>
  <si>
    <t>DAYMOND ALUMINUM</t>
  </si>
  <si>
    <t>Aluminum Rolling, Drawing, Extruding and Alloying</t>
  </si>
  <si>
    <t>WILSON CREEK</t>
  </si>
  <si>
    <t>THE BUTCHER ENGINEERING ENTERPRISES LTD</t>
  </si>
  <si>
    <t>Orenda</t>
  </si>
  <si>
    <t>Sherwin-Williams Brantford Plant</t>
  </si>
  <si>
    <t>MACDONALD AND WHITE VARNISH AND PAINT CO. LTD.</t>
  </si>
  <si>
    <t>SUNWORTHY WALLCOVERINGS (DIV. OF BORDEN CO)</t>
  </si>
  <si>
    <t>All Other Converted Paper Product Manufacturing</t>
  </si>
  <si>
    <t>BELDEN CDT CANADA INC.</t>
  </si>
  <si>
    <t>BELDEN/CDT - POINTE-CLAIRE</t>
  </si>
  <si>
    <t>ONTARIO POWER GENERATION</t>
  </si>
  <si>
    <t>PICKERING NUCLEAR</t>
  </si>
  <si>
    <t>Nuclear Electric Power Generation</t>
  </si>
  <si>
    <t>Production d'électricité d'origine nucléaire</t>
  </si>
  <si>
    <t>1332-21-4</t>
  </si>
  <si>
    <t>Asbestos (friable form only)</t>
  </si>
  <si>
    <t>Amiante (forme friable seulement)</t>
  </si>
  <si>
    <t>Delta Recycle Center</t>
  </si>
  <si>
    <t>GRAPHIC PACKAGING CANADA CORPORATION</t>
  </si>
  <si>
    <t>TORONTO FACILITY</t>
  </si>
  <si>
    <t>Other Printing</t>
  </si>
  <si>
    <t>Autres activités d'impression</t>
  </si>
  <si>
    <t>Rio Alto Exploration Ltd.</t>
  </si>
  <si>
    <t>Gold Creek Gas Plant</t>
  </si>
  <si>
    <t>110-82-7</t>
  </si>
  <si>
    <t>Cyclohexane</t>
  </si>
  <si>
    <t>Arborite,division de Premark Canada inc.</t>
  </si>
  <si>
    <t>Oakville Assembly Plant</t>
  </si>
  <si>
    <t>Toxco Waste Management Ltd. d/b/a/ Retriev Technologies</t>
  </si>
  <si>
    <t>RB &amp; W</t>
  </si>
  <si>
    <t>RB &amp; W CORPORATION OF CANADA</t>
  </si>
  <si>
    <t>Turned Product and Screw, Nut and Bolt Manufacturing</t>
  </si>
  <si>
    <t>Fabrication de produits tournés, de vis, d'écrous et de boulons</t>
  </si>
  <si>
    <t>General Cable Company</t>
  </si>
  <si>
    <t>La Malbaie Plant</t>
  </si>
  <si>
    <t>Meridian Technologies Inc.</t>
  </si>
  <si>
    <t>Meridian Lightweight Technologies Inc</t>
  </si>
  <si>
    <t>Resolute FP Canada Inc. - Laurentide</t>
  </si>
  <si>
    <t>Usine Laurentide</t>
  </si>
  <si>
    <t>Paper (except newsprint) mills</t>
  </si>
  <si>
    <t>Gerdau Ameristeel Corporation, Whitby Mill</t>
  </si>
  <si>
    <t>ALDEX CHEMICAL CO. LTD.</t>
  </si>
  <si>
    <t>P&amp;F TOOL AND DIE - Citation</t>
  </si>
  <si>
    <t>Fused Metals Inc.</t>
  </si>
  <si>
    <t xml:space="preserve">Suncor Energy Products Partnership </t>
  </si>
  <si>
    <t>DAVIS WIRE INDUSTRIES LTD</t>
  </si>
  <si>
    <t>DAVIS WIRE INDUSTRIES - DELTA</t>
  </si>
  <si>
    <t>Steel Wire Drawing</t>
  </si>
  <si>
    <t>DEVON CANADA CORPORATION</t>
  </si>
  <si>
    <t>WAPITI DEEP-CUT GAS PLANT</t>
  </si>
  <si>
    <t>GENERAL MOTORS OF CANADA</t>
  </si>
  <si>
    <t>OSHAWA CAR ASSEMBLY PLANT</t>
  </si>
  <si>
    <t>EGS Easy Heat Limited</t>
  </si>
  <si>
    <t>LES EMBALLAGES KNOWLTON INC.</t>
  </si>
  <si>
    <t>PACKALL PACKAGING INC.</t>
  </si>
  <si>
    <t>Packall</t>
  </si>
  <si>
    <t>NEW WESTMINSTER PLANT</t>
  </si>
  <si>
    <t>Non-conventional oil extraction</t>
  </si>
  <si>
    <t>HENKEL CANADA CORPORATION CONSUMER ADHESIVES</t>
  </si>
  <si>
    <t>HENKEL CONSUMER ADHESIVES</t>
  </si>
  <si>
    <t>CITY OF WINDSOR</t>
  </si>
  <si>
    <t>Lou Romano Water Reclamation Plant</t>
  </si>
  <si>
    <t>Lincoln Electric Co. of Canada LP</t>
  </si>
  <si>
    <t>LINCOLN ELECTRIC COMPANY OF CANADA</t>
  </si>
  <si>
    <t>All other industrial machinery manufacturing</t>
  </si>
  <si>
    <t>Fabrication de toutes les autres machines industrielles</t>
  </si>
  <si>
    <t>Goodyear Canada Inc.</t>
  </si>
  <si>
    <t>Goodyear Valleyfield</t>
  </si>
  <si>
    <t>Tire Manufacturing</t>
  </si>
  <si>
    <t>Fabrication de pneus</t>
  </si>
  <si>
    <t>Etobicoke Casting Plant</t>
  </si>
  <si>
    <t>Aimco Solrec Ltd.</t>
  </si>
  <si>
    <t>AIMCO SOLREC</t>
  </si>
  <si>
    <t>TORAL CAST</t>
  </si>
  <si>
    <t>TORAL CAST LIGHT METAL TECHNOLOGIES</t>
  </si>
  <si>
    <t>General Motors of Canada Company</t>
  </si>
  <si>
    <t>Oshawa Assembly Plant</t>
  </si>
  <si>
    <t>Montreal Terminal</t>
  </si>
  <si>
    <t>NB Power Nuclear Corporation</t>
  </si>
  <si>
    <t>Coleson Cove Generating Station</t>
  </si>
  <si>
    <t>Canusa-CPS</t>
  </si>
  <si>
    <t>Huntsville</t>
  </si>
  <si>
    <t>Plastic film and sheet manufacturing</t>
  </si>
  <si>
    <t>Fabrication de pellicules et de feuilles en plastique</t>
  </si>
  <si>
    <t>WALLCROWN LIMITED</t>
  </si>
  <si>
    <t>WALLCROWN</t>
  </si>
  <si>
    <t>IPEX INC.</t>
  </si>
  <si>
    <t>Flexible Products Division</t>
  </si>
  <si>
    <t>Allcolour Paint Limited</t>
  </si>
  <si>
    <t>ALLCOLOUR PAINT LTD</t>
  </si>
  <si>
    <t>Regional Municipality of Durham</t>
  </si>
  <si>
    <t>Courtice WPCP</t>
  </si>
  <si>
    <t>BELDEN CDT (CANADA)</t>
  </si>
  <si>
    <t>COBOURG</t>
  </si>
  <si>
    <t>SYDNEY TERMINAL</t>
  </si>
  <si>
    <t>Heroux-Devtek Inc.</t>
  </si>
  <si>
    <t>Safety-Kleen Canada Inc. [principal]</t>
  </si>
  <si>
    <t>Brampton Service Center</t>
  </si>
  <si>
    <t>Brenntag Canada Inc.</t>
  </si>
  <si>
    <t>Leduc Production (AS75)</t>
  </si>
  <si>
    <t>HONDA OF CANADA MFG., A DIV. OF HONDA CANADA INC.</t>
  </si>
  <si>
    <t>ALLISTON PLANT 1</t>
  </si>
  <si>
    <t>M. STANTON ELECTROPLATING LTD.</t>
  </si>
  <si>
    <t>CONTINENTAL AUTOMOTIVE CANADA INC.</t>
  </si>
  <si>
    <t>ACTUATORS, MOTOR DRIVES &amp; FUEL SUPPLY, POWERTRAIN DIVISION</t>
  </si>
  <si>
    <t>Motor Vehicle Transmission and Power Train Parts Manufacturing</t>
  </si>
  <si>
    <t>Fabrication de pièces de transmission et de groupe motopropulseur pour véhicules automobiles</t>
  </si>
  <si>
    <t>Union Drawn Steel II LP</t>
  </si>
  <si>
    <t>Union Drawn Steel</t>
  </si>
  <si>
    <t>Cold-rolled steel shape manufacturing</t>
  </si>
  <si>
    <t>Bombardier Inc., Canadair</t>
  </si>
  <si>
    <t>BIOVECTRA INC</t>
  </si>
  <si>
    <t>REGIS AND JOAN DUFFY BIOPHARMACEUTICAL CENTRE</t>
  </si>
  <si>
    <t>PE</t>
  </si>
  <si>
    <t>Kaiser Aluminum &amp; Chemical of Canada Ltd.</t>
  </si>
  <si>
    <t>Kaiser London</t>
  </si>
  <si>
    <t>Nova Scotia Power Incorporated</t>
  </si>
  <si>
    <t>Trenton Generating Station</t>
  </si>
  <si>
    <t>NA - 37</t>
  </si>
  <si>
    <t>Thallium (and its compounds)</t>
  </si>
  <si>
    <t>Thallium (et ses composés)</t>
  </si>
  <si>
    <t>Warren Industries Ltd.</t>
  </si>
  <si>
    <t>Warren Industries Ltd. 220 Spinnaker Way</t>
  </si>
  <si>
    <t>Motor vehicle metal stamping</t>
  </si>
  <si>
    <t>Fluid Milk Manufacturing</t>
  </si>
  <si>
    <t>Fabrication du lait de consommation</t>
  </si>
  <si>
    <t>Kraft Canada Inc.</t>
  </si>
  <si>
    <t>Ingleside Plant</t>
  </si>
  <si>
    <t>Canadian Natural Resources Limited</t>
  </si>
  <si>
    <t>GOLD CREEK GAS PLANT</t>
  </si>
  <si>
    <t>Groupe Canam inc.</t>
  </si>
  <si>
    <t>Québec</t>
  </si>
  <si>
    <t>Siemens Energie Canada Limitée</t>
  </si>
  <si>
    <t>Opérations de Drummondville</t>
  </si>
  <si>
    <t>Switchgear and switchboard, and relay and industrial control apparatus manufacturing</t>
  </si>
  <si>
    <t>Fabrication d'appareillage de connexion, de commutation et de relais et de commandes d'usage industriel</t>
  </si>
  <si>
    <t>SHERWIN-WILLIAMS CANADA</t>
  </si>
  <si>
    <t>RICHARDSON OILSEED LIMITED</t>
  </si>
  <si>
    <t>LETHBRIDGE</t>
  </si>
  <si>
    <t>All Other Food Manufacturing</t>
  </si>
  <si>
    <t>Fabrication de tous les autres aliments</t>
  </si>
  <si>
    <t>CORETEC</t>
  </si>
  <si>
    <t>ELLESMERE FACILITY</t>
  </si>
  <si>
    <t>WCB - WESCAST CASTING BRANTFORD</t>
  </si>
  <si>
    <t>Husky Oil Operations Limited</t>
  </si>
  <si>
    <t>Edam West Thermal 11-19-048-20W3</t>
  </si>
  <si>
    <t>HIDDEN HITCH OF CANADA</t>
  </si>
  <si>
    <t>HIDDEN HITCH OF CANADA-CEQUENT TOWING PRODUCTS HUNTSVILLE</t>
  </si>
  <si>
    <t>DOUGLAS BARWICK INC.</t>
  </si>
  <si>
    <t>CORNWALL</t>
  </si>
  <si>
    <t>Iron and Steel Pipes and Tubes Manufacturing from Purchased Steel</t>
  </si>
  <si>
    <t>129-00-0</t>
  </si>
  <si>
    <t>Pyrene</t>
  </si>
  <si>
    <t>Pyrène</t>
  </si>
  <si>
    <t>NutriAg Ltd.</t>
  </si>
  <si>
    <t>Chemical fertilizer (except potash) manufacturing</t>
  </si>
  <si>
    <t>Fabrication d'engrais chimiques (sauf la potasse)</t>
  </si>
  <si>
    <t>COATINGS PLANT, MISSISSAUGA</t>
  </si>
  <si>
    <t>TRANSALTA GENERATION PARTNERSHIP</t>
  </si>
  <si>
    <t>WABAMUN THERMAL ELECTRIC POWER GENERATING PLANT</t>
  </si>
  <si>
    <t>Papiers de publication Kruger inc.</t>
  </si>
  <si>
    <t>Usine de Brompton, Sherbrooke</t>
  </si>
  <si>
    <t>Newsprint mills</t>
  </si>
  <si>
    <t>Usines de papier journal</t>
  </si>
  <si>
    <t>SURREY SPECIAL WASTE SHORT TERM STORAGE FACILITY</t>
  </si>
  <si>
    <t>CITY OF TORONTO</t>
  </si>
  <si>
    <t>ASHBRIDGES BAY TREATMENT PLANT</t>
  </si>
  <si>
    <t>DARTMOUTH REFINERY</t>
  </si>
  <si>
    <t>Vision Dominion Extrusions Limited</t>
  </si>
  <si>
    <t>Vision Dominion Extrusions Limited  - Woodbridge</t>
  </si>
  <si>
    <t>All other plastic product manufacturing</t>
  </si>
  <si>
    <t>Cloverdale Paint Inc.</t>
  </si>
  <si>
    <t>Magna Exteriors Inc.</t>
  </si>
  <si>
    <t>Rollstamp - 90 Snidercroft Rd.</t>
  </si>
  <si>
    <t>BON L CANADA INC.</t>
  </si>
  <si>
    <t>USINE SAINTE-THÉRÈSE</t>
  </si>
  <si>
    <t>BOWATER INC.</t>
  </si>
  <si>
    <t>PAPETERIE DE DONNACONA</t>
  </si>
  <si>
    <t>Mechanical Pulp Mills</t>
  </si>
  <si>
    <t>Usines de pâte mécanique</t>
  </si>
  <si>
    <t>ATS AUTOMATION TOOLING SYSTEMS</t>
  </si>
  <si>
    <t>CAMBRIDGE SYSTEMS BUSINESS UNIT</t>
  </si>
  <si>
    <t>All Other Industrial Machinery Manufacturing</t>
  </si>
  <si>
    <t>Capsules Amcor Flexibles Canada inc</t>
  </si>
  <si>
    <t>Metal Can Manufacturing</t>
  </si>
  <si>
    <t>Fabrication de canettes</t>
  </si>
  <si>
    <t>Brantford Branch</t>
  </si>
  <si>
    <t>TRENCH LIMITED</t>
  </si>
  <si>
    <t>Trench Limited CPD</t>
  </si>
  <si>
    <t>Power, Distribution and Specialty Transformers Manufacturing</t>
  </si>
  <si>
    <t>Fabrication de transformateurs de puissance et de distribution et de transformateurs spéciaux</t>
  </si>
  <si>
    <t>St-Gédéon</t>
  </si>
  <si>
    <t>Peregrine Oshawa Inc.</t>
  </si>
  <si>
    <t>Oshawa Plant</t>
  </si>
  <si>
    <t>A.P. Plasman Corporation</t>
  </si>
  <si>
    <t>AP Plasman Tecumseh</t>
  </si>
  <si>
    <t>Other transportation equipment manufacturing</t>
  </si>
  <si>
    <t>Fabrication d'autres types de matériel de transport</t>
  </si>
  <si>
    <t>Dartmouth Refinery</t>
  </si>
  <si>
    <t>CLEAN HARBORS INC.</t>
  </si>
  <si>
    <t>CLEANHARBORS QUÉBEC, INC.</t>
  </si>
  <si>
    <t>Lakeview GS</t>
  </si>
  <si>
    <t>Nalco/Exxon Energy Chemicals Canada Inc.</t>
  </si>
  <si>
    <t>Nisku Blend Plant</t>
  </si>
  <si>
    <t>CHRYSLER CANADA INC.</t>
  </si>
  <si>
    <t>WINDSOR ASSEMBLY PLANT</t>
  </si>
  <si>
    <t>DUPONT CANADA INC.</t>
  </si>
  <si>
    <t>Ajax Performance Coatings Division</t>
  </si>
  <si>
    <t>Wapiti Gas Plant</t>
  </si>
  <si>
    <t>FCA Canada Inc.</t>
  </si>
  <si>
    <t>Glencore Canada Corporation</t>
  </si>
  <si>
    <t>Bracemac-McLeod</t>
  </si>
  <si>
    <t>Copper-zinc ore mining</t>
  </si>
  <si>
    <t>Ovintiv Canada ULC</t>
  </si>
  <si>
    <t>Saturn Gas Plant 15-27</t>
  </si>
  <si>
    <t>ST. THOMAS ASSEMBLY PLANT</t>
  </si>
  <si>
    <t>Agrium Inc.</t>
  </si>
  <si>
    <t>Fort Saskatchewan Nitrogen Operations</t>
  </si>
  <si>
    <t>SAFETY-KLEEN CANADA INC.</t>
  </si>
  <si>
    <t>OSHAWA BRANCH</t>
  </si>
  <si>
    <t>Halltech Inc.</t>
  </si>
  <si>
    <t>HALLTECH INC.</t>
  </si>
  <si>
    <t>Adhesive manufacturing</t>
  </si>
  <si>
    <t>Fabrication d'adhésifs</t>
  </si>
  <si>
    <t>108-05-4</t>
  </si>
  <si>
    <t>Vinyl acetate</t>
  </si>
  <si>
    <t>Acétate de vinyle</t>
  </si>
  <si>
    <t>CLEAN HARBORS CANADA, INC.</t>
  </si>
  <si>
    <t>Cresol (all isomers, and their salts)</t>
  </si>
  <si>
    <t>Crésol (tous les isomères et leurs sels)</t>
  </si>
  <si>
    <t>RIO TINTO ALCAN</t>
  </si>
  <si>
    <t>USINE GRANDE-BAIE</t>
  </si>
  <si>
    <t>Primary Production of Alumina and Aluminum</t>
  </si>
  <si>
    <t>Production primaire d'alumine et d'aluminium</t>
  </si>
  <si>
    <t>Criterion Catalysts &amp; Technologies Canada Inc.</t>
  </si>
  <si>
    <t>CC&amp;T CI</t>
  </si>
  <si>
    <t>Honda of Canada Mfg.</t>
  </si>
  <si>
    <t>ALGONQUIN POWER</t>
  </si>
  <si>
    <t>ALGONQUIN POWER  ENERGY FROM WASTE INC.</t>
  </si>
  <si>
    <t>Olympic Coaters Ltd.</t>
  </si>
  <si>
    <t>OLYMPIC COATERS LTD.</t>
  </si>
  <si>
    <t>Weatherford Engineered Chemistry Canada Ltd.</t>
  </si>
  <si>
    <t>ICTC BLEND FACILITY AND WAREHOUSE</t>
  </si>
  <si>
    <t>AUTOLIV ELECTRONICS CANADA</t>
  </si>
  <si>
    <t>GE Water &amp; Process Technologies Canada</t>
  </si>
  <si>
    <t>GE Water &amp; Process Technologies Canada - EDMONTON</t>
  </si>
  <si>
    <t>LePage Division of Henkel Canada Corp</t>
  </si>
  <si>
    <t>LePage</t>
  </si>
  <si>
    <t>Adhesive Manufacturing</t>
  </si>
  <si>
    <t>Tidewater Midstream and Infrastructure Ltd.</t>
  </si>
  <si>
    <t>Prince George Refinery</t>
  </si>
  <si>
    <t>1344-28-1</t>
  </si>
  <si>
    <t>Aluminum oxide (fibrous forms only)</t>
  </si>
  <si>
    <t>Oxyde daluminium (formes fibreuses seulement)</t>
  </si>
  <si>
    <t>MOOSE JAW REFINERY INC.</t>
  </si>
  <si>
    <t>MOOSE JAW REFINERY</t>
  </si>
  <si>
    <t>VENTRA GROUP CO</t>
  </si>
  <si>
    <t>FLEX-N-GATE, SEEBURN</t>
  </si>
  <si>
    <t>Linamar Corp.</t>
  </si>
  <si>
    <t>Comtech Mfg.</t>
  </si>
  <si>
    <t>Motor vehicle seating and interior trim manufacturing</t>
  </si>
  <si>
    <t>Fabrication de sièges et enjolivures intérieures pour véhicules automobiles</t>
  </si>
  <si>
    <t>Calgary Terminal</t>
  </si>
  <si>
    <t>Ultramar Canada Inc.</t>
  </si>
  <si>
    <t>95-47-6</t>
  </si>
  <si>
    <t>o-Xylene</t>
  </si>
  <si>
    <t>o-Xylène</t>
  </si>
  <si>
    <t>PHILIP SERVICES INC.</t>
  </si>
  <si>
    <t>Delta Facility</t>
  </si>
  <si>
    <t>Fort Hills Energy L.P.</t>
  </si>
  <si>
    <t>Fort Hills Oil Sands</t>
  </si>
  <si>
    <t>Magna International Inc.</t>
  </si>
  <si>
    <t>KARMAX HEAVY STAMPING - MILTON</t>
  </si>
  <si>
    <t>Continuous Colour Coat Limited</t>
  </si>
  <si>
    <t>Metal Koting Continuous Colour Coat Ltd.</t>
  </si>
  <si>
    <t>120-12-7</t>
  </si>
  <si>
    <t>Anthracene</t>
  </si>
  <si>
    <t>Anthracène</t>
  </si>
  <si>
    <t>Norbec Architectural inc</t>
  </si>
  <si>
    <t>Norbec Architectural inc, usine norex/noroc</t>
  </si>
  <si>
    <t>All other miscellaneous manufacturing</t>
  </si>
  <si>
    <t>9016-87-9</t>
  </si>
  <si>
    <t>Polymeric diphenylmethane diisocyanate</t>
  </si>
  <si>
    <t>Diisocyanate de diphénylméthane (polymérisé)</t>
  </si>
  <si>
    <t>Sarnia Terminal</t>
  </si>
  <si>
    <t>CALGARY SERVICE CENTRE</t>
  </si>
  <si>
    <t>INSCAPE LTD</t>
  </si>
  <si>
    <t>HOLLAND LANDING</t>
  </si>
  <si>
    <t>Fabrication de meubles de bureau (sauf en bois)</t>
  </si>
  <si>
    <t>Tucker Thermal</t>
  </si>
  <si>
    <t>In-situ oil sands extraction</t>
  </si>
  <si>
    <t>Extraction in situ de sables bitumineux</t>
  </si>
  <si>
    <t>Chelmsford Branch</t>
  </si>
  <si>
    <t>AT PLASTICS INC.</t>
  </si>
  <si>
    <t>EDMONTON SITE</t>
  </si>
  <si>
    <t>Petrochemical Manufacturing</t>
  </si>
  <si>
    <t>USINE DE FABRICATION DE TRAIN D'ATTERISSAGE</t>
  </si>
  <si>
    <t>MESSIER-DOWTY</t>
  </si>
  <si>
    <t>F &amp; P MFG., INC.</t>
  </si>
  <si>
    <t>Toyota Motor Manufacturing Canada Inc. (Cambridge)</t>
  </si>
  <si>
    <t>Burnaby Refinery</t>
  </si>
  <si>
    <t>BECKER ACROMA INC.</t>
  </si>
  <si>
    <t>Scepter Aluminium Saguenay</t>
  </si>
  <si>
    <t>Toyota Motor Manufacturing Canada Inc. (Woodstock)</t>
  </si>
  <si>
    <t>Etratech Inc.</t>
  </si>
  <si>
    <t>ETRATECH INC.</t>
  </si>
  <si>
    <t>Wiring device manufacturing</t>
  </si>
  <si>
    <t>Fabrication de dispositifs de câblage</t>
  </si>
  <si>
    <t>Apotex Pharmachem Inc.</t>
  </si>
  <si>
    <t>Pharmaceutical and medicine manufacturing</t>
  </si>
  <si>
    <t>CHRYSLER CANADA, LTD.</t>
  </si>
  <si>
    <t>Stella-Jones Inc.</t>
  </si>
  <si>
    <t>Truro Plant</t>
  </si>
  <si>
    <t>Wood preservation</t>
  </si>
  <si>
    <t>BECKER ACROMA</t>
  </si>
  <si>
    <t>Prince George</t>
  </si>
  <si>
    <t>Hobart Food Equipment Group Canada Ltd.</t>
  </si>
  <si>
    <t>Commercial and service industry machinery manufacturing</t>
  </si>
  <si>
    <t>Fabrication de machines pour le commerce et les industries de services</t>
  </si>
  <si>
    <t>Peintures ICI (Canada) Inc.</t>
  </si>
  <si>
    <t>Usine de Boucherville</t>
  </si>
  <si>
    <t>MULTY INDUSTRIES INC.</t>
  </si>
  <si>
    <t>ECO-TREND IND., FENMAR</t>
  </si>
  <si>
    <t>Regina Terminal</t>
  </si>
  <si>
    <t>ArcelorMittal Canada MP Inc. and ArcelorMittal Canada Inc. partners in ArcelorMittal Dofasco G.P.</t>
  </si>
  <si>
    <t>ArcelorMittal Dofasco</t>
  </si>
  <si>
    <t>Dow Chemical Canada Inc.</t>
  </si>
  <si>
    <t>Dow Chemical Canada Inc. - Sarnia</t>
  </si>
  <si>
    <t>L'Oréal Canada Inc.</t>
  </si>
  <si>
    <t>Toilet preparation manufacturing</t>
  </si>
  <si>
    <t>Fabrication de produits de toilette</t>
  </si>
  <si>
    <t>COLD LAKE HEAVY OIL PLANTS</t>
  </si>
  <si>
    <t>CHRYSLER CANADA CORPORATION</t>
  </si>
  <si>
    <t>PROGRESSIVE ANODIZERS INC.</t>
  </si>
  <si>
    <t>CCR refinery</t>
  </si>
  <si>
    <t>Non-ferrous metal (except aluminum) smelting and refining</t>
  </si>
  <si>
    <t>Fonte et affinage de métaux non ferreux (sauf l'aluminium)</t>
  </si>
  <si>
    <t>ARCELORMITTAL MONTRÉAL INC.</t>
  </si>
  <si>
    <t>USINE DE DÉCHIQUETAGE - ARCELORMITTAL CONTRECOEUR</t>
  </si>
  <si>
    <t>Recyclable Metal Wholesaler-Distributors</t>
  </si>
  <si>
    <t>Grossistes-distributeurs de métaux recyclables</t>
  </si>
  <si>
    <t>COLGATE-PALMOLIVE CANADA</t>
  </si>
  <si>
    <t>MISSISSAUGA</t>
  </si>
  <si>
    <t>Walters Inc.</t>
  </si>
  <si>
    <t>Princeton Plant</t>
  </si>
  <si>
    <t>Nexen Energy ULC.</t>
  </si>
  <si>
    <t>Long Lake Project</t>
  </si>
  <si>
    <t>Suncor Energy Products Inc.</t>
  </si>
  <si>
    <t>Sarnia Refinery</t>
  </si>
  <si>
    <t>GE Canada</t>
  </si>
  <si>
    <t>GE Moteurs d'avions</t>
  </si>
  <si>
    <t>Suncor Energy Products Partnership</t>
  </si>
  <si>
    <t>50-32-8</t>
  </si>
  <si>
    <t>Benzo[a]pyrene</t>
  </si>
  <si>
    <t>Benzo[a]pyrène</t>
  </si>
  <si>
    <t>Royal Canadian Mint</t>
  </si>
  <si>
    <t>Winnipeg Plant</t>
  </si>
  <si>
    <t>The Butcher Engineering Enterprises Ltd.</t>
  </si>
  <si>
    <t>Aevitas Inc</t>
  </si>
  <si>
    <t>Kirkland Lake</t>
  </si>
  <si>
    <t>Rad Technologies inc.</t>
  </si>
  <si>
    <t>Agricultural implement manufacturing</t>
  </si>
  <si>
    <t>Fabrication de machines agricoles</t>
  </si>
  <si>
    <t>EDMONTON HAZARDOUS WASTE PROCESS FACILITY</t>
  </si>
  <si>
    <t>STEDFAST</t>
  </si>
  <si>
    <t>Fabric Coating</t>
  </si>
  <si>
    <t>Revêtement de tissus</t>
  </si>
  <si>
    <t>Oregon Tool Canada Ltd.</t>
  </si>
  <si>
    <t>Oregon Tool Canada</t>
  </si>
  <si>
    <t>BARRICK ENERGY INC.</t>
  </si>
  <si>
    <t>STURGEON LAKE SOUTH GAS PLANT</t>
  </si>
  <si>
    <t>POLISSAGE ET PLACAGE GG</t>
  </si>
  <si>
    <t>Faurecia Emissions Control Technologies Ltd.</t>
  </si>
  <si>
    <t>Sapa Canada, Inc.</t>
  </si>
  <si>
    <t>Sapa - Guelph</t>
  </si>
  <si>
    <t>ARVIN MERITOR</t>
  </si>
  <si>
    <t>ARVINMERITOR RIDE CONTROL PRODUCTS</t>
  </si>
  <si>
    <t>Motor Vehicle Steering and Suspension Components (except Spring) Manufacturing</t>
  </si>
  <si>
    <t>OSRAM SYLVANIA</t>
  </si>
  <si>
    <t>OSRAM SYLVANIA - DRUMMONDVILLE</t>
  </si>
  <si>
    <t>Electric Lamp Bulb and Parts Manufacturing</t>
  </si>
  <si>
    <t>Fabrication d'ampoules électriques et de leurs pièces</t>
  </si>
  <si>
    <t>MAPLE STAMPING</t>
  </si>
  <si>
    <t>Cloverdale Paint Inc. - Mississauga</t>
  </si>
  <si>
    <t>Dartmouth Marine Terminal</t>
  </si>
  <si>
    <t>DANA</t>
  </si>
  <si>
    <t>DANA CANADA - THERMAL PRODUCTS</t>
  </si>
  <si>
    <t>Ruetgers Canada Inc.</t>
  </si>
  <si>
    <t>Ruetgers Canada Inc</t>
  </si>
  <si>
    <t>DOMINION COLOUR</t>
  </si>
  <si>
    <t>Ajax Plant</t>
  </si>
  <si>
    <t>All Other Basic Inorganic Chemical Manufacturing</t>
  </si>
  <si>
    <t>Fabrication de tous les autres produits chimiques inorganiques de base</t>
  </si>
  <si>
    <t>Jefferson Elora Corp.</t>
  </si>
  <si>
    <t>JEFFERSON ELORA CORPORATION</t>
  </si>
  <si>
    <t>Kawneer Company Canada Ltd.</t>
  </si>
  <si>
    <t>NA - 40</t>
  </si>
  <si>
    <t>Vanadium (and its compounds)</t>
  </si>
  <si>
    <t>Vanadium (et ses composés)</t>
  </si>
  <si>
    <t>CONSUMERS' CO-OPERATIVE REFINERIES LIMITED</t>
  </si>
  <si>
    <t>CO-OP REFINERY COMPLEX</t>
  </si>
  <si>
    <t>AIR CANADA</t>
  </si>
  <si>
    <t>Quebec International Airport</t>
  </si>
  <si>
    <t>Other Support Activities for Air Transportation</t>
  </si>
  <si>
    <t>Autres activités de soutien au transport aérien</t>
  </si>
  <si>
    <t>Kruger inc.</t>
  </si>
  <si>
    <t>Kruger Brompton S.E.C.</t>
  </si>
  <si>
    <t>Hammond Manufacturing Co Ltd.</t>
  </si>
  <si>
    <t>Edinburgh Road</t>
  </si>
  <si>
    <t>Honda of Canada Mfg., A Div. of Honda    Canada Inc.</t>
  </si>
  <si>
    <t>Alliston Plant 1</t>
  </si>
  <si>
    <t>Siltech Corporation</t>
  </si>
  <si>
    <t>Mississauga Plant</t>
  </si>
  <si>
    <t>Philip Enterprises Inc.</t>
  </si>
  <si>
    <t>Barrie Facility</t>
  </si>
  <si>
    <t>Celanese Canada Inc.</t>
  </si>
  <si>
    <t>Edmonton Facility</t>
  </si>
  <si>
    <t>110-80-5</t>
  </si>
  <si>
    <t>2-Ethoxyethanol</t>
  </si>
  <si>
    <t>2-Éthoxyéthanol</t>
  </si>
  <si>
    <t>Fuchs Lubricants Canada Ltd., Century Oils Division</t>
  </si>
  <si>
    <t>INTERTEC SYSTEMS</t>
  </si>
  <si>
    <t>St. Marys Facility</t>
  </si>
  <si>
    <t>Motor Vehicle Seating and Interior Trim Manufacturing</t>
  </si>
  <si>
    <t>Imperial Oil Resources Limited</t>
  </si>
  <si>
    <t xml:space="preserve">Kearl Oil Sands Processing Plant and Mine
</t>
  </si>
  <si>
    <t>Atikokan Generating Station</t>
  </si>
  <si>
    <t>Spectra Energy Transmission</t>
  </si>
  <si>
    <t>CS No. 6B, Lone Butte</t>
  </si>
  <si>
    <t>Pipeline transportation of natural gas</t>
  </si>
  <si>
    <t>Transport du gaz naturel par gazoduc</t>
  </si>
  <si>
    <t>MANITOBA HYDRO</t>
  </si>
  <si>
    <t>DORSEY CONVERTER STATION</t>
  </si>
  <si>
    <t>Electric Bulk Power Transmission and Control</t>
  </si>
  <si>
    <t>Transport et gestion d'électricité en bloc</t>
  </si>
  <si>
    <t>Baker Petrolite Corporation</t>
  </si>
  <si>
    <t>Baker Petrolite Corporation - Eastfield</t>
  </si>
  <si>
    <t>Services to Oil and Gas Extraction</t>
  </si>
  <si>
    <t>Services relatifs à l'extraction de pétrole et de gaz</t>
  </si>
  <si>
    <t>Redwater Fertilizer Operations</t>
  </si>
  <si>
    <t>Envirosort Inc.</t>
  </si>
  <si>
    <t>Red Deer</t>
  </si>
  <si>
    <t>ORLICK INDUSTRIES</t>
  </si>
  <si>
    <t>500 SEAMAN</t>
  </si>
  <si>
    <t>ACIERS ATLAS INC.</t>
  </si>
  <si>
    <t>ACIERS INOXYDABLES ATLAS</t>
  </si>
  <si>
    <t>Canam Steel Works</t>
  </si>
  <si>
    <t>Mississauga</t>
  </si>
  <si>
    <t>Other Plate Work and Fabricated Structural Product Manufacturing</t>
  </si>
  <si>
    <t>Veolia ES Canada Services Industriels Inc.</t>
  </si>
  <si>
    <t>OTTAWA DISRIBUTION TERMINAL</t>
  </si>
  <si>
    <t>MAGOTTEAUX</t>
  </si>
  <si>
    <t>MAGOTTEAUX LTÉE</t>
  </si>
  <si>
    <t>ADM Agri-Industies Company</t>
  </si>
  <si>
    <t>ADM AGRI-INDUSTRIES - ADM Candiac</t>
  </si>
  <si>
    <t>All other food manufacturing</t>
  </si>
  <si>
    <t>GE ELANO CANADA</t>
  </si>
  <si>
    <t>Kearl Oil Sands Processing Plant and Mine</t>
  </si>
  <si>
    <t>Les Industries Capitol Inc.</t>
  </si>
  <si>
    <t>ANDROCK CO.</t>
  </si>
  <si>
    <t>Hardware Manufacturing</t>
  </si>
  <si>
    <t>Fabrication d'articles de quincaillerie</t>
  </si>
  <si>
    <t>Sum of release to all media (&lt;1tonne)</t>
  </si>
  <si>
    <t>Total des rejets dans tous les milieux (&lt;1tonne)</t>
  </si>
  <si>
    <t>All Media</t>
  </si>
  <si>
    <t>Rejets à tous les médias</t>
  </si>
  <si>
    <t>Eacom Timber Corporation</t>
  </si>
  <si>
    <t>Nairn Centre Sawmill</t>
  </si>
  <si>
    <t>Sawmills (except shingle and shake mills)</t>
  </si>
  <si>
    <t>Scieries (sauf les usines de bardeaux et de bardeaux de fente)</t>
  </si>
  <si>
    <t>NA - M09</t>
  </si>
  <si>
    <t>PM10 - Particulate Matter &lt;= 10 Micrometers</t>
  </si>
  <si>
    <t>PM10 - Matière particulaire &lt;= 10 micromètres</t>
  </si>
  <si>
    <t>Releases to Air</t>
  </si>
  <si>
    <t>Rejets à l'air</t>
  </si>
  <si>
    <t>Stack / Point</t>
  </si>
  <si>
    <t>Rejets de cheminée ou ponctuels</t>
  </si>
  <si>
    <t>CANFOR PULP LIMITED PARTNERSHIP</t>
  </si>
  <si>
    <t>NORTHWOOD PULP MILL</t>
  </si>
  <si>
    <t>Releases to Water Bodies</t>
  </si>
  <si>
    <t>Rejets dans l'eau</t>
  </si>
  <si>
    <t>Direct Discharges</t>
  </si>
  <si>
    <t>Évacuation directes</t>
  </si>
  <si>
    <t>Cascades Canada ULC.</t>
  </si>
  <si>
    <t>NORAMPAC CABANO UNE DIVISION DE CASCADES CANADA inc</t>
  </si>
  <si>
    <t>Orano Canada Inc.</t>
  </si>
  <si>
    <t>McClean Lake Operations</t>
  </si>
  <si>
    <t>Holcim (Canada) inc.</t>
  </si>
  <si>
    <t>Usine de Joliette</t>
  </si>
  <si>
    <t>Cement manufacturing</t>
  </si>
  <si>
    <t>Fabrication de ciment</t>
  </si>
  <si>
    <t>Road dust</t>
  </si>
  <si>
    <t>Poussières de routes</t>
  </si>
  <si>
    <t>BRUCE POWER INC</t>
  </si>
  <si>
    <t>BRUCE POWER</t>
  </si>
  <si>
    <t>Releases to Land</t>
  </si>
  <si>
    <t>Rejets dans le sol</t>
  </si>
  <si>
    <t>Leaks</t>
  </si>
  <si>
    <t>Fuites</t>
  </si>
  <si>
    <t>SARNIA CHEMICAL PLANT</t>
  </si>
  <si>
    <t>Storage / Handling</t>
  </si>
  <si>
    <t>Rejets de stockage ou manutention</t>
  </si>
  <si>
    <t>HANLAN-ROBB GAS PLANT</t>
  </si>
  <si>
    <t>Spills</t>
  </si>
  <si>
    <t>Déversements</t>
  </si>
  <si>
    <t>Aluminerie Alouette inc.</t>
  </si>
  <si>
    <t>Primary production of alumina and aluminum</t>
  </si>
  <si>
    <t>463-58-1</t>
  </si>
  <si>
    <t>Carbonyl sulphide</t>
  </si>
  <si>
    <t>Sulfure de carbonyle</t>
  </si>
  <si>
    <t>Fugitive</t>
  </si>
  <si>
    <t>Émissions fugitives</t>
  </si>
  <si>
    <t>Tamarack Acquisition Corp.</t>
  </si>
  <si>
    <t>ABBT0148129</t>
  </si>
  <si>
    <t>7446-09-5</t>
  </si>
  <si>
    <t>Sulphur dioxide</t>
  </si>
  <si>
    <t>Dioxyde de soufre</t>
  </si>
  <si>
    <t>Glencore Canada Corporation, Kidd Mine Site</t>
  </si>
  <si>
    <t>Potash Corporation of Saskatchewan Inc.</t>
  </si>
  <si>
    <t>POTASH CORP - LANIGAN DIVISION</t>
  </si>
  <si>
    <t>Potash mining</t>
  </si>
  <si>
    <t>Extraction de potasse</t>
  </si>
  <si>
    <t>NA - M10</t>
  </si>
  <si>
    <t>PM2.5 - Particulate Matter &lt;= 2.5 Micrometers</t>
  </si>
  <si>
    <t>PM2,5 - Matière particulaire &lt;= 2,5 micromètres</t>
  </si>
  <si>
    <t>Bradken Canada Manufactured Products Ltd.</t>
  </si>
  <si>
    <t>Bradken Foundry</t>
  </si>
  <si>
    <t>Massilly North America Inc.</t>
  </si>
  <si>
    <t>MASSILLY NORTH AMERICA INC. CAP PLANT</t>
  </si>
  <si>
    <t>Ville de Saint-Jerome</t>
  </si>
  <si>
    <t>STATION DÉPURATION DES EAUX USÉES</t>
  </si>
  <si>
    <t>ARC RESOURCES</t>
  </si>
  <si>
    <t>ANTE CREEK OIL BATTERY 10-07</t>
  </si>
  <si>
    <t xml:space="preserve">THOMPSON CREEK METALS COMPANY INC. </t>
  </si>
  <si>
    <t>Endako Mine</t>
  </si>
  <si>
    <t>All other metal ore mining</t>
  </si>
  <si>
    <t>Extraction de tous les autres minerais métalliques</t>
  </si>
  <si>
    <t>AT Plastics Inc.</t>
  </si>
  <si>
    <t>NVI MINING LTD.</t>
  </si>
  <si>
    <t>MYRA FALLS OPERATIONS</t>
  </si>
  <si>
    <t>ENCANA CORPORATION</t>
  </si>
  <si>
    <t>HIGH LEVEL NORTH COMP STN 11-32</t>
  </si>
  <si>
    <t>630-08-0</t>
  </si>
  <si>
    <t>Carbon monoxide</t>
  </si>
  <si>
    <t>Monoxyde de carbone</t>
  </si>
  <si>
    <t>ULTRAMAR</t>
  </si>
  <si>
    <t>RAFFINERIE JEAN-GAULIN</t>
  </si>
  <si>
    <t>Corporation of the City of London</t>
  </si>
  <si>
    <t>Greenway Pollution Control Centre</t>
  </si>
  <si>
    <t>IMPERIAL TOBACCO CANADA LIMITED</t>
  </si>
  <si>
    <t>Tobacco Product Manufacturing</t>
  </si>
  <si>
    <t>Fabrication de produits du tabac</t>
  </si>
  <si>
    <t>VALE CANADA LIMITED</t>
  </si>
  <si>
    <t>COPPER CLIFF NICKEL REFINERY</t>
  </si>
  <si>
    <t>Non-Ferrous Metal (except Aluminum) Smelting and Refining</t>
  </si>
  <si>
    <t>Minnehick Oil Battery 04-14-044-05W5</t>
  </si>
  <si>
    <t>Strath Resources Ltd</t>
  </si>
  <si>
    <t>Jayar 14-29</t>
  </si>
  <si>
    <t>NA - M16</t>
  </si>
  <si>
    <t>Volatile Organic Compounds (VOCs)</t>
  </si>
  <si>
    <t>Composés organiques volatils (COV)</t>
  </si>
  <si>
    <t>Canadian Forest Products Ltd.</t>
  </si>
  <si>
    <t>PANEL AND FIBRE DIVISION</t>
  </si>
  <si>
    <t>Particle Board and Fibreboard Mills</t>
  </si>
  <si>
    <t>Usines de panneaux de particules et de fibres</t>
  </si>
  <si>
    <t>Sluyter Company Ltd.</t>
  </si>
  <si>
    <t>Sluyter Company Ltd</t>
  </si>
  <si>
    <t>SemCams ULC</t>
  </si>
  <si>
    <t>Pine Creek 3-3</t>
  </si>
  <si>
    <t>AECOM CANADA LTD.</t>
  </si>
  <si>
    <t>SWAN HILLS TREATMENT CENTER</t>
  </si>
  <si>
    <t>Algoma Steel Inc</t>
  </si>
  <si>
    <t>Algoma Steel Main Works</t>
  </si>
  <si>
    <t>WEYERHAEUSER SASKATCHEWAN LTD</t>
  </si>
  <si>
    <t>CARROT RIVER SAWMILL OPERATIONS</t>
  </si>
  <si>
    <t>Sawmills (except Shingle and Shake Mills)</t>
  </si>
  <si>
    <t>GKN Sinter Metals - St Thomas Ltd.</t>
  </si>
  <si>
    <t>same</t>
  </si>
  <si>
    <t>Motor vehicle transmission and power train parts manufacturing</t>
  </si>
  <si>
    <t>Northstone Power Corp</t>
  </si>
  <si>
    <t>Elmworth Generating Station</t>
  </si>
  <si>
    <t>Toyota Motor Manufacturing Canada (Cambridge)</t>
  </si>
  <si>
    <t>Viterra Inc.</t>
  </si>
  <si>
    <t>Pacific Elevators Limited Viterra</t>
  </si>
  <si>
    <t>General warehousing and storage</t>
  </si>
  <si>
    <t>Entreposage et emmagasinage général</t>
  </si>
  <si>
    <t>Canlin Energy Corporation</t>
  </si>
  <si>
    <t>Drowning Ford 14-26</t>
  </si>
  <si>
    <t>NA - M08</t>
  </si>
  <si>
    <t>Total particulate matter</t>
  </si>
  <si>
    <t>Matière particulaire totale</t>
  </si>
  <si>
    <t>Edson Forest Products</t>
  </si>
  <si>
    <t>Sundance Forest Industries Ltd.</t>
  </si>
  <si>
    <t>Northern Pulp Nova Scotia Corporation</t>
  </si>
  <si>
    <t>International Paper Company</t>
  </si>
  <si>
    <t>Grande Prairie Operations</t>
  </si>
  <si>
    <t>DUFFERIN AGGREGATES, A DIVISION OF HOLCIM (CANADA) INC.</t>
  </si>
  <si>
    <t>Aberfoyle Pit 1</t>
  </si>
  <si>
    <t>Sand and Gravel Mining and Quarrying</t>
  </si>
  <si>
    <t>Extraction de sable et de gravier</t>
  </si>
  <si>
    <t>Polissage et Placage G.G. Inc.</t>
  </si>
  <si>
    <t>Polissage et Placage GG</t>
  </si>
  <si>
    <t>SELECTONE PAINTS LIMITED</t>
  </si>
  <si>
    <t>Shell Chemicals Canada Ltd.</t>
  </si>
  <si>
    <t>Scotford Chemical Plant</t>
  </si>
  <si>
    <t>75-21-8</t>
  </si>
  <si>
    <t>Ethylene oxide</t>
  </si>
  <si>
    <t>Oxyde d'éthylène</t>
  </si>
  <si>
    <t>Redcliff Gas Battery 08-23-012-07W4</t>
  </si>
  <si>
    <t>CUTBANK Compressor Station A-038-I/093-P-01 (F7314)</t>
  </si>
  <si>
    <t>AMERICAN STANDARD</t>
  </si>
  <si>
    <t>AMERICAN STANDARD  (CAMBRIDGE)</t>
  </si>
  <si>
    <t>PETROGAS PROCESSING LTD.</t>
  </si>
  <si>
    <t>LP Dawson Creek OSB</t>
  </si>
  <si>
    <t xml:space="preserve">Suncor Energy Oil Sands Limited Partnership </t>
  </si>
  <si>
    <t>Suncor Energy Inc. Oil Sands</t>
  </si>
  <si>
    <t>74-85-1</t>
  </si>
  <si>
    <t>Ethylene</t>
  </si>
  <si>
    <t>Éthylène</t>
  </si>
  <si>
    <t>CONNACHER OIL AND GAS LIMITED</t>
  </si>
  <si>
    <t>POD ONE</t>
  </si>
  <si>
    <t>Other Non-Point</t>
  </si>
  <si>
    <t>Autres rejets non ponctuels</t>
  </si>
  <si>
    <t>Horizon Oil Sands Processing Plant and Mine</t>
  </si>
  <si>
    <t>ALUMINERIE DE BÉCANCOUR INC.</t>
  </si>
  <si>
    <t>Mistahae Compressor Station 10-32-077-02W5</t>
  </si>
  <si>
    <t>Regional Municipality of Niagara</t>
  </si>
  <si>
    <t>Welland Wastewater Treatment Plant</t>
  </si>
  <si>
    <t>TERRA ENERGY</t>
  </si>
  <si>
    <t>RED CREEK COMPRESSOR STATION/OIL BATTERY 03-10-085-21W6</t>
  </si>
  <si>
    <t>Paramount Resources Ltd.</t>
  </si>
  <si>
    <t>Kaybob Compressor Station 05-12-062-20W5</t>
  </si>
  <si>
    <t>Bitumar Inc.</t>
  </si>
  <si>
    <t>Bitumar Hamilton</t>
  </si>
  <si>
    <t>11104-93-1</t>
  </si>
  <si>
    <t>Nitrogen oxides (expressed as nitrogen dioxide)</t>
  </si>
  <si>
    <t>Oxydes d'azote (exprimés en dioxyde d'azote)</t>
  </si>
  <si>
    <t>ABBT0052094</t>
  </si>
  <si>
    <t>MARTEN CREEK SOUR GAS PLANT 10-02</t>
  </si>
  <si>
    <t>OK Paving Company</t>
  </si>
  <si>
    <t>Plant # 6</t>
  </si>
  <si>
    <t>Asphalt paving mixture and block manufacturing</t>
  </si>
  <si>
    <t>Fabrication de mélanges d'asphaltage et de pavés d'asphalte</t>
  </si>
  <si>
    <t>Lafleche Environmental Inc</t>
  </si>
  <si>
    <t>Eastern Ontario Landfill</t>
  </si>
  <si>
    <t>NORMAN WELLS CRUDE PRODUCTION FACIL.</t>
  </si>
  <si>
    <t>DARTMOUTH TERMINAL</t>
  </si>
  <si>
    <t>CONOCO PHILLIPS CANADA</t>
  </si>
  <si>
    <t>CESSFORD SWEET GAS PLANT</t>
  </si>
  <si>
    <t>Suncor Energy Oil Sands Limited Partnership</t>
  </si>
  <si>
    <t>7783-06-4</t>
  </si>
  <si>
    <t>Hydrogen sulphide</t>
  </si>
  <si>
    <t>Sulfure d'hydrogène</t>
  </si>
  <si>
    <t>MCCAIN FOODS (CANADA)</t>
  </si>
  <si>
    <t>MCCAIN FOODS (CANADA) - PEI</t>
  </si>
  <si>
    <t>BOWATER</t>
  </si>
  <si>
    <t>USINE DE GATINEAU</t>
  </si>
  <si>
    <t>Newsprint Mills</t>
  </si>
  <si>
    <t>SUNCOR ENERGY OIL AND GAS PARTNERSHIP</t>
  </si>
  <si>
    <t>6-01-47-17 W5M</t>
  </si>
  <si>
    <t>Bellatrix Exploration Ltd.</t>
  </si>
  <si>
    <t>Alder Flats Gas Plant 10-09</t>
  </si>
  <si>
    <t>LS JCT 3 Compressor</t>
  </si>
  <si>
    <t>VERMILION ENERGY TRUST</t>
  </si>
  <si>
    <t>MIKWAN GAS PLANT</t>
  </si>
  <si>
    <t>HUSKY OIL LIMITED</t>
  </si>
  <si>
    <t>LLOYDMINSTER UPGRADER</t>
  </si>
  <si>
    <t>Lafarge Canada Inc. - EAST</t>
  </si>
  <si>
    <t>Property No. 20 (Mosport) AGG Site</t>
  </si>
  <si>
    <t>Sand and gravel mining and quarrying</t>
  </si>
  <si>
    <t>PROVIDENT ENERGY TRUST</t>
  </si>
  <si>
    <t>SAMSON RAINBOW</t>
  </si>
  <si>
    <t>DOMINION EXPLORATION CANADA</t>
  </si>
  <si>
    <t>FIREWEED D-075-A</t>
  </si>
  <si>
    <t>Corporation of the District of North Cowichan</t>
  </si>
  <si>
    <t>Maple Bay STP</t>
  </si>
  <si>
    <t>CHEMFIL CANADA LTD</t>
  </si>
  <si>
    <t>ALTAGAS LTD.</t>
  </si>
  <si>
    <t>MIKWAN SWEET GAS PLANT 05-22</t>
  </si>
  <si>
    <t>Reichhold Limited</t>
  </si>
  <si>
    <t>Port Moody Plant</t>
  </si>
  <si>
    <t>26471-62-5</t>
  </si>
  <si>
    <t>Toluenediisocyanate (mixed isomers)</t>
  </si>
  <si>
    <t>Toluènediisocyanate (mélange d'isomères)</t>
  </si>
  <si>
    <t>YARA BELLE PLAINE INC.</t>
  </si>
  <si>
    <t>Yara Belle Plaine Inc.</t>
  </si>
  <si>
    <t>Chemical Fertilizer (except Potash) Manufacturing</t>
  </si>
  <si>
    <t>Cie d'Arrimage de Québec Ltée</t>
  </si>
  <si>
    <t>Arrimage du St-Laurent</t>
  </si>
  <si>
    <t>Marine cargo handling</t>
  </si>
  <si>
    <t>Manutention du fret maritime</t>
  </si>
  <si>
    <t>Kruger Wayagamack inc.</t>
  </si>
  <si>
    <t>Usines de papier, sauf le papier journal</t>
  </si>
  <si>
    <t>Obsidian Energy Ltd.</t>
  </si>
  <si>
    <t>Granada Compressor Station 02-18</t>
  </si>
  <si>
    <t>Ensyn Technologies Inc.</t>
  </si>
  <si>
    <t>Ensyn Renfrew</t>
  </si>
  <si>
    <t>Flavouring syrup and concentrate manufacturing</t>
  </si>
  <si>
    <t>Fabrication de sirops et de concentrés aromatisants</t>
  </si>
  <si>
    <t>SEC Mine de Fer du Lac Bloom</t>
  </si>
  <si>
    <t>Mine du Lac Bloom</t>
  </si>
  <si>
    <t>NOVA Chemicals Corporation</t>
  </si>
  <si>
    <t>Joffre Site; Cogeneration</t>
  </si>
  <si>
    <t>Matziwin Compressor Station 01-32-024-14W4</t>
  </si>
  <si>
    <t>SMUCKER FOODS OF CANADA CO.</t>
  </si>
  <si>
    <t>Flour Milling</t>
  </si>
  <si>
    <t>Minoterie</t>
  </si>
  <si>
    <t>SWORD ENERGY INC.</t>
  </si>
  <si>
    <t>FENN BIG VALLEY GAS PLANT 08-27</t>
  </si>
  <si>
    <t>Pengrowth Energy Corporation</t>
  </si>
  <si>
    <t>Coaldale Comp Stn 08-02</t>
  </si>
  <si>
    <t>Ball Packaging Products Canada, Inc. Baie d'Urfe</t>
  </si>
  <si>
    <t>Triple M Metal LP</t>
  </si>
  <si>
    <t>Recyclable metal merchant wholesalers</t>
  </si>
  <si>
    <t>Grossistes-marchands de métaux recyclables</t>
  </si>
  <si>
    <t>Pembina Pipeline Corporation</t>
  </si>
  <si>
    <t>CANADIAN DILUENT HUB</t>
  </si>
  <si>
    <t>Pipeline transportation of crude oil</t>
  </si>
  <si>
    <t>KIRKLAND LAKE GOLD</t>
  </si>
  <si>
    <t>Macassa Mine</t>
  </si>
  <si>
    <t>Gold and silver ore mining</t>
  </si>
  <si>
    <t>Extraction de minerais d'or et d'argent</t>
  </si>
  <si>
    <t>Produits forestiers Résolu</t>
  </si>
  <si>
    <t>Scierie Roberval</t>
  </si>
  <si>
    <t>SHELL CANADA PRODUCTS</t>
  </si>
  <si>
    <t>Labrador City Terminal</t>
  </si>
  <si>
    <t>NL</t>
  </si>
  <si>
    <t>TransCanada PipeLines Limited</t>
  </si>
  <si>
    <t>GOODFISH COMP STN</t>
  </si>
  <si>
    <t>Brigus Gold</t>
  </si>
  <si>
    <t>Brigus Black Fox Mine</t>
  </si>
  <si>
    <t>NOVA SCOTIA POWER INCORPORATED</t>
  </si>
  <si>
    <t>LINGAN GENERATING STATION</t>
  </si>
  <si>
    <t>Kaybob South #3 Gas Plant</t>
  </si>
  <si>
    <t>Valspar Inc.</t>
  </si>
  <si>
    <t>CORNWALL FACILITY</t>
  </si>
  <si>
    <t>PANNY GAS PLANT 12-06</t>
  </si>
  <si>
    <t>SPEC FURNITURE INC.</t>
  </si>
  <si>
    <t>CITY VIEW DRIVE</t>
  </si>
  <si>
    <t>Institutional Furniture Manufacturing</t>
  </si>
  <si>
    <t>Fabrication de meubles d'établissement institutionnel</t>
  </si>
  <si>
    <t>Mancuso Chemicals Ltd.</t>
  </si>
  <si>
    <t>Pine Cliff Energy Ltd.</t>
  </si>
  <si>
    <t>Twining Comp Stn 14-19</t>
  </si>
  <si>
    <t>SMURFIT STONE CONTAINER</t>
  </si>
  <si>
    <t>BATHURST MILL</t>
  </si>
  <si>
    <t>Paperboard Mills</t>
  </si>
  <si>
    <t>Usines de carton</t>
  </si>
  <si>
    <t>Fabricated Plastics Ltd.</t>
  </si>
  <si>
    <t>FABRICATED PLASTICS LIMITED</t>
  </si>
  <si>
    <t>Keyera Corp</t>
  </si>
  <si>
    <t>Rimbey Gas Plant</t>
  </si>
  <si>
    <t>TORC Oil &amp; Gas Ltd.</t>
  </si>
  <si>
    <t>Flagstone Macoun Oil Battery 16-30-004-08W2</t>
  </si>
  <si>
    <t>Surge Energy Inc.</t>
  </si>
  <si>
    <t>FIRE SKY VIEWHILL 1-18-4-8</t>
  </si>
  <si>
    <t>CCL CONTAINER INC</t>
  </si>
  <si>
    <t>CCL CONTAINER - AEROSOL DIVISION PENETANGUISHENE</t>
  </si>
  <si>
    <t>Nevis Gas Plant</t>
  </si>
  <si>
    <t>Evonik Canada Inc.</t>
  </si>
  <si>
    <t>Maitland Site</t>
  </si>
  <si>
    <t>All other basic inorganic chemical manufacturing</t>
  </si>
  <si>
    <t>GOLDCORP CANADA LTD</t>
  </si>
  <si>
    <t>Porcupine Gold Mines</t>
  </si>
  <si>
    <t>Milner Power Limited Partnership by its GP Milner Power Inc.</t>
  </si>
  <si>
    <t>H.R.Milner Generating Station</t>
  </si>
  <si>
    <t>HAUER BROS. LUMBER LTD</t>
  </si>
  <si>
    <t>HAUER BROS.</t>
  </si>
  <si>
    <t>Kemira Water Solutions Canada Inc.</t>
  </si>
  <si>
    <t>Brantford Operations</t>
  </si>
  <si>
    <t>Masson-Angers</t>
  </si>
  <si>
    <t>Bombardier Inc.</t>
  </si>
  <si>
    <t>Centre de finition Montréal</t>
  </si>
  <si>
    <t>NA - P/H</t>
  </si>
  <si>
    <t>PAHs, total unspeciated</t>
  </si>
  <si>
    <t>HAP, non différenciés</t>
  </si>
  <si>
    <t>FLINT HILLS RESOURCES</t>
  </si>
  <si>
    <t>HARDISTY TERMINAL</t>
  </si>
  <si>
    <t>MOBIL OIL CANADA</t>
  </si>
  <si>
    <t>Carson Creek Cycling Plant</t>
  </si>
  <si>
    <t>Kruger Products Inc</t>
  </si>
  <si>
    <t>Volatile Organic Compounds (Total)</t>
  </si>
  <si>
    <t>Composés organiques volatils (total)</t>
  </si>
  <si>
    <t>RIMBEY PLANT</t>
  </si>
  <si>
    <t>Pine Falls Paper Company</t>
  </si>
  <si>
    <t>Pine Falls</t>
  </si>
  <si>
    <t>SemCams Midstream ULC</t>
  </si>
  <si>
    <t>Kaybob Amalgamated Sour Gas Plant</t>
  </si>
  <si>
    <t>Usine de Clermont</t>
  </si>
  <si>
    <t>Hydro-Québec</t>
  </si>
  <si>
    <t>Centrale d'Obedjiwan</t>
  </si>
  <si>
    <t>Tolko Industries Ltd.</t>
  </si>
  <si>
    <t>High Prairie OSB Division</t>
  </si>
  <si>
    <t>Softwood veneer and plywood mills</t>
  </si>
  <si>
    <t>Usines de placages et de contreplaqués de résineux</t>
  </si>
  <si>
    <t>Michelin North America (Canada)</t>
  </si>
  <si>
    <t>Pictou County Plant</t>
  </si>
  <si>
    <t>Tire manufacturing</t>
  </si>
  <si>
    <t>AGRIUM</t>
  </si>
  <si>
    <t>CARSELAND NITROGEN OPERATIONS</t>
  </si>
  <si>
    <t>PotashCorp</t>
  </si>
  <si>
    <t>Patience Lake Division</t>
  </si>
  <si>
    <t>Louisiana Pacific Canada Ltd, DIVISION QUÉBEC MANIWAKI</t>
  </si>
  <si>
    <t>Waferboard Mills</t>
  </si>
  <si>
    <t>Nanticoke Terminal</t>
  </si>
  <si>
    <t>NorthRiver Midstream Inc.</t>
  </si>
  <si>
    <t>Booster Station 1 - Taylor</t>
  </si>
  <si>
    <t>Nanaimo Forest Products Ltd.</t>
  </si>
  <si>
    <t>Harmac Pacific Operations</t>
  </si>
  <si>
    <t>NA - M14</t>
  </si>
  <si>
    <t>Total reduced sulphur (expressed as hydrogen sulphide)</t>
  </si>
  <si>
    <t>Soufre réduit total (exprimé sous forme de sulfure dhydrogène)</t>
  </si>
  <si>
    <t>NEW BRUNSWICK POWER GENERATION CORPORATION</t>
  </si>
  <si>
    <t>Millbank Generating Station</t>
  </si>
  <si>
    <t>Lashburn MWB 01-18-047-24W3</t>
  </si>
  <si>
    <t>MINAS BASIN PULP AND POWER</t>
  </si>
  <si>
    <t>MINAS BASIN PULP AND POWER - HANTSPORT</t>
  </si>
  <si>
    <t>CHEVRON CANADA RESOURCES</t>
  </si>
  <si>
    <t>MITSUE GAS PLANT</t>
  </si>
  <si>
    <t>Cenovus Energy Inc.</t>
  </si>
  <si>
    <t>Pelican Oil MWB 14-14-078-25W4</t>
  </si>
  <si>
    <t>PetroBakken Energy Ltd.</t>
  </si>
  <si>
    <t>TRISTAR STAR VALLEY 5-4</t>
  </si>
  <si>
    <t>Coveright Surfaces Canada Inc.</t>
  </si>
  <si>
    <t>COVERIGHT SURFACES CANADA</t>
  </si>
  <si>
    <t>COMPAGNIE ABITIBI-CONSOLIDATED DU CANADA</t>
  </si>
  <si>
    <t>USINE NORMANDIN</t>
  </si>
  <si>
    <t>MARSULEX INC.</t>
  </si>
  <si>
    <t>CUSTOMER SERVICE CENTRE</t>
  </si>
  <si>
    <t>TAQA North Ltd.</t>
  </si>
  <si>
    <t>Cascade Valhalla</t>
  </si>
  <si>
    <t>Potash Corp - Allan Division</t>
  </si>
  <si>
    <t>Aluminerie de Bécancour inc.</t>
  </si>
  <si>
    <t>K + S Windsor Salt Ltd.</t>
  </si>
  <si>
    <t>Belle Plaine Facility</t>
  </si>
  <si>
    <t>Seasoning and dressing manufacturing</t>
  </si>
  <si>
    <t>Fabrication d'assaisonnements et de vinaigrettes</t>
  </si>
  <si>
    <t>DAAM GALVANIZING INC.</t>
  </si>
  <si>
    <t>WEBCOM</t>
  </si>
  <si>
    <t>WEBCOM LIMITED</t>
  </si>
  <si>
    <t>ConocoPhillips Surmont Partnership</t>
  </si>
  <si>
    <t>Surmont SAGD Commercial Battery</t>
  </si>
  <si>
    <t>Alamos Gold Incorporated</t>
  </si>
  <si>
    <t>Island Gold Mine</t>
  </si>
  <si>
    <t>PETRONAS Energy Canada Ltd.</t>
  </si>
  <si>
    <t>Lily A-29-J Gas Plant</t>
  </si>
  <si>
    <t>Gibraltar Mines Ltd.</t>
  </si>
  <si>
    <t>Gibraltar Mine (SFO)</t>
  </si>
  <si>
    <t>TRUE ENERGY</t>
  </si>
  <si>
    <t>WILLISDEN GREEN COMP STATION 08-04</t>
  </si>
  <si>
    <t>Karr Creek Compressor Station 12-35-063-02W6</t>
  </si>
  <si>
    <t>NESTE RESINS CANADA</t>
  </si>
  <si>
    <t>Resines Neste Canada - Ste Therese</t>
  </si>
  <si>
    <t>Resin and Synthetic Rubber Manufacturing</t>
  </si>
  <si>
    <t>ENCANA</t>
  </si>
  <si>
    <t>WILSON CREEK COMP STN 15-13</t>
  </si>
  <si>
    <t>Molten Metallurgy Inc.</t>
  </si>
  <si>
    <t>Steel Foundries</t>
  </si>
  <si>
    <t>Lafarge North America</t>
  </si>
  <si>
    <t>Lafarge Canada, Inc., GVA A&amp;P, Mitchell Is., CB Asphalt Plan</t>
  </si>
  <si>
    <t>Musselwhite Mine</t>
  </si>
  <si>
    <t>Greenfield Ethanol Inc.</t>
  </si>
  <si>
    <t>Chatham Plant</t>
  </si>
  <si>
    <t>75-07-0</t>
  </si>
  <si>
    <t>Acetaldehyde</t>
  </si>
  <si>
    <t>Acétaldéhyde</t>
  </si>
  <si>
    <t>Imperial Oil Resources</t>
  </si>
  <si>
    <t>Everdell Gas Plant</t>
  </si>
  <si>
    <t>The International Group Inc.</t>
  </si>
  <si>
    <t>Agincourt Plant</t>
  </si>
  <si>
    <t>CANADA BREAD</t>
  </si>
  <si>
    <t>CENTRAL BAKERY</t>
  </si>
  <si>
    <t>Commercial Bakeries and Frozen Bakery Product Manufacturing</t>
  </si>
  <si>
    <t>Boulangeries commerciales et fabrication de produits de boulangerie congelés</t>
  </si>
  <si>
    <t>Harte Gold Corp</t>
  </si>
  <si>
    <t>Harte Gold Corporation - Sugar Zone Project</t>
  </si>
  <si>
    <t>Petro-Canada Lubricants Inc.</t>
  </si>
  <si>
    <t>Mississauga Lubricants Centre</t>
  </si>
  <si>
    <t>BONAVISTA PETROLEUM</t>
  </si>
  <si>
    <t>MACKAY RIVER 14-21</t>
  </si>
  <si>
    <t>Tourmaline Oil Corp</t>
  </si>
  <si>
    <t>Mulligan Fourth Creek 15-13</t>
  </si>
  <si>
    <t>CITY OF LONDON</t>
  </si>
  <si>
    <t>ADELAIDE POLLUTION CONTROL PLANT</t>
  </si>
  <si>
    <t>Canadian Nuclear Laboratories</t>
  </si>
  <si>
    <t>Whiteshell Laboratories</t>
  </si>
  <si>
    <t>All other professional, scientific and technical services</t>
  </si>
  <si>
    <t>Tous les autres services professionnels, scientifiques et techniques</t>
  </si>
  <si>
    <t>SPECTRA ENERGY TRANSMISSION</t>
  </si>
  <si>
    <t>CS NO. N2, PROPHET RIVER</t>
  </si>
  <si>
    <t>Pipeline Transportation of Natural Gas</t>
  </si>
  <si>
    <t>Wild River 12-36-055-23-W5</t>
  </si>
  <si>
    <t>Whitecap Resources Inc.</t>
  </si>
  <si>
    <t>Boundary 06-06</t>
  </si>
  <si>
    <t>Sea Rose FPSO</t>
  </si>
  <si>
    <t>Dow Chemical Canada Incorporated</t>
  </si>
  <si>
    <t>Western Canada Operations</t>
  </si>
  <si>
    <t>EnCana Corporation</t>
  </si>
  <si>
    <t>Entice System 2 Gas Battery 03-22</t>
  </si>
  <si>
    <t>ASHLAND CANADA - MISSISSAUGA</t>
  </si>
  <si>
    <t>Point Tupper Generating Station</t>
  </si>
  <si>
    <t>Cargill Limited</t>
  </si>
  <si>
    <t>Cargill AgHorizons, Sarnia Terminal, ON</t>
  </si>
  <si>
    <t>Agricultural chemical and other farm supplies merchant wholesalers</t>
  </si>
  <si>
    <t>Grossistes-marchands de produits chimiques et autres fournitures agricoles</t>
  </si>
  <si>
    <t>Thunderhill Compressor Station 04-15-014-27W3</t>
  </si>
  <si>
    <t>Bunge Canada Holdings I ULC</t>
  </si>
  <si>
    <t>BUNGE DU CANADA - QUÉBEC CITY PLANT</t>
  </si>
  <si>
    <t>Farm product warehousing and storage</t>
  </si>
  <si>
    <t>Entreposage de produits agricoles</t>
  </si>
  <si>
    <t>HOUSTON FOREST PRODUCTS LTD.</t>
  </si>
  <si>
    <t>HOUSTON SAWMILL</t>
  </si>
  <si>
    <t>Corporation ID Biomédical du Québec f.a.s. GSK Biologicals</t>
  </si>
  <si>
    <t>Centre hospitalier de l'Université de Montréal</t>
  </si>
  <si>
    <t>Hôpital Saint-Luc</t>
  </si>
  <si>
    <t>General (except paediatric) hospitals</t>
  </si>
  <si>
    <t>Hôpitaux généraux (sauf pédiatriques)</t>
  </si>
  <si>
    <t>Mainland Sand &amp; Gravel</t>
  </si>
  <si>
    <t>Jamieson Quarry</t>
  </si>
  <si>
    <t>Granite mining and quarrying</t>
  </si>
  <si>
    <t>Extraction de granite</t>
  </si>
  <si>
    <t>RIO TINTO ALCAN PRIMARY METAL - BRITISH COLUMBIA</t>
  </si>
  <si>
    <t>KITIMAT WORKS</t>
  </si>
  <si>
    <t>Wartsila Canada Inc.</t>
  </si>
  <si>
    <t>Wartsila Richmond</t>
  </si>
  <si>
    <t>RECOCHEM INC</t>
  </si>
  <si>
    <t>ST LAURENT</t>
  </si>
  <si>
    <t>Stepan Canada</t>
  </si>
  <si>
    <t>Longford Mills Plant</t>
  </si>
  <si>
    <t>WALKER AGGREGATES INC</t>
  </si>
  <si>
    <t>Duntroon Quarry and Asphalt Plant</t>
  </si>
  <si>
    <t>Limestone Mining and Quarrying</t>
  </si>
  <si>
    <t>Extraction de calcaire</t>
  </si>
  <si>
    <t>EVRAZ INC. NA CANADA</t>
  </si>
  <si>
    <t>REGINA PLANT SITE</t>
  </si>
  <si>
    <t>PEI ENERGY SYSTEMS</t>
  </si>
  <si>
    <t>Energy From Waste Plant</t>
  </si>
  <si>
    <t>MITTAL CANADA HAMILTON INC.</t>
  </si>
  <si>
    <t>ARCELORMITTAL HAMILTON EAST</t>
  </si>
  <si>
    <t>IPC Canada Ltd.</t>
  </si>
  <si>
    <t>Suffield K (Koomati) Gas Battery 04-04</t>
  </si>
  <si>
    <t xml:space="preserve">Bunge Canada </t>
  </si>
  <si>
    <t>BUNGE CANADA - HARROWBY PLANT</t>
  </si>
  <si>
    <t>Oilseed processing</t>
  </si>
  <si>
    <t>Transformation de graines oléagineuses</t>
  </si>
  <si>
    <t>Smoky Sweet Gas Plant 07-36-058-03W6</t>
  </si>
  <si>
    <t>Nutreco Canada Inc.</t>
  </si>
  <si>
    <t>Shur-Gain St. Marys</t>
  </si>
  <si>
    <t>Other Animal Food Manufacturing</t>
  </si>
  <si>
    <t>Fabrication d'autres aliments pour animaux</t>
  </si>
  <si>
    <t>Iroquois Falls Power Corp.</t>
  </si>
  <si>
    <t>Iroquois Falls G.S.</t>
  </si>
  <si>
    <t>Other Electric Power Generation</t>
  </si>
  <si>
    <t>Suffield Koomati River Booster 12-24</t>
  </si>
  <si>
    <t>Scierie Senneterre</t>
  </si>
  <si>
    <t>WOODBRIDGE FOAM</t>
  </si>
  <si>
    <t>TILBURY PLANT</t>
  </si>
  <si>
    <t>101-68-8</t>
  </si>
  <si>
    <t>Methylenebis(phenylisocyanate)</t>
  </si>
  <si>
    <t>Méthylènebis(phénylisocyanate)</t>
  </si>
  <si>
    <t>GREENFIELD ETHANOL INC</t>
  </si>
  <si>
    <t>CHATHAM FACILITY</t>
  </si>
  <si>
    <t>TOWN OF CLARENVILLE</t>
  </si>
  <si>
    <t>INCINERATOR</t>
  </si>
  <si>
    <t>SKBTB4L3775 (Anderson Oil Battery 05-24-005-04W2)</t>
  </si>
  <si>
    <t>Arkema Canada Inc.</t>
  </si>
  <si>
    <t>Trans Mountain Canada Inc.</t>
  </si>
  <si>
    <t>Burnaby Terminal</t>
  </si>
  <si>
    <t>Dufferin Aggregates, a division of Holcim (Canada) Inc.</t>
  </si>
  <si>
    <t>Carden Quarry</t>
  </si>
  <si>
    <t>Limestone mining and quarrying</t>
  </si>
  <si>
    <t>OXYCHEM DUREZ CANADA</t>
  </si>
  <si>
    <t>POUNDER EMULSIONS - SASKATOON</t>
  </si>
  <si>
    <t>CHINOOK GROUP LIMITED</t>
  </si>
  <si>
    <t>Sombra Operations</t>
  </si>
  <si>
    <t>Axalta Coating Systems Canada Company</t>
  </si>
  <si>
    <t>7664-39-3</t>
  </si>
  <si>
    <t>Hydrogen fluoride</t>
  </si>
  <si>
    <t>Fluorure d'hydrogène</t>
  </si>
  <si>
    <t>193-39-5</t>
  </si>
  <si>
    <t>Indeno[1,2,3-cd]pyrene</t>
  </si>
  <si>
    <t>Indeno[1,2,3-cd] pyrène</t>
  </si>
  <si>
    <t>Dyno Nobel Nitrogen Inc.</t>
  </si>
  <si>
    <t>Maitland</t>
  </si>
  <si>
    <t>7782-50-5</t>
  </si>
  <si>
    <t>Chlorine</t>
  </si>
  <si>
    <t>Chlore</t>
  </si>
  <si>
    <t>Sulzer Metco (Canada) Inc.</t>
  </si>
  <si>
    <t>Sulzer Metco (Canada) Inc. - Fort Saskatchewan Operations</t>
  </si>
  <si>
    <t>Ingoldsby 16-21-003-32W1 MWB</t>
  </si>
  <si>
    <t>LANDMARK FEEDS</t>
  </si>
  <si>
    <t>Rosenort</t>
  </si>
  <si>
    <t>FALCONBRIDGE LTD-KIDD METALLURGICAL DIV.</t>
  </si>
  <si>
    <t>KIDD METALLURGICAL SITE</t>
  </si>
  <si>
    <t>Niton Sweet Gas Plant</t>
  </si>
  <si>
    <t>Elf Atochem Canada</t>
  </si>
  <si>
    <t>Usine de production de peroxyde d'hydrogène</t>
  </si>
  <si>
    <t>VULSAY INDUSTRIES LTD.</t>
  </si>
  <si>
    <t>Beaver Plastics Ltd.</t>
  </si>
  <si>
    <t>BEAVER PLASTICS</t>
  </si>
  <si>
    <t>Polystyrene foam product manufacturing</t>
  </si>
  <si>
    <t>Fabrication de produits en mousse de polystyrène</t>
  </si>
  <si>
    <t>ENBRIDGE PIPELINES</t>
  </si>
  <si>
    <t>CROMER TERMINAL</t>
  </si>
  <si>
    <t>Corner Brook Terminal</t>
  </si>
  <si>
    <t>Mosaic Energy Ltd.</t>
  </si>
  <si>
    <t>Nestow 16-26-060-24W4</t>
  </si>
  <si>
    <t>BP CANADA</t>
  </si>
  <si>
    <t>STEELMAN GAS PLANT</t>
  </si>
  <si>
    <t>BRAMPTON BRICK</t>
  </si>
  <si>
    <t>Concrete Pipe, Brick and Block Manufacturing</t>
  </si>
  <si>
    <t>POLAR STAR</t>
  </si>
  <si>
    <t>GAGE BATTERY 13-18-082-03W6</t>
  </si>
  <si>
    <t>Société Coopérative Agricole de St-Damase</t>
  </si>
  <si>
    <t>Meunerie</t>
  </si>
  <si>
    <t>BLUE NOTE CARIBOU MINES</t>
  </si>
  <si>
    <t>RESTIGOUCHE MINE</t>
  </si>
  <si>
    <t>Lead-Zinc Ore Mining</t>
  </si>
  <si>
    <t>Extraction de minerais de plomb-zinc</t>
  </si>
  <si>
    <t>Orica Canada Inc.</t>
  </si>
  <si>
    <t>Orica Brownsburg</t>
  </si>
  <si>
    <t>LA COMPAGNIE ABITIBI-CONSOLIDATED DU CANADA</t>
  </si>
  <si>
    <t>BAIE-COMEAU</t>
  </si>
  <si>
    <t>OCEAN CONSTRUCTION SUPPLIES LIMITED</t>
  </si>
  <si>
    <t>MITCHELL ISLAND PLANT</t>
  </si>
  <si>
    <t>Ready-Mix Concrete Manufacturing</t>
  </si>
  <si>
    <t>Fabrication de béton préparé</t>
  </si>
  <si>
    <t>REGION OF PEEL</t>
  </si>
  <si>
    <t>BRITANNIA LANDFILL</t>
  </si>
  <si>
    <t>Baytex Energy Ltd</t>
  </si>
  <si>
    <t>Seal 05-32-084-18W5</t>
  </si>
  <si>
    <t>Elk Point</t>
  </si>
  <si>
    <t>TransCanada Energy Ltd.</t>
  </si>
  <si>
    <t>Bécancour Power Plant</t>
  </si>
  <si>
    <t>GERDAU AMERISTEEL CORPORATION</t>
  </si>
  <si>
    <t>GERDAU AMERISTEEL CORPORATION, CAMBRIDGE MILL</t>
  </si>
  <si>
    <t>Anegada Oil Corp.</t>
  </si>
  <si>
    <t>Anegada Valhalla 06-21-074-09w6</t>
  </si>
  <si>
    <t>PGI Processing ULC</t>
  </si>
  <si>
    <t>Crescent Point Energy Corp.</t>
  </si>
  <si>
    <t>Souris Flat Oil MWB 03-03</t>
  </si>
  <si>
    <t>TALISMAN ENERGY</t>
  </si>
  <si>
    <t>PLACID COMP STATION 11-15</t>
  </si>
  <si>
    <t>St Barbara Limited</t>
  </si>
  <si>
    <t>Touquoy Mine</t>
  </si>
  <si>
    <t>Texada Quarrying Ltd., Texada Quarry</t>
  </si>
  <si>
    <t>Produits Chimiques Sterling</t>
  </si>
  <si>
    <t>Buckingham plant</t>
  </si>
  <si>
    <t>Alkali and Chlorine Manufacturing</t>
  </si>
  <si>
    <t>10049-04-4</t>
  </si>
  <si>
    <t>Chlorine dioxide</t>
  </si>
  <si>
    <t>Dioxyde de chlore</t>
  </si>
  <si>
    <t>NATIONAL GYPSUM CANADA LTD.</t>
  </si>
  <si>
    <t>Milford Mine Site</t>
  </si>
  <si>
    <t>Gypsum mining</t>
  </si>
  <si>
    <t>Extraction de gypse</t>
  </si>
  <si>
    <t>SHELL CANADA</t>
  </si>
  <si>
    <t>SARNIA MANUFACTURING CENTRE</t>
  </si>
  <si>
    <t>Maple Leaf Agri-Farms Inc.</t>
  </si>
  <si>
    <t>Feed Plant, Landmark</t>
  </si>
  <si>
    <t>Other animal food manufacturing</t>
  </si>
  <si>
    <t>Fabrication d'aliments pour autres animaux</t>
  </si>
  <si>
    <t>Shell Canada Limited</t>
  </si>
  <si>
    <t>SHELL CAROLINE COMPLEX</t>
  </si>
  <si>
    <t>Weston Bakeries</t>
  </si>
  <si>
    <t>Weston Cobourg</t>
  </si>
  <si>
    <t>Commercial bakeries and frozen bakery product manufacturing</t>
  </si>
  <si>
    <t>Cargill AgHorizons, North Battleford, SK</t>
  </si>
  <si>
    <t>TOROMONT ENERGY</t>
  </si>
  <si>
    <t>SDEC HOSPITAL PLANT</t>
  </si>
  <si>
    <t>Thornbury East Sweet Gas Plant 15-12</t>
  </si>
  <si>
    <t>VULCAN CONTAINERS</t>
  </si>
  <si>
    <t>Steel Pails &amp; Metal Decorating Ltd</t>
  </si>
  <si>
    <t>Parrish &amp; Heimbecker Ltd.</t>
  </si>
  <si>
    <t>PARRISH &amp; HEIMBECKER, LIMITED - CENTRALIA FACILITY</t>
  </si>
  <si>
    <t>Oilseed and grain merchant wholesalers</t>
  </si>
  <si>
    <t>Grossistes-marchands de graines oléagineuses et de grains céréaliers</t>
  </si>
  <si>
    <t>Teine Energy Ltd.</t>
  </si>
  <si>
    <t>Plato Bty 5-33-25-17W3</t>
  </si>
  <si>
    <t>GOLDCORP CANADA LTD.</t>
  </si>
  <si>
    <t>DOME MINE</t>
  </si>
  <si>
    <t>Gold and Silver Ore Mining</t>
  </si>
  <si>
    <t>Lafarge Canada inc.</t>
  </si>
  <si>
    <t>STEAD DAY AGG SITE</t>
  </si>
  <si>
    <t>PARKMAN 16-08</t>
  </si>
  <si>
    <t>BERTRAND CONSTRUCTION L'ORIGNAL</t>
  </si>
  <si>
    <t>L'ORIGNAL QUARRY</t>
  </si>
  <si>
    <t>Tembec</t>
  </si>
  <si>
    <t>Kapuskasing Operations</t>
  </si>
  <si>
    <t>EMBALLAGES SMURFIT-STONE CANADA INC.</t>
  </si>
  <si>
    <t>Usine Chaleurs</t>
  </si>
  <si>
    <t>Resourceful Petroleum Canada Limited</t>
  </si>
  <si>
    <t>Crystal RPCL 1-22-46-3W5</t>
  </si>
  <si>
    <t>CAMECO</t>
  </si>
  <si>
    <t>RABBIT LAKE OPERATION</t>
  </si>
  <si>
    <t>Uranium Ore Mining</t>
  </si>
  <si>
    <t>Devon Canada Corporation</t>
  </si>
  <si>
    <t>Puskwaskau 03-26</t>
  </si>
  <si>
    <t>Long Run Exploration Ltd</t>
  </si>
  <si>
    <t>WESTFIRE HZ REDWATER 06-01-058-23W4</t>
  </si>
  <si>
    <t>Crescent Point Resources Partnership</t>
  </si>
  <si>
    <t>Hoffer Oil Battery 01-21</t>
  </si>
  <si>
    <t>Liberty Mines Inc</t>
  </si>
  <si>
    <t>Redstone Mine</t>
  </si>
  <si>
    <t>Nickel-copper ore mining</t>
  </si>
  <si>
    <t>Extraction de minerais de nickel-cuivre</t>
  </si>
  <si>
    <t>Border Chemical Co Ltd.</t>
  </si>
  <si>
    <t>BORDER CHEMICAL COMPANY LIMITED</t>
  </si>
  <si>
    <t>VERNON PAVING</t>
  </si>
  <si>
    <t>VERNON ASPHALT PLANT</t>
  </si>
  <si>
    <t>Asphalt Paving Mixture and Block Manufacturing</t>
  </si>
  <si>
    <t>GENERAL CABLE COMPANY</t>
  </si>
  <si>
    <t>Lafarge Canada Inc.</t>
  </si>
  <si>
    <t>Cimenterie de Saint-Constant</t>
  </si>
  <si>
    <t>DYNO NOBEL NITROGEN INC.</t>
  </si>
  <si>
    <t>DYNO NOBEL NITROGEN INC.-MAITLAND SITE</t>
  </si>
  <si>
    <t>Univar Canada Ltd.</t>
  </si>
  <si>
    <t>Valleyfield</t>
  </si>
  <si>
    <t>WILLINGDON 10-21</t>
  </si>
  <si>
    <t>CANADIAN FOREST PRODUCTS LTD.</t>
  </si>
  <si>
    <t>PLATEAU DIVISION</t>
  </si>
  <si>
    <t>TEMBEC INC., GROUPE DES PRODUITS FORESTIERS</t>
  </si>
  <si>
    <t>PINE FALLS OPERATIONS</t>
  </si>
  <si>
    <t>Hiding Creek Comp Stn D-052-F</t>
  </si>
  <si>
    <t>Progress Energy Canada Ltd.</t>
  </si>
  <si>
    <t>Gundy D-004-H/094-B-16</t>
  </si>
  <si>
    <t>Gordondale Oil Battery 08-30-078-09W6</t>
  </si>
  <si>
    <t>PADDLE NORTH COMP STN 01-06</t>
  </si>
  <si>
    <t>Rio Tinto Alcan</t>
  </si>
  <si>
    <t>Aluminerie Arvida - Centre technologique AP60</t>
  </si>
  <si>
    <t>Columbia Forest Products Ltd.</t>
  </si>
  <si>
    <t>Contre-Plaque Saint-Casimir Inc.</t>
  </si>
  <si>
    <t>Hardwood veneer and plywood mills</t>
  </si>
  <si>
    <t>Usines de placages et de contreplaqués de feuillus</t>
  </si>
  <si>
    <t>Tall Pine Timber Co. Ltd.</t>
  </si>
  <si>
    <t>TALL PINE TIMBER - LODGEPOLE</t>
  </si>
  <si>
    <t>Magna Exteriors and Interiors Corp.</t>
  </si>
  <si>
    <t>Polybrite</t>
  </si>
  <si>
    <t>Wild River 11-16-055-24-W5</t>
  </si>
  <si>
    <t>Gold Creek Compressor Station 05-11-068-06W6</t>
  </si>
  <si>
    <t>ATCO Energy Solutions Ltd.</t>
  </si>
  <si>
    <t>Carbon</t>
  </si>
  <si>
    <t>Natural gas distribution</t>
  </si>
  <si>
    <t>Distribution de gaz naturel</t>
  </si>
  <si>
    <t>Taqa North Ltd.</t>
  </si>
  <si>
    <t>NRK North Ferrier 5-10-42-9-W5 ABBT0081372</t>
  </si>
  <si>
    <t>Masonite International Corporation</t>
  </si>
  <si>
    <t>Megantic Veneer (Plywood Plant)</t>
  </si>
  <si>
    <t>CELANESE CANADA INC.</t>
  </si>
  <si>
    <t>115-07-1</t>
  </si>
  <si>
    <t>Propylene</t>
  </si>
  <si>
    <t>Propylène</t>
  </si>
  <si>
    <t>Torc Pembina Compressor Station 01-36-050-13W5</t>
  </si>
  <si>
    <t>NOVA Chemicals (Canada) Ltd. Sarnia Site</t>
  </si>
  <si>
    <t>CARPENTER CANADA</t>
  </si>
  <si>
    <t>CARPENTER CANADA CO.</t>
  </si>
  <si>
    <t>REGION OF WATERLOO</t>
  </si>
  <si>
    <t>WATERLOO LANDFILL SITE</t>
  </si>
  <si>
    <t>Teck Coal Limited</t>
  </si>
  <si>
    <t>Greenhills Operations</t>
  </si>
  <si>
    <t>Bituminous coal mining</t>
  </si>
  <si>
    <t>Extraction de charbon bitumineux</t>
  </si>
  <si>
    <t>Terra Inernational (Canada) Inc.</t>
  </si>
  <si>
    <t>CF Industries Courtright Nitrogen Complex</t>
  </si>
  <si>
    <t>RIO TINTO ALCAN-MÉTAL PRIMAIRE-USINE DE BEAUHARNOIS</t>
  </si>
  <si>
    <t>Enbridge Pipelines Inc.</t>
  </si>
  <si>
    <t>Border Paving Ltd.</t>
  </si>
  <si>
    <t>Portable Plant 020002</t>
  </si>
  <si>
    <t>Highway, street and bridge construction</t>
  </si>
  <si>
    <t>Construction de routes, de rues et de ponts</t>
  </si>
  <si>
    <t>AINSWORTH LUMBER CO. LTD.</t>
  </si>
  <si>
    <t>LILLOOET VENEER DIVISION</t>
  </si>
  <si>
    <t>Softwood Veneer and Plywood Mills</t>
  </si>
  <si>
    <t>SOCIETE EN COMMANDITE</t>
  </si>
  <si>
    <t>ACUFIL (SOCIETE EN COMMANDITE)</t>
  </si>
  <si>
    <t>Wastech Services LTD.</t>
  </si>
  <si>
    <t>Cache Creek Landfill</t>
  </si>
  <si>
    <t>MINES ET EXPLORATION NORANDA INC</t>
  </si>
  <si>
    <t>DIVISION MINES GASPÉ</t>
  </si>
  <si>
    <t>NOVA Chemicals Corporation (Joffre)</t>
  </si>
  <si>
    <t>106-99-0</t>
  </si>
  <si>
    <t>1,3-Butadiene</t>
  </si>
  <si>
    <t>Buta-1,3-diène</t>
  </si>
  <si>
    <t>BHP BILLITON CANADA INC.</t>
  </si>
  <si>
    <t>EKATI DIAMOND MINE</t>
  </si>
  <si>
    <t>Diamond Mining</t>
  </si>
  <si>
    <t>Extraction de diamant</t>
  </si>
  <si>
    <t>Norbord inc (West Fraser)</t>
  </si>
  <si>
    <t>Division La Sarre</t>
  </si>
  <si>
    <t>FORT ST. JOHN</t>
  </si>
  <si>
    <t>Gainsborough Oil Battery 14-26-002-30W1</t>
  </si>
  <si>
    <t>STRATHCONA REFINERY</t>
  </si>
  <si>
    <t>Ontario Redimix</t>
  </si>
  <si>
    <t>Etobicoke Plant</t>
  </si>
  <si>
    <t>Ready-mix concrete manufacturing</t>
  </si>
  <si>
    <t>Richardson Pioneer Ltd.</t>
  </si>
  <si>
    <t>Starbuck</t>
  </si>
  <si>
    <t>Vale Canada Limited</t>
  </si>
  <si>
    <t>Creighton Mine</t>
  </si>
  <si>
    <t>ARL HELMET B-11-K/94-P-2</t>
  </si>
  <si>
    <t>KEY LAKE OPERATION</t>
  </si>
  <si>
    <t>Baffinland Iron Mines Corporation</t>
  </si>
  <si>
    <t>Mary River Mine Site</t>
  </si>
  <si>
    <t>NU</t>
  </si>
  <si>
    <t>SOUND ENERGY TRUST</t>
  </si>
  <si>
    <t>RAINBOW 13-06-111-6W6</t>
  </si>
  <si>
    <t>TRANSCANADA PIPELINES</t>
  </si>
  <si>
    <t>STATION 52 - VERMILION BAY</t>
  </si>
  <si>
    <t>Walker Aggregates Inc.</t>
  </si>
  <si>
    <t>RIDGEMOUNT QUARRIES - RIDGEWAY</t>
  </si>
  <si>
    <t>RQ - Remote Quantification</t>
  </si>
  <si>
    <t>Ville d'Alma</t>
  </si>
  <si>
    <t>Étangs Nord</t>
  </si>
  <si>
    <t>Other local, municipal and regional public administration</t>
  </si>
  <si>
    <t>Autres services des administrations publiques locales, municipales et régionales</t>
  </si>
  <si>
    <t>Cargill AgHorizons, Rosetown, SK</t>
  </si>
  <si>
    <t>Goodfish Compressor Station 13-24-092-10W5</t>
  </si>
  <si>
    <t>Quadra Chemicals Ltd.</t>
  </si>
  <si>
    <t>Quadra Chemicals Ltd. - Edmonton (North)</t>
  </si>
  <si>
    <t>CANADIAN NATURAL RESOURCES</t>
  </si>
  <si>
    <t>TWEEDIE 01-19</t>
  </si>
  <si>
    <t>Knoll North America Corp.</t>
  </si>
  <si>
    <t>Main Plant</t>
  </si>
  <si>
    <t>PCS INC., LANIGAN DIVISION</t>
  </si>
  <si>
    <t>Potash Mining</t>
  </si>
  <si>
    <t>Cutbank Comp Stn c-029-A</t>
  </si>
  <si>
    <t>Nanaimo Terminal</t>
  </si>
  <si>
    <t>PENN WEST PETROLEUM</t>
  </si>
  <si>
    <t>KEYSTONE GAS PLANT 05-35-048-04W5</t>
  </si>
  <si>
    <t>DEXTRAN PRODUCTS LIMITED</t>
  </si>
  <si>
    <t>Kakwa 05-25-063-04W6</t>
  </si>
  <si>
    <t>ARCELORMITTAL-DOFASCO INC.</t>
  </si>
  <si>
    <t>Saddle Lake Compressor Station 09-09-058-11W4</t>
  </si>
  <si>
    <t>Bois d'ingénierie Abitibi-LPII inc.</t>
  </si>
  <si>
    <t>Bois d'ingénierie Abitibi LP2 (St-Prime)</t>
  </si>
  <si>
    <t>Structural wood product manufacturing</t>
  </si>
  <si>
    <t>Fabrication de produits de charpente en bois</t>
  </si>
  <si>
    <t>Joffre Site</t>
  </si>
  <si>
    <t>TTM Technologies Toronto, Inc</t>
  </si>
  <si>
    <t>Sheppard Facility</t>
  </si>
  <si>
    <t>Semiconductor and other electronic component manufacturing</t>
  </si>
  <si>
    <t>Pembina Gas Battery 01-32-048-09W5</t>
  </si>
  <si>
    <t>Enercapita Energy Ltd.</t>
  </si>
  <si>
    <t>PC LOUISE 12-08</t>
  </si>
  <si>
    <t>Predator Oil BC Ltd.</t>
  </si>
  <si>
    <t>Stoddart Compressor Station 06-11</t>
  </si>
  <si>
    <t>PROGRESSIVE ANODIZERS</t>
  </si>
  <si>
    <t>PENN WEST PETROLEUM LTD</t>
  </si>
  <si>
    <t>COURT 1-19-33-27W3</t>
  </si>
  <si>
    <t>Torxen Energy Ltd.</t>
  </si>
  <si>
    <t>Alderson West Sour Gas Plant 06-02-016-15W4</t>
  </si>
  <si>
    <t>MILNER POWER INC.</t>
  </si>
  <si>
    <t>H.R.MILNER GENERATING STATION</t>
  </si>
  <si>
    <t>Muskrat Comp Stn 14-12</t>
  </si>
  <si>
    <t>U.S. STEEL CANADA</t>
  </si>
  <si>
    <t>HAMILTON WORKS</t>
  </si>
  <si>
    <t>Weyerhaeuser Company Limited</t>
  </si>
  <si>
    <t>Weyerhaeuser Princeton Sawmill</t>
  </si>
  <si>
    <t>Sudbury Integrated Nickel Operations Smelter</t>
  </si>
  <si>
    <t>Steelman Single Well Battery 09-36-004-06W2</t>
  </si>
  <si>
    <t>Usine de Gatineau</t>
  </si>
  <si>
    <t>Clean Harbors Canada, Inc</t>
  </si>
  <si>
    <t>80-05-7</t>
  </si>
  <si>
    <t>Bisphenol A</t>
  </si>
  <si>
    <t>Bisphénol A</t>
  </si>
  <si>
    <t>CANADIAN NATURAL RESOURCES LIMITED</t>
  </si>
  <si>
    <t>LADYFERN C-082-G</t>
  </si>
  <si>
    <t>NANAIMO FOREST PRODUCTS LTD.</t>
  </si>
  <si>
    <t>HARMAC PACIFIC OPERATIONS</t>
  </si>
  <si>
    <t>SGL CARBON GROUP</t>
  </si>
  <si>
    <t>SGL Canada Inc</t>
  </si>
  <si>
    <t>All Other Non-Metallic Mineral Product Manufacturing</t>
  </si>
  <si>
    <t>Fabrication de tous les autres produits minéraux non métalliques</t>
  </si>
  <si>
    <t>KWH PIPE (CANADA) LTD.</t>
  </si>
  <si>
    <t>Plastic Pipe and Pipe Fitting Manufacturing</t>
  </si>
  <si>
    <t>Fabrication de tuyaux et de raccords de tuyauterie en plastique</t>
  </si>
  <si>
    <t>Devon Coleman 4-13</t>
  </si>
  <si>
    <t>Bonavista Energy Corporation</t>
  </si>
  <si>
    <t>Pancdn Ferrybank</t>
  </si>
  <si>
    <t>Wildcat Hills Gas Plant</t>
  </si>
  <si>
    <t>CANADA BUILDING MATERIALS</t>
  </si>
  <si>
    <t>REXDALE PLANT</t>
  </si>
  <si>
    <t>TRI LINK STAR VALLEY 5-4</t>
  </si>
  <si>
    <t>TOLKO INDUSTRIES LTD.</t>
  </si>
  <si>
    <t>MANITOBA KRAFT PAPERS DIVISION</t>
  </si>
  <si>
    <t xml:space="preserve">Revolution ORS Acquisition GP Inc. </t>
  </si>
  <si>
    <t>VILLE DE SEPT-ÎLES</t>
  </si>
  <si>
    <t>BASSIN D'ÉPURATION</t>
  </si>
  <si>
    <t>E.QU.I.P. INTERNATIONAL INC.</t>
  </si>
  <si>
    <t>Pepsico</t>
  </si>
  <si>
    <t>Cambridge Manufacturing</t>
  </si>
  <si>
    <t>Other snack food manufacturing</t>
  </si>
  <si>
    <t>Fabrication d'autres aliments à grignoter</t>
  </si>
  <si>
    <t>CELTIC EXPLORATION LTD.</t>
  </si>
  <si>
    <t>SWAN HILLS 02-02</t>
  </si>
  <si>
    <t>New Gold Inc.</t>
  </si>
  <si>
    <t>New Afton</t>
  </si>
  <si>
    <t>HUSSAR 08-23</t>
  </si>
  <si>
    <t>Val-d'Or sawmill</t>
  </si>
  <si>
    <t>PLASTI-FAB LTD.</t>
  </si>
  <si>
    <t>Plasti-Fab Polymer Plant &amp; Plasti-Fab Crossfield</t>
  </si>
  <si>
    <t>Polystyrene Foam Product Manufacturing</t>
  </si>
  <si>
    <t>100-42-5</t>
  </si>
  <si>
    <t>Styrene</t>
  </si>
  <si>
    <t>Styrène</t>
  </si>
  <si>
    <t>Weston Plant</t>
  </si>
  <si>
    <t>KML WINDOWS INC.</t>
  </si>
  <si>
    <t>STRATHROY</t>
  </si>
  <si>
    <t>Fabrication de fenêtres et de portes en bois</t>
  </si>
  <si>
    <t>Terminal Forest Products Ltd.</t>
  </si>
  <si>
    <t>Terminal Forest Products Sawmill &amp; Planer</t>
  </si>
  <si>
    <t>O-I Canada Corp.</t>
  </si>
  <si>
    <t>Plant #34 Montreal</t>
  </si>
  <si>
    <t>Glass manufacturing</t>
  </si>
  <si>
    <t>Fabrication de verre</t>
  </si>
  <si>
    <t>Shell Scotford Refinery</t>
  </si>
  <si>
    <t>Chembond Ltd.</t>
  </si>
  <si>
    <t>Huxley Comp Station 08-32</t>
  </si>
  <si>
    <t>CDNOXY PEMBINA H BATTERY 6-22</t>
  </si>
  <si>
    <t>Diavik Diamond Mines Inc.</t>
  </si>
  <si>
    <t>DIAVIK DIAMOND MINES INC - LAC DE GRAS</t>
  </si>
  <si>
    <t>Millar Western Forest Products Ltd.</t>
  </si>
  <si>
    <t>Fox Creek Division</t>
  </si>
  <si>
    <t>Agris Co-Operative Ltd.</t>
  </si>
  <si>
    <t>Brigden Facility</t>
  </si>
  <si>
    <t>MAAX Bath Inc.</t>
  </si>
  <si>
    <t>Usine Fibre de Verre Moderne #4 (Utile)</t>
  </si>
  <si>
    <t>Plastic plumbing fixture manufacturing</t>
  </si>
  <si>
    <t>Fabrication d'appareils sanitaires en plastique</t>
  </si>
  <si>
    <t>BLOUNT CANADA</t>
  </si>
  <si>
    <t>BLOUNT GUELPH</t>
  </si>
  <si>
    <t>FORMICA CANADA</t>
  </si>
  <si>
    <t>IDEM</t>
  </si>
  <si>
    <t>Hostmann-Steinberg Ltd.</t>
  </si>
  <si>
    <t>Printing Ink Manufacturing</t>
  </si>
  <si>
    <t>Fabrication d'encre d'imprimerie</t>
  </si>
  <si>
    <t>Ferrier Gas Plant</t>
  </si>
  <si>
    <t>Brockville Lubricants Plant</t>
  </si>
  <si>
    <t>Weyburn Oil Battery</t>
  </si>
  <si>
    <t>SHELL CHEMICALS CANADA</t>
  </si>
  <si>
    <t>SCOTFORD CHEMICAL PLANT</t>
  </si>
  <si>
    <t>Canadian Natural Upgrading Ltd</t>
  </si>
  <si>
    <t>Canadian Natural Upgrading Limited Muskeg River Mine and Jackpine Mine</t>
  </si>
  <si>
    <t>SHELL CANADA ENERGY</t>
  </si>
  <si>
    <t>SHELL ALBIAN SANDS MUSKEG RIVER MINE</t>
  </si>
  <si>
    <t>i3 Energy Canada Ltd.</t>
  </si>
  <si>
    <t>Gilby Gas Battery 08-16</t>
  </si>
  <si>
    <t>BUNGE CANADA - HAMILTON</t>
  </si>
  <si>
    <t>ST. MARYS CEMENT</t>
  </si>
  <si>
    <t>ST. MARY'S CEMENT PLANT</t>
  </si>
  <si>
    <t>Cement Manufacturing</t>
  </si>
  <si>
    <t>City of Abbotsford</t>
  </si>
  <si>
    <t>JAMES Pollution Control Center</t>
  </si>
  <si>
    <t>Elkview Operations</t>
  </si>
  <si>
    <t>DUFFERIN CONCRETE</t>
  </si>
  <si>
    <t>DUFFERIN CONCRETE, BRADFORD PLANT</t>
  </si>
  <si>
    <t>XSTRATA CANADA CORPORATION</t>
  </si>
  <si>
    <t>SUDBURY OPERATIONS MINES/MILL - ONAPING AREA</t>
  </si>
  <si>
    <t>Nickel-Copper Ore Mining</t>
  </si>
  <si>
    <t>Elmwood Kitchens</t>
  </si>
  <si>
    <t>Wood kitchen cabinet and counter top manufacturing</t>
  </si>
  <si>
    <t>Fabrication d'armoires et de comptoirs de cuisine en bois</t>
  </si>
  <si>
    <t>ABIBOW CANADA INC.</t>
  </si>
  <si>
    <t>USINE KÉNOGAMI</t>
  </si>
  <si>
    <t>Bantry Compressor Station 02-23-019-14W4</t>
  </si>
  <si>
    <t>VAN-ROB INC.</t>
  </si>
  <si>
    <t>AURORA 2</t>
  </si>
  <si>
    <t>Alberta Plywood Ltd.</t>
  </si>
  <si>
    <t>Alberta Plywood, Slave Lake Veneer</t>
  </si>
  <si>
    <t>ST MARYS CEMENT</t>
  </si>
  <si>
    <t>BOWMANVILLE</t>
  </si>
  <si>
    <t>TRILOGY ENERGY LP</t>
  </si>
  <si>
    <t>SUMMIT TWO CREEK 07-04</t>
  </si>
  <si>
    <t>HOLCIM (CANADA) INC.</t>
  </si>
  <si>
    <t>MISSISSAUGA CEMENT PLANT</t>
  </si>
  <si>
    <t>PROGRESS GAS PLANT</t>
  </si>
  <si>
    <t>INDUSTRIES NORBORD</t>
  </si>
  <si>
    <t>LA SARRE DIVISION PANNEAUX</t>
  </si>
  <si>
    <t>MAXIM POWER</t>
  </si>
  <si>
    <t>HARTLAND</t>
  </si>
  <si>
    <t>Sanimax ACI</t>
  </si>
  <si>
    <t>Rendering and meat processing from carcasses</t>
  </si>
  <si>
    <t>Fonte de graisses animales et transformation de la viande provenant de carcasses</t>
  </si>
  <si>
    <t>Kaybob 15-28</t>
  </si>
  <si>
    <t>PERSIST OIL &amp; GAS INC.</t>
  </si>
  <si>
    <t>Manitok Stolberg 6-21-42-15 Group</t>
  </si>
  <si>
    <t>Gutah 3 Comp Stn a-054-K</t>
  </si>
  <si>
    <t>189-55-9</t>
  </si>
  <si>
    <t>Dibenzo[a,i]pyrene</t>
  </si>
  <si>
    <t>Dibenzo[a,i]pyrène</t>
  </si>
  <si>
    <t>Chevron Canada Limited</t>
  </si>
  <si>
    <t>Veresen Energy Infrasture Inc.</t>
  </si>
  <si>
    <t>PEI Energy Systems</t>
  </si>
  <si>
    <t>City of Toronto</t>
  </si>
  <si>
    <t>Commissioners Street Transfer Station</t>
  </si>
  <si>
    <t>Black Swan Energy</t>
  </si>
  <si>
    <t>Jedney Comp Stn C-007-H</t>
  </si>
  <si>
    <t>HUSKY ENERGY</t>
  </si>
  <si>
    <t>RAM RIVER</t>
  </si>
  <si>
    <t>Judy Creek Production Complex</t>
  </si>
  <si>
    <t>STELCO INC.</t>
  </si>
  <si>
    <t>HILTON WORKS</t>
  </si>
  <si>
    <t>Insignia Energy Ltd.</t>
  </si>
  <si>
    <t>TRILOGY HZ KNOPCIK 16-35-074-10W6</t>
  </si>
  <si>
    <t>CROSSLEY CARPET MILLS</t>
  </si>
  <si>
    <t>CROSSLEY CARPET MILLS LIMITED</t>
  </si>
  <si>
    <t>Carpet and Rug Mills</t>
  </si>
  <si>
    <t>Usines de tapis et de carpettes</t>
  </si>
  <si>
    <t>ST. ANDREW GOLDFIELDS LTD.</t>
  </si>
  <si>
    <t>Holloway Mine</t>
  </si>
  <si>
    <t>KILDAIR SERVICE LIMITÉE</t>
  </si>
  <si>
    <t>TERMINAL SOREL-TRACY</t>
  </si>
  <si>
    <t>ARCLIN CANADA</t>
  </si>
  <si>
    <t>ARCLIN CANADA LTD - THUNDER BAY</t>
  </si>
  <si>
    <t>West Fraser Mills Ltd.</t>
  </si>
  <si>
    <t>Chetwynd Forest Industries, a Division of West Fraser Mills Ltd.</t>
  </si>
  <si>
    <t>Aecon Transportation West</t>
  </si>
  <si>
    <t>P-12</t>
  </si>
  <si>
    <t>Flat Lake 02-29-002-11W2 (101/02-20) SWB</t>
  </si>
  <si>
    <t>NEXEN INC.</t>
  </si>
  <si>
    <t>BLOCK VALVE #2</t>
  </si>
  <si>
    <t>STRADA AGGREGATES</t>
  </si>
  <si>
    <t>STRADA 051</t>
  </si>
  <si>
    <t>Matcor Metal Fabrication Inc.</t>
  </si>
  <si>
    <t>Matcor -  Bramalea</t>
  </si>
  <si>
    <t>Graymont (QC) Inc.</t>
  </si>
  <si>
    <t>Lime manufacturing</t>
  </si>
  <si>
    <t>Fabrication de chaux</t>
  </si>
  <si>
    <t>Kapuskasing Phosphate Operations</t>
  </si>
  <si>
    <t>All other non-metallic mineral mining and quarrying</t>
  </si>
  <si>
    <t>Extraction de tous les autres minerais non métalliques</t>
  </si>
  <si>
    <t>Hanson Pressure Pipe Inc.</t>
  </si>
  <si>
    <t>Stoufville Pressure Facility</t>
  </si>
  <si>
    <t>JOFFRE SITE;  OLEFINS AND POLYETHYLENE MANUFACTURING</t>
  </si>
  <si>
    <t>Uniroyal Chemical Company</t>
  </si>
  <si>
    <t>Bonanza Compressor Station 11-25-081-11W6</t>
  </si>
  <si>
    <t>Statoil Canada Ltd.</t>
  </si>
  <si>
    <t>Leismer SAGD Bitumen Battery</t>
  </si>
  <si>
    <t>City of Vancouver</t>
  </si>
  <si>
    <t>City of Vancouver -Kent Yard Asphalt Batch Plant</t>
  </si>
  <si>
    <t>Axiom Oil and Gas Inc.</t>
  </si>
  <si>
    <t>AltaGas Services 13-31-045-13W4M (ABCS0022912)</t>
  </si>
  <si>
    <t>Newfoundland and Labrador Hydro</t>
  </si>
  <si>
    <t>Holyrood Combustion Turbine</t>
  </si>
  <si>
    <t>Kerrobert 16-28-033-24W3 (101/13-28) SWB</t>
  </si>
  <si>
    <t>RÉGIE D'ASSSAINISSEMENT SAINTE-THÉRÈSE-BLAINVILLE</t>
  </si>
  <si>
    <t>Station d'épuration Sainte-Thérèse-Blainville</t>
  </si>
  <si>
    <t>Greenfield Global Inc.</t>
  </si>
  <si>
    <t>Chatham</t>
  </si>
  <si>
    <t>Irving Paper Limited</t>
  </si>
  <si>
    <t>Irving Paper</t>
  </si>
  <si>
    <t>Shell Canada Energy</t>
  </si>
  <si>
    <t>Shell Canada Energy Muskeg River Mine and Jackpine Mine</t>
  </si>
  <si>
    <t>TransAlta Cogeneration L.P.</t>
  </si>
  <si>
    <t>Ottawa Health Sciences Centre (OHSC) Cogeneration Facility</t>
  </si>
  <si>
    <t>City of Medicine Hat</t>
  </si>
  <si>
    <t>Cousins 1-22</t>
  </si>
  <si>
    <t>Year of last filed report / Année de déclaration la plus récente</t>
  </si>
  <si>
    <t>NPRI ID / ID INRP</t>
  </si>
  <si>
    <t>Company Name / Raison Sociale</t>
  </si>
  <si>
    <t>Facility Name / Nom de l'installation</t>
  </si>
  <si>
    <t>Address line 1 / Première ligne d'adresse</t>
  </si>
  <si>
    <t>Address line 2 / Deuxième ligne d'adresse</t>
  </si>
  <si>
    <t>City / Ville</t>
  </si>
  <si>
    <t>Province / Province</t>
  </si>
  <si>
    <t>Postal Code / Code postal</t>
  </si>
  <si>
    <t>Physical Land Survey Description / Description de l'arpentage</t>
  </si>
  <si>
    <t>National Topographical Description / Description topographique nationale</t>
  </si>
  <si>
    <t>Latitude / Latitude</t>
  </si>
  <si>
    <t>Longitude / Longitude</t>
  </si>
  <si>
    <t>Datum / Datum</t>
  </si>
  <si>
    <t>NAICS / Code SCIAN</t>
  </si>
  <si>
    <t>Key Industrial Sector Code / Code des Secteurs industriels clés</t>
  </si>
  <si>
    <t>Key Industrial Sector (English) / Secteurs industriels clés (Anglais)</t>
  </si>
  <si>
    <t>Key Industrial Sector (French) / Secteurs industriels clés (Français)</t>
  </si>
  <si>
    <t>Census Division (CD) Unique ID / No unique de la Division de recensement (DR)</t>
  </si>
  <si>
    <t>Census Division (CD) Name / Nom de la Division de recensement (DR)</t>
  </si>
  <si>
    <t>Census Sub Division (CSD) Unique ID / No unique de la Subdivision de recensement (SDR)</t>
  </si>
  <si>
    <t>Census Sub Division (CSD) Name / Nom de la Subdivision de recensement (SDR)</t>
  </si>
  <si>
    <t>Census Metropolitan Area (CMA) Unique ID / No unique de la Région métropolitaine de recensement (RMR)</t>
  </si>
  <si>
    <t>Census Metropolitan Area (CMA) Name / Nom de la Région métropolitaine de recensement (RMR)</t>
  </si>
  <si>
    <t>Economic Region (ER) Unique ID / No unique de la Région économique (RE)</t>
  </si>
  <si>
    <t>Economic Region (ER) Name / Nom de la Région économique (RE)</t>
  </si>
  <si>
    <t>Forward Sortation Area (FSA) / Région de tri d'acheminement (RTA)</t>
  </si>
  <si>
    <t>Ecozone Unique ID / No unique de l'écozone</t>
  </si>
  <si>
    <t>English Ecozone Name / Nom anglais de l'écozone</t>
  </si>
  <si>
    <t>French Ecozone Name / Nom français de l'écozone</t>
  </si>
  <si>
    <t>Unique ID of the Major Drainage Area from the Water Survey of Canada (WSC) / No unique de l'aire de drainage principale des Relevés hydrologiques du Canada (RHC)</t>
  </si>
  <si>
    <t>Major Drainage Area English Name / Nom anglais de l'aire de drainage principale</t>
  </si>
  <si>
    <t>Major Drainage Area French Name / Nom français de l'aire de drainage principale</t>
  </si>
  <si>
    <t>Sulphur Oxide Management Area (SOMA) / Zone de gestion des oxydes de soufre (ZGOS)</t>
  </si>
  <si>
    <t>Ontario Pollution Emission Management Area (PEMA) / Zone de gestion des émission de polluants (ZGEP) de l'Ontario</t>
  </si>
  <si>
    <t>Quebec Pollution Emission Management Area (PEMA) / Zone de gestion des émission de polluants (ZGEP) du Québec</t>
  </si>
  <si>
    <t>Quebec City-Windsor Corridor / Corridor Québec-Windsor</t>
  </si>
  <si>
    <t>GULL LAKE NORTH O.B.</t>
  </si>
  <si>
    <t>13-35-13-19W3</t>
  </si>
  <si>
    <t>GULL LAKE</t>
  </si>
  <si>
    <t>13-35-013-19-W3</t>
  </si>
  <si>
    <t>C-051-H/072-K-2</t>
  </si>
  <si>
    <t>Conventional Oil and Gas extraction</t>
  </si>
  <si>
    <t xml:space="preserve">Extraction de pétrole par des méthodes classiques_x000D_
</t>
  </si>
  <si>
    <t>Division No.  8</t>
  </si>
  <si>
    <t>Gull Lake No. 139</t>
  </si>
  <si>
    <t xml:space="preserve"> </t>
  </si>
  <si>
    <t>Swift Current--Moose Jaw</t>
  </si>
  <si>
    <t>S0N</t>
  </si>
  <si>
    <t>Prairie</t>
  </si>
  <si>
    <t>Prairies</t>
  </si>
  <si>
    <t>Nelson River Drainage Area</t>
  </si>
  <si>
    <t>Aire de drainage du fleuve Nelson</t>
  </si>
  <si>
    <t>Atlas Tube Canada ULC</t>
  </si>
  <si>
    <t>Atlas Tube Harrow</t>
  </si>
  <si>
    <t>200 Clark Street</t>
  </si>
  <si>
    <t>Harrow</t>
  </si>
  <si>
    <t>N0R 1G0</t>
  </si>
  <si>
    <t>C-044-D/040-J-2</t>
  </si>
  <si>
    <t>Iron and Steel</t>
  </si>
  <si>
    <t xml:space="preserve">Fer et acier_x000D_
</t>
  </si>
  <si>
    <t>Essex</t>
  </si>
  <si>
    <t>Windsor--Sarnia</t>
  </si>
  <si>
    <t>N0R</t>
  </si>
  <si>
    <t>Mixedwood Plain</t>
  </si>
  <si>
    <t>Plaines à forêts mixtes</t>
  </si>
  <si>
    <t>St. Lawrence Drainage Area</t>
  </si>
  <si>
    <t>Aire de drainage du Saint-Laurent</t>
  </si>
  <si>
    <t>Kerrobert 01-01-033-24W3</t>
  </si>
  <si>
    <t>Kerrobert</t>
  </si>
  <si>
    <t>08-01-033-24-W3</t>
  </si>
  <si>
    <t>D-052-C/072-N-14</t>
  </si>
  <si>
    <t>Division No. 13</t>
  </si>
  <si>
    <t>Oakdale No. 320</t>
  </si>
  <si>
    <t>Saskatoon--Biggar</t>
  </si>
  <si>
    <t>S0L</t>
  </si>
  <si>
    <t>HD CANADA INC.</t>
  </si>
  <si>
    <t>HOME DECOR INNOVATIONS</t>
  </si>
  <si>
    <t>110 Walker Drive</t>
  </si>
  <si>
    <t>BRAMPTON</t>
  </si>
  <si>
    <t>L6T4H6</t>
  </si>
  <si>
    <t>B-075-J/030-M-12</t>
  </si>
  <si>
    <t>Peel</t>
  </si>
  <si>
    <t>Toronto</t>
  </si>
  <si>
    <t>L6S</t>
  </si>
  <si>
    <t>3313045 NOVA SCOTIA COMPANY</t>
  </si>
  <si>
    <t>Varennes Facility</t>
  </si>
  <si>
    <t>4445 boul. Marie Victorin</t>
  </si>
  <si>
    <t>Varennes</t>
  </si>
  <si>
    <t>J3X 1T3</t>
  </si>
  <si>
    <t>D-073-L/031-H-11</t>
  </si>
  <si>
    <t>Plastics and Rubber</t>
  </si>
  <si>
    <t xml:space="preserve">Plastiques et caoutchouc_x000D_
</t>
  </si>
  <si>
    <t>Marguerite-D'Youville</t>
  </si>
  <si>
    <t>Montréal</t>
  </si>
  <si>
    <t>Montérégie</t>
  </si>
  <si>
    <t>J3X</t>
  </si>
  <si>
    <t>LOUISIANA PACIFIC CANADA LTD.</t>
  </si>
  <si>
    <t>LOUISIANA PACIFIC CANADA LTD,  SAINT-MICHEL-DES-SAINTS</t>
  </si>
  <si>
    <t>600, rue Forex</t>
  </si>
  <si>
    <t>SAINT-MICHEL-DES-SAINTS</t>
  </si>
  <si>
    <t>J0K3B0</t>
  </si>
  <si>
    <t>C-014-L/031-I-12</t>
  </si>
  <si>
    <t>Wood Products</t>
  </si>
  <si>
    <t xml:space="preserve">Produits en bois_x000D_
</t>
  </si>
  <si>
    <t>Matawinie</t>
  </si>
  <si>
    <t>Saint-Michel-des-Saints</t>
  </si>
  <si>
    <t>Lanaudière</t>
  </si>
  <si>
    <t>J0K</t>
  </si>
  <si>
    <t>Boreal Shield</t>
  </si>
  <si>
    <t>Bouclier boréal</t>
  </si>
  <si>
    <t>JEAN LAKE 02-27 #2</t>
  </si>
  <si>
    <t>02-27-100-01 W5M</t>
  </si>
  <si>
    <t>02-27-100-01-W5</t>
  </si>
  <si>
    <t>A-046-I/084-G-9</t>
  </si>
  <si>
    <t>Division No. 17</t>
  </si>
  <si>
    <t>Mackenzie County</t>
  </si>
  <si>
    <t>Athabasca--Grande Prairie--Peace River</t>
  </si>
  <si>
    <t>T0H</t>
  </si>
  <si>
    <t>Boreal Plain</t>
  </si>
  <si>
    <t>Plaines boréales</t>
  </si>
  <si>
    <t>Great Slave Lake Drainage Area</t>
  </si>
  <si>
    <t>Aire de drainage du Grand lac des Esclaves</t>
  </si>
  <si>
    <t>DORSET INDUSTRIAL CHEMICALS LTD</t>
  </si>
  <si>
    <t>2725 Ford Boul</t>
  </si>
  <si>
    <t>CHATEAUGUAY</t>
  </si>
  <si>
    <t>J6J4Z2</t>
  </si>
  <si>
    <t>A-015-G/031-H-5</t>
  </si>
  <si>
    <t>Pulp and Paper</t>
  </si>
  <si>
    <t xml:space="preserve">Pâte à papier et papier_x000D_
</t>
  </si>
  <si>
    <t>Roussillon</t>
  </si>
  <si>
    <t>Châteauguay</t>
  </si>
  <si>
    <t>J6K</t>
  </si>
  <si>
    <t>Aitkin Comp Stn A-079-A</t>
  </si>
  <si>
    <t>13-09-093-1-W7</t>
  </si>
  <si>
    <t>A-079-A/094-G-1</t>
  </si>
  <si>
    <t>Peace River</t>
  </si>
  <si>
    <t>Peace River B</t>
  </si>
  <si>
    <t>Northeast / Nord-est</t>
  </si>
  <si>
    <t>V0C</t>
  </si>
  <si>
    <t>Taiga Plain</t>
  </si>
  <si>
    <t>Taïga des plaines</t>
  </si>
  <si>
    <t>Rapistan Systems</t>
  </si>
  <si>
    <t>7300 Rapistan Court</t>
  </si>
  <si>
    <t>L5N5S1</t>
  </si>
  <si>
    <t>C-022-F/030-M-12</t>
  </si>
  <si>
    <t>L5N</t>
  </si>
  <si>
    <t>ABBT0163785</t>
  </si>
  <si>
    <t>01-24-032-02-W4</t>
  </si>
  <si>
    <t>D-02-B/072-M-16</t>
  </si>
  <si>
    <t>Division No.  4</t>
  </si>
  <si>
    <t>Special Area No. 4</t>
  </si>
  <si>
    <t>Camrose--Drumheller</t>
  </si>
  <si>
    <t>T0C</t>
  </si>
  <si>
    <t>CONOCOPHILLIPS CANADA RESOURCES CORP.</t>
  </si>
  <si>
    <t>BOULDER GAS BATTERY D-072-G</t>
  </si>
  <si>
    <t>D-072-G/093-O-08</t>
  </si>
  <si>
    <t>10-07-074-01-W7</t>
  </si>
  <si>
    <t>D-072-G/093-O-8</t>
  </si>
  <si>
    <t>Peace River E</t>
  </si>
  <si>
    <t>Montane Cordillera</t>
  </si>
  <si>
    <t>Cordillère montagnarde</t>
  </si>
  <si>
    <t>PETROBAKKEN ENERGY LTD</t>
  </si>
  <si>
    <t>PETROBAKKEN HEWARD 2C5-23</t>
  </si>
  <si>
    <t>05-23-009-09W2</t>
  </si>
  <si>
    <t>05-23-009-09-W2</t>
  </si>
  <si>
    <t>C-091-J/062-E-11</t>
  </si>
  <si>
    <t>Division No.  1</t>
  </si>
  <si>
    <t>Tecumseh No. 65</t>
  </si>
  <si>
    <t>Regina--Moose Mountain</t>
  </si>
  <si>
    <t>S0G</t>
  </si>
  <si>
    <t>THE MIDDLETON GROUP</t>
  </si>
  <si>
    <t>75 Denison St.</t>
  </si>
  <si>
    <t>MARKHAM</t>
  </si>
  <si>
    <t>L3R1B5</t>
  </si>
  <si>
    <t>A-089-C/030-M-14</t>
  </si>
  <si>
    <t>Other Manufacturing</t>
  </si>
  <si>
    <t xml:space="preserve">Autres fabrication_x000D_
</t>
  </si>
  <si>
    <t>York</t>
  </si>
  <si>
    <t>Markham</t>
  </si>
  <si>
    <t>L3T</t>
  </si>
  <si>
    <t>Wilson Creek 01-29</t>
  </si>
  <si>
    <t>MINNEHIK</t>
  </si>
  <si>
    <t>16-20-043-04-W5</t>
  </si>
  <si>
    <t>B-073-I/083-B-10</t>
  </si>
  <si>
    <t>Ponoka County</t>
  </si>
  <si>
    <t>Kakwa 03-20-063-04W6</t>
  </si>
  <si>
    <t>03-20-063-04-W6</t>
  </si>
  <si>
    <t>B-056-I/83-L-07</t>
  </si>
  <si>
    <t>Division No. 18</t>
  </si>
  <si>
    <t>Greenview No. 16</t>
  </si>
  <si>
    <t>Cargill AgHorizons, Camrose HTP, AB</t>
  </si>
  <si>
    <t>Camrose</t>
  </si>
  <si>
    <t>T4V 1X3</t>
  </si>
  <si>
    <t>10-05-046-19-W4</t>
  </si>
  <si>
    <t>C-028-J/083-A-15</t>
  </si>
  <si>
    <t>Other (Except Manufacturing)</t>
  </si>
  <si>
    <t xml:space="preserve">Autres (sauf fabrication)_x000D_
</t>
  </si>
  <si>
    <t>Division No. 10</t>
  </si>
  <si>
    <t>Camrose County</t>
  </si>
  <si>
    <t>T4V</t>
  </si>
  <si>
    <t>Wapiti Oil SWB 05-25-069-09W6</t>
  </si>
  <si>
    <t>05-25-069-09-W6</t>
  </si>
  <si>
    <t>A-010-B/083-M-3</t>
  </si>
  <si>
    <t>ENERMARK INC.</t>
  </si>
  <si>
    <t>MARK VALHALLA  16-19-75-10 W6</t>
  </si>
  <si>
    <t>16-19-75-10 W6</t>
  </si>
  <si>
    <t>15-19-075-10-W6</t>
  </si>
  <si>
    <t>B-023-A/083-M-12</t>
  </si>
  <si>
    <t>Division No. 19</t>
  </si>
  <si>
    <t>Saddle Hills County</t>
  </si>
  <si>
    <t>ABBT0158754</t>
  </si>
  <si>
    <t>T2P 0M5</t>
  </si>
  <si>
    <t>04-24-048-06-W4</t>
  </si>
  <si>
    <t>C-071-F/073-E-2</t>
  </si>
  <si>
    <t>Vermilion River County</t>
  </si>
  <si>
    <t>T0B</t>
  </si>
  <si>
    <t>Pacific BioEnergy Prince George Limited Partnership</t>
  </si>
  <si>
    <t>Pacific BioEnergy Prince George Limited Partnership  Prince</t>
  </si>
  <si>
    <t>9988 Willow Cale Forest Road</t>
  </si>
  <si>
    <t>PRINCE GEORGE</t>
  </si>
  <si>
    <t>V2N7A8</t>
  </si>
  <si>
    <t>12-05-056-05-W7</t>
  </si>
  <si>
    <t>A-078-B/093-G-15</t>
  </si>
  <si>
    <t>Fraser-Fort George</t>
  </si>
  <si>
    <t>Fraser-Fort George D</t>
  </si>
  <si>
    <t>Cariboo</t>
  </si>
  <si>
    <t>V2N</t>
  </si>
  <si>
    <t>Pacific Drainage Area</t>
  </si>
  <si>
    <t>Aire de drainage du Pacifique</t>
  </si>
  <si>
    <t>Magna International Inc</t>
  </si>
  <si>
    <t>MODATEK SYSTEMS</t>
  </si>
  <si>
    <t>400 Chisholm Drive</t>
  </si>
  <si>
    <t>Milton</t>
  </si>
  <si>
    <t>L9T 5V6</t>
  </si>
  <si>
    <t>C-024-D/030-M-12</t>
  </si>
  <si>
    <t>Transportation Equipment Mfg.</t>
  </si>
  <si>
    <t xml:space="preserve">Fabrication de matériel de transport_x000D_
</t>
  </si>
  <si>
    <t>Halton</t>
  </si>
  <si>
    <t>L9T</t>
  </si>
  <si>
    <t>CONOCOPHILLIPS CANADA.</t>
  </si>
  <si>
    <t>MONTGOMERY OIL BATTERY 16-16</t>
  </si>
  <si>
    <t>16-16-012-28W4</t>
  </si>
  <si>
    <t>16-16-012-28-W4</t>
  </si>
  <si>
    <t>B-001-C/082-I-4</t>
  </si>
  <si>
    <t>Division No.  3</t>
  </si>
  <si>
    <t>Willow Creek No. 26</t>
  </si>
  <si>
    <t>Lethbridge--Medicine Hat</t>
  </si>
  <si>
    <t>T0L</t>
  </si>
  <si>
    <t>Cardinal Energy Ltd.</t>
  </si>
  <si>
    <t>Scovil Lake OB 9-10-47-9W4</t>
  </si>
  <si>
    <t>Wainwright</t>
  </si>
  <si>
    <t>T9W 0B1</t>
  </si>
  <si>
    <t>09-10-047-09-W4</t>
  </si>
  <si>
    <t>D-049-B/073-E-3</t>
  </si>
  <si>
    <t>Division No.  7</t>
  </si>
  <si>
    <t>Wainwright No. 61</t>
  </si>
  <si>
    <t>Hastings Brass Foundry Ltd.</t>
  </si>
  <si>
    <t>HASTINGS BRASS FOUNDRY - VANCOUVER</t>
  </si>
  <si>
    <t>236 Clark Drive</t>
  </si>
  <si>
    <t>VANCOUVER</t>
  </si>
  <si>
    <t>V5L3H3</t>
  </si>
  <si>
    <t>05-07-004-08-W7</t>
  </si>
  <si>
    <t>D-037-A/092-G-6</t>
  </si>
  <si>
    <t>Metals (Except Aluminum and Iron and Steel)</t>
  </si>
  <si>
    <t xml:space="preserve">Métaux (sauf aluminium et fer et acier)_x000D_
</t>
  </si>
  <si>
    <t>Greater Vancouver</t>
  </si>
  <si>
    <t>Vancouver</t>
  </si>
  <si>
    <t>Lower Mainland--Southwest / Lower Mainland--Sud-ouest</t>
  </si>
  <si>
    <t>V5L</t>
  </si>
  <si>
    <t>Pacific Maritime</t>
  </si>
  <si>
    <t>Maritime du Pacifique</t>
  </si>
  <si>
    <t>Pembina Gas Battery 15-11</t>
  </si>
  <si>
    <t>15-23-045-09-W5</t>
  </si>
  <si>
    <t>C-076-G/083-B-14</t>
  </si>
  <si>
    <t>Division No.  9</t>
  </si>
  <si>
    <t>Clearwater County</t>
  </si>
  <si>
    <t>Banff--Jasper--Rocky Mountain House</t>
  </si>
  <si>
    <t>T0M</t>
  </si>
  <si>
    <t>06-06-072-08W6 (Well Pad)</t>
  </si>
  <si>
    <t>T8W 0J7</t>
  </si>
  <si>
    <t>06-06-072-08-W6</t>
  </si>
  <si>
    <t>C-48/J-83-M-3</t>
  </si>
  <si>
    <t>Grande Prairie County No. 1</t>
  </si>
  <si>
    <t>ABBT0114467</t>
  </si>
  <si>
    <t>06-19-049-11-W5</t>
  </si>
  <si>
    <t>D-089-I/083-G-4</t>
  </si>
  <si>
    <t>Division No. 11</t>
  </si>
  <si>
    <t>Brazeau County</t>
  </si>
  <si>
    <t>Edmonton</t>
  </si>
  <si>
    <t>T7A</t>
  </si>
  <si>
    <t>Killam North Sweet Gas Plant 04-05 (ABGP0001419)</t>
  </si>
  <si>
    <t>01-06-045-12-W4</t>
  </si>
  <si>
    <t>B-018-G/073-D-13</t>
  </si>
  <si>
    <t>Flagstaff County</t>
  </si>
  <si>
    <t>Steelman 03-15-004-06W2 MWB (Unit 2)</t>
  </si>
  <si>
    <t>02-15-004-06-W2</t>
  </si>
  <si>
    <t>B-059-B/062-E-7</t>
  </si>
  <si>
    <t>Browning No. 34</t>
  </si>
  <si>
    <t>S0C</t>
  </si>
  <si>
    <t>Tervita Corporation, Waste Management Division</t>
  </si>
  <si>
    <t>Calgary Transfer Station Barlow</t>
  </si>
  <si>
    <t>9903 Shepard Road Southeast</t>
  </si>
  <si>
    <t>CALGARY</t>
  </si>
  <si>
    <t>T2C3C5</t>
  </si>
  <si>
    <t>09-16-023-29-W4</t>
  </si>
  <si>
    <t>B-059-L/082-I-13</t>
  </si>
  <si>
    <t>Division No.  6</t>
  </si>
  <si>
    <t>Calgary</t>
  </si>
  <si>
    <t>T2Z</t>
  </si>
  <si>
    <t>Wayne Dalum Gas Gathering 13-22-026-18W4</t>
  </si>
  <si>
    <t>13-22-026-18-W4</t>
  </si>
  <si>
    <t>C-086-L/082-P-01</t>
  </si>
  <si>
    <t>Division No.  5</t>
  </si>
  <si>
    <t>Wheatland County</t>
  </si>
  <si>
    <t>T0J</t>
  </si>
  <si>
    <t>Total Forest Industries LP</t>
  </si>
  <si>
    <t>TOTAL FOREST INDUSTRIES LP.</t>
  </si>
  <si>
    <t>304 11th Concession</t>
  </si>
  <si>
    <t>Hagersville</t>
  </si>
  <si>
    <t>N0A 1H0</t>
  </si>
  <si>
    <t>D-011-J/040-I-16</t>
  </si>
  <si>
    <t>Haldimand-Norfolk</t>
  </si>
  <si>
    <t>Haldimand County</t>
  </si>
  <si>
    <t>Hamilton--Niagara Peninsula</t>
  </si>
  <si>
    <t>N0A</t>
  </si>
  <si>
    <t>600 - 435 Fourth Avenue Southwest</t>
  </si>
  <si>
    <t>TWO CREEK</t>
  </si>
  <si>
    <t>T2P 3A8</t>
  </si>
  <si>
    <t>11-08-065-15-W5</t>
  </si>
  <si>
    <t>D-040-G/083-K-9</t>
  </si>
  <si>
    <t>Seven Persons 7-27</t>
  </si>
  <si>
    <t>Medicine Hat</t>
  </si>
  <si>
    <t>T1A 8B8</t>
  </si>
  <si>
    <t>02-27-012-06-W4</t>
  </si>
  <si>
    <t>D-030-B/072-L-2</t>
  </si>
  <si>
    <t>T1A</t>
  </si>
  <si>
    <t>Weyburn 14-27-005-12W2 MWB</t>
  </si>
  <si>
    <t>14-27-005-12-W2</t>
  </si>
  <si>
    <t>B-004-I/062-E-5</t>
  </si>
  <si>
    <t>Division No.  2</t>
  </si>
  <si>
    <t>Cymri No. 36</t>
  </si>
  <si>
    <t>NPA, a Division of Colas Western Canada Inc.</t>
  </si>
  <si>
    <t>P-03 Whitecourt</t>
  </si>
  <si>
    <t>Whitecourt</t>
  </si>
  <si>
    <t>T0E 0B0</t>
  </si>
  <si>
    <t>02-08-060-12-W5</t>
  </si>
  <si>
    <t>B-001-K/083-J-4</t>
  </si>
  <si>
    <t>Petroleum and Coal Product Refining and Mfg.</t>
  </si>
  <si>
    <t xml:space="preserve">Fabrication et raffinage des produits du pétrole et du charbon_x000D_
</t>
  </si>
  <si>
    <t>Woodlands County</t>
  </si>
  <si>
    <t>T7S</t>
  </si>
  <si>
    <t>Quattro Exploration &amp; Production Ltd.</t>
  </si>
  <si>
    <t>Donalda 05-02</t>
  </si>
  <si>
    <t>DONALDA</t>
  </si>
  <si>
    <t>05-02-042-18-W4</t>
  </si>
  <si>
    <t>A-001-H/083-A-10</t>
  </si>
  <si>
    <t>Stettler County No. 6</t>
  </si>
  <si>
    <t>WOODENHOUSE 102/06-29-086-23W4/00</t>
  </si>
  <si>
    <t>KIRK SKOCYLAS</t>
  </si>
  <si>
    <t>06-29-086-23-W4</t>
  </si>
  <si>
    <t>A-089-I/084-A-5</t>
  </si>
  <si>
    <t>Opportunity No. 17</t>
  </si>
  <si>
    <t>T0G</t>
  </si>
  <si>
    <t>WOLF LAKE 10-09</t>
  </si>
  <si>
    <t>10-09-066-05 W4M</t>
  </si>
  <si>
    <t>09-09-066-05-W4</t>
  </si>
  <si>
    <t>D-036-J/073-L-10</t>
  </si>
  <si>
    <t>Division No. 12</t>
  </si>
  <si>
    <t>Bonnyville No. 87</t>
  </si>
  <si>
    <t>Wood Buffalo--Cold Lake</t>
  </si>
  <si>
    <t>T0A</t>
  </si>
  <si>
    <t>Western and Northern Hudson Bay Drainage Area</t>
  </si>
  <si>
    <t>Aire de drainage de l'ouest et du nord de la baie d'Hudson</t>
  </si>
  <si>
    <t>PENGROWTH CORPORATION</t>
  </si>
  <si>
    <t>WILDMINT 2037</t>
  </si>
  <si>
    <t>D-95-I94-A-15</t>
  </si>
  <si>
    <t>09-19-092-16-W6</t>
  </si>
  <si>
    <t>C-095-I/094-A-15</t>
  </si>
  <si>
    <t>LAFARGE NORTH AMERICA, AC&amp;A DIVISION, WCAN REGION</t>
  </si>
  <si>
    <t>LAFARGE CANADA, INC., NORTHWEST DIVISION, JACK PINE RMX PLAN</t>
  </si>
  <si>
    <t>Part of NE, 1/4 Sec 24 Twp 95 Rge 10 W4M</t>
  </si>
  <si>
    <t>Po Box 5246</t>
  </si>
  <si>
    <t>RURAL MUNICIPALITY OF WOOD BUFFALO</t>
  </si>
  <si>
    <t>05-29-095-10-W4</t>
  </si>
  <si>
    <t>B-028-A/074-E-5</t>
  </si>
  <si>
    <t>Cement, Lime and Other Non-Metallic Minerals</t>
  </si>
  <si>
    <t xml:space="preserve">Ciment, chaux et autres produits minéraux non métalliques_x000D_
</t>
  </si>
  <si>
    <t>Division No. 16</t>
  </si>
  <si>
    <t>Wood Buffalo</t>
  </si>
  <si>
    <t>T9H</t>
  </si>
  <si>
    <t>PHOTOWATT TECHNOLOGIES</t>
  </si>
  <si>
    <t>25 REUTER DRIVE</t>
  </si>
  <si>
    <t>CAMBRIDGE</t>
  </si>
  <si>
    <t>N3E1A9</t>
  </si>
  <si>
    <t>A-036-F/040-P-8</t>
  </si>
  <si>
    <t>Waterloo</t>
  </si>
  <si>
    <t>Cambridge</t>
  </si>
  <si>
    <t>Kitchener - Cambridge - Waterloo</t>
  </si>
  <si>
    <t>Kitchener--Waterloo--Barrie</t>
  </si>
  <si>
    <t>N1R</t>
  </si>
  <si>
    <t>OMERS Energy Inc.</t>
  </si>
  <si>
    <t>Willisden Green Compressor Station 03-23-042-05W5</t>
  </si>
  <si>
    <t>01-23-042-05-W5</t>
  </si>
  <si>
    <t>A-059-H/083-B-10</t>
  </si>
  <si>
    <t>Smoky River Sweet Gas Plant 06-16-064-21W5</t>
  </si>
  <si>
    <t>06-16-064-21-W5</t>
  </si>
  <si>
    <t>A-050-A/083-K-11</t>
  </si>
  <si>
    <t>Kingston Midstream Westspur Limited</t>
  </si>
  <si>
    <t>Alida Terminal</t>
  </si>
  <si>
    <t>Alida</t>
  </si>
  <si>
    <t>S0C 0B0</t>
  </si>
  <si>
    <t>07-05-006-33-W1</t>
  </si>
  <si>
    <t>C-032-L/062-F-5</t>
  </si>
  <si>
    <t>Oil and Gas Pipelines and Storage</t>
  </si>
  <si>
    <t xml:space="preserve">Stockage et transport par gazoducs d'huile et de gaz_x000D_
</t>
  </si>
  <si>
    <t>Reciprocity No. 32</t>
  </si>
  <si>
    <t>TAQA NORTH LTD.</t>
  </si>
  <si>
    <t>TAQA MICA 11-34-081-14 (CROSS BORDER)</t>
  </si>
  <si>
    <t>11-34-081-14W6</t>
  </si>
  <si>
    <t>11-34-081-14-W6</t>
  </si>
  <si>
    <t>A-089-A/094-A-1</t>
  </si>
  <si>
    <t>Peace River D</t>
  </si>
  <si>
    <t>V1G</t>
  </si>
  <si>
    <t>West Lake Energy Corp</t>
  </si>
  <si>
    <t>ROSENHEIM NORTH 08-01-39-02W4 MWB</t>
  </si>
  <si>
    <t>08-01-039-02-W4</t>
  </si>
  <si>
    <t>D-083-B/073-D-08</t>
  </si>
  <si>
    <t>Provost No. 52</t>
  </si>
  <si>
    <t>Flat Lake 01-33-001-12W2 (102/01-28) SWB</t>
  </si>
  <si>
    <t>01-33-001-12-W2</t>
  </si>
  <si>
    <t>C-084-A/062-E-4</t>
  </si>
  <si>
    <t>Cambria No. 6</t>
  </si>
  <si>
    <t>Whitecap Ferrier 05-29-037-07 W5M</t>
  </si>
  <si>
    <t>FERRIER</t>
  </si>
  <si>
    <t>05-29-037-07-W5</t>
  </si>
  <si>
    <t>D-049-L/083-B-2</t>
  </si>
  <si>
    <t>T4T</t>
  </si>
  <si>
    <t>TALISMAN-CMPR-05-28-073-09W6</t>
  </si>
  <si>
    <t>05-28-073-09W6</t>
  </si>
  <si>
    <t>05-28-073-09-W6</t>
  </si>
  <si>
    <t>A-027-F/083-M-6</t>
  </si>
  <si>
    <t>VILLE DE DRUMMONDVILLE</t>
  </si>
  <si>
    <t>USINE D'ÉPURATION</t>
  </si>
  <si>
    <t>320, chemin du Diable</t>
  </si>
  <si>
    <t>DRUMMONDVILLE</t>
  </si>
  <si>
    <t>J2B6V4</t>
  </si>
  <si>
    <t>D-092-H/031-H-15</t>
  </si>
  <si>
    <t>Water and Wastewater Systems</t>
  </si>
  <si>
    <t xml:space="preserve">Systèmes d'eau et des eaux usées_x000D_
</t>
  </si>
  <si>
    <t>Drummond</t>
  </si>
  <si>
    <t>Drummondville</t>
  </si>
  <si>
    <t>Centre-du-Québec</t>
  </si>
  <si>
    <t>J2B</t>
  </si>
  <si>
    <t>Pembina Compressor Station 10-31-048-08W5</t>
  </si>
  <si>
    <t>10-31-048-08-W5</t>
  </si>
  <si>
    <t>B-023-J/083-G-3</t>
  </si>
  <si>
    <t>Steen 13-2-109-20w5</t>
  </si>
  <si>
    <t>16-03-109-20-W5</t>
  </si>
  <si>
    <t>C-030-J/084-K-6</t>
  </si>
  <si>
    <t>Carseland Works</t>
  </si>
  <si>
    <t>221 TWP RD</t>
  </si>
  <si>
    <t>Carseland</t>
  </si>
  <si>
    <t>T0J 0M0</t>
  </si>
  <si>
    <t>13-05-022-26-W4</t>
  </si>
  <si>
    <t>D-017-H/082-I-13</t>
  </si>
  <si>
    <t>Chemicals</t>
  </si>
  <si>
    <t xml:space="preserve">Produits chimiques_x000D_
</t>
  </si>
  <si>
    <t>PIONEER NATURAL RESOURCES</t>
  </si>
  <si>
    <t>NIG COMPRESSOR STATION</t>
  </si>
  <si>
    <t>B-71-G 94-H-4</t>
  </si>
  <si>
    <t>NORTH EAST</t>
  </si>
  <si>
    <t>10-09-094-23-W6</t>
  </si>
  <si>
    <t>B-071-G/094-H-4</t>
  </si>
  <si>
    <t>TransAlta Generation Partnership</t>
  </si>
  <si>
    <t>5802 51 Avenue</t>
  </si>
  <si>
    <t>WABAMUN</t>
  </si>
  <si>
    <t>T0E2K0</t>
  </si>
  <si>
    <t>06-11-053-04-W5</t>
  </si>
  <si>
    <t>B-079-D/083-G-9</t>
  </si>
  <si>
    <t>Electricity</t>
  </si>
  <si>
    <t xml:space="preserve">Électricité_x000D_
</t>
  </si>
  <si>
    <t>Wabamun</t>
  </si>
  <si>
    <t>T0E</t>
  </si>
  <si>
    <t>Chinook Energy Inc.</t>
  </si>
  <si>
    <t>09-33-011-13 W4M</t>
  </si>
  <si>
    <t>PURPLE SPRINGS</t>
  </si>
  <si>
    <t>09-33-011-13-W4</t>
  </si>
  <si>
    <t>D-048-J/072-E-13</t>
  </si>
  <si>
    <t>Taber</t>
  </si>
  <si>
    <t>T0K</t>
  </si>
  <si>
    <t>ABS Friction Inc.</t>
  </si>
  <si>
    <t>ABS Friction</t>
  </si>
  <si>
    <t>10 Kingsmill Avenue</t>
  </si>
  <si>
    <t>GUELPH</t>
  </si>
  <si>
    <t>N1E5V9</t>
  </si>
  <si>
    <t>A-077-B/040-P-9</t>
  </si>
  <si>
    <t>Wellington</t>
  </si>
  <si>
    <t>Guelph</t>
  </si>
  <si>
    <t>N1E</t>
  </si>
  <si>
    <t>McEwen Mining</t>
  </si>
  <si>
    <t>McEwen Ontario Black Fox Mine</t>
  </si>
  <si>
    <t>2839 Hwy 101 Highway East</t>
  </si>
  <si>
    <t>Matheson</t>
  </si>
  <si>
    <t>P0K 1N0</t>
  </si>
  <si>
    <t>A-048-C/042-A-9</t>
  </si>
  <si>
    <t>Mining and Quarrying</t>
  </si>
  <si>
    <t xml:space="preserve">Extraction minière et exploitation en carrière_x000D_
</t>
  </si>
  <si>
    <t>Cochrane</t>
  </si>
  <si>
    <t>Black River-Matheson</t>
  </si>
  <si>
    <t>P0K</t>
  </si>
  <si>
    <t>Southwestern Hudson Bay Drainage Area</t>
  </si>
  <si>
    <t>Aire de drainage du sud-ouest de la baie d'Hudson</t>
  </si>
  <si>
    <t>PARAMOUNT ENERGY OPERATING CORP.</t>
  </si>
  <si>
    <t>LEGEND 10-24</t>
  </si>
  <si>
    <t>10-24-093-19 W4M</t>
  </si>
  <si>
    <t>11-24-093-19-W4</t>
  </si>
  <si>
    <t>B-004-E/084-H-2</t>
  </si>
  <si>
    <t>Parkland Booster Comp Stn 01-12</t>
  </si>
  <si>
    <t>03-12-014-27-W4</t>
  </si>
  <si>
    <t>B-085-H/082-I-4</t>
  </si>
  <si>
    <t>DERWENT 5-21</t>
  </si>
  <si>
    <t>05-21-054-7W4</t>
  </si>
  <si>
    <t>PARK COURT</t>
  </si>
  <si>
    <t>05-21-054-07-W4</t>
  </si>
  <si>
    <t>B-019-L/073-E-10</t>
  </si>
  <si>
    <t>Two Hills County No. 21</t>
  </si>
  <si>
    <t>Barrel Oil Corporation</t>
  </si>
  <si>
    <t>BATTLE CREEK 15-33-2-26W3</t>
  </si>
  <si>
    <t>15-33-002-26-W3</t>
  </si>
  <si>
    <t>C-04-L/072-F-3</t>
  </si>
  <si>
    <t>Reno No. 51</t>
  </si>
  <si>
    <t>Mississippi River Drainage Area</t>
  </si>
  <si>
    <t>Aire de drainage du fleuve Mississippi</t>
  </si>
  <si>
    <t>Beartrap Custom Treating Facility</t>
  </si>
  <si>
    <t>Bonnyville</t>
  </si>
  <si>
    <t>T9N 2H4</t>
  </si>
  <si>
    <t>09-15-060-04-W4</t>
  </si>
  <si>
    <t>D-021-I/073-L-2</t>
  </si>
  <si>
    <t>Leismer Compressor Station 03-07-077-07W4</t>
  </si>
  <si>
    <t>03-07-077-07-W4</t>
  </si>
  <si>
    <t>B-087-H/073-M-11</t>
  </si>
  <si>
    <t>T0P</t>
  </si>
  <si>
    <t>Wapiti Compressor Station 04-28-067-08W6M</t>
  </si>
  <si>
    <t>05-28-067-08-W6</t>
  </si>
  <si>
    <t>A-094-B/083-L-14</t>
  </si>
  <si>
    <t>ABBT0156111</t>
  </si>
  <si>
    <t>12-34-019-18-W4</t>
  </si>
  <si>
    <t>C-084-E/82-I-09</t>
  </si>
  <si>
    <t>Newell County</t>
  </si>
  <si>
    <t>Brooks</t>
  </si>
  <si>
    <t>EOG Resources Canada Inc.</t>
  </si>
  <si>
    <t>EAST DRUMHELLER WAYNE ROSEDALE GAS BATTERY 11-24</t>
  </si>
  <si>
    <t>11-24-027-18-W4</t>
  </si>
  <si>
    <t>09-27-024-18-W4</t>
  </si>
  <si>
    <t>A-095-D/082-P-1</t>
  </si>
  <si>
    <t>WILLIAM OSLER HEALTH CENTRE</t>
  </si>
  <si>
    <t>BRAMPTON CAMPUS</t>
  </si>
  <si>
    <t>20 Lynch Street</t>
  </si>
  <si>
    <t>L6W2Z8</t>
  </si>
  <si>
    <t>D-021-K/030-M-12</t>
  </si>
  <si>
    <t>L6W</t>
  </si>
  <si>
    <t>North Toronto Treatment Plant</t>
  </si>
  <si>
    <t>21 Redway Road</t>
  </si>
  <si>
    <t>M4H 1P6</t>
  </si>
  <si>
    <t>B-049-K/030-M-11</t>
  </si>
  <si>
    <t>M4W</t>
  </si>
  <si>
    <t>West Kingsford Terminal</t>
  </si>
  <si>
    <t>LAMPMAN</t>
  </si>
  <si>
    <t>S0C1N0</t>
  </si>
  <si>
    <t>16-23-004-07-W2</t>
  </si>
  <si>
    <t>A-088-C/062-E-7</t>
  </si>
  <si>
    <t>Benson No. 35</t>
  </si>
  <si>
    <t>Pinto Oil SWB 01-18-003-02W2</t>
  </si>
  <si>
    <t>01-18-003-02-W2</t>
  </si>
  <si>
    <t>D-041-K/062-E-1</t>
  </si>
  <si>
    <t>Enniskillen No. 3</t>
  </si>
  <si>
    <t>3M BROCKVILLE 501</t>
  </si>
  <si>
    <t>60 California Avenue</t>
  </si>
  <si>
    <t>K6V5W1</t>
  </si>
  <si>
    <t>C-036-G/031-B-12</t>
  </si>
  <si>
    <t>Leeds and Grenville</t>
  </si>
  <si>
    <t>Brockville</t>
  </si>
  <si>
    <t>Ottawa</t>
  </si>
  <si>
    <t>K6V</t>
  </si>
  <si>
    <t>ENERMARK</t>
  </si>
  <si>
    <t>CHERHILL 8-24-55-6 W5</t>
  </si>
  <si>
    <t>08-24-055-06-W5</t>
  </si>
  <si>
    <t>05-24-055-06-W5</t>
  </si>
  <si>
    <t>C-012-C/083-G-15</t>
  </si>
  <si>
    <t>Lac Ste. Anne County</t>
  </si>
  <si>
    <t>Crawling Valley Comp Stn 05-34</t>
  </si>
  <si>
    <t>05-34-023-18-W4</t>
  </si>
  <si>
    <t>C-096-L/082-I-16</t>
  </si>
  <si>
    <t>Wildmere #1 Gas Plant 10-19-047-04W4</t>
  </si>
  <si>
    <t>09-19-047-04-W4</t>
  </si>
  <si>
    <t>B-086-A/073-E-2</t>
  </si>
  <si>
    <t>EURO-RITE CABINETS LTD</t>
  </si>
  <si>
    <t>EURO-RITE CABINETS - PORT COQUITLAM</t>
  </si>
  <si>
    <t>1610 Industrial Avenue</t>
  </si>
  <si>
    <t>PORT COQUITLAM</t>
  </si>
  <si>
    <t>V3C6N3</t>
  </si>
  <si>
    <t>14-28-003-06-W7</t>
  </si>
  <si>
    <t>B-091-K/092-G-2</t>
  </si>
  <si>
    <t>Port Coquitlam</t>
  </si>
  <si>
    <t>V3C</t>
  </si>
  <si>
    <t>ConocoPhillips Canada Resources Corp.</t>
  </si>
  <si>
    <t>Jedney Comp Station B-006-C</t>
  </si>
  <si>
    <t>04-19-095-02-W7</t>
  </si>
  <si>
    <t>B-006-C/094-G-8</t>
  </si>
  <si>
    <t>BCBT0007743</t>
  </si>
  <si>
    <t>03-09-081-16-W6</t>
  </si>
  <si>
    <t>B-006-D/094-A-1</t>
  </si>
  <si>
    <t>Centrale de cogénération de Kingsey Falls</t>
  </si>
  <si>
    <t>36 Lajeunesse Rue</t>
  </si>
  <si>
    <t>KINGSEY FALLS</t>
  </si>
  <si>
    <t>J0A1B0</t>
  </si>
  <si>
    <t>A-036-H/031-H-16</t>
  </si>
  <si>
    <t>Arthabaska</t>
  </si>
  <si>
    <t>Kingsey Falls</t>
  </si>
  <si>
    <t>J0A</t>
  </si>
  <si>
    <t>Carmichael Oil SWB 05-15-011-19W3</t>
  </si>
  <si>
    <t>05-15-011-19-W3</t>
  </si>
  <si>
    <t>D-83/H-72-F-15</t>
  </si>
  <si>
    <t>Carmichael No. 109</t>
  </si>
  <si>
    <t>BONAVISTA PETROLEUM LTD.</t>
  </si>
  <si>
    <t>WILDMERE GAS BTY 11-22</t>
  </si>
  <si>
    <t>12-22-048-04W4</t>
  </si>
  <si>
    <t>11-22-048-04-W4</t>
  </si>
  <si>
    <t>C-081-H/073-E-2</t>
  </si>
  <si>
    <t>C.S.BROOKS</t>
  </si>
  <si>
    <t>250, rue Principale</t>
  </si>
  <si>
    <t>MAGOG</t>
  </si>
  <si>
    <t>J1X3X2</t>
  </si>
  <si>
    <t>D-013-B/031-H-8</t>
  </si>
  <si>
    <t>Memphrémagog</t>
  </si>
  <si>
    <t>Magog</t>
  </si>
  <si>
    <t>Sherbrooke</t>
  </si>
  <si>
    <t>Estrie</t>
  </si>
  <si>
    <t>J1X</t>
  </si>
  <si>
    <t>Atlantic Maritime</t>
  </si>
  <si>
    <t>Maritime de l'Atlantique</t>
  </si>
  <si>
    <t>Tangleflags 13-34-050-25W3</t>
  </si>
  <si>
    <t>TANGLEFLAGS</t>
  </si>
  <si>
    <t>13-34-050-25-W3</t>
  </si>
  <si>
    <t>C-037-H/073-F-5</t>
  </si>
  <si>
    <t>Britannia No. 502</t>
  </si>
  <si>
    <t>Prince Albert</t>
  </si>
  <si>
    <t>S9V</t>
  </si>
  <si>
    <t>Umicore Precious Metals Canada Inc.</t>
  </si>
  <si>
    <t>951 Denison Street</t>
  </si>
  <si>
    <t>L3R 3W9</t>
  </si>
  <si>
    <t>A-097-C/030-M-14</t>
  </si>
  <si>
    <t>L6G</t>
  </si>
  <si>
    <t>MANATOKAN 10-36</t>
  </si>
  <si>
    <t>10-36-062-07 W4M</t>
  </si>
  <si>
    <t>10-36-062-07-W4</t>
  </si>
  <si>
    <t>D-084-E/073-L-7</t>
  </si>
  <si>
    <t>MONIAS SOUTH 11-09</t>
  </si>
  <si>
    <t>11-09-082-21W6</t>
  </si>
  <si>
    <t>12-10-082-21-W6</t>
  </si>
  <si>
    <t>C-017-G/094-A-3</t>
  </si>
  <si>
    <t>ABBT0131036</t>
  </si>
  <si>
    <t>02-15-069-08-W6</t>
  </si>
  <si>
    <t>B-061-J/083-L-14</t>
  </si>
  <si>
    <t>TRIDENT EXPLORATION CORP.</t>
  </si>
  <si>
    <t>ELNORA GAS WELL 08-20-034-22W4</t>
  </si>
  <si>
    <t>08-20-034-22W4</t>
  </si>
  <si>
    <t>08-20-034-22-W4</t>
  </si>
  <si>
    <t>D-017-I/082-P-14</t>
  </si>
  <si>
    <t>Kneehill County</t>
  </si>
  <si>
    <t>13065 Jean-Grou Street</t>
  </si>
  <si>
    <t>Montreal</t>
  </si>
  <si>
    <t>H1A 3N6</t>
  </si>
  <si>
    <t>H1A</t>
  </si>
  <si>
    <t>TALISMAN PEEJAY C-1-J/94-A-15</t>
  </si>
  <si>
    <t>C-001-J/094-A-15</t>
  </si>
  <si>
    <t>07-27-091-17-W6</t>
  </si>
  <si>
    <t>D-002-J/094-A-15</t>
  </si>
  <si>
    <t>PROGRESS 07-01</t>
  </si>
  <si>
    <t>07-01-077-11W6</t>
  </si>
  <si>
    <t>06-01-077-11-W6</t>
  </si>
  <si>
    <t>D-066-H/083-M-12</t>
  </si>
  <si>
    <t>1039 Regional 24 Road</t>
  </si>
  <si>
    <t>Lively</t>
  </si>
  <si>
    <t>P3Y 1C3</t>
  </si>
  <si>
    <t>C-065-J/041-I-6</t>
  </si>
  <si>
    <t>Greater Sudbury / Grand Sudbury</t>
  </si>
  <si>
    <t>P3Y</t>
  </si>
  <si>
    <t>Westerose Comp Stn 11-09</t>
  </si>
  <si>
    <t>HOADLEY</t>
  </si>
  <si>
    <t>06-09-044-02-W5</t>
  </si>
  <si>
    <t>B-039-B/083-B-16</t>
  </si>
  <si>
    <t>HOME LEISMER 13-5</t>
  </si>
  <si>
    <t>04-01-076-06W4</t>
  </si>
  <si>
    <t>13-05-076-06-W4</t>
  </si>
  <si>
    <t>B-073-D/073-M-10</t>
  </si>
  <si>
    <t>CONOCOPHILLIPS CANADA</t>
  </si>
  <si>
    <t>CONOCO ET AL WATTS GAS BATTERY 16-25</t>
  </si>
  <si>
    <t>16-25-031-16W4</t>
  </si>
  <si>
    <t>16-25-031-16-W4</t>
  </si>
  <si>
    <t>C-021-J/082-P-9</t>
  </si>
  <si>
    <t>Starland County</t>
  </si>
  <si>
    <t>Suncor Energy Resources Partnership</t>
  </si>
  <si>
    <t>9-20-016-04W4M Booster Compressor</t>
  </si>
  <si>
    <t>9-20-16-4 W4M</t>
  </si>
  <si>
    <t>MEDICINE HAT</t>
  </si>
  <si>
    <t>T1A7G7</t>
  </si>
  <si>
    <t>09-20-016-04-W4</t>
  </si>
  <si>
    <t>B-031-H/072-L-7</t>
  </si>
  <si>
    <t>Cypress County</t>
  </si>
  <si>
    <t>Baytex Energy Ltd.</t>
  </si>
  <si>
    <t>SKBT0027052</t>
  </si>
  <si>
    <t>13-13-030-21-W3</t>
  </si>
  <si>
    <t>C-87/C-72-N-10</t>
  </si>
  <si>
    <t>Kindersley No. 290</t>
  </si>
  <si>
    <t>Battery OBE Crimlake 09-04</t>
  </si>
  <si>
    <t>09-04-045-09-W5</t>
  </si>
  <si>
    <t>A-030-G/083-B-14</t>
  </si>
  <si>
    <t>G3 Canada Limited</t>
  </si>
  <si>
    <t>G3 Terminal Vancouver</t>
  </si>
  <si>
    <t>95 Brooksbank Avenue</t>
  </si>
  <si>
    <t>V7J 2B8</t>
  </si>
  <si>
    <t>15-17-004-08-W7</t>
  </si>
  <si>
    <t>A-064-A/92-G-06</t>
  </si>
  <si>
    <t>V7L</t>
  </si>
  <si>
    <t>MIKWAN 10-29</t>
  </si>
  <si>
    <t>10-29-035-22 W4M</t>
  </si>
  <si>
    <t>11-29-035-22-W4</t>
  </si>
  <si>
    <t>B-049-A/083-A-3</t>
  </si>
  <si>
    <t>Red Deer County</t>
  </si>
  <si>
    <t>Ropak Canada Inc.</t>
  </si>
  <si>
    <t>Ropak Packaging Northwest</t>
  </si>
  <si>
    <t>5850 272 Street</t>
  </si>
  <si>
    <t>Langley</t>
  </si>
  <si>
    <t>V4W 3Z1</t>
  </si>
  <si>
    <t>08-09-002-04-W7</t>
  </si>
  <si>
    <t>C-028-E/092-G-1</t>
  </si>
  <si>
    <t>V4W</t>
  </si>
  <si>
    <t>HANGING STONE 01-24</t>
  </si>
  <si>
    <t>01-24-084-11W4</t>
  </si>
  <si>
    <t>01-24-084-11-W4</t>
  </si>
  <si>
    <t>A-058-A/074-D-5</t>
  </si>
  <si>
    <t>British Columbia Hydro and Power Authority</t>
  </si>
  <si>
    <t>Sandspit Diesel Generating Station</t>
  </si>
  <si>
    <t>Sandspit</t>
  </si>
  <si>
    <t>16-18-049-13-W9</t>
  </si>
  <si>
    <t>A-081-L/0103-G-4</t>
  </si>
  <si>
    <t>Skeena-Queen Charlotte</t>
  </si>
  <si>
    <t>Skeena-Queen Charlotte E</t>
  </si>
  <si>
    <t>North Coast / Côte-nord</t>
  </si>
  <si>
    <t>V0T</t>
  </si>
  <si>
    <t>SKBT0034259</t>
  </si>
  <si>
    <t>14-03-030-24-W3</t>
  </si>
  <si>
    <t>B-054-C/072-N-11</t>
  </si>
  <si>
    <t>Devon Iron River 1-36-63-7w4 Pad</t>
  </si>
  <si>
    <t>IRON RIVER OP</t>
  </si>
  <si>
    <t>01-36-063-07-W4</t>
  </si>
  <si>
    <t>D-084-L/073-L-7</t>
  </si>
  <si>
    <t>Fort St John Compressor Station 04-09</t>
  </si>
  <si>
    <t>10-09-083-17-W6</t>
  </si>
  <si>
    <t>B-030-I/094-A-2</t>
  </si>
  <si>
    <t>Peace River C</t>
  </si>
  <si>
    <t>Fort St. John</t>
  </si>
  <si>
    <t>Sinopec Canada</t>
  </si>
  <si>
    <t>Brazeau Battery 01-12</t>
  </si>
  <si>
    <t>01-12-047-11-W5</t>
  </si>
  <si>
    <t>A-048-D/083-G-3</t>
  </si>
  <si>
    <t>VELMA B-066-D</t>
  </si>
  <si>
    <t>B-066-D/094-H-08</t>
  </si>
  <si>
    <t>10-01-096-16-W6</t>
  </si>
  <si>
    <t>B-066-D/094-H-8</t>
  </si>
  <si>
    <t>TOURMALINE 01-22-44 GGS</t>
  </si>
  <si>
    <t>01-22-044-14-W5</t>
  </si>
  <si>
    <t>A-066-D/083-B-13</t>
  </si>
  <si>
    <t>Carmangay 16-09-13-21W4M</t>
  </si>
  <si>
    <t>Carmangay</t>
  </si>
  <si>
    <t>16-09-013-21-W4</t>
  </si>
  <si>
    <t>A-095-C/82-I-02</t>
  </si>
  <si>
    <t>Lethbridge County</t>
  </si>
  <si>
    <t>Champion Technologies, Ltd</t>
  </si>
  <si>
    <t>Calgary Plant</t>
  </si>
  <si>
    <t>6555-30TH STREET SE</t>
  </si>
  <si>
    <t>T2C1R4</t>
  </si>
  <si>
    <t>01-33-023-29-W4</t>
  </si>
  <si>
    <t>B-099-L/082-I-13</t>
  </si>
  <si>
    <t>T2C</t>
  </si>
  <si>
    <t>P-48 HWY Mobile</t>
  </si>
  <si>
    <t>Hardisty</t>
  </si>
  <si>
    <t>T0B 1V0</t>
  </si>
  <si>
    <t>07-07-090-09-W4</t>
  </si>
  <si>
    <t>C-044-D/074-D-14</t>
  </si>
  <si>
    <t>Legacy Oil + Gas Inc.</t>
  </si>
  <si>
    <t>Manor Oil Battery 03-20</t>
  </si>
  <si>
    <t>03-20-007-01-W2</t>
  </si>
  <si>
    <t>B-089-A/062-E-9</t>
  </si>
  <si>
    <t>Moose Mountain No. 63</t>
  </si>
  <si>
    <t>Hunter Comp Stn D-021-B</t>
  </si>
  <si>
    <t>04-28-061-06-W7</t>
  </si>
  <si>
    <t>C-058-C/093-J-7</t>
  </si>
  <si>
    <t>Fraser-Fort George G</t>
  </si>
  <si>
    <t>V0J</t>
  </si>
  <si>
    <t>Park Paving Ltd.</t>
  </si>
  <si>
    <t>Portable Asphalt Plant</t>
  </si>
  <si>
    <t>4025 101st Street</t>
  </si>
  <si>
    <t>EDMONTON</t>
  </si>
  <si>
    <t>T6E0A4</t>
  </si>
  <si>
    <t>08-26-050-03-W5</t>
  </si>
  <si>
    <t>B-016-F/083-G-8</t>
  </si>
  <si>
    <t>Leduc County</t>
  </si>
  <si>
    <t>Lynx Energy ULC</t>
  </si>
  <si>
    <t>Twining Battery 09-33</t>
  </si>
  <si>
    <t>Twining</t>
  </si>
  <si>
    <t>12-34-032-24-W4</t>
  </si>
  <si>
    <t>B-047-C/082-P-14</t>
  </si>
  <si>
    <t>Strathcona Resources Ltd.</t>
  </si>
  <si>
    <t>Batteries 14-08-062-03W6</t>
  </si>
  <si>
    <t>14-08-062-03-W6</t>
  </si>
  <si>
    <t>A-024-E/083-L-8</t>
  </si>
  <si>
    <t>Macoun 08-22-004-09W2 MWB</t>
  </si>
  <si>
    <t>08-22-004-09-W2</t>
  </si>
  <si>
    <t>A-071-B/062-E-6</t>
  </si>
  <si>
    <t>Encana Corporation</t>
  </si>
  <si>
    <t>Ghost Pine Comp Stn 16-30</t>
  </si>
  <si>
    <t>16-30-032-22-W4</t>
  </si>
  <si>
    <t>A-039-A/082-P-14</t>
  </si>
  <si>
    <t>ARAMCO MANAGEMENT LTD.</t>
  </si>
  <si>
    <t>3030 Walker Road</t>
  </si>
  <si>
    <t>WINDSOR</t>
  </si>
  <si>
    <t>N8W3R3</t>
  </si>
  <si>
    <t>D-039-D/040-J-7</t>
  </si>
  <si>
    <t>Windsor</t>
  </si>
  <si>
    <t>N8W</t>
  </si>
  <si>
    <t>HCFT 16-08 booster</t>
  </si>
  <si>
    <t>16-08-023-21-W4</t>
  </si>
  <si>
    <t>D-032-L/082-I-15</t>
  </si>
  <si>
    <t>Wilson Ck 100/06-21-042-04w5 Ggs</t>
  </si>
  <si>
    <t>WILSONCR</t>
  </si>
  <si>
    <t>11-21-042-04-W5</t>
  </si>
  <si>
    <t>B-062-H/083-B-10</t>
  </si>
  <si>
    <t>Shawflex, a division of Mattr Corp.</t>
  </si>
  <si>
    <t>Rexdale</t>
  </si>
  <si>
    <t>25 Bethridge Road</t>
  </si>
  <si>
    <t>M9W 1M7</t>
  </si>
  <si>
    <t>C-046-I/030-M-12</t>
  </si>
  <si>
    <t>M9W</t>
  </si>
  <si>
    <t>Western Rubber Products</t>
  </si>
  <si>
    <t>Western Rubber Products - Cliveden</t>
  </si>
  <si>
    <t>969 Cliveden Avenue</t>
  </si>
  <si>
    <t xml:space="preserve">Delta </t>
  </si>
  <si>
    <t>V3M 5R6</t>
  </si>
  <si>
    <t>15-36-002-08-W7</t>
  </si>
  <si>
    <t>A-15/L-92-G-2</t>
  </si>
  <si>
    <t>Delta</t>
  </si>
  <si>
    <t>V4G</t>
  </si>
  <si>
    <t>Carol Lake/Wabush</t>
  </si>
  <si>
    <t>P.O Box 159 A2V 2K5</t>
  </si>
  <si>
    <t>LABRADOR CITY</t>
  </si>
  <si>
    <t>A2V2K5</t>
  </si>
  <si>
    <t>08-21-046-22-E8</t>
  </si>
  <si>
    <t>B-071-L/023-B-15</t>
  </si>
  <si>
    <t>Division No. 10, Subd. D</t>
  </si>
  <si>
    <t>West Coast--Northern Peninsula--Labrador / Côte-ouest--Northern Peninsula--Labrador</t>
  </si>
  <si>
    <t>A0R</t>
  </si>
  <si>
    <t>Northern Québec and Labrador Drainage Area</t>
  </si>
  <si>
    <t>Aire de drainage du Nord du Québec et du Labrador</t>
  </si>
  <si>
    <t>Ifastgroupe</t>
  </si>
  <si>
    <t>Galvano</t>
  </si>
  <si>
    <t>2620 Bernard-Pilon</t>
  </si>
  <si>
    <t>Saint-Mathieu-de-Beloeil</t>
  </si>
  <si>
    <t>J3G 4S5</t>
  </si>
  <si>
    <t>D-081-C/031-H-11</t>
  </si>
  <si>
    <t>La Vallée-du-Richelieu</t>
  </si>
  <si>
    <t>J3G</t>
  </si>
  <si>
    <t>04-14-080-17W6 (Well Pad)</t>
  </si>
  <si>
    <t>04-14-080-17-W6</t>
  </si>
  <si>
    <t>A-015-I/093-P-15</t>
  </si>
  <si>
    <t>Baytex Freemont 8-32-43-24W3</t>
  </si>
  <si>
    <t>FREEMONT</t>
  </si>
  <si>
    <t>02-32-043-24-W3</t>
  </si>
  <si>
    <t>B-096-L/073-C-11</t>
  </si>
  <si>
    <t>Hillsdale No. 440</t>
  </si>
  <si>
    <t>S0M</t>
  </si>
  <si>
    <t>TEINE Grennan 11-12</t>
  </si>
  <si>
    <t>11-12-026-16-W3</t>
  </si>
  <si>
    <t>D-050-I/072-N-1</t>
  </si>
  <si>
    <t>Monet No. 257</t>
  </si>
  <si>
    <t>LEGEND PUMP STATION</t>
  </si>
  <si>
    <t>13-06-06-12W4M</t>
  </si>
  <si>
    <t>13-06-006-12-W4</t>
  </si>
  <si>
    <t>D-040-I/072-E-5</t>
  </si>
  <si>
    <t>Forty Mile County No. 8</t>
  </si>
  <si>
    <t>Dawson Oil Battery 08-26-079-16W5</t>
  </si>
  <si>
    <t>08-26-079-16-W5</t>
  </si>
  <si>
    <t>D-041-E/083-N-16</t>
  </si>
  <si>
    <t>Big Lakes County</t>
  </si>
  <si>
    <t>Journey Energy Inc.</t>
  </si>
  <si>
    <t>06-13-045-04 W5M Journey Hz Pembina 11-18</t>
  </si>
  <si>
    <t>14-05-055-11-W5</t>
  </si>
  <si>
    <t>A-079-I/083-G-12</t>
  </si>
  <si>
    <t>Division No. 14</t>
  </si>
  <si>
    <t>Yellowhead County</t>
  </si>
  <si>
    <t>NuVista Energy Ltd.</t>
  </si>
  <si>
    <t>Chinook Comp Station 04-26</t>
  </si>
  <si>
    <t>04-26-030-06-W4</t>
  </si>
  <si>
    <t>B-020-G/072-M-10</t>
  </si>
  <si>
    <t>Special Area No. 3</t>
  </si>
  <si>
    <t>TRILOGY ENERGY TRUST LP</t>
  </si>
  <si>
    <t>TRILOGY ET AL WIND 13-26</t>
  </si>
  <si>
    <t>13-26-058-16W5</t>
  </si>
  <si>
    <t>10-26-058-16-W5</t>
  </si>
  <si>
    <t>A-052-C/083-K-1</t>
  </si>
  <si>
    <t>MINISTRY OF TRANSPORTATION</t>
  </si>
  <si>
    <t>GERALDTON #7  Z16 E 507200 N 5504600</t>
  </si>
  <si>
    <t>615 South James Street</t>
  </si>
  <si>
    <t>THUNDER BAY</t>
  </si>
  <si>
    <t>P7E6P6</t>
  </si>
  <si>
    <t>12-36-008-23-E3</t>
  </si>
  <si>
    <t>A-033-L/042-E-10</t>
  </si>
  <si>
    <t>Thunder Bay</t>
  </si>
  <si>
    <t>Greenstone</t>
  </si>
  <si>
    <t>Northwest / Nord-ouest</t>
  </si>
  <si>
    <t>P0T</t>
  </si>
  <si>
    <t>SKBT0029325</t>
  </si>
  <si>
    <t>13-25-033-24-W3</t>
  </si>
  <si>
    <t>C-033-F/72-N-14</t>
  </si>
  <si>
    <t>Lousana 8-20</t>
  </si>
  <si>
    <t>LOUSANA</t>
  </si>
  <si>
    <t>08-20-036-21-W4</t>
  </si>
  <si>
    <t>C-027-E/083-A-2</t>
  </si>
  <si>
    <t>BASF CANADA</t>
  </si>
  <si>
    <t>GEORGETOWN SITE</t>
  </si>
  <si>
    <t>80  TODD Road</t>
  </si>
  <si>
    <t>GEORGETOWN</t>
  </si>
  <si>
    <t>L7G4R7</t>
  </si>
  <si>
    <t>B-082-E/030-M-12</t>
  </si>
  <si>
    <t>Halton Hills</t>
  </si>
  <si>
    <t>L7G</t>
  </si>
  <si>
    <t>Para 103 16-13-039-05w5/02 Oil Swb</t>
  </si>
  <si>
    <t>03-07-039-04-W5</t>
  </si>
  <si>
    <t>A-006-H/083-B-7</t>
  </si>
  <si>
    <t>Petrus Resources Ltd.</t>
  </si>
  <si>
    <t>10-21-038-08W5 Pad</t>
  </si>
  <si>
    <t>16-26-038-09-W5</t>
  </si>
  <si>
    <t>B-047-A/083-B-6</t>
  </si>
  <si>
    <t>PROGRESS PLASTICS AND COMPOUNDS</t>
  </si>
  <si>
    <t>1100 MEYERSIDE DRIVE</t>
  </si>
  <si>
    <t>L5T1J4</t>
  </si>
  <si>
    <t>A-084-G/030-M-12</t>
  </si>
  <si>
    <t>L4T</t>
  </si>
  <si>
    <t>GARLAND COMMERCIAL RANGES LIMITED</t>
  </si>
  <si>
    <t>CANADIAN FACILITY</t>
  </si>
  <si>
    <t>1177 Kamato Road</t>
  </si>
  <si>
    <t>L4W1X4</t>
  </si>
  <si>
    <t>C-062-G/030-M-12</t>
  </si>
  <si>
    <t>L4W</t>
  </si>
  <si>
    <t>Lightstream Resources Ltd.</t>
  </si>
  <si>
    <t>PBEN VIEWFIELD 2HZ 2A1-4-3A1-33-7-7</t>
  </si>
  <si>
    <t>01-04-008-07-W2</t>
  </si>
  <si>
    <t>A-032-E/062-E-10</t>
  </si>
  <si>
    <t>Eagle Lake 04-28-031-21W3 MWB</t>
  </si>
  <si>
    <t>04-28-031-21-W3</t>
  </si>
  <si>
    <t>D-015-L/072-N-10</t>
  </si>
  <si>
    <t>Winslow No. 319</t>
  </si>
  <si>
    <t>Bonavista Crystal/Norbuck GGS</t>
  </si>
  <si>
    <t>CRYSTAL</t>
  </si>
  <si>
    <t>06-35-046-04-W5</t>
  </si>
  <si>
    <t>B-018-D/083-G-1</t>
  </si>
  <si>
    <t>Wetaskiwin County No. 10</t>
  </si>
  <si>
    <t>NAV ENERGY TRUST</t>
  </si>
  <si>
    <t>HASSARD LAKE 05-24-009-05W2</t>
  </si>
  <si>
    <t>05-24-009-05W2</t>
  </si>
  <si>
    <t>06-24-009-05-W2</t>
  </si>
  <si>
    <t>D-096-I/062-E-10</t>
  </si>
  <si>
    <t>Brock No. 64</t>
  </si>
  <si>
    <t>Rapdan Oil SWB 13-10-003-20W3</t>
  </si>
  <si>
    <t>13-10-003-20-W3</t>
  </si>
  <si>
    <t>A-041-J/72-F-02</t>
  </si>
  <si>
    <t>Frontier No. 19</t>
  </si>
  <si>
    <t>VELTRI CANADA - GLENCOE</t>
  </si>
  <si>
    <t>GLENCOE FACILITY</t>
  </si>
  <si>
    <t>73  MAIN Street</t>
  </si>
  <si>
    <t>GLENCOE</t>
  </si>
  <si>
    <t>N0L1M0</t>
  </si>
  <si>
    <t>B-097-J/040-I-12</t>
  </si>
  <si>
    <t>Middlesex</t>
  </si>
  <si>
    <t>Southwest Middlesex</t>
  </si>
  <si>
    <t>London</t>
  </si>
  <si>
    <t>N0L</t>
  </si>
  <si>
    <t>Connorsville Sweet Gas Plant 09-32-025-15W4</t>
  </si>
  <si>
    <t>09-32-025-15-W4</t>
  </si>
  <si>
    <t>A-015-I/082-P-1</t>
  </si>
  <si>
    <t>Special Area No. 2</t>
  </si>
  <si>
    <t>ABBT0157689</t>
  </si>
  <si>
    <t>07-28-045-02-W5</t>
  </si>
  <si>
    <t>D-089-G/083-B-16</t>
  </si>
  <si>
    <t>West 5 Resources Inc.</t>
  </si>
  <si>
    <t>Chip Lake Oil Battery 05-13</t>
  </si>
  <si>
    <t>Chip Lake</t>
  </si>
  <si>
    <t>05-13-053-10-W5</t>
  </si>
  <si>
    <t>B-098-C/083-G-11</t>
  </si>
  <si>
    <t>Nevis Compressor Station 09-14-039-22W4</t>
  </si>
  <si>
    <t>09-14-039-22-W4</t>
  </si>
  <si>
    <t>D-025-H/083-A-6</t>
  </si>
  <si>
    <t>670026 ONTARIO LIMITED</t>
  </si>
  <si>
    <t>PELEE NORTH SIDE QUARRY</t>
  </si>
  <si>
    <t>38 Harris-Garno Rd.</t>
  </si>
  <si>
    <t>PELEE ISLAND</t>
  </si>
  <si>
    <t>D-006-B/040-G-15</t>
  </si>
  <si>
    <t>Pelee</t>
  </si>
  <si>
    <t>Vermilion Energy Inc.</t>
  </si>
  <si>
    <t>ABBT0152329</t>
  </si>
  <si>
    <t>09-16-049-12-W5</t>
  </si>
  <si>
    <t>C-75/J-83-G-4</t>
  </si>
  <si>
    <t>Drayton Comp Station 11-33</t>
  </si>
  <si>
    <t>11-33-045-08-W5</t>
  </si>
  <si>
    <t>A-019-I/083-B-14</t>
  </si>
  <si>
    <t>Interfor Corporation</t>
  </si>
  <si>
    <t>Castlegar Sawmill</t>
  </si>
  <si>
    <t>2705 Arrow Lakes Drive</t>
  </si>
  <si>
    <t>Castlegar</t>
  </si>
  <si>
    <t>V1N 3W4</t>
  </si>
  <si>
    <t>01-32-004-28-W5</t>
  </si>
  <si>
    <t>A-009-G/082-F-5</t>
  </si>
  <si>
    <t>Central Kootenay</t>
  </si>
  <si>
    <t>Kootenay</t>
  </si>
  <si>
    <t>V1N</t>
  </si>
  <si>
    <t>HCFT 13-25 booster</t>
  </si>
  <si>
    <t>13-25-023-22-W4</t>
  </si>
  <si>
    <t>A-097-L/082-I-15</t>
  </si>
  <si>
    <t>Provost Oil Battery 05-04-035-06W4</t>
  </si>
  <si>
    <t>05-04-035-06-W4</t>
  </si>
  <si>
    <t>C-065-K/72-M-15</t>
  </si>
  <si>
    <t>BNNYVLLE 16-14-063-07W4 PAD</t>
  </si>
  <si>
    <t>16-14-063-07-W4</t>
  </si>
  <si>
    <t>D-046-L/073-L-7</t>
  </si>
  <si>
    <t>LASHBURN 01-11</t>
  </si>
  <si>
    <t>01-11-048-25W3</t>
  </si>
  <si>
    <t>01-11-048-25-W3</t>
  </si>
  <si>
    <t>A-044-H/073-F-4</t>
  </si>
  <si>
    <t>Wilton No. 472</t>
  </si>
  <si>
    <t>Lloydminster (Saskatchewan part / partie de la Saskatchewan)</t>
  </si>
  <si>
    <t>Harriston Agromart</t>
  </si>
  <si>
    <t>Harriston Agromart Harriston, ON</t>
  </si>
  <si>
    <t>6308 Wellington Road 109</t>
  </si>
  <si>
    <t>Harriston</t>
  </si>
  <si>
    <t>N0G 1Z0</t>
  </si>
  <si>
    <t>D-067-F/040-P-15</t>
  </si>
  <si>
    <t>Minto</t>
  </si>
  <si>
    <t>N0G</t>
  </si>
  <si>
    <t>Soda Lake Oil MWB 02-36-046-24W3</t>
  </si>
  <si>
    <t>02-36-046-23-W3</t>
  </si>
  <si>
    <t>B-007-B/073-F-3</t>
  </si>
  <si>
    <t>Greenwood Forest Products (1983) Ltd.</t>
  </si>
  <si>
    <t>GREENWOOD FOREST PRODUCTS (1983) - PENTICTON</t>
  </si>
  <si>
    <t>161 Green Mtn Road</t>
  </si>
  <si>
    <t>PENTICTON</t>
  </si>
  <si>
    <t>V2A 6J9</t>
  </si>
  <si>
    <t>15-18-006-12-W6</t>
  </si>
  <si>
    <t>A-079-I/082-E-5</t>
  </si>
  <si>
    <t>Okanagan-Similkameen</t>
  </si>
  <si>
    <t>Penticton 1</t>
  </si>
  <si>
    <t>Penticton</t>
  </si>
  <si>
    <t>Thompson--Okanagan</t>
  </si>
  <si>
    <t>V2A</t>
  </si>
  <si>
    <t>EOG RESOURCES CANADA INC.</t>
  </si>
  <si>
    <t>LIEBENTHAL GAS BATTERY COMP STN 3 16-28</t>
  </si>
  <si>
    <t>16-28-018-25-W3</t>
  </si>
  <si>
    <t>15-28-018-25-W3</t>
  </si>
  <si>
    <t>C-061-D/072-K-11</t>
  </si>
  <si>
    <t>Fox Valley No. 171</t>
  </si>
  <si>
    <t>Longshore Resources Ltd.</t>
  </si>
  <si>
    <t>Renaissance Hayter Oil MWB 06-29-041-01W4</t>
  </si>
  <si>
    <t>06-29-041-01-W4</t>
  </si>
  <si>
    <t>D-070-A/073-D-9</t>
  </si>
  <si>
    <t>NORTH DUNCAN 11-26</t>
  </si>
  <si>
    <t>11-26-077-16W4</t>
  </si>
  <si>
    <t>11-26-077-16-W4</t>
  </si>
  <si>
    <t>A-041-L/083-P-9</t>
  </si>
  <si>
    <t>Lac la Biche County</t>
  </si>
  <si>
    <t>Penn West Petroleum Ltd.</t>
  </si>
  <si>
    <t>WASKADA 00/11-22-001-25W1</t>
  </si>
  <si>
    <t>05-22-001-25-W1</t>
  </si>
  <si>
    <t>D-051-C/062-F-2</t>
  </si>
  <si>
    <t>Brenda-Waskada</t>
  </si>
  <si>
    <t>Southwest / Sud-ouest</t>
  </si>
  <si>
    <t>R0M</t>
  </si>
  <si>
    <t>Wordsworth Oil MWB 15-09</t>
  </si>
  <si>
    <t>12-20-005-02-W2</t>
  </si>
  <si>
    <t>C-080-G/062-E-8</t>
  </si>
  <si>
    <t>Moose Creek No. 33</t>
  </si>
  <si>
    <t>Darling International Canada Inc.</t>
  </si>
  <si>
    <t>Dundas</t>
  </si>
  <si>
    <t>880 Highway 5 Highway</t>
  </si>
  <si>
    <t>L9H 5E2</t>
  </si>
  <si>
    <t>D-042-A/040-P-8</t>
  </si>
  <si>
    <t>Hamilton</t>
  </si>
  <si>
    <t>L9H</t>
  </si>
  <si>
    <t>INLAND-HOLDEN GAS BATTERY 03-03</t>
  </si>
  <si>
    <t>03-03-051-15-W4</t>
  </si>
  <si>
    <t>05-20-039-15-W4</t>
  </si>
  <si>
    <t>B-041-G/083-A-8</t>
  </si>
  <si>
    <t>Paintearth County No. 18</t>
  </si>
  <si>
    <t>Lanaway Oil Battery 04-23-036-03W5</t>
  </si>
  <si>
    <t>04-23-036-03-W5</t>
  </si>
  <si>
    <t>B-027-F/083-B-1</t>
  </si>
  <si>
    <t>Kakwa 05-02-063-05W6</t>
  </si>
  <si>
    <t>05-02-063-05-W6</t>
  </si>
  <si>
    <t>A-003-J/083-L-7</t>
  </si>
  <si>
    <t>Wapella 02-17-015-01W2 MWB</t>
  </si>
  <si>
    <t>02-17-015-01-W2</t>
  </si>
  <si>
    <t>B-009-A/062-L-8</t>
  </si>
  <si>
    <t>Silverwood No. 123</t>
  </si>
  <si>
    <t>Yorkton--Melville</t>
  </si>
  <si>
    <t>ArcelorMittal Scoudouc</t>
  </si>
  <si>
    <t>Unit A - 31 Avenue Bursill</t>
  </si>
  <si>
    <t>SCOUDOUC</t>
  </si>
  <si>
    <t>E4P3N7</t>
  </si>
  <si>
    <t>C-097-H/021-I-2</t>
  </si>
  <si>
    <t>Westmorland</t>
  </si>
  <si>
    <t>Shediac</t>
  </si>
  <si>
    <t>Moncton--Richibucto</t>
  </si>
  <si>
    <t>E4P</t>
  </si>
  <si>
    <t>Maritime Provinces Drainage Area</t>
  </si>
  <si>
    <t>Aire de drainage des provinces Maritimes</t>
  </si>
  <si>
    <t>PENN WEST ENERGY TRUST</t>
  </si>
  <si>
    <t>ALDERSON 13-15-015-11W4</t>
  </si>
  <si>
    <t>13-15-015-11W4</t>
  </si>
  <si>
    <t>13-15-015-11-W4</t>
  </si>
  <si>
    <t>C-016-D/072-L-6</t>
  </si>
  <si>
    <t>Flat Lake 15-01-002-12W2 (101/15-12) SWB</t>
  </si>
  <si>
    <t>15-01-002-12-W2</t>
  </si>
  <si>
    <t>C-019-E/062-E-3</t>
  </si>
  <si>
    <t xml:space="preserve">Olymel s.e.c. </t>
  </si>
  <si>
    <t>Olymel s.e.c. Ste-Rosalie</t>
  </si>
  <si>
    <t>3250 Laurier Boulevard East</t>
  </si>
  <si>
    <t>St-Hyacinthe</t>
  </si>
  <si>
    <t>J2R 1P8</t>
  </si>
  <si>
    <t>D-64/E-31-H-10</t>
  </si>
  <si>
    <t>Les Maskoutains</t>
  </si>
  <si>
    <t>Saint-Hyacinthe</t>
  </si>
  <si>
    <t>J2R</t>
  </si>
  <si>
    <t>JET MOULDING COMPOUNDS</t>
  </si>
  <si>
    <t>JET MOULDING COMPOUNDS INC.</t>
  </si>
  <si>
    <t>251  STATION Street</t>
  </si>
  <si>
    <t>AJAX</t>
  </si>
  <si>
    <t>L1S1S3</t>
  </si>
  <si>
    <t>D-013-H/030-M-14</t>
  </si>
  <si>
    <t>Durham</t>
  </si>
  <si>
    <t>Ajax</t>
  </si>
  <si>
    <t>L1S</t>
  </si>
  <si>
    <t>IRVING PAPER</t>
  </si>
  <si>
    <t>COURTENAY BAY GENERATING STATION UNIT#2</t>
  </si>
  <si>
    <t>509 Bayside Drive</t>
  </si>
  <si>
    <t>SAINT JOHN</t>
  </si>
  <si>
    <t>E2G1B4</t>
  </si>
  <si>
    <t>A-033-A/021-G-8</t>
  </si>
  <si>
    <t>Saint John</t>
  </si>
  <si>
    <t>Saint John--St. Stephen</t>
  </si>
  <si>
    <t>E2J</t>
  </si>
  <si>
    <t>ATCO Midstream Ltd.</t>
  </si>
  <si>
    <t>WIDEWATER</t>
  </si>
  <si>
    <t>06-08-073-07-W5</t>
  </si>
  <si>
    <t>C-064-A/083-O-6</t>
  </si>
  <si>
    <t>Lesser Slave River No.124</t>
  </si>
  <si>
    <t>Sedgewick Sour Gas Plant 06-27</t>
  </si>
  <si>
    <t>08-28-041-13-W4</t>
  </si>
  <si>
    <t>D-065-C/073-D-12</t>
  </si>
  <si>
    <t>Canadian Linen &amp; Uniform Service</t>
  </si>
  <si>
    <t>Canadian Linen - Saskatoon</t>
  </si>
  <si>
    <t>302 1st Avenue North</t>
  </si>
  <si>
    <t>Saskatoon</t>
  </si>
  <si>
    <t>S7K 1X4</t>
  </si>
  <si>
    <t>03-33-036-05-W3</t>
  </si>
  <si>
    <t>D-054-G/73-B-02</t>
  </si>
  <si>
    <t>S7K</t>
  </si>
  <si>
    <t>Conifer Energy Inc.</t>
  </si>
  <si>
    <t>Redwater Sour Gas Plant 01-29</t>
  </si>
  <si>
    <t>Redwater</t>
  </si>
  <si>
    <t>08-29-057-21-W4</t>
  </si>
  <si>
    <t>A-047-I/083-H-14</t>
  </si>
  <si>
    <t>UBF FOOD SOLUTIONS INC.  A DIVISION OF UNILEVER CANADA INC.</t>
  </si>
  <si>
    <t>BELLEVILLE</t>
  </si>
  <si>
    <t>315 University Avenue</t>
  </si>
  <si>
    <t>K8N4Z6</t>
  </si>
  <si>
    <t>D-040-K/031-C-3</t>
  </si>
  <si>
    <t>Hastings</t>
  </si>
  <si>
    <t>Belleville</t>
  </si>
  <si>
    <t>Kingston--Pembroke</t>
  </si>
  <si>
    <t>K8N</t>
  </si>
  <si>
    <t>EPPING 01-24</t>
  </si>
  <si>
    <t>01-24-046-28W3</t>
  </si>
  <si>
    <t>01-24-046-28-W3</t>
  </si>
  <si>
    <t>D-065-L/073-C-13</t>
  </si>
  <si>
    <t>GRENVILLE CASTINGS (2007) LTD</t>
  </si>
  <si>
    <t>SMITHS FALLS FACILITY</t>
  </si>
  <si>
    <t>2  Air Care Drive</t>
  </si>
  <si>
    <t>SMITHS FALLS</t>
  </si>
  <si>
    <t>K7A4W6</t>
  </si>
  <si>
    <t>C-080-E/031-B-13</t>
  </si>
  <si>
    <t>Lanark</t>
  </si>
  <si>
    <t>Smiths Falls</t>
  </si>
  <si>
    <t>K7A</t>
  </si>
  <si>
    <t>PACIFIC PLATING LTD</t>
  </si>
  <si>
    <t>40 PENN DRIVE</t>
  </si>
  <si>
    <t>WESTON</t>
  </si>
  <si>
    <t>TORONTO</t>
  </si>
  <si>
    <t>M9L2A9</t>
  </si>
  <si>
    <t>B-005-A/030-M-13</t>
  </si>
  <si>
    <t>M9L</t>
  </si>
  <si>
    <t>KIKINO NORTH 11-31</t>
  </si>
  <si>
    <t>11-31-063-15 W4M</t>
  </si>
  <si>
    <t>11-31-063-15-W4</t>
  </si>
  <si>
    <t>A-092-K/083-I-8</t>
  </si>
  <si>
    <t>Smoky Lake County</t>
  </si>
  <si>
    <t>CRUICKSHANK CONSTRUCTION LIMITED</t>
  </si>
  <si>
    <t>BROWN PIT</t>
  </si>
  <si>
    <t>Lot 13, Conc.9, Rear of Leeds &amp; Lansdown</t>
  </si>
  <si>
    <t>ELGIN</t>
  </si>
  <si>
    <t>D-097-J/031-C-8</t>
  </si>
  <si>
    <t>Leeds and the Thousand Islands</t>
  </si>
  <si>
    <t>K0H</t>
  </si>
  <si>
    <t>Gaspé Terminal</t>
  </si>
  <si>
    <t>21 du Quai Street</t>
  </si>
  <si>
    <t>Gaspé</t>
  </si>
  <si>
    <t>G4X 2E3</t>
  </si>
  <si>
    <t>B-096-D/022-A-16</t>
  </si>
  <si>
    <t>La Côte-de-Gaspé</t>
  </si>
  <si>
    <t>Gaspésie--Îles-de-la-Madeleine</t>
  </si>
  <si>
    <t>G4X</t>
  </si>
  <si>
    <t>POLYTECH COATINGS LIMITED</t>
  </si>
  <si>
    <t>2411 Anson Drive</t>
  </si>
  <si>
    <t>L5S1G1</t>
  </si>
  <si>
    <t>B-033-J/030-M-12</t>
  </si>
  <si>
    <t>J.D. Irving Ltd.</t>
  </si>
  <si>
    <t>Clair Sawmill</t>
  </si>
  <si>
    <t>10 1st Avenue</t>
  </si>
  <si>
    <t>Clair</t>
  </si>
  <si>
    <t>E7A 2A7</t>
  </si>
  <si>
    <t>C-0100-I/021-N-2</t>
  </si>
  <si>
    <t>Madawaska</t>
  </si>
  <si>
    <t>Edmundston--Woodstock</t>
  </si>
  <si>
    <t>E7A</t>
  </si>
  <si>
    <t>BRAZEAU RIVER COMP STN 11-11</t>
  </si>
  <si>
    <t>11-11-046-14-W5</t>
  </si>
  <si>
    <t>D-045-L/083-B-13</t>
  </si>
  <si>
    <t>E Construction Ltd.</t>
  </si>
  <si>
    <t>P-13 Mobile Plant</t>
  </si>
  <si>
    <t>Street</t>
  </si>
  <si>
    <t>WHITECOURT</t>
  </si>
  <si>
    <t>07-17-049-07-W5</t>
  </si>
  <si>
    <t>B-079-L/083-G-2</t>
  </si>
  <si>
    <t>Foothills Pipe Lines Ltd.</t>
  </si>
  <si>
    <t>FOOTHILLS DE/RE COMP STN - EMPRESS</t>
  </si>
  <si>
    <t>T2P 5H1</t>
  </si>
  <si>
    <t>03-12-020-01-W4</t>
  </si>
  <si>
    <t>A-012-I/072-L-9</t>
  </si>
  <si>
    <t>HORSETAIL 13-11 PAD #9</t>
  </si>
  <si>
    <t>13-11-082-22 W4M</t>
  </si>
  <si>
    <t>16-10-082-22-W4</t>
  </si>
  <si>
    <t>D-019-F/084-A-3</t>
  </si>
  <si>
    <t>Gear Energy Ltd.</t>
  </si>
  <si>
    <t>Wildmere 08-17</t>
  </si>
  <si>
    <t>WILDMERE</t>
  </si>
  <si>
    <t>08-17-048-04-W4</t>
  </si>
  <si>
    <t>C-064-H/073-E-2</t>
  </si>
  <si>
    <t>Cleartech Industries Inc.</t>
  </si>
  <si>
    <t>ClearTech Inland Way</t>
  </si>
  <si>
    <t>12720 Inland Way Way</t>
  </si>
  <si>
    <t>T5V 1K2</t>
  </si>
  <si>
    <t>16-15-053-25-W4</t>
  </si>
  <si>
    <t>C-098-A/083-H-12</t>
  </si>
  <si>
    <t>T5S</t>
  </si>
  <si>
    <t>ABBT6850633</t>
  </si>
  <si>
    <t>02-24-050-12-W5</t>
  </si>
  <si>
    <t>B-0100-A/083-G-5</t>
  </si>
  <si>
    <t>Wilgrn Leafland 10-10-41-5w5 Ggs</t>
  </si>
  <si>
    <t>WG 3-28</t>
  </si>
  <si>
    <t>10-10-041-05-W5</t>
  </si>
  <si>
    <t>B-021-B/083-B-10</t>
  </si>
  <si>
    <t>Joffre South Compressor Station 02-19</t>
  </si>
  <si>
    <t>Joffre</t>
  </si>
  <si>
    <t>T2P 4H4</t>
  </si>
  <si>
    <t>02-19-038-25-W4</t>
  </si>
  <si>
    <t>B-035-A/083-A-5</t>
  </si>
  <si>
    <t>Lacombe County</t>
  </si>
  <si>
    <t>T4L</t>
  </si>
  <si>
    <t>PEPSI BOTTLING GROUP</t>
  </si>
  <si>
    <t>THE PEPSI BOTTLING GROUP (MISSISSAUGA)</t>
  </si>
  <si>
    <t>5900 Falbourne Street</t>
  </si>
  <si>
    <t>L5R3M2</t>
  </si>
  <si>
    <t>C-045-G/030-M-12</t>
  </si>
  <si>
    <t>L5R</t>
  </si>
  <si>
    <t>Northern Blizzard Resources Inc.</t>
  </si>
  <si>
    <t>NBRI 14-36-035-28 W3M Well Pad</t>
  </si>
  <si>
    <t>1900 - 421 7 Avenue Southwest</t>
  </si>
  <si>
    <t>T2P4K9</t>
  </si>
  <si>
    <t>14-36-035-28-W3</t>
  </si>
  <si>
    <t>C-070-C/073-C-4</t>
  </si>
  <si>
    <t>Heart's Hill No. 352</t>
  </si>
  <si>
    <t>Razor Energy Corp.</t>
  </si>
  <si>
    <t>Swan Hills OB 10-30-65-12W5</t>
  </si>
  <si>
    <t>HIGH PRAIRIE</t>
  </si>
  <si>
    <t>10-30-065-12-W5</t>
  </si>
  <si>
    <t>D-085-F/083-J-12</t>
  </si>
  <si>
    <t>HARVEST OPERATIONS CORP.</t>
  </si>
  <si>
    <t>BASHAW OIL BATTERY</t>
  </si>
  <si>
    <t>02-09-041-23 W4M</t>
  </si>
  <si>
    <t>T0B0H0</t>
  </si>
  <si>
    <t>02-09-041-23-W4</t>
  </si>
  <si>
    <t>A-011-C/083-A-11</t>
  </si>
  <si>
    <t>BANNER PHARMACAPS CANADA LTD</t>
  </si>
  <si>
    <t>BANNER PHARMACAPS</t>
  </si>
  <si>
    <t>5807 - 47 Avenue</t>
  </si>
  <si>
    <t>OLDS</t>
  </si>
  <si>
    <t>T4H1S7</t>
  </si>
  <si>
    <t>01-32-032-01-W5</t>
  </si>
  <si>
    <t>C-038-A/082-O-16</t>
  </si>
  <si>
    <t>Olds</t>
  </si>
  <si>
    <t>T4H</t>
  </si>
  <si>
    <t>Les emballages de tabac AMCOR (Lachine)</t>
  </si>
  <si>
    <t>AMCOR Produit d'emballage de tabac</t>
  </si>
  <si>
    <t>2150 Onésime-Gagnon</t>
  </si>
  <si>
    <t>LACHINE</t>
  </si>
  <si>
    <t>H8T3M8</t>
  </si>
  <si>
    <t>B-067-J/031-H-5</t>
  </si>
  <si>
    <t>H8S</t>
  </si>
  <si>
    <t>North Hotchkiss Sour Gas Plant 02-35-094-02W6</t>
  </si>
  <si>
    <t>02-35-094-02-W6</t>
  </si>
  <si>
    <t>B-036-J/084-E-1</t>
  </si>
  <si>
    <t>Clear Hills</t>
  </si>
  <si>
    <t>DIRECT ENERGY MARKETING</t>
  </si>
  <si>
    <t>SEDALIA 02-17</t>
  </si>
  <si>
    <t>02-17-031-04W4</t>
  </si>
  <si>
    <t>01-17-031-04-W4</t>
  </si>
  <si>
    <t>D-073-H/072-M-10</t>
  </si>
  <si>
    <t>Tangleflags Compressor Station 15-12-051-25W3</t>
  </si>
  <si>
    <t>15-12-051-25-W3</t>
  </si>
  <si>
    <t>A-075-H/073-F-5</t>
  </si>
  <si>
    <t>NTE Energy Canada Ltd</t>
  </si>
  <si>
    <t>Willesden Green 01-25 Battery</t>
  </si>
  <si>
    <t>605 5 Street Southwest</t>
  </si>
  <si>
    <t>T2P 1E5</t>
  </si>
  <si>
    <t>01-25-042-09-W5</t>
  </si>
  <si>
    <t>D-63/G-83-B-11</t>
  </si>
  <si>
    <t>HWN Energy Ltd.</t>
  </si>
  <si>
    <t>11-29-060-18 W5M</t>
  </si>
  <si>
    <t>11-29-060-18-W5</t>
  </si>
  <si>
    <t>D-064-J/083-K-2</t>
  </si>
  <si>
    <t>Enerplus Corporation</t>
  </si>
  <si>
    <t>Cabri Comp Station 16-32</t>
  </si>
  <si>
    <t>16-32-020-18-W3</t>
  </si>
  <si>
    <t>A-097-L/072-K-9</t>
  </si>
  <si>
    <t>Riverside No. 168</t>
  </si>
  <si>
    <t>SWIMMING MWB 08-35-051-07W4</t>
  </si>
  <si>
    <t>08-35-051-07-W4</t>
  </si>
  <si>
    <t>B-34/L-73-E-7</t>
  </si>
  <si>
    <t>T9X</t>
  </si>
  <si>
    <t>DIBBLEE CONSTRUCTION LTD.</t>
  </si>
  <si>
    <t>1-212 PORTABLE HMA PLANT</t>
  </si>
  <si>
    <t>1600 Westbrook Road</t>
  </si>
  <si>
    <t>KINGSTON</t>
  </si>
  <si>
    <t>K7M6P9</t>
  </si>
  <si>
    <t>A-041-B/031-C-7</t>
  </si>
  <si>
    <t>Frontenac</t>
  </si>
  <si>
    <t>Kingston</t>
  </si>
  <si>
    <t>K7P</t>
  </si>
  <si>
    <t>Maple Leaf Foods Inc.</t>
  </si>
  <si>
    <t>Maple Leaf Foods - Brandon</t>
  </si>
  <si>
    <t>6355 Richmond Avenue</t>
  </si>
  <si>
    <t>Brandon</t>
  </si>
  <si>
    <t>R7A 7M5</t>
  </si>
  <si>
    <t>07-16-010-18-W1</t>
  </si>
  <si>
    <t>D-099-C/062-G-13</t>
  </si>
  <si>
    <t>R7A</t>
  </si>
  <si>
    <t>Novopharm Limited</t>
  </si>
  <si>
    <t>1276/1290</t>
  </si>
  <si>
    <t>1276/1290 Ellesmere Road</t>
  </si>
  <si>
    <t>M1P2Y1</t>
  </si>
  <si>
    <t>A-022-C/030-M-14</t>
  </si>
  <si>
    <t>M1P</t>
  </si>
  <si>
    <t>EXXONMOBIL CANADA LTD.</t>
  </si>
  <si>
    <t>HARMATTAN 5-14</t>
  </si>
  <si>
    <t>05-14-029-02 W5M</t>
  </si>
  <si>
    <t>05-14-029-02-W5</t>
  </si>
  <si>
    <t>C-075-J/082-O-8</t>
  </si>
  <si>
    <t>Mountain View County</t>
  </si>
  <si>
    <t>Evraz Recycling</t>
  </si>
  <si>
    <t>Navajo Metals</t>
  </si>
  <si>
    <t>5857 12th Street Southeast</t>
  </si>
  <si>
    <t>T2H 2G7</t>
  </si>
  <si>
    <t>07-35-023-01-W5</t>
  </si>
  <si>
    <t>B-003-A/082-O-1</t>
  </si>
  <si>
    <t xml:space="preserve">Traitement et élimination des déchets_x000D_
</t>
  </si>
  <si>
    <t>T2J</t>
  </si>
  <si>
    <t>WESCAST INDUSTRIES</t>
  </si>
  <si>
    <t>BRANTFORD CASTING FACILITY</t>
  </si>
  <si>
    <t>799 Powerline Road West</t>
  </si>
  <si>
    <t>BRANTFORD</t>
  </si>
  <si>
    <t>N3T5W5</t>
  </si>
  <si>
    <t>A-019-K/040-P-1</t>
  </si>
  <si>
    <t>Brant</t>
  </si>
  <si>
    <t>Brantford</t>
  </si>
  <si>
    <t>N3T</t>
  </si>
  <si>
    <t>North40 Resources Ltd.</t>
  </si>
  <si>
    <t>MAKEPEACE 2/13-11-23-19 W4 (tank)</t>
  </si>
  <si>
    <t>215 9 Avenue Southwest</t>
  </si>
  <si>
    <t>T2P 1K3</t>
  </si>
  <si>
    <t>04-13-023-19-W4</t>
  </si>
  <si>
    <t>B-043-I/082-I-15</t>
  </si>
  <si>
    <t>Quinn's Oilfield Supply Ltd.</t>
  </si>
  <si>
    <t>QUINN'S OILFIELD SUPPLY - RED DEER</t>
  </si>
  <si>
    <t>6798 52nd Avenue</t>
  </si>
  <si>
    <t>RED DEER</t>
  </si>
  <si>
    <t>T4N4K9</t>
  </si>
  <si>
    <t>08-29-038-27-W4</t>
  </si>
  <si>
    <t>A-056-C/083-A-5</t>
  </si>
  <si>
    <t>T4P</t>
  </si>
  <si>
    <t>CONN LAKE C.S.</t>
  </si>
  <si>
    <t>10-31-63-7-W4</t>
  </si>
  <si>
    <t>BONNYVILLE</t>
  </si>
  <si>
    <t>10-31-063-07-W4</t>
  </si>
  <si>
    <t>B-094-I/073-L-6</t>
  </si>
  <si>
    <t>Soprema Canada Inc.</t>
  </si>
  <si>
    <t>Usine de Drummondville (produits liquides)</t>
  </si>
  <si>
    <t>1640 Haggerty</t>
  </si>
  <si>
    <t>J2C 5P8</t>
  </si>
  <si>
    <t>C-052-H/031-H-15</t>
  </si>
  <si>
    <t>J2C</t>
  </si>
  <si>
    <t>GHOST PINE COMP STN 07-03-031-22W4</t>
  </si>
  <si>
    <t>07-03-031-22-W4</t>
  </si>
  <si>
    <t>06-03-031-22-W4</t>
  </si>
  <si>
    <t>D-044-H/082-P-11</t>
  </si>
  <si>
    <t>PARRSBORO METAL FABRICATORS LTD.</t>
  </si>
  <si>
    <t>PARRSBORO</t>
  </si>
  <si>
    <t>12118 Highway 209</t>
  </si>
  <si>
    <t>P.O. Box 637</t>
  </si>
  <si>
    <t>B0M1S0</t>
  </si>
  <si>
    <t>D-008-K/021-H-8</t>
  </si>
  <si>
    <t>Cumberland</t>
  </si>
  <si>
    <t>Cumberland, Subd. A</t>
  </si>
  <si>
    <t>North Shore / Côte-nord</t>
  </si>
  <si>
    <t>B0M</t>
  </si>
  <si>
    <t>Birchcliff Energy Ltd.</t>
  </si>
  <si>
    <t>07-29-78-11-W6M</t>
  </si>
  <si>
    <t>1 Range Road 115 Road</t>
  </si>
  <si>
    <t>Gordondale</t>
  </si>
  <si>
    <t>T0H 1V0</t>
  </si>
  <si>
    <t>07-29-078-11-W6</t>
  </si>
  <si>
    <t>A-044-B/083-M-13</t>
  </si>
  <si>
    <t>OXFORD PROPERTIES GROUP</t>
  </si>
  <si>
    <t>2075 KENNEDY ROAD</t>
  </si>
  <si>
    <t>2075  KENNEDY Road</t>
  </si>
  <si>
    <t>M1T3V3</t>
  </si>
  <si>
    <t>C-033-C/030-M-14</t>
  </si>
  <si>
    <t>M1T</t>
  </si>
  <si>
    <t>PARAMOUNT ENERGY OPERATING CORPORATION</t>
  </si>
  <si>
    <t>PEOCH MARTEN H 8-30-75-25W4</t>
  </si>
  <si>
    <t>08-30-075-25W4</t>
  </si>
  <si>
    <t>07-30-075-25-W4</t>
  </si>
  <si>
    <t>C-030-C/083-P-12</t>
  </si>
  <si>
    <t>ABBT0140314 (tank)</t>
  </si>
  <si>
    <t>04-16-048-06-W4</t>
  </si>
  <si>
    <t>A-067-F/073-E-2</t>
  </si>
  <si>
    <t>Kakwa 04-24-065-05W6</t>
  </si>
  <si>
    <t>04-24-065-05-W6</t>
  </si>
  <si>
    <t>D-051-G/083-L-10</t>
  </si>
  <si>
    <t>04-24-078-17W6 (Well Pad)</t>
  </si>
  <si>
    <t>V1G 0G1</t>
  </si>
  <si>
    <t>04-24-078-17-W6</t>
  </si>
  <si>
    <t>A-021-A/093-P-15</t>
  </si>
  <si>
    <t>PetroChina Canada Ltd.</t>
  </si>
  <si>
    <t>03-20-063-22W5 (Well Pad)</t>
  </si>
  <si>
    <t>03-20-063-22-W5</t>
  </si>
  <si>
    <t>A-054-K/083-K-6</t>
  </si>
  <si>
    <t>Beg Gas MWB b-013-B/094-G-01</t>
  </si>
  <si>
    <t>05-30-092-01-W7</t>
  </si>
  <si>
    <t>B-013-B/094-G-01</t>
  </si>
  <si>
    <t>Cascades East Angus, une division de Cascades Canada ULC</t>
  </si>
  <si>
    <t>248 Warner</t>
  </si>
  <si>
    <t>EAST ANGUS</t>
  </si>
  <si>
    <t>J0B1R0</t>
  </si>
  <si>
    <t>D-074-J/021-E-5</t>
  </si>
  <si>
    <t>Le Haut-Saint-François</t>
  </si>
  <si>
    <t>East Angus</t>
  </si>
  <si>
    <t>J0B</t>
  </si>
  <si>
    <t>Claresholm Compressor Station 05-13-012-27W4</t>
  </si>
  <si>
    <t>05-13-012-27-W4</t>
  </si>
  <si>
    <t>B-096-I/082-H-13</t>
  </si>
  <si>
    <t>Surge Energy Inc 03 Provost 4-3-39-2</t>
  </si>
  <si>
    <t>Provost</t>
  </si>
  <si>
    <t>A1A 1A1</t>
  </si>
  <si>
    <t>04-10-039-02-W4</t>
  </si>
  <si>
    <t>A-008-G/073-D-8</t>
  </si>
  <si>
    <t>TRANSCANADA PIPELINES LTD.</t>
  </si>
  <si>
    <t>CARDINAL LAKE</t>
  </si>
  <si>
    <t>SW-23-081-26-W5</t>
  </si>
  <si>
    <t>02-22-081-26-W5</t>
  </si>
  <si>
    <t>D-039-D/084-C-4</t>
  </si>
  <si>
    <t>Peace No. 135</t>
  </si>
  <si>
    <t>MULTIPLY FOREST PRODUCTS</t>
  </si>
  <si>
    <t>1 Newton Street</t>
  </si>
  <si>
    <t>NIPIGON</t>
  </si>
  <si>
    <t>P0T2J0</t>
  </si>
  <si>
    <t>12-06-001-14-E3</t>
  </si>
  <si>
    <t>C-001-C/052-H-1</t>
  </si>
  <si>
    <t>Nipigon</t>
  </si>
  <si>
    <t>Hayter North 15-9-41-1W4</t>
  </si>
  <si>
    <t>15-09-041-01-W4</t>
  </si>
  <si>
    <t>B-027-A/073-D-9</t>
  </si>
  <si>
    <t>Rife Resources Ltd.</t>
  </si>
  <si>
    <t>SKBT0011046 (Tanks)</t>
  </si>
  <si>
    <t>06-10-048-25-W3</t>
  </si>
  <si>
    <t>D-047-H/073-F-4</t>
  </si>
  <si>
    <t>OAK WATERFLOOD</t>
  </si>
  <si>
    <t>08-29-086-17-W6</t>
  </si>
  <si>
    <t>B-081-J/094-A-7</t>
  </si>
  <si>
    <t>COMPTON PETROLEUM CORPORATION</t>
  </si>
  <si>
    <t>HORNET ENERGY BRANT GAS BATTERY 16-30</t>
  </si>
  <si>
    <t>16-30-018-26-W4</t>
  </si>
  <si>
    <t>09-30-018-26-W4</t>
  </si>
  <si>
    <t>A-065-A/082-I-12</t>
  </si>
  <si>
    <t>Vulcan County</t>
  </si>
  <si>
    <t>Crofton STP</t>
  </si>
  <si>
    <t>1575 Chaplin Street East</t>
  </si>
  <si>
    <t>Crofton</t>
  </si>
  <si>
    <t>V0R 1R0</t>
  </si>
  <si>
    <t>D-032-G/092-B-13</t>
  </si>
  <si>
    <t>Cowichan Valley</t>
  </si>
  <si>
    <t>North Cowichan</t>
  </si>
  <si>
    <t>Duncan</t>
  </si>
  <si>
    <t>Vancouver Island and Coast / Île de Vancouver et la côte</t>
  </si>
  <si>
    <t>V0R</t>
  </si>
  <si>
    <t>G3 Canada Limited - Irricana</t>
  </si>
  <si>
    <t>26141 Range Road 270</t>
  </si>
  <si>
    <t>Rock View County</t>
  </si>
  <si>
    <t>T0M 1B0</t>
  </si>
  <si>
    <t>02-05-027-26-W4</t>
  </si>
  <si>
    <t>D-021-B/082-P-5</t>
  </si>
  <si>
    <t>Rocky View County</t>
  </si>
  <si>
    <t>Landrose OB 02-18-050-25W3</t>
  </si>
  <si>
    <t>4335 44 Street</t>
  </si>
  <si>
    <t>LLOYDMINSTER</t>
  </si>
  <si>
    <t>S9V 0Z8</t>
  </si>
  <si>
    <t>02-18-050-25-W3</t>
  </si>
  <si>
    <t>B-072-B/073-F-5</t>
  </si>
  <si>
    <t>PETRUS FERRIER 13-17 PAD MWB</t>
  </si>
  <si>
    <t>13-17-039-08-W5</t>
  </si>
  <si>
    <t>A-031-G/083-B-6</t>
  </si>
  <si>
    <t>Penn West Petroleum Ltd</t>
  </si>
  <si>
    <t>Befl Compressor Station 11-26</t>
  </si>
  <si>
    <t>11-26-084-20-W6</t>
  </si>
  <si>
    <t>C-074-A/094-A-6</t>
  </si>
  <si>
    <t>Endurance Energy Ltd.</t>
  </si>
  <si>
    <t>Endurance HZ Sierra c-B043-F/94-I-14</t>
  </si>
  <si>
    <t>SIERRA</t>
  </si>
  <si>
    <t>06-03-114-20-W6</t>
  </si>
  <si>
    <t>B-043-F/094-I-14</t>
  </si>
  <si>
    <t>Northern Rockies</t>
  </si>
  <si>
    <t>TOMAHAWK CLEANING FACILITY</t>
  </si>
  <si>
    <t>07-30-052-05W5M</t>
  </si>
  <si>
    <t>TOMAHAWK</t>
  </si>
  <si>
    <t>07-30-052-05-W5</t>
  </si>
  <si>
    <t>D-019-B/083-G-10</t>
  </si>
  <si>
    <t>Parkland County</t>
  </si>
  <si>
    <t>BTG Energy Inc</t>
  </si>
  <si>
    <t>Gilby Gas Plant 05-05-040-03W5</t>
  </si>
  <si>
    <t>05-05-040-03-W5</t>
  </si>
  <si>
    <t>C-093-E/083-B-8</t>
  </si>
  <si>
    <t>Repsol Oil &amp; Gas Canada Inc.</t>
  </si>
  <si>
    <t>Wilrich 16-27 Compressor Station</t>
  </si>
  <si>
    <t>16-27-051-18-W5</t>
  </si>
  <si>
    <t>B-025-I/083-F-7</t>
  </si>
  <si>
    <t>T7E</t>
  </si>
  <si>
    <t>Oungre 01-01-002-16W2 (101/01-36) SWB</t>
  </si>
  <si>
    <t>01-01-002-16-W2</t>
  </si>
  <si>
    <t>D-002-H/072-H-01</t>
  </si>
  <si>
    <t>Lake Alma No. 8</t>
  </si>
  <si>
    <t>NB Power Generation Corporation</t>
  </si>
  <si>
    <t>Grand Lake Generating Station</t>
  </si>
  <si>
    <t>25 Wharf Road</t>
  </si>
  <si>
    <t>NEWCASTLE CREEK</t>
  </si>
  <si>
    <t>E4B2J8</t>
  </si>
  <si>
    <t>D-061-A/021-J-1</t>
  </si>
  <si>
    <t>Queens</t>
  </si>
  <si>
    <t>Canning</t>
  </si>
  <si>
    <t>Fredericton--Oromocto</t>
  </si>
  <si>
    <t>E4B</t>
  </si>
  <si>
    <t>Heroux Devtek Magtron</t>
  </si>
  <si>
    <t>1480 Birchmount Road</t>
  </si>
  <si>
    <t>M1P2E3</t>
  </si>
  <si>
    <t>D-004-C/030-M-14</t>
  </si>
  <si>
    <t>M1R</t>
  </si>
  <si>
    <t>Hotchkiss 2-1</t>
  </si>
  <si>
    <t>GRANDE PRAIRIE</t>
  </si>
  <si>
    <t>T2R0A8</t>
  </si>
  <si>
    <t>07-01-095-01-W6</t>
  </si>
  <si>
    <t>B-051-I/084-E-1</t>
  </si>
  <si>
    <t>Northern Lights County</t>
  </si>
  <si>
    <t>Battle River Energy Ltd</t>
  </si>
  <si>
    <t>16-08-036-03 W4M MWB Monitor Oil</t>
  </si>
  <si>
    <t>T2P 0B4</t>
  </si>
  <si>
    <t>16-08-036-03-W4</t>
  </si>
  <si>
    <t>D-092-D/073-D-1</t>
  </si>
  <si>
    <t>Veren Inc.</t>
  </si>
  <si>
    <t>Viewfield Oil Battery 05-05</t>
  </si>
  <si>
    <t>S0C 0L0</t>
  </si>
  <si>
    <t>05-05-008-09-W2</t>
  </si>
  <si>
    <t>D-037-G/062-E-11</t>
  </si>
  <si>
    <t>Dupont Canada</t>
  </si>
  <si>
    <t>E.I. DuPont Canada - Thetford Inc.</t>
  </si>
  <si>
    <t>1045 Monfette est</t>
  </si>
  <si>
    <t>Thetford Mines</t>
  </si>
  <si>
    <t>G6G 7K7</t>
  </si>
  <si>
    <t>B-034-F/021-L-3</t>
  </si>
  <si>
    <t>Les Appalaches</t>
  </si>
  <si>
    <t>Chaudière-Appalaches</t>
  </si>
  <si>
    <t>G6G</t>
  </si>
  <si>
    <t>Louis Dreyfus Commodities Canada Ltd</t>
  </si>
  <si>
    <t>Louis Dreyfus Canada Ltd - Joffre</t>
  </si>
  <si>
    <t>Across Hwy 815 @597 Joffre Town Site</t>
  </si>
  <si>
    <t>JOFFRE</t>
  </si>
  <si>
    <t>T4L2N2</t>
  </si>
  <si>
    <t>15-03-039-25-W4</t>
  </si>
  <si>
    <t>D-092-A/083-A-5</t>
  </si>
  <si>
    <t>Ember Resources Inc.</t>
  </si>
  <si>
    <t>FBV 16-23-035-19W4</t>
  </si>
  <si>
    <t>Fenn Big Valley</t>
  </si>
  <si>
    <t>16-23-035-19-W4</t>
  </si>
  <si>
    <t>D-029-A/083-A-2</t>
  </si>
  <si>
    <t>Seal Bitumen Battery 16-13</t>
  </si>
  <si>
    <t>16-13-084-19-W5</t>
  </si>
  <si>
    <t>D-049-C/084-C-7</t>
  </si>
  <si>
    <t>Northern Sunrise County</t>
  </si>
  <si>
    <t>Sirus D-75</t>
  </si>
  <si>
    <t>BRITISH COLUMBIA</t>
  </si>
  <si>
    <t>09-18-092-16-W6</t>
  </si>
  <si>
    <t>D-075-I/094-A-15</t>
  </si>
  <si>
    <t>THORNBURY SOUTH 05-03</t>
  </si>
  <si>
    <t>05-03-078-14W4</t>
  </si>
  <si>
    <t>05-03-078-14-W4</t>
  </si>
  <si>
    <t>B-078-I/083-P-9</t>
  </si>
  <si>
    <t>Tubco Whirlpools Tld</t>
  </si>
  <si>
    <t>Tubco Whirlpools Limited</t>
  </si>
  <si>
    <t>2715 14th Avenue</t>
  </si>
  <si>
    <t>L3R 0H9</t>
  </si>
  <si>
    <t>B-099-C/030-M-14</t>
  </si>
  <si>
    <t>Newbrook Compressor Station 05-11-062-20W4</t>
  </si>
  <si>
    <t>08-10-062-20-W4</t>
  </si>
  <si>
    <t>A-013-E/083-I-7</t>
  </si>
  <si>
    <t>Thorhild County</t>
  </si>
  <si>
    <t>WHITE BEAR 08-31</t>
  </si>
  <si>
    <t>08-23-021-17-W3</t>
  </si>
  <si>
    <t>C-060-B/072-K-16</t>
  </si>
  <si>
    <t>Lacadena No. 228</t>
  </si>
  <si>
    <t>Central Global Resources</t>
  </si>
  <si>
    <t>PICKELL</t>
  </si>
  <si>
    <t>12-29-094-19-W6</t>
  </si>
  <si>
    <t>A-023-I/094-H-3</t>
  </si>
  <si>
    <t>Atlantic Tube &amp; Steel Inc.</t>
  </si>
  <si>
    <t>ATLANTIC TUBE &amp; STEEL</t>
  </si>
  <si>
    <t>1580 Meyerside Drive</t>
  </si>
  <si>
    <t>L5T 1A3</t>
  </si>
  <si>
    <t>A-093-G/030-M-12</t>
  </si>
  <si>
    <t>MACFARLANE NAMEPLATE &amp; ANODIZING</t>
  </si>
  <si>
    <t>MACFARLANE NAMEPLATE &amp; ANODIZING - TORONTO</t>
  </si>
  <si>
    <t>185 Carlingview Dr., Unit 7</t>
  </si>
  <si>
    <t>M9W5E8</t>
  </si>
  <si>
    <t>D-018-I/030-M-12</t>
  </si>
  <si>
    <t>Wildmere 09-36-049-05 W4M</t>
  </si>
  <si>
    <t>Wildmere</t>
  </si>
  <si>
    <t>09-36-049-05-W4</t>
  </si>
  <si>
    <t>D-028-A/073-E-7</t>
  </si>
  <si>
    <t>Cassils Oil MWB 05-32-018-16W4</t>
  </si>
  <si>
    <t>05-32-018-16-W4</t>
  </si>
  <si>
    <t>D-075-B/082-I-9</t>
  </si>
  <si>
    <t>Lindbergh Comp Stn 07-21</t>
  </si>
  <si>
    <t>07-21-058-05-W4</t>
  </si>
  <si>
    <t>A-035-B/073-L-2</t>
  </si>
  <si>
    <t>St. Paul County No. 19</t>
  </si>
  <si>
    <t>Hangingstone Compressor Station 11-10-084-10W4</t>
  </si>
  <si>
    <t>14-10-084-10-W4</t>
  </si>
  <si>
    <t>C-030-D/074-D-6</t>
  </si>
  <si>
    <t>SLAVE POINT A-49</t>
  </si>
  <si>
    <t>A-049-B/094-B-16</t>
  </si>
  <si>
    <t>06-23-107-20-W6</t>
  </si>
  <si>
    <t>A-069-B/094-I-6</t>
  </si>
  <si>
    <t>Arctic Drainage Area</t>
  </si>
  <si>
    <t>Aire de drainage de l'Arctique</t>
  </si>
  <si>
    <t>SKBT0031971</t>
  </si>
  <si>
    <t>09-34-032-28-W3</t>
  </si>
  <si>
    <t>C-041-D/072-N-13</t>
  </si>
  <si>
    <t>Antelope Park No. 322</t>
  </si>
  <si>
    <t>Redland South 09-30 booster</t>
  </si>
  <si>
    <t>09-30-026-21-W4</t>
  </si>
  <si>
    <t>D-094-L/082-P-2</t>
  </si>
  <si>
    <t>VIKING GAS BATTERY 12-21</t>
  </si>
  <si>
    <t>12-21-031-21W3</t>
  </si>
  <si>
    <t>12-21-031-21-W3</t>
  </si>
  <si>
    <t>D-005-L/072-N-10</t>
  </si>
  <si>
    <t>Swan Hills Compressor Station 03-18-067-10W5</t>
  </si>
  <si>
    <t>04-18-067-10-W5</t>
  </si>
  <si>
    <t>B-052-A/083-J-13</t>
  </si>
  <si>
    <t>ABBT0119104</t>
  </si>
  <si>
    <t>12-30-047-11-W5</t>
  </si>
  <si>
    <t>B-009-H/083-G-4</t>
  </si>
  <si>
    <t>Kerrobert Bty 6-11-32-24W3</t>
  </si>
  <si>
    <t>Oakdale</t>
  </si>
  <si>
    <t>06-11-032-24-W3</t>
  </si>
  <si>
    <t>A-075-K/072-N-11</t>
  </si>
  <si>
    <t>ABBT0112676</t>
  </si>
  <si>
    <t>05-06-062-17-W5</t>
  </si>
  <si>
    <t>C-094-A/083-K-7</t>
  </si>
  <si>
    <t>Nevis Comp Stn 10-20</t>
  </si>
  <si>
    <t>10-20-038-22-W4</t>
  </si>
  <si>
    <t>B-049-A/083-A-6</t>
  </si>
  <si>
    <t>SKBT0029433</t>
  </si>
  <si>
    <t>14-15-025-14-W3</t>
  </si>
  <si>
    <t>D-061-E/72-O-04</t>
  </si>
  <si>
    <t>Cenovus Energy</t>
  </si>
  <si>
    <t>Estevan Oil Battery 15-25</t>
  </si>
  <si>
    <t>15-25-001-08-W2</t>
  </si>
  <si>
    <t>D-087-D/062-E-2</t>
  </si>
  <si>
    <t>Estevan No. 5</t>
  </si>
  <si>
    <t>Estevan</t>
  </si>
  <si>
    <t>S4A</t>
  </si>
  <si>
    <t>Baytex Turin North 11-28-11-18W4</t>
  </si>
  <si>
    <t>TURIN</t>
  </si>
  <si>
    <t>11-28-011-18-W4</t>
  </si>
  <si>
    <t>C-023-L/082-H-16</t>
  </si>
  <si>
    <t>T1G</t>
  </si>
  <si>
    <t>LONG LAKE FOREST PRODUCTS</t>
  </si>
  <si>
    <t>LONG LAKE FOREST  PRODUCTS</t>
  </si>
  <si>
    <t>Postal Bag 3000 (mailing)</t>
  </si>
  <si>
    <t>Katamaki Road (site)</t>
  </si>
  <si>
    <t>LONGLAC</t>
  </si>
  <si>
    <t>P0T2A0</t>
  </si>
  <si>
    <t>12-27-009-26-E3</t>
  </si>
  <si>
    <t>A-024-A/042-E-15</t>
  </si>
  <si>
    <t>Cromer Terminal</t>
  </si>
  <si>
    <t>Cromer</t>
  </si>
  <si>
    <t>R0M 0J0</t>
  </si>
  <si>
    <t>09-09-009-27-W1</t>
  </si>
  <si>
    <t>D-077-I/062-F-11</t>
  </si>
  <si>
    <t>Pipestone</t>
  </si>
  <si>
    <t>Kisbey Oil MWB 03-28</t>
  </si>
  <si>
    <t>S0C 1L0</t>
  </si>
  <si>
    <t>03-28-008-05-W2</t>
  </si>
  <si>
    <t>A-001-J/062-E-10</t>
  </si>
  <si>
    <t>ABBT0153980</t>
  </si>
  <si>
    <t>15-02-065-06-W6</t>
  </si>
  <si>
    <t>A-024-F/083-L-10</t>
  </si>
  <si>
    <t>Pine Creek 11-22 Bty</t>
  </si>
  <si>
    <t>YELLOWHEAD COUNTY</t>
  </si>
  <si>
    <t>T0E1A1</t>
  </si>
  <si>
    <t>11-22-055-19-W5</t>
  </si>
  <si>
    <t>B-030-B/083-F-15</t>
  </si>
  <si>
    <t>IMP Group</t>
  </si>
  <si>
    <t>Halifax Flight Support</t>
  </si>
  <si>
    <t>Suite 400, 2651 Dutch Village Road</t>
  </si>
  <si>
    <t>HALIFAX</t>
  </si>
  <si>
    <t>B3L4T1</t>
  </si>
  <si>
    <t>A-081-G/011-D-12</t>
  </si>
  <si>
    <t>Halifax</t>
  </si>
  <si>
    <t>B3L</t>
  </si>
  <si>
    <t>AURIGA ENERGY INC.</t>
  </si>
  <si>
    <t>KAYBOB SOUTH BHL UNIT 1 7-30 COMPRESSOR</t>
  </si>
  <si>
    <t>07-30-061-19-W5</t>
  </si>
  <si>
    <t>B-067-C/083-K-7</t>
  </si>
  <si>
    <t>ARC Resources</t>
  </si>
  <si>
    <t>Romulus Midale Oil Battery 15-12</t>
  </si>
  <si>
    <t>15-12-007-11-W2</t>
  </si>
  <si>
    <t>C-060-C/062-E-11</t>
  </si>
  <si>
    <t>Griffin No. 66</t>
  </si>
  <si>
    <t>Retlaw Gas Battery 05-32</t>
  </si>
  <si>
    <t>05-32-011-20-W4</t>
  </si>
  <si>
    <t>B-047-J/082-H-15</t>
  </si>
  <si>
    <t>Richardson Milling Ltd.</t>
  </si>
  <si>
    <t>Portage La Prairie</t>
  </si>
  <si>
    <t>1 Can-Oat Drive</t>
  </si>
  <si>
    <t>R1N 3W1</t>
  </si>
  <si>
    <t>08-33-011-07-W1</t>
  </si>
  <si>
    <t>D-059-K/062-G-16</t>
  </si>
  <si>
    <t>Portage la Prairie</t>
  </si>
  <si>
    <t>North Central / Centre nord</t>
  </si>
  <si>
    <t>R1N</t>
  </si>
  <si>
    <t>Surge Energy Inc. 06-06</t>
  </si>
  <si>
    <t>01-06-094-01-W6</t>
  </si>
  <si>
    <t>D-042-G/084-E-1</t>
  </si>
  <si>
    <t>CANETIC RESOURCES TRUST</t>
  </si>
  <si>
    <t>BEARFLATS 11-26</t>
  </si>
  <si>
    <t>11-26-84-20W6</t>
  </si>
  <si>
    <t>BEARFLAT</t>
  </si>
  <si>
    <t>PBN PEMBINA HZ 1-18-50-9 OIL SWB</t>
  </si>
  <si>
    <t>08-13-050-10W5</t>
  </si>
  <si>
    <t>01-18-050-09-W5</t>
  </si>
  <si>
    <t>B-074-C/083-G-6</t>
  </si>
  <si>
    <t>Lake Erie Concrete Supply Ltd.</t>
  </si>
  <si>
    <t>706 Mersea Road 5 Concession</t>
  </si>
  <si>
    <t>Leamington</t>
  </si>
  <si>
    <t>N8H 3V6</t>
  </si>
  <si>
    <t>B-08-H/40-J-02</t>
  </si>
  <si>
    <t>N8H</t>
  </si>
  <si>
    <t>ENERPLUS RESOURCES CORPORATION</t>
  </si>
  <si>
    <t>BRINK FARGO MEDICINE RIVER BATTERY 9-29-38-4W5</t>
  </si>
  <si>
    <t>9-29-38-4W5</t>
  </si>
  <si>
    <t>09-29-038-04-W5</t>
  </si>
  <si>
    <t>D-053-A/083-B-7</t>
  </si>
  <si>
    <t>PRINCESS 1-30</t>
  </si>
  <si>
    <t>Range Road 115 Highway East</t>
  </si>
  <si>
    <t>STEVEVILLE</t>
  </si>
  <si>
    <t>01-30-021-11-W4</t>
  </si>
  <si>
    <t>C-061-A/072-L-13</t>
  </si>
  <si>
    <t>12-21-035-06 W4M Battery Consort 21</t>
  </si>
  <si>
    <t>Consort</t>
  </si>
  <si>
    <t>12-21-035-06-W4</t>
  </si>
  <si>
    <t>C-025-C/073-D-2</t>
  </si>
  <si>
    <t>Elrose 16-33-024-14W3 (101/13-33) SWB</t>
  </si>
  <si>
    <t>16-33-024-14-W3</t>
  </si>
  <si>
    <t>A-012-E/072-O-4</t>
  </si>
  <si>
    <t>ABBT0045182</t>
  </si>
  <si>
    <t>11-36-039-01-W5</t>
  </si>
  <si>
    <t>A-082-H/083-B-8</t>
  </si>
  <si>
    <t>ABBT0165562</t>
  </si>
  <si>
    <t>11-25-072-10-W6</t>
  </si>
  <si>
    <t>A-023-D/083-M-6</t>
  </si>
  <si>
    <t>CRESCENT POINT ENERGY TRUST</t>
  </si>
  <si>
    <t>REDVERS OIL BATTERY 12-24</t>
  </si>
  <si>
    <t>12-24-006-32W1</t>
  </si>
  <si>
    <t>12-24-006-32-W1</t>
  </si>
  <si>
    <t>C-095-J/062-F-5</t>
  </si>
  <si>
    <t>200 100 Route</t>
  </si>
  <si>
    <t>Morden</t>
  </si>
  <si>
    <t>R6M 1B8</t>
  </si>
  <si>
    <t>08-05-003-05-W1</t>
  </si>
  <si>
    <t>A-028-I/062-G-1</t>
  </si>
  <si>
    <t>Winkler</t>
  </si>
  <si>
    <t>South Central / Centre sud</t>
  </si>
  <si>
    <t>R6M</t>
  </si>
  <si>
    <t>FONTAS COMP STN 07-07</t>
  </si>
  <si>
    <t>07-07-104-09W6</t>
  </si>
  <si>
    <t>14-07-104-09-W6</t>
  </si>
  <si>
    <t>A-029-D/084-L-3</t>
  </si>
  <si>
    <t>Westerose South Gas Battery 11-02</t>
  </si>
  <si>
    <t>11-02-044-02-W5</t>
  </si>
  <si>
    <t>C-015-B/083-B-16</t>
  </si>
  <si>
    <t>Vulcraft Canada Inc.</t>
  </si>
  <si>
    <t>Metl Span Canada</t>
  </si>
  <si>
    <t>450 Sherman Avenue North</t>
  </si>
  <si>
    <t>L8L 8J6</t>
  </si>
  <si>
    <t>C-017-C/030-M-05</t>
  </si>
  <si>
    <t>L8L</t>
  </si>
  <si>
    <t>Post Office Box Zorkin Road Road East</t>
  </si>
  <si>
    <t>V9S 5T9</t>
  </si>
  <si>
    <t>04-10-003-15-W7</t>
  </si>
  <si>
    <t>A-037-L/092-G-4</t>
  </si>
  <si>
    <t>V9S</t>
  </si>
  <si>
    <t>Ferrier Gas Battery 16-02</t>
  </si>
  <si>
    <t>16-02-045-10-W5</t>
  </si>
  <si>
    <t>C-027-F/083-B-14</t>
  </si>
  <si>
    <t>O'Chiese 203</t>
  </si>
  <si>
    <t>PETRUS HZ KAKWA 14-31-63-6</t>
  </si>
  <si>
    <t>Greenview County</t>
  </si>
  <si>
    <t>14-26-038-09-W5</t>
  </si>
  <si>
    <t>A-065-B/083-B-06</t>
  </si>
  <si>
    <t>13-33-078-17W6 (Well Pad)</t>
  </si>
  <si>
    <t>13-33-078-17-W6</t>
  </si>
  <si>
    <t>B-077-A/093-P-15</t>
  </si>
  <si>
    <t>Valhalla Oil Battery 10-14-076-10W6 (tank)</t>
  </si>
  <si>
    <t>10-14-076-10-W6</t>
  </si>
  <si>
    <t>B-005-E/083-M-11</t>
  </si>
  <si>
    <t>B.Y.G. RESOURCES LTD.</t>
  </si>
  <si>
    <t>MT. NANSEN</t>
  </si>
  <si>
    <t>110 INDUSTRIAL RD</t>
  </si>
  <si>
    <t>WHITEHORSE</t>
  </si>
  <si>
    <t>YT</t>
  </si>
  <si>
    <t>V1A2T9</t>
  </si>
  <si>
    <t>03-19-150-17-WA</t>
  </si>
  <si>
    <t>D-053-B/0115-I-3</t>
  </si>
  <si>
    <t>Yukon</t>
  </si>
  <si>
    <t>Yukon, Unorganized</t>
  </si>
  <si>
    <t>Y0B</t>
  </si>
  <si>
    <t>Boreal Cordillera</t>
  </si>
  <si>
    <t>Cordillère borèale</t>
  </si>
  <si>
    <t>Yukon River Drainage Area</t>
  </si>
  <si>
    <t>Aire de drainage du fleuve Yukon</t>
  </si>
  <si>
    <t>ADVANTAGE ENERGY INCOME FUND</t>
  </si>
  <si>
    <t>LABOMBE OIL BATTERY 04-19</t>
  </si>
  <si>
    <t>04-19-039-24W4</t>
  </si>
  <si>
    <t>04-19-039-24-W4</t>
  </si>
  <si>
    <t>C-037-E/083-A-6</t>
  </si>
  <si>
    <t>SKGS0028009</t>
  </si>
  <si>
    <t>05-13-032-29-W3</t>
  </si>
  <si>
    <t>C-090-L/072-N-12</t>
  </si>
  <si>
    <t>Secure Energy Services Inc.</t>
  </si>
  <si>
    <t>Standard TS</t>
  </si>
  <si>
    <t>102 2nd Street West</t>
  </si>
  <si>
    <t>Standard</t>
  </si>
  <si>
    <t>T0J 3G0</t>
  </si>
  <si>
    <t>09-03-025-22W4</t>
  </si>
  <si>
    <t>C-029-E/082-P-2</t>
  </si>
  <si>
    <t>Newbrook (Newbrook) Oil MWB 15-31-062-20W4</t>
  </si>
  <si>
    <t>15-31-062-20-W4</t>
  </si>
  <si>
    <t>B-099-E/83-I-07</t>
  </si>
  <si>
    <t>Varennes Plant</t>
  </si>
  <si>
    <t>3300 Marie-Victorin Boulevard</t>
  </si>
  <si>
    <t>J3X 1P7</t>
  </si>
  <si>
    <t>C-044-L/031-H-11</t>
  </si>
  <si>
    <t>TransGas Limited</t>
  </si>
  <si>
    <t>Brada Compressor Station</t>
  </si>
  <si>
    <t>Northeast</t>
  </si>
  <si>
    <t>BRADA</t>
  </si>
  <si>
    <t>S0M 0E0</t>
  </si>
  <si>
    <t>10-08-043-17-W3</t>
  </si>
  <si>
    <t>B-35/L-73-C-9</t>
  </si>
  <si>
    <t>Battle River No. 438</t>
  </si>
  <si>
    <t>BAYTEX ENERGY TRUST</t>
  </si>
  <si>
    <t>BAYTEX DEE VALLEY A10-12-49-23W3</t>
  </si>
  <si>
    <t>11/10-12-049-23W3/0</t>
  </si>
  <si>
    <t>GOLDEN LAKE</t>
  </si>
  <si>
    <t>10-12-049-23-W3</t>
  </si>
  <si>
    <t>C-059-J/073-F-3</t>
  </si>
  <si>
    <t>Eldon No. 471</t>
  </si>
  <si>
    <t>PETROBANK KISBEY 08-19-008-06W2</t>
  </si>
  <si>
    <t>08-19-008-06W2</t>
  </si>
  <si>
    <t>KISBEY</t>
  </si>
  <si>
    <t>A9A9A9</t>
  </si>
  <si>
    <t>08-19-008-06-W2</t>
  </si>
  <si>
    <t>B-094-F/062-E-10</t>
  </si>
  <si>
    <t>MURPHY OIL COMPANY</t>
  </si>
  <si>
    <t>3-20-40-28W4</t>
  </si>
  <si>
    <t>15-04-021-28-W4</t>
  </si>
  <si>
    <t>B-016-C/082-I-13</t>
  </si>
  <si>
    <t>Foothills No. 31</t>
  </si>
  <si>
    <t>Baytex Forest Bank A13-14-49-25W3</t>
  </si>
  <si>
    <t>FORESTBANK</t>
  </si>
  <si>
    <t>14-14-049-25-W3</t>
  </si>
  <si>
    <t>C-075-I/073-F-4</t>
  </si>
  <si>
    <t>Burns &amp; McDonnell Ltd.</t>
  </si>
  <si>
    <t>Burns &amp; McDonnell Ltd</t>
  </si>
  <si>
    <t>635 - 6 Avenue Southwest</t>
  </si>
  <si>
    <t>T2P0T5</t>
  </si>
  <si>
    <t>09-16-024-01-W5</t>
  </si>
  <si>
    <t>D-057-A/082-O-1</t>
  </si>
  <si>
    <t>T2P</t>
  </si>
  <si>
    <t>LOUIS CREEK DIVISION</t>
  </si>
  <si>
    <t>3721 Louis Creek Drive</t>
  </si>
  <si>
    <t>LOUIS CREEK</t>
  </si>
  <si>
    <t>V0E2E0</t>
  </si>
  <si>
    <t>04-24-025-16-W6</t>
  </si>
  <si>
    <t>D-070-H/092-P-1</t>
  </si>
  <si>
    <t>Thompson-Nicola</t>
  </si>
  <si>
    <t>Barriere</t>
  </si>
  <si>
    <t>V0E</t>
  </si>
  <si>
    <t>Spinrite Inc.</t>
  </si>
  <si>
    <t>320 Livingstone Avenue South</t>
  </si>
  <si>
    <t>Listowel</t>
  </si>
  <si>
    <t>N4W 3H3</t>
  </si>
  <si>
    <t>D-077-L/040-P-10</t>
  </si>
  <si>
    <t>Perth</t>
  </si>
  <si>
    <t>North Perth</t>
  </si>
  <si>
    <t>Stratford--Bruce Peninsula</t>
  </si>
  <si>
    <t>N4W</t>
  </si>
  <si>
    <t>Lost Horse Hills 03-29-009-08W2 MWB</t>
  </si>
  <si>
    <t>03-29-009-08-W2</t>
  </si>
  <si>
    <t>C-005-A/062-E-14</t>
  </si>
  <si>
    <t>McMahon Cogen Plant</t>
  </si>
  <si>
    <t>35 Mile Alaska Highway</t>
  </si>
  <si>
    <t>Taylor</t>
  </si>
  <si>
    <t>V0C 2K0</t>
  </si>
  <si>
    <t>02-36-082-18-W6</t>
  </si>
  <si>
    <t>C-074-G/094-A-2</t>
  </si>
  <si>
    <t>Vancouver Landfill</t>
  </si>
  <si>
    <t>5400 72nd Street</t>
  </si>
  <si>
    <t>V4K 3N2</t>
  </si>
  <si>
    <t>13-04-002-08-W7</t>
  </si>
  <si>
    <t>C-012-H/092-G-3</t>
  </si>
  <si>
    <t>V4K</t>
  </si>
  <si>
    <t>HUSKY 4-25-72-10W6 GAS BATTERY</t>
  </si>
  <si>
    <t>04-25-072-10-W6</t>
  </si>
  <si>
    <t>B-013-D/083-M-06</t>
  </si>
  <si>
    <t>Anegada 05-21-075-07w6 Mwbt</t>
  </si>
  <si>
    <t>T8V8B9</t>
  </si>
  <si>
    <t>05-21-075-07-W6</t>
  </si>
  <si>
    <t>A-13/A-83-M-11</t>
  </si>
  <si>
    <t>Hythe Gas Battery 15-31</t>
  </si>
  <si>
    <t>15-31-074-13-W6</t>
  </si>
  <si>
    <t>B-059-L/083-M-5</t>
  </si>
  <si>
    <t>BUFFALO CREEK COMP STN</t>
  </si>
  <si>
    <t>04-19-086-18-W4</t>
  </si>
  <si>
    <t>C-058-K/084-A-7</t>
  </si>
  <si>
    <t>SKBT0010100</t>
  </si>
  <si>
    <t>01-27-039-24-W3</t>
  </si>
  <si>
    <t>A-060-F/73-C-06</t>
  </si>
  <si>
    <t>Grass Lake No. 381</t>
  </si>
  <si>
    <t>S0K</t>
  </si>
  <si>
    <t>Rio Tinto Alcan Inc</t>
  </si>
  <si>
    <t>Usine Laterrière</t>
  </si>
  <si>
    <t>6301 Talbot Boulevard</t>
  </si>
  <si>
    <t>Laterrière</t>
  </si>
  <si>
    <t>G7N 1A2</t>
  </si>
  <si>
    <t>A-061-B/022-D-6</t>
  </si>
  <si>
    <t>Aluminum</t>
  </si>
  <si>
    <t>Le Saguenay-et-son-Fjord</t>
  </si>
  <si>
    <t>Saguenay</t>
  </si>
  <si>
    <t>Saguenay--Lac-Saint-Jean</t>
  </si>
  <si>
    <t>G7N</t>
  </si>
  <si>
    <t>MetoKote Canada Ltd</t>
  </si>
  <si>
    <t>MetoKote Corporation Plant 73</t>
  </si>
  <si>
    <t>50 Raglin Road</t>
  </si>
  <si>
    <t>N1T 1Z5</t>
  </si>
  <si>
    <t>A-085-F/040-P-8</t>
  </si>
  <si>
    <t>N1T</t>
  </si>
  <si>
    <t>TRISTAR OIL AND GAS LTD.</t>
  </si>
  <si>
    <t>COUNTESS 2-5-20-15W4</t>
  </si>
  <si>
    <t>2-5-20-15W4</t>
  </si>
  <si>
    <t>COUNTESS</t>
  </si>
  <si>
    <t>15-05-020-15-W4</t>
  </si>
  <si>
    <t>C-004-I/082-I-9</t>
  </si>
  <si>
    <t>3480 Pharmacy Avenue</t>
  </si>
  <si>
    <t>M1W2S7</t>
  </si>
  <si>
    <t>B-077-C/030-M-14</t>
  </si>
  <si>
    <t>M1W</t>
  </si>
  <si>
    <t>Yoplait Liberté Canada Co.</t>
  </si>
  <si>
    <t>Usine de St-Hyacinthe</t>
  </si>
  <si>
    <t>6285 Choquette Boulevard</t>
  </si>
  <si>
    <t>J2S 8L2</t>
  </si>
  <si>
    <t>C-059-E/031-H-10</t>
  </si>
  <si>
    <t>J2S</t>
  </si>
  <si>
    <t>Groupe Lignarex inc. (Alexandre Côté Ltée)</t>
  </si>
  <si>
    <t>16 2e Street</t>
  </si>
  <si>
    <t>Scott</t>
  </si>
  <si>
    <t>G0S 3G0</t>
  </si>
  <si>
    <t>D-096-I/021-L-6</t>
  </si>
  <si>
    <t>La Nouvelle-Beauce</t>
  </si>
  <si>
    <t>G0S</t>
  </si>
  <si>
    <t>SKBT0028158</t>
  </si>
  <si>
    <t>01-08-034-24-W3</t>
  </si>
  <si>
    <t>C-79/F-72-N-14</t>
  </si>
  <si>
    <t>Progress No. 351</t>
  </si>
  <si>
    <t>Strategic Aviation Services Ltd</t>
  </si>
  <si>
    <t>Strategic Aviation Services - Kelowna Airport</t>
  </si>
  <si>
    <t>5533 Airport Way</t>
  </si>
  <si>
    <t>Kelowna</t>
  </si>
  <si>
    <t>V1V 1S1</t>
  </si>
  <si>
    <t>11-36-011-11-W6</t>
  </si>
  <si>
    <t>D-041-L/082-E-14</t>
  </si>
  <si>
    <t>Central Okanagan</t>
  </si>
  <si>
    <t>V1X</t>
  </si>
  <si>
    <t>H&amp;R REIT</t>
  </si>
  <si>
    <t>Trans Canada Tower</t>
  </si>
  <si>
    <t>450 First Street</t>
  </si>
  <si>
    <t>T2P5H1</t>
  </si>
  <si>
    <t>14-15-024-01-W5</t>
  </si>
  <si>
    <t>D-056-A/082-O-1</t>
  </si>
  <si>
    <t>LEITCHVILLE OIL BATTERY 14-19</t>
  </si>
  <si>
    <t>14-19-009-19W3</t>
  </si>
  <si>
    <t>14-19-009-19-W3</t>
  </si>
  <si>
    <t>C-006-A/072-F-15</t>
  </si>
  <si>
    <t>Arlington No. 79</t>
  </si>
  <si>
    <t>NUMAC PROVOST NORTHEAST INLET 15-36</t>
  </si>
  <si>
    <t>15-36-036-16-W4</t>
  </si>
  <si>
    <t>C-063-G/083-A-1</t>
  </si>
  <si>
    <t>Sinopec Daylight Energy Ltd.</t>
  </si>
  <si>
    <t>MedLodge Gas Battery 12-16</t>
  </si>
  <si>
    <t>06-16-052-21-W5</t>
  </si>
  <si>
    <t>A-084-I/083-F-6</t>
  </si>
  <si>
    <t>PETROBAKKEN HEWARD 2C13-2</t>
  </si>
  <si>
    <t>13-23-009-09W2</t>
  </si>
  <si>
    <t>01-27-009-09-W2</t>
  </si>
  <si>
    <t>C-001-B/062-E-14</t>
  </si>
  <si>
    <t>STORM EXPLORATION</t>
  </si>
  <si>
    <t>STORM RED EARTH 1-33</t>
  </si>
  <si>
    <t>1-33-87-9 W6M</t>
  </si>
  <si>
    <t>01-33-087-09-W6</t>
  </si>
  <si>
    <t>C-099-C/084-D-11</t>
  </si>
  <si>
    <t>Headwater Exploration Incorporated</t>
  </si>
  <si>
    <t>Marten Hills 10-15 (16-22 SWB)</t>
  </si>
  <si>
    <t>Slave Lake</t>
  </si>
  <si>
    <t>10-15-075-02-W5</t>
  </si>
  <si>
    <t>D-098-J/083-O-8</t>
  </si>
  <si>
    <t>Torcad Ltd.</t>
  </si>
  <si>
    <t>TORCAD LIMITED</t>
  </si>
  <si>
    <t>275 Norseman Street</t>
  </si>
  <si>
    <t>M8Z 2R5</t>
  </si>
  <si>
    <t>D-053-H/030-M-12</t>
  </si>
  <si>
    <t>M8Z</t>
  </si>
  <si>
    <t>Régie d'Assainissement des Eaux du Bassin de Laprairie</t>
  </si>
  <si>
    <t>5000 Marie-Victorin Boulevard</t>
  </si>
  <si>
    <t>Sainte-Catherine</t>
  </si>
  <si>
    <t>J5C 1L9</t>
  </si>
  <si>
    <t>C-085-H/031-H-5</t>
  </si>
  <si>
    <t>J5C</t>
  </si>
  <si>
    <t>HARMON VALLEY 02-15-084-19W5</t>
  </si>
  <si>
    <t>HARMON VALLEY</t>
  </si>
  <si>
    <t>02-15-084-19-W5</t>
  </si>
  <si>
    <t>B-033-D/084-C-7</t>
  </si>
  <si>
    <t>HALL-CHEM MFG</t>
  </si>
  <si>
    <t>RDP</t>
  </si>
  <si>
    <t>70 ieme Avenue</t>
  </si>
  <si>
    <t>MONTREAL</t>
  </si>
  <si>
    <t>H1C1L1</t>
  </si>
  <si>
    <t>D-085-H/031-H-12</t>
  </si>
  <si>
    <t>H1C</t>
  </si>
  <si>
    <t>Beatrice Foods Inc., Brookside Dairy</t>
  </si>
  <si>
    <t>B-010-D/031-C-8</t>
  </si>
  <si>
    <t>K7K</t>
  </si>
  <si>
    <t>Scierie Comtois</t>
  </si>
  <si>
    <t>2050 Route 805 nord</t>
  </si>
  <si>
    <t>Lebel-sur-Quévillon</t>
  </si>
  <si>
    <t>J0Y 1X0</t>
  </si>
  <si>
    <t>16-08-002-07-E6</t>
  </si>
  <si>
    <t>D-033-G/032-F-3</t>
  </si>
  <si>
    <t>Nord-du-Québec</t>
  </si>
  <si>
    <t>Eeyou Istchee Baie-James</t>
  </si>
  <si>
    <t>J0Y</t>
  </si>
  <si>
    <t>City of Thunder Bay</t>
  </si>
  <si>
    <t>Bare Point Water Treatment Plant</t>
  </si>
  <si>
    <t>171 Bare Point Road</t>
  </si>
  <si>
    <t>P7B5E4</t>
  </si>
  <si>
    <t>A-073-J/052-A-6</t>
  </si>
  <si>
    <t>P7A</t>
  </si>
  <si>
    <t>DSG-Canusa, a division of Mattr Corp,</t>
  </si>
  <si>
    <t>DSG-Canusa</t>
  </si>
  <si>
    <t>10-32-077-02-W5</t>
  </si>
  <si>
    <t>B-062-K/083-O-9</t>
  </si>
  <si>
    <t>Olds 10-30</t>
  </si>
  <si>
    <t>T2P0B4</t>
  </si>
  <si>
    <t>10-30-033-01-W5</t>
  </si>
  <si>
    <t>A-031-G/082-O-16</t>
  </si>
  <si>
    <t>Lafarge Canada, Inc., NW Div., Grande Prairie Concrete Plant</t>
  </si>
  <si>
    <t>9001 112th Street</t>
  </si>
  <si>
    <t>T8V7J4</t>
  </si>
  <si>
    <t>06-22-071-06-W6</t>
  </si>
  <si>
    <t>C-097-F/083-M-2</t>
  </si>
  <si>
    <t>Grande Prairie</t>
  </si>
  <si>
    <t>T8V</t>
  </si>
  <si>
    <t>ZEP Manufacturing of Canada</t>
  </si>
  <si>
    <t>ZEP MANUFACTURING OF CANADA - EDMONTON</t>
  </si>
  <si>
    <t>11627 178th Street</t>
  </si>
  <si>
    <t>T5S 1N6</t>
  </si>
  <si>
    <t>15-09-053-25-W4</t>
  </si>
  <si>
    <t>A-081-B/083-H-12</t>
  </si>
  <si>
    <t>LEDA FURNITURE</t>
  </si>
  <si>
    <t>PLANT</t>
  </si>
  <si>
    <t>350 Clayson Rd.</t>
  </si>
  <si>
    <t>M9M2H2</t>
  </si>
  <si>
    <t>A-073-I/030-M-12</t>
  </si>
  <si>
    <t>M3L</t>
  </si>
  <si>
    <t>Mine Matagami</t>
  </si>
  <si>
    <t>500 Industriel Boulevard</t>
  </si>
  <si>
    <t>Matagami</t>
  </si>
  <si>
    <t>J0Y 2A0</t>
  </si>
  <si>
    <t>13-22-009-03-E6</t>
  </si>
  <si>
    <t>C-003-B/032-F-13</t>
  </si>
  <si>
    <t>TRILOGY TWO CREEK 07-04</t>
  </si>
  <si>
    <t>06-04-063-16-W5</t>
  </si>
  <si>
    <t>B-009-K/083-K-8</t>
  </si>
  <si>
    <t>Trilogy Resources Ltd.</t>
  </si>
  <si>
    <t>WAHIGAN 2-32/16-25</t>
  </si>
  <si>
    <t>16-25-063-23-W5</t>
  </si>
  <si>
    <t>B-087-K/083-K-6</t>
  </si>
  <si>
    <t>Les industries Polykar inc.</t>
  </si>
  <si>
    <t>les industries Polykar inc.</t>
  </si>
  <si>
    <t>5637 Kieran Street</t>
  </si>
  <si>
    <t>H4S 0A3</t>
  </si>
  <si>
    <t>B-001-C/31-H-12</t>
  </si>
  <si>
    <t>H4R</t>
  </si>
  <si>
    <t>Pinnacle Renewable Energy Inc.  Princeton</t>
  </si>
  <si>
    <t>301 Old Hedley Road</t>
  </si>
  <si>
    <t>Princeton</t>
  </si>
  <si>
    <t>V0X 1N0</t>
  </si>
  <si>
    <t>04-15-006-19-W6</t>
  </si>
  <si>
    <t>A-070-L/092-H-8</t>
  </si>
  <si>
    <t>V0X</t>
  </si>
  <si>
    <t>ELMWORTH COMP STN 11-28</t>
  </si>
  <si>
    <t>11-28-070-11W6</t>
  </si>
  <si>
    <t>11-28-070-11-W6</t>
  </si>
  <si>
    <t>A-020-H/083-M-4</t>
  </si>
  <si>
    <t>SOUSA 15-18-112-5W6</t>
  </si>
  <si>
    <t>15-18-112-5W6</t>
  </si>
  <si>
    <t>14-18-112-05-W6</t>
  </si>
  <si>
    <t>C-077-K/084-L-10</t>
  </si>
  <si>
    <t>Manville Pembina (14-29)</t>
  </si>
  <si>
    <t>PEMBINA/E. PEMBINA</t>
  </si>
  <si>
    <t>11-29-048-04-W5</t>
  </si>
  <si>
    <t>D-005-I/083-G-2</t>
  </si>
  <si>
    <t>SKBT0033330</t>
  </si>
  <si>
    <t>S0N 2R0</t>
  </si>
  <si>
    <t>13-15-016-16-W3</t>
  </si>
  <si>
    <t>B-021-G/072-K-8</t>
  </si>
  <si>
    <t>Tamarack 04-32-034-09 W4M</t>
  </si>
  <si>
    <t>CONSORT</t>
  </si>
  <si>
    <t>04-32-034-09-W4</t>
  </si>
  <si>
    <t>D-41/K-72-M-14</t>
  </si>
  <si>
    <t>MONTUPET LTÉE</t>
  </si>
  <si>
    <t>MONTUPET LTÉE - RIVIÈRE-BEAUDETTE</t>
  </si>
  <si>
    <t>500 Léger</t>
  </si>
  <si>
    <t>RIVIÈRE-BEAUDETTE</t>
  </si>
  <si>
    <t>J0P1R0</t>
  </si>
  <si>
    <t>B-077-K/031-G-1</t>
  </si>
  <si>
    <t>Vaudreuil-Soulanges</t>
  </si>
  <si>
    <t>Rivière-Beaudette</t>
  </si>
  <si>
    <t>J0P</t>
  </si>
  <si>
    <t>Kakwa 05-01-064-06W6</t>
  </si>
  <si>
    <t>05-01-064-06-W6</t>
  </si>
  <si>
    <t>D-003-C/083-L-10</t>
  </si>
  <si>
    <t>Crooked Lake Gas Battery 10-22-062-22W5</t>
  </si>
  <si>
    <t>10-22-062-22-W5</t>
  </si>
  <si>
    <t>C-057-G/083-K-6</t>
  </si>
  <si>
    <t>Three Hills Creek Gas Battery 01-36</t>
  </si>
  <si>
    <t>125 9th Avenue Southeast</t>
  </si>
  <si>
    <t>T2G 0P6</t>
  </si>
  <si>
    <t>01-36-035-26-W4</t>
  </si>
  <si>
    <t>A-057-A/083-A-4</t>
  </si>
  <si>
    <t>T4G</t>
  </si>
  <si>
    <t>Murphy Pembina Oil Battery 16-24</t>
  </si>
  <si>
    <t>16-24-049-07-W5</t>
  </si>
  <si>
    <t>C-091-L/083-G-2</t>
  </si>
  <si>
    <t>HONDA OF CANADA</t>
  </si>
  <si>
    <t>ALLISTON PLANT 2</t>
  </si>
  <si>
    <t>4700  TOTTENHAM Road</t>
  </si>
  <si>
    <t>P.O. Box 5000</t>
  </si>
  <si>
    <t>ALLISTON</t>
  </si>
  <si>
    <t>L9R1A2</t>
  </si>
  <si>
    <t>D-078-F/031-D-4</t>
  </si>
  <si>
    <t>Simcoe</t>
  </si>
  <si>
    <t>New Tecumseth</t>
  </si>
  <si>
    <t>L9R</t>
  </si>
  <si>
    <t>Farrell Creek B-88-I</t>
  </si>
  <si>
    <t>07-33-083-01-W7</t>
  </si>
  <si>
    <t>D-088-I/094-B-1</t>
  </si>
  <si>
    <t>GOLD CREEK 15-19-066-04W6 GGS</t>
  </si>
  <si>
    <t>15-19-066-04-W6</t>
  </si>
  <si>
    <t>D-078-I/083-L-10</t>
  </si>
  <si>
    <t>Lyleton Pembina 12-08-047-03W5</t>
  </si>
  <si>
    <t>12-08-047-03-W5</t>
  </si>
  <si>
    <t>D-44/D-83-G-1</t>
  </si>
  <si>
    <t>IPEX Inc.</t>
  </si>
  <si>
    <t>IPEX Clarkson</t>
  </si>
  <si>
    <t>2441 Royal Windsor Drive</t>
  </si>
  <si>
    <t>L5J 4C7</t>
  </si>
  <si>
    <t>A-002-B/030-M-12</t>
  </si>
  <si>
    <t>L5J</t>
  </si>
  <si>
    <t>P 51</t>
  </si>
  <si>
    <t>Grovedale</t>
  </si>
  <si>
    <t>T0H 1X0</t>
  </si>
  <si>
    <t>10-30-085-07-W6</t>
  </si>
  <si>
    <t>A-088-H/084-D-6</t>
  </si>
  <si>
    <t>SCI Brockville Corp</t>
  </si>
  <si>
    <t>100 Strowger Blvd.</t>
  </si>
  <si>
    <t>K6V5W8</t>
  </si>
  <si>
    <t>D-007-G/031-B-12</t>
  </si>
  <si>
    <t>Rapdan Oil Battery 15-32</t>
  </si>
  <si>
    <t>15-32-004-19-W3</t>
  </si>
  <si>
    <t>D-013-H/072-F-7</t>
  </si>
  <si>
    <t>White Valley No. 49</t>
  </si>
  <si>
    <t>G.TACKABERRY &amp; SONS CONSTRUCTION</t>
  </si>
  <si>
    <t>WILSON QUARRY - 4242</t>
  </si>
  <si>
    <t>1590 County Road 43 Road</t>
  </si>
  <si>
    <t>MERRICKVILLE</t>
  </si>
  <si>
    <t>K0G1N0</t>
  </si>
  <si>
    <t>B-083-E/031-B-13</t>
  </si>
  <si>
    <t>Montague</t>
  </si>
  <si>
    <t>Baytex Leahurst Gas Plant 06-19-039-19W4</t>
  </si>
  <si>
    <t>LEAHURST</t>
  </si>
  <si>
    <t>05-19-039-19-W4</t>
  </si>
  <si>
    <t>C-039-G/083-A-7</t>
  </si>
  <si>
    <t>NAL Resources Management</t>
  </si>
  <si>
    <t>Browning 05-10-006-05-W2</t>
  </si>
  <si>
    <t>BROWNING</t>
  </si>
  <si>
    <t>05-10-006-05-W2</t>
  </si>
  <si>
    <t>C-049-I/062-E-7</t>
  </si>
  <si>
    <t>Roxanna Springburn Compressor Station 07-12</t>
  </si>
  <si>
    <t>07-12-079-18-W5</t>
  </si>
  <si>
    <t>C-094-B/083-N-15</t>
  </si>
  <si>
    <t>Wintering Hills Compressor Station 11-16-024-15W4</t>
  </si>
  <si>
    <t>11-16-024-15-W4</t>
  </si>
  <si>
    <t>C-054-A/082-P-1</t>
  </si>
  <si>
    <t>BLACKPEARL RESOURCES INC.</t>
  </si>
  <si>
    <t>7-18-72-7W5M</t>
  </si>
  <si>
    <t>07-18-072-07-W5</t>
  </si>
  <si>
    <t>A-086-I/083-O-3</t>
  </si>
  <si>
    <t>Enigma Interconnect Corp.</t>
  </si>
  <si>
    <t>Enigma (Vancouver)</t>
  </si>
  <si>
    <t>8070 Winston Street</t>
  </si>
  <si>
    <t>Burnaby</t>
  </si>
  <si>
    <t>V5A 2H5</t>
  </si>
  <si>
    <t>02-31-003-07-W7</t>
  </si>
  <si>
    <t>D-095-L/092-G-2</t>
  </si>
  <si>
    <t>V5A</t>
  </si>
  <si>
    <t>The University of Western Ontario</t>
  </si>
  <si>
    <t>Main Campus</t>
  </si>
  <si>
    <t>1151 Richmond Street Street</t>
  </si>
  <si>
    <t>N6A 3K7</t>
  </si>
  <si>
    <t>C-012-C/040-P-3</t>
  </si>
  <si>
    <t>N6G</t>
  </si>
  <si>
    <t>Shadow Oil Battery 09-25</t>
  </si>
  <si>
    <t>09-25-074-19-W5</t>
  </si>
  <si>
    <t>C-022-K/083-N-7</t>
  </si>
  <si>
    <t>Smoky River No. 130</t>
  </si>
  <si>
    <t>Wonder Brands Inc.</t>
  </si>
  <si>
    <t>WonderBrands Calgary</t>
  </si>
  <si>
    <t>203 58th Avenue</t>
  </si>
  <si>
    <t>T2H 0N8</t>
  </si>
  <si>
    <t>06-34-023-01-W5</t>
  </si>
  <si>
    <t>B-005-A/082-O-1</t>
  </si>
  <si>
    <t>T2H</t>
  </si>
  <si>
    <t>NORTH HAYTER BATTERY</t>
  </si>
  <si>
    <t>01-34-40-01W4</t>
  </si>
  <si>
    <t>PROVOST</t>
  </si>
  <si>
    <t>04-35-040-01-W4</t>
  </si>
  <si>
    <t>D-075-I/073-D-8</t>
  </si>
  <si>
    <t>BURLINGTON RESOURCES CANADA ENERGY LTD.</t>
  </si>
  <si>
    <t>IRMA 9-5</t>
  </si>
  <si>
    <t>9-5-47-10 W4M</t>
  </si>
  <si>
    <t>VIKING</t>
  </si>
  <si>
    <t>09-05-047-10-W4</t>
  </si>
  <si>
    <t>C-024-D/073-E-3</t>
  </si>
  <si>
    <t>Produits Kruger Inc.</t>
  </si>
  <si>
    <t>Fabrication région Est, Sherbrooke</t>
  </si>
  <si>
    <t>2888 du Collège</t>
  </si>
  <si>
    <t>J1M 1Z4</t>
  </si>
  <si>
    <t>D-039-F/021-E-5</t>
  </si>
  <si>
    <t>J1M</t>
  </si>
  <si>
    <t>EAST ALIDA 4-14</t>
  </si>
  <si>
    <t>04-14-005-33W1</t>
  </si>
  <si>
    <t>03-16-005-03-W2</t>
  </si>
  <si>
    <t>C-059-F/062-E-8</t>
  </si>
  <si>
    <t>MICHICHI 04-08</t>
  </si>
  <si>
    <t>BILL NALDER</t>
  </si>
  <si>
    <t>05-29-031-18-W4</t>
  </si>
  <si>
    <t>A-023-I/082-P-10</t>
  </si>
  <si>
    <t>Connors Bros. Clover Leaf Seafoods Co</t>
  </si>
  <si>
    <t>No. 10 Fish Processing Facility</t>
  </si>
  <si>
    <t>180 Brunswick Street</t>
  </si>
  <si>
    <t>Blacks Harbour</t>
  </si>
  <si>
    <t>E5H 1G6</t>
  </si>
  <si>
    <t>B-064-C/021-G-2</t>
  </si>
  <si>
    <t>Charlotte</t>
  </si>
  <si>
    <t>E5H</t>
  </si>
  <si>
    <t>Mars Canada Inc.</t>
  </si>
  <si>
    <t>37 Holland Drive</t>
  </si>
  <si>
    <t>Bolton</t>
  </si>
  <si>
    <t>L7E 5S4</t>
  </si>
  <si>
    <t>A-050-G/030-M-13</t>
  </si>
  <si>
    <t>Caledon</t>
  </si>
  <si>
    <t>L7E</t>
  </si>
  <si>
    <t>Wembley Oil MWB 16-35-073-08W6</t>
  </si>
  <si>
    <t>16-35-073-08-W6</t>
  </si>
  <si>
    <t>D-49/H-83-M-6</t>
  </si>
  <si>
    <t>Queen Oil Battery 16-14</t>
  </si>
  <si>
    <t>16-14-006-02-W2</t>
  </si>
  <si>
    <t>A-074-J/062-E-8</t>
  </si>
  <si>
    <t>Suncor Energy Inc CS 14-03</t>
  </si>
  <si>
    <t>na</t>
  </si>
  <si>
    <t>07-02-047-18-W5</t>
  </si>
  <si>
    <t>C-022-A/083-F-2</t>
  </si>
  <si>
    <t>Port Colborne Wastewater Treatment Plant</t>
  </si>
  <si>
    <t>30 Prosperity Avenue</t>
  </si>
  <si>
    <t>Port Colborne</t>
  </si>
  <si>
    <t>L3K 5X9</t>
  </si>
  <si>
    <t>D-081-F/030-L-14</t>
  </si>
  <si>
    <t>Niagara</t>
  </si>
  <si>
    <t>St. Catharines - Niagara</t>
  </si>
  <si>
    <t>L3K</t>
  </si>
  <si>
    <t>Fort Saskatchewan 04-24-055-22W4</t>
  </si>
  <si>
    <t>Fort Saskatchewan</t>
  </si>
  <si>
    <t>04-24-055-22-W4</t>
  </si>
  <si>
    <t>B-012-B/083-H-14</t>
  </si>
  <si>
    <t>T8L</t>
  </si>
  <si>
    <t>Capital Regional District</t>
  </si>
  <si>
    <t>Residuals Treatment Facility</t>
  </si>
  <si>
    <t>280 Willis Point Road</t>
  </si>
  <si>
    <t>Victoria</t>
  </si>
  <si>
    <t>V9E 1K1</t>
  </si>
  <si>
    <t>D-048-D/092-B-11</t>
  </si>
  <si>
    <t>Capital</t>
  </si>
  <si>
    <t>Saanich</t>
  </si>
  <si>
    <t>V9E</t>
  </si>
  <si>
    <t>JOARCAM 5-23-49-21 W4</t>
  </si>
  <si>
    <t>05-23-049-21W4</t>
  </si>
  <si>
    <t>01-22-049-21-W4</t>
  </si>
  <si>
    <t>D-089-L/083-H-2</t>
  </si>
  <si>
    <t>Duffin Creek WPCP</t>
  </si>
  <si>
    <t>901 McKay Road</t>
  </si>
  <si>
    <t>Pickering</t>
  </si>
  <si>
    <t>L1W 3A3</t>
  </si>
  <si>
    <t>A-085-A/030-M-14</t>
  </si>
  <si>
    <t>L1W</t>
  </si>
  <si>
    <t>Wolf NGL</t>
  </si>
  <si>
    <t>Wolf Recovery Facility 1 (WRF1)</t>
  </si>
  <si>
    <t>11409 88 Avenue</t>
  </si>
  <si>
    <t>T8L 0P2</t>
  </si>
  <si>
    <t>10-33-080-13-W4</t>
  </si>
  <si>
    <t>C-078-L/073-M-13</t>
  </si>
  <si>
    <t>Lush Manufacturing Ltd.</t>
  </si>
  <si>
    <t>35 Jutland</t>
  </si>
  <si>
    <t>35 Jutland Road</t>
  </si>
  <si>
    <t>M8Z 2G6</t>
  </si>
  <si>
    <t xml:space="preserve">B-052-H/030-M-12_x000D_
</t>
  </si>
  <si>
    <t xml:space="preserve">M8Z_x000D_
</t>
  </si>
  <si>
    <t>09-36-004-06-W2</t>
  </si>
  <si>
    <t>B-015-G/062-E-7</t>
  </si>
  <si>
    <t>HAIG LAKE TERMINAL</t>
  </si>
  <si>
    <t>E 7-91-16W5</t>
  </si>
  <si>
    <t>P.O. Bag 1200</t>
  </si>
  <si>
    <t>PEACE RIVER</t>
  </si>
  <si>
    <t>T8S1V1</t>
  </si>
  <si>
    <t>15-12-092-17-W5</t>
  </si>
  <si>
    <t>C-067-I/084-C-15</t>
  </si>
  <si>
    <t>Non-Conventional Oil Extraction (including Oilsands and Heavy Oil)</t>
  </si>
  <si>
    <t xml:space="preserve">Extraction de pétrole par des méthodes non classiques (incluant sables bitumineux et huile loudre)_x000D_
</t>
  </si>
  <si>
    <t>INSTOW OIL BATTERY 13-03</t>
  </si>
  <si>
    <t>13-03-010-19W3</t>
  </si>
  <si>
    <t>13-03-010-19-W3</t>
  </si>
  <si>
    <t>C-051-A/072-F-15</t>
  </si>
  <si>
    <t>Anderson Energy Inc.</t>
  </si>
  <si>
    <t>Anderson Cardiff 04-15-055-02-W5M</t>
  </si>
  <si>
    <t>LAC STE ANNE COUNTY</t>
  </si>
  <si>
    <t>04-15-055-02-W5</t>
  </si>
  <si>
    <t>B-098-J/083-G-9</t>
  </si>
  <si>
    <t>ABBT0104876</t>
  </si>
  <si>
    <t>10-31-019-15-W4</t>
  </si>
  <si>
    <t>A-086-H/082-I-9</t>
  </si>
  <si>
    <t>05-21-074-09-W6</t>
  </si>
  <si>
    <t>D-007-K/083-M-6</t>
  </si>
  <si>
    <t>Devon Iron River 04-09-64-7w4 Pad</t>
  </si>
  <si>
    <t>14-04-064-07-W4</t>
  </si>
  <si>
    <t>B-011-A/073-L-11</t>
  </si>
  <si>
    <t>SPARTON OF CANADA LIMITED</t>
  </si>
  <si>
    <t>SPARTON OF CANADA</t>
  </si>
  <si>
    <t>99 ASH Street</t>
  </si>
  <si>
    <t>N5Z4V3</t>
  </si>
  <si>
    <t>B-087-J/040-I-14</t>
  </si>
  <si>
    <t>N5Z</t>
  </si>
  <si>
    <t>Pembina 01-35-049-12w5 Mwb</t>
  </si>
  <si>
    <t>08-35-049-12-W5</t>
  </si>
  <si>
    <t>A-022-B/083-G-5</t>
  </si>
  <si>
    <t>CNRL LONE ROCK/EPPING 10-</t>
  </si>
  <si>
    <t>10-02-047-27-W3</t>
  </si>
  <si>
    <t>A-038-C/073-F-4</t>
  </si>
  <si>
    <t>Agrocentre Fertibec Inc.</t>
  </si>
  <si>
    <t>AGROCENTRE - STE-MARTINE</t>
  </si>
  <si>
    <t>1475 St-Jean Baptiste</t>
  </si>
  <si>
    <t>STE-MARTINE</t>
  </si>
  <si>
    <t>J0S1V0</t>
  </si>
  <si>
    <t>D-057-K/031-H-4</t>
  </si>
  <si>
    <t>Beauharnois-Salaberry</t>
  </si>
  <si>
    <t>Sainte-Martine</t>
  </si>
  <si>
    <t>J0S</t>
  </si>
  <si>
    <t>TARRAGON WILLESDEN GREEN 16-12-41</t>
  </si>
  <si>
    <t>16-12-041-05-W5</t>
  </si>
  <si>
    <t>A-027-A/083-B-10</t>
  </si>
  <si>
    <t>CLEARHILLS EAST 14-36</t>
  </si>
  <si>
    <t>14-36-086-26-W5</t>
  </si>
  <si>
    <t>16-35-086-26-W5</t>
  </si>
  <si>
    <t>C-009-D/084-C-12</t>
  </si>
  <si>
    <t>101/03-03-030-25W3/0 (3D3-4) SWB</t>
  </si>
  <si>
    <t>03-04-030-25-W3</t>
  </si>
  <si>
    <t>A-048-D/072-N-11</t>
  </si>
  <si>
    <t>Dufferin Aggregates, a Division of CRH Canada Group Inc.</t>
  </si>
  <si>
    <t>4469 County 47 Road</t>
  </si>
  <si>
    <t>BRECHIN</t>
  </si>
  <si>
    <t>L0K1B0</t>
  </si>
  <si>
    <t>B-088-A/031-D-11</t>
  </si>
  <si>
    <t>Kawartha Lakes</t>
  </si>
  <si>
    <t>Muskoka--Kawarthas</t>
  </si>
  <si>
    <t>K0M</t>
  </si>
  <si>
    <t>Fleetwood Metal Industries Inc.</t>
  </si>
  <si>
    <t>Otterville</t>
  </si>
  <si>
    <t>71 Dover Street</t>
  </si>
  <si>
    <t>N0J 1R0</t>
  </si>
  <si>
    <t>D-009-I/040-I-15</t>
  </si>
  <si>
    <t>Oxford</t>
  </si>
  <si>
    <t>Norwich</t>
  </si>
  <si>
    <t>N0J</t>
  </si>
  <si>
    <t>ADVANTAGE OIL &amp; GAS LTD.</t>
  </si>
  <si>
    <t>ENDIANG COMP STN 16-34</t>
  </si>
  <si>
    <t>16-34-035-16W4</t>
  </si>
  <si>
    <t>16-34-035-16-W4</t>
  </si>
  <si>
    <t>A-067-B/083-A-1</t>
  </si>
  <si>
    <t>Heidelberg Materials Canada Limited</t>
  </si>
  <si>
    <t>Pine Ridge</t>
  </si>
  <si>
    <t>Rm of Springfield</t>
  </si>
  <si>
    <t>07-34-011-04-E1</t>
  </si>
  <si>
    <t>B-057-L/062-H-15</t>
  </si>
  <si>
    <t>Springfield</t>
  </si>
  <si>
    <t>Winnipeg</t>
  </si>
  <si>
    <t>Southeast / Sud-est</t>
  </si>
  <si>
    <t>R2C</t>
  </si>
  <si>
    <t>P-11</t>
  </si>
  <si>
    <t>STAR Pit</t>
  </si>
  <si>
    <t>11-04-014-20-W4</t>
  </si>
  <si>
    <t>C-068-J/082-P-3</t>
  </si>
  <si>
    <t>T1S</t>
  </si>
  <si>
    <t>Arrow Point Oil and Gas</t>
  </si>
  <si>
    <t>Penhold 05-01</t>
  </si>
  <si>
    <t>INNISFAIL</t>
  </si>
  <si>
    <t>T4G1S7</t>
  </si>
  <si>
    <t>08-02-036-28-W4</t>
  </si>
  <si>
    <t>A-072-D/083-A-4</t>
  </si>
  <si>
    <t>BEACON HILL SOUTH 07-15</t>
  </si>
  <si>
    <t>07-15-059-24 W3M</t>
  </si>
  <si>
    <t>06-15-059-24-W3</t>
  </si>
  <si>
    <t>C-012-H/073-K-4</t>
  </si>
  <si>
    <t>Loon Lake No. 561</t>
  </si>
  <si>
    <t>Elk Point GS 16-36</t>
  </si>
  <si>
    <t>16-36-054-06-W4</t>
  </si>
  <si>
    <t>C-060-J/073-E-10</t>
  </si>
  <si>
    <t>GHOST PINE COMP STN 10-15</t>
  </si>
  <si>
    <t>10-15-031-22W4</t>
  </si>
  <si>
    <t>10-15-031-22-W4</t>
  </si>
  <si>
    <t>A-094-H/082-P-11</t>
  </si>
  <si>
    <t>PF Consumer Healthcare Canada ULC</t>
  </si>
  <si>
    <t>Haleon Montréal</t>
  </si>
  <si>
    <t>1025 Marcel-Laurin Boulevard</t>
  </si>
  <si>
    <t>H4R 1J6</t>
  </si>
  <si>
    <t>A-016-B/031-H-12</t>
  </si>
  <si>
    <t>H4L</t>
  </si>
  <si>
    <t>DIEPPE O.B.</t>
  </si>
  <si>
    <t>03-26-19-8W4</t>
  </si>
  <si>
    <t>IDDESLEIGH</t>
  </si>
  <si>
    <t>03-26-019-08-W4</t>
  </si>
  <si>
    <t>C-051-H/072-L-11</t>
  </si>
  <si>
    <t>Mancor Industries</t>
  </si>
  <si>
    <t>Speers Road</t>
  </si>
  <si>
    <t>2485 Speers Road</t>
  </si>
  <si>
    <t>OAKVILLE</t>
  </si>
  <si>
    <t>L6L2X9</t>
  </si>
  <si>
    <t>D-089-G/030-M-5</t>
  </si>
  <si>
    <t>Oakville</t>
  </si>
  <si>
    <t>L6L</t>
  </si>
  <si>
    <t>BURLINGTON RESOURCES</t>
  </si>
  <si>
    <t>COMP 6-8</t>
  </si>
  <si>
    <t>6-8-70-13 W6M</t>
  </si>
  <si>
    <t>BEAVERLODGE</t>
  </si>
  <si>
    <t>05-08-070-13-W6</t>
  </si>
  <si>
    <t>A-057-D/083-M-4</t>
  </si>
  <si>
    <t>Batteries 03-24-062-04W6</t>
  </si>
  <si>
    <t>03-24-062-04-W6</t>
  </si>
  <si>
    <t>D-048-E/083-L-8</t>
  </si>
  <si>
    <t>Ball Advanced Aluminum Technologies Holding Canada Inc.</t>
  </si>
  <si>
    <t>Ball Advanced Aluminum Technologies Canada Inc.</t>
  </si>
  <si>
    <t>2205 Roy Road</t>
  </si>
  <si>
    <t>J1K 1B8</t>
  </si>
  <si>
    <t>D-065-E/021-E-5</t>
  </si>
  <si>
    <t>J1K</t>
  </si>
  <si>
    <t>SKBT0014373</t>
  </si>
  <si>
    <t>01-16-008-05-W2</t>
  </si>
  <si>
    <t>C-070-H/062-E-10</t>
  </si>
  <si>
    <t>ABBT0144336</t>
  </si>
  <si>
    <t>T2P 5C5</t>
  </si>
  <si>
    <t>06-09-065-24-W5</t>
  </si>
  <si>
    <t>B-36/H-83-K-12</t>
  </si>
  <si>
    <t>Inplay Oil Corp.</t>
  </si>
  <si>
    <t>Pembina 4-8-47-9W5</t>
  </si>
  <si>
    <t>Pembina</t>
  </si>
  <si>
    <t>04-08-047-09-W5</t>
  </si>
  <si>
    <t>A-044-C/083-G-3</t>
  </si>
  <si>
    <t>SAMSON PETROLEUM</t>
  </si>
  <si>
    <t>HARO #4B 07-32-102-05W6</t>
  </si>
  <si>
    <t>07-32-102-05W6</t>
  </si>
  <si>
    <t>07-32-102-05-W6</t>
  </si>
  <si>
    <t>A-073-F/084-E-15</t>
  </si>
  <si>
    <t>INTER-CANADIAN</t>
  </si>
  <si>
    <t>BAGOTVILLE</t>
  </si>
  <si>
    <t>7000 CHEMIN DE L'AERPORT</t>
  </si>
  <si>
    <t>VILLE DE LA BAIE</t>
  </si>
  <si>
    <t>G7B3N8</t>
  </si>
  <si>
    <t>B-010-E/022-D-7</t>
  </si>
  <si>
    <t>G7B</t>
  </si>
  <si>
    <t>AGRICORE UNITED</t>
  </si>
  <si>
    <t>CONGRESS ELEVATOR</t>
  </si>
  <si>
    <t>Parcel A, 94MJ09522; Parcel B, 97MJ05769</t>
  </si>
  <si>
    <t>CONGRESS</t>
  </si>
  <si>
    <t>S0H0Y0</t>
  </si>
  <si>
    <t>03-25-009-01-W3</t>
  </si>
  <si>
    <t>C-002-A/072-G-16</t>
  </si>
  <si>
    <t>Stonehenge No. 73</t>
  </si>
  <si>
    <t>S0H</t>
  </si>
  <si>
    <t>NALCO Canada Co. (An Ecolab company)</t>
  </si>
  <si>
    <t>2002 Fourth Street</t>
  </si>
  <si>
    <t>NISKU</t>
  </si>
  <si>
    <t>T9E7W4</t>
  </si>
  <si>
    <t>01-26-050-25-W4</t>
  </si>
  <si>
    <t>D-004-H/083-H-5</t>
  </si>
  <si>
    <t>T4X</t>
  </si>
  <si>
    <t>PETROBANK HEWARD 03-07-009-09W2</t>
  </si>
  <si>
    <t>03-07-009-09W2</t>
  </si>
  <si>
    <t>HEWARD</t>
  </si>
  <si>
    <t>03-07-009-09-W2</t>
  </si>
  <si>
    <t>D-058-J/062-E-11</t>
  </si>
  <si>
    <t>Pbn Hz Carol 15-1-34-5</t>
  </si>
  <si>
    <t>15-36-033-05-W5</t>
  </si>
  <si>
    <t>D-057-H/082-O-15</t>
  </si>
  <si>
    <t>TLM WAINWRIGHT 12-36</t>
  </si>
  <si>
    <t>12-36-043-06-W4</t>
  </si>
  <si>
    <t>13-29-046-07-W4</t>
  </si>
  <si>
    <t>B-010-D/073-E-2</t>
  </si>
  <si>
    <t>Usine de Marbleton</t>
  </si>
  <si>
    <t>303 Principale Street West</t>
  </si>
  <si>
    <t>Marbleton</t>
  </si>
  <si>
    <t>J0B 2L0</t>
  </si>
  <si>
    <t>A-049-H/021-E-12</t>
  </si>
  <si>
    <t>Dudswell</t>
  </si>
  <si>
    <t>PETROBAKKEN SWB HARTAVEN</t>
  </si>
  <si>
    <t>14-26-009-09W2</t>
  </si>
  <si>
    <t>11-26-009-09-W2</t>
  </si>
  <si>
    <t>C-020-A/062-E-14</t>
  </si>
  <si>
    <t>Battery SEAL 06-04</t>
  </si>
  <si>
    <t>06-04-083-17-W5</t>
  </si>
  <si>
    <t>D-091-G/084-C-2</t>
  </si>
  <si>
    <t>Wainwright Unit 7 Battery 07-18</t>
  </si>
  <si>
    <t>07-02-046-06-W4</t>
  </si>
  <si>
    <t>A-22/K-73-D-15</t>
  </si>
  <si>
    <t>T9W</t>
  </si>
  <si>
    <t>Galloway Gas Plant 12-05-054-20W5</t>
  </si>
  <si>
    <t>10-06-054-20-W5</t>
  </si>
  <si>
    <t>B-065-E/083-F-10</t>
  </si>
  <si>
    <t>Triaxon Oil Corporation</t>
  </si>
  <si>
    <t>Triaxon Harmatten 06-07-032-03 W5</t>
  </si>
  <si>
    <t>2500 - 639 5 Avenue Southwest</t>
  </si>
  <si>
    <t>HARMATTEN</t>
  </si>
  <si>
    <t>T2P0M9</t>
  </si>
  <si>
    <t>06-07-032-03-W5</t>
  </si>
  <si>
    <t>A-074-L/082-O-9</t>
  </si>
  <si>
    <t>Garden Plains 05-15-033-13W4</t>
  </si>
  <si>
    <t>GARDEN PLAINS</t>
  </si>
  <si>
    <t>05-15-033-13-W4</t>
  </si>
  <si>
    <t>B-092-C/072-M-13</t>
  </si>
  <si>
    <t>SOUTH ROSEVEAR 08-14-053-15W5</t>
  </si>
  <si>
    <t>ROSEVEAR</t>
  </si>
  <si>
    <t>08-14-053-15-W5</t>
  </si>
  <si>
    <t>A-098-A/083-F-9</t>
  </si>
  <si>
    <t>Rapdan SWB 13-16-004-20W3</t>
  </si>
  <si>
    <t>S0N 0W0</t>
  </si>
  <si>
    <t>13-16-004-20-W3</t>
  </si>
  <si>
    <t>C-062-B/072-F-07</t>
  </si>
  <si>
    <t>SKBT0027250</t>
  </si>
  <si>
    <t>02-22-032-25-W3</t>
  </si>
  <si>
    <t>A-8/D-72-N-14</t>
  </si>
  <si>
    <t>Prairiedale No. 321</t>
  </si>
  <si>
    <t>Seal Compressor Station 06-31</t>
  </si>
  <si>
    <t>06-31-082-13-W5</t>
  </si>
  <si>
    <t>D-073-H/084-C-1</t>
  </si>
  <si>
    <t>HOLLY'S ANODIZING SERVICE LTD.</t>
  </si>
  <si>
    <t>HOLLY'S ANODIZING SERVICE</t>
  </si>
  <si>
    <t>55 Milvan Dr.</t>
  </si>
  <si>
    <t>M9L1Y8</t>
  </si>
  <si>
    <t>A-005-A/030-M-13</t>
  </si>
  <si>
    <t>Cenovus FCCL Ltd.</t>
  </si>
  <si>
    <t>Christina Lake SAGD Bitumen Battery</t>
  </si>
  <si>
    <t>Lac La Biche</t>
  </si>
  <si>
    <t>T0P 1J0</t>
  </si>
  <si>
    <t>08-17-076-06-W4</t>
  </si>
  <si>
    <t>D-092-D/073-M-10</t>
  </si>
  <si>
    <t>Blackfoot SWB 05-07-050-02W4</t>
  </si>
  <si>
    <t>05-07-050-02-W4</t>
  </si>
  <si>
    <t>C-054-C/073-E-8</t>
  </si>
  <si>
    <t>T9V</t>
  </si>
  <si>
    <t>Rifle Shot Choice 16-16-040-09W4M</t>
  </si>
  <si>
    <t>16-16-040-09-W4</t>
  </si>
  <si>
    <t>C-039-J/73-D-06</t>
  </si>
  <si>
    <t>Corp. of the City of Timmins</t>
  </si>
  <si>
    <t>Bob's Lake Sewage Lagoon</t>
  </si>
  <si>
    <t>300 Ida Street</t>
  </si>
  <si>
    <t>Porcupine</t>
  </si>
  <si>
    <t>P0N 1C0</t>
  </si>
  <si>
    <t>C-083-J/042-A-6</t>
  </si>
  <si>
    <t>Timmins</t>
  </si>
  <si>
    <t>P0N</t>
  </si>
  <si>
    <t>Mica Creek Gas Battery 10-08-081-13W6</t>
  </si>
  <si>
    <t>10-08-081-13-W6</t>
  </si>
  <si>
    <t>A-020-D/084-D-4</t>
  </si>
  <si>
    <t>Mancal Energy Inc.</t>
  </si>
  <si>
    <t>MEI BRUDERHEIM PROR BTTY 14-28-55-20</t>
  </si>
  <si>
    <t>Bruderheim</t>
  </si>
  <si>
    <t>14-28-055-20-W4</t>
  </si>
  <si>
    <t>A-44/D-83-H-15</t>
  </si>
  <si>
    <t>CARROT CK 05-15-052-13W5 MWB</t>
  </si>
  <si>
    <t>X0X 0X0</t>
  </si>
  <si>
    <t>05-15-052-13-W5</t>
  </si>
  <si>
    <t>A-088-K/083-G-5</t>
  </si>
  <si>
    <t>PIERIDAE ALBERTA PRODUCTION LTD.</t>
  </si>
  <si>
    <t>Jumping Pound 5-7 Well site compressor</t>
  </si>
  <si>
    <t>T2P 4V8</t>
  </si>
  <si>
    <t>12-07-025-04-W5</t>
  </si>
  <si>
    <t>A-045-H/082-O-2</t>
  </si>
  <si>
    <t>T3Z</t>
  </si>
  <si>
    <t>Barrick Gold Corporation</t>
  </si>
  <si>
    <t>Golden Patricia Mine</t>
  </si>
  <si>
    <t>Mining claims,</t>
  </si>
  <si>
    <t>70 km W of Pickle Lake, Kenora Distric</t>
  </si>
  <si>
    <t>PATRICIA (KWASHI LAKE)</t>
  </si>
  <si>
    <t>P8N3J3</t>
  </si>
  <si>
    <t>16-09-028-21-E2</t>
  </si>
  <si>
    <t>B-070-H/052-O-6</t>
  </si>
  <si>
    <t>Kenora</t>
  </si>
  <si>
    <t>Kenora, Unorganized</t>
  </si>
  <si>
    <t>P0V</t>
  </si>
  <si>
    <t>Lloydminster Ethanol Plant</t>
  </si>
  <si>
    <t>Highway 16 East, Upgrader Road</t>
  </si>
  <si>
    <t>Lloydminster</t>
  </si>
  <si>
    <t>S9V 1M6</t>
  </si>
  <si>
    <t>13-30-049-27-W3</t>
  </si>
  <si>
    <t>C-016-D/073-F-5</t>
  </si>
  <si>
    <t>Elrose 01-10-024-15W3 MWB</t>
  </si>
  <si>
    <t>01-10-024-15-W3</t>
  </si>
  <si>
    <t>B-031-A/072-N-1</t>
  </si>
  <si>
    <t>Bow River Energy Ltd.</t>
  </si>
  <si>
    <t>Beacon Colony A Comp Station 01-13</t>
  </si>
  <si>
    <t>01-13-062-25-W3</t>
  </si>
  <si>
    <t>D-029-H/073-K-5</t>
  </si>
  <si>
    <t>Beaver River No. 622</t>
  </si>
  <si>
    <t>Inter-Cité construction Ltée.</t>
  </si>
  <si>
    <t>Usine 02006 Natashquan</t>
  </si>
  <si>
    <t>du Pré Street</t>
  </si>
  <si>
    <t>Natashquan</t>
  </si>
  <si>
    <t>16-36-014-01-EA</t>
  </si>
  <si>
    <t>D-070-K/012-K-4</t>
  </si>
  <si>
    <t>Minganie--Le Golfe-du-Saint-Laurent</t>
  </si>
  <si>
    <t>Côte-Nord</t>
  </si>
  <si>
    <t>G0G</t>
  </si>
  <si>
    <t>Wapiti Compressor Station 11-24-066-10W6</t>
  </si>
  <si>
    <t>3000 - 520 3rd Avenue Southwest</t>
  </si>
  <si>
    <t>T2P0R3</t>
  </si>
  <si>
    <t>12-24-066-10-W6</t>
  </si>
  <si>
    <t>A-071-L/083-L-11</t>
  </si>
  <si>
    <t>Iron Creek Antelope Comp Stn 13-17</t>
  </si>
  <si>
    <t>16-18-045-12-W4</t>
  </si>
  <si>
    <t>B-068-G/073-D-13</t>
  </si>
  <si>
    <t>Sure Energy Inc.</t>
  </si>
  <si>
    <t>Redwater 02-21-56-20W4M</t>
  </si>
  <si>
    <t>BRUDERHEIM</t>
  </si>
  <si>
    <t>02-21-056-20-W4</t>
  </si>
  <si>
    <t>C-013-E/083-H-15</t>
  </si>
  <si>
    <t>Lamont County</t>
  </si>
  <si>
    <t>SKBT0027543</t>
  </si>
  <si>
    <t>05-35-024-15-W3</t>
  </si>
  <si>
    <t>A-1/H-72-N-1</t>
  </si>
  <si>
    <t>PLASTCOAT</t>
  </si>
  <si>
    <t>MEYERSIDE</t>
  </si>
  <si>
    <t>1200  MEYERSIDE Drive</t>
  </si>
  <si>
    <t>L5T1L2</t>
  </si>
  <si>
    <t>C-083-G/030-M-12</t>
  </si>
  <si>
    <t>Browning 02-13-006-06W2 MWB</t>
  </si>
  <si>
    <t>03-13-006-06-W2</t>
  </si>
  <si>
    <t>D-056-J/062-E-7</t>
  </si>
  <si>
    <t>HANOVER-HEARTH CABINETS</t>
  </si>
  <si>
    <t>711 10th Avenue</t>
  </si>
  <si>
    <t>HANOVER</t>
  </si>
  <si>
    <t>N4N2P7</t>
  </si>
  <si>
    <t>C-082-H/041-A-3</t>
  </si>
  <si>
    <t>Grey</t>
  </si>
  <si>
    <t>Hanover</t>
  </si>
  <si>
    <t>N4N</t>
  </si>
  <si>
    <t>RUSTAD</t>
  </si>
  <si>
    <t>8555 Pacific St</t>
  </si>
  <si>
    <t>V2L4W2</t>
  </si>
  <si>
    <t>02-19-056-05-W7</t>
  </si>
  <si>
    <t>D-019-G/093-G-15</t>
  </si>
  <si>
    <t>Battle Creek Oil MWB 15-33</t>
  </si>
  <si>
    <t>C-004-L/072-F-3</t>
  </si>
  <si>
    <t>WINTERING HILLS COMP STN 06-03</t>
  </si>
  <si>
    <t>06-03-024-17W4</t>
  </si>
  <si>
    <t>06-03-024-17-W4</t>
  </si>
  <si>
    <t>D-015-C/082-P-1</t>
  </si>
  <si>
    <t>TALISMAN-CMPR-01-06-055-20W5</t>
  </si>
  <si>
    <t>01-06-055-20W5</t>
  </si>
  <si>
    <t>02-25-057-23-W5</t>
  </si>
  <si>
    <t>D-033-K/083-F-14</t>
  </si>
  <si>
    <t>T7V</t>
  </si>
  <si>
    <t>LRE - Gentry Mulligan 16-29</t>
  </si>
  <si>
    <t>16-29-082-09-W6</t>
  </si>
  <si>
    <t>B-079-F/084-D-3</t>
  </si>
  <si>
    <t>Springer Creek Forest Products Ltd.</t>
  </si>
  <si>
    <t>705 Delany Avenue</t>
  </si>
  <si>
    <t>SLOCAN</t>
  </si>
  <si>
    <t>V0G2C0</t>
  </si>
  <si>
    <t>15-28-009-26-W5</t>
  </si>
  <si>
    <t>A-028-D/082-F-14</t>
  </si>
  <si>
    <t>Slocan</t>
  </si>
  <si>
    <t>V0G</t>
  </si>
  <si>
    <t>Kelt Exploration</t>
  </si>
  <si>
    <t>Pouce Coupe Oil MWB 13-06-078-11W6</t>
  </si>
  <si>
    <t>13-06-078-11-W6</t>
  </si>
  <si>
    <t>A-087-J/083-M-12</t>
  </si>
  <si>
    <t>Beau Bantry OB 13-36-17-13W4</t>
  </si>
  <si>
    <t>T1R 0B2</t>
  </si>
  <si>
    <t>13-36-017-13-W4</t>
  </si>
  <si>
    <t>C-074-J/072-L-5</t>
  </si>
  <si>
    <t>T1R</t>
  </si>
  <si>
    <t>F. Ménard Inc.</t>
  </si>
  <si>
    <t>Meunerie St-Pie</t>
  </si>
  <si>
    <t>336 St-Paul</t>
  </si>
  <si>
    <t>St-Pie</t>
  </si>
  <si>
    <t>J0H 1W0</t>
  </si>
  <si>
    <t>A-003-D/031-H-10</t>
  </si>
  <si>
    <t>Saint-Pie</t>
  </si>
  <si>
    <t>J0H</t>
  </si>
  <si>
    <t>Crew Energy Inc.</t>
  </si>
  <si>
    <t>SKBTB1H4011</t>
  </si>
  <si>
    <t>01-23-049-24-W3</t>
  </si>
  <si>
    <t>B-82/L-73-F-3</t>
  </si>
  <si>
    <t>Faurecia Emissions Control Technologies Canada Ltd.</t>
  </si>
  <si>
    <t>40 Summerlea Road North</t>
  </si>
  <si>
    <t>Bramptom</t>
  </si>
  <si>
    <t>L6T 4X3</t>
  </si>
  <si>
    <t>C-065-J/030-M-12</t>
  </si>
  <si>
    <t>DOFASCO</t>
  </si>
  <si>
    <t>Off-site Disposal</t>
  </si>
  <si>
    <t>Élimination hors site</t>
  </si>
  <si>
    <t>Landfill</t>
  </si>
  <si>
    <t>Enfouissement</t>
  </si>
  <si>
    <t>KIPLING PLANT</t>
  </si>
  <si>
    <t>91-08-7</t>
  </si>
  <si>
    <t>Toluene-2,6-diisocyanate</t>
  </si>
  <si>
    <t>Toluène-2,6-diisocyanate</t>
  </si>
  <si>
    <t>Land Treatment</t>
  </si>
  <si>
    <t>Épandage</t>
  </si>
  <si>
    <t>Baker Hughes Canada</t>
  </si>
  <si>
    <t>Baker Petrolite Corporation - Leduc</t>
  </si>
  <si>
    <t>Services to oil and gas extraction</t>
  </si>
  <si>
    <t>64-18-6</t>
  </si>
  <si>
    <t>Formic acid</t>
  </si>
  <si>
    <t>Acide formique</t>
  </si>
  <si>
    <t>On-site Disposal</t>
  </si>
  <si>
    <t>Élimination sur le site</t>
  </si>
  <si>
    <t>Tailings Management</t>
  </si>
  <si>
    <t>Gestion des résidus miniers</t>
  </si>
  <si>
    <t>FortisBC Inc.</t>
  </si>
  <si>
    <t>Brilliant Dam and Generation Station</t>
  </si>
  <si>
    <t>Hydro-electric power generation</t>
  </si>
  <si>
    <t>Production d'hydroélectricité</t>
  </si>
  <si>
    <t>Agrium Products Inc.</t>
  </si>
  <si>
    <t>Fabrication d'engrais chimiques, sauf la potasse</t>
  </si>
  <si>
    <t>Tervita Corp.</t>
  </si>
  <si>
    <t>Lindbergh Cavern</t>
  </si>
  <si>
    <t>Underground Injection</t>
  </si>
  <si>
    <t>Injection souterraine</t>
  </si>
  <si>
    <t>Clean Harbors Corunna</t>
  </si>
  <si>
    <t>SPRUCE FALLS INC. / DIVISION TEMBEC MATANE</t>
  </si>
  <si>
    <t>WESGAR INDUSTRIES LTD.</t>
  </si>
  <si>
    <t>WESGAR</t>
  </si>
  <si>
    <t>WESTERN PULP LIMITED PARTNERSHIP</t>
  </si>
  <si>
    <t>WESTERN PULP - SQUAMISH OPERATION</t>
  </si>
  <si>
    <t>AFFINERIE CCR</t>
  </si>
  <si>
    <t>PHILIP ENTERPRISES INC.</t>
  </si>
  <si>
    <t>Parkdale Avenue Facility</t>
  </si>
  <si>
    <t>67-64-1</t>
  </si>
  <si>
    <t>Acetone</t>
  </si>
  <si>
    <t>Acétone</t>
  </si>
  <si>
    <t>ALIMENT JBS CANADA ULC/ JBS FOOD CANADA ULC</t>
  </si>
  <si>
    <t>JBS Foods Canada Inc.</t>
  </si>
  <si>
    <t>Beef cattle slaughtering</t>
  </si>
  <si>
    <t>Abattage de bovins de boucherie</t>
  </si>
  <si>
    <t>Fraser Inc.</t>
  </si>
  <si>
    <t>Edmundston operations</t>
  </si>
  <si>
    <t>BOEING CANADA OPERATIONS LTD.</t>
  </si>
  <si>
    <t>TransCanada Midstream</t>
  </si>
  <si>
    <t>Harmattan Gas Plant</t>
  </si>
  <si>
    <t>AV CELL INC</t>
  </si>
  <si>
    <t>MITCHELL'S GOURMET FOODS</t>
  </si>
  <si>
    <t>11TH STREET PLANT</t>
  </si>
  <si>
    <t>Animal (except Poultry) Slaughtering</t>
  </si>
  <si>
    <t>Abattage d'animaux (sauf les volailles)</t>
  </si>
  <si>
    <t>Storage</t>
  </si>
  <si>
    <t>Stockage</t>
  </si>
  <si>
    <t>MINERAI DE FER QUÉBEC INC.</t>
  </si>
  <si>
    <t>Tacora Resources Inc.</t>
  </si>
  <si>
    <t>Wabush Mines - Scully</t>
  </si>
  <si>
    <t>Kruger Inc</t>
  </si>
  <si>
    <t>Emballages Krupack Place Turcot</t>
  </si>
  <si>
    <t>Paperboard mills</t>
  </si>
  <si>
    <t>West Fraser Mills ltd.</t>
  </si>
  <si>
    <t>Hinton Pulp</t>
  </si>
  <si>
    <t>Myra Falls Operations</t>
  </si>
  <si>
    <t>Mines Agnico Eagle Limitée</t>
  </si>
  <si>
    <t>Division Laronde</t>
  </si>
  <si>
    <t>BLASTECH CORPORATION</t>
  </si>
  <si>
    <t>57 OLD ONONDAGA RD. W., BRANTFORD</t>
  </si>
  <si>
    <t>CANADIAN GENERAL-TOWER LIMITED</t>
  </si>
  <si>
    <t>Plastic Film and Sheet Manufacturing</t>
  </si>
  <si>
    <t>ICI Canada inc</t>
  </si>
  <si>
    <t>ICI Explosifs</t>
  </si>
  <si>
    <t>3IO CORP</t>
  </si>
  <si>
    <t>TROIS-PISTOLES</t>
  </si>
  <si>
    <t>North Atlantic Refining LP</t>
  </si>
  <si>
    <t>North Atlantic Refinery</t>
  </si>
  <si>
    <t>CATALYST PAPER</t>
  </si>
  <si>
    <t>ELK FALLS</t>
  </si>
  <si>
    <t>LAMBTON GENERATING STATION</t>
  </si>
  <si>
    <t>THERM-O-DISC CANADA</t>
  </si>
  <si>
    <t>THERM-O-DISC (CANADA) LTD</t>
  </si>
  <si>
    <t>All Other Electrical Equipment and Component Manufacturing</t>
  </si>
  <si>
    <t>Fabrication de tous les autres types de matériel et composants électriques</t>
  </si>
  <si>
    <t>Xstrata Canada Corporation</t>
  </si>
  <si>
    <t>Sudbury Nickel Smelter Complex</t>
  </si>
  <si>
    <t>DUNKLEY LUMBER LTD.</t>
  </si>
  <si>
    <t>DUNKLEY LUMBER - PRINCE GEORGE</t>
  </si>
  <si>
    <t>Novozymes Canada</t>
  </si>
  <si>
    <t>Prairie Mines &amp; Royalty ULC</t>
  </si>
  <si>
    <t>Coal Valley Mine</t>
  </si>
  <si>
    <t>Waste Rock management</t>
  </si>
  <si>
    <t>Gestion des stériles</t>
  </si>
  <si>
    <t>Fibrek S.E.N.C.</t>
  </si>
  <si>
    <t>Fibrek SENC</t>
  </si>
  <si>
    <t>nyrstar</t>
  </si>
  <si>
    <t>mine langlois</t>
  </si>
  <si>
    <t>Eaglebrook inc. du Canada</t>
  </si>
  <si>
    <t>Bridgestone  Canada inc.</t>
  </si>
  <si>
    <t>LONG LAKE PROJECT</t>
  </si>
  <si>
    <t>City of Kamloops</t>
  </si>
  <si>
    <t>Wastewater Treatment Centre</t>
  </si>
  <si>
    <t>East Crossfield Gas Plant 9-14-28-1W5</t>
  </si>
  <si>
    <t>Blount Canada Ltd.</t>
  </si>
  <si>
    <t>Cutlery and Hand Tool Manufacturing</t>
  </si>
  <si>
    <t>Fabrication de coutellerie et d'outils à main</t>
  </si>
  <si>
    <t>Fording River Operations</t>
  </si>
  <si>
    <t>Bituminous Coal Mining</t>
  </si>
  <si>
    <t>AbibowCanada Inc.</t>
  </si>
  <si>
    <t>Usine Kénogami</t>
  </si>
  <si>
    <t>Island Gold Mines (a subsidiary company of Alamos Gold Incorporated)</t>
  </si>
  <si>
    <t>Miller Environmental Corporation</t>
  </si>
  <si>
    <t>MILLER ENVIRONMENTAL - ST.JEAN BAPTISTE, R.M OF MONTCALM</t>
  </si>
  <si>
    <t>SP - Speciation profile</t>
  </si>
  <si>
    <t>Cinram Ltd.</t>
  </si>
  <si>
    <t>PLANT 1</t>
  </si>
  <si>
    <t>Manufacturing and Reproducing Magnetic and Optical Media</t>
  </si>
  <si>
    <t>Fabrication et reproduction de supports magnétiques et optiques</t>
  </si>
  <si>
    <t>Bistcho Lake Plant</t>
  </si>
  <si>
    <t>Ontario Power Generation Inc.</t>
  </si>
  <si>
    <t>Lennox Generating Station</t>
  </si>
  <si>
    <t>Nestle Canada Inc.</t>
  </si>
  <si>
    <t>Nestle London (401)</t>
  </si>
  <si>
    <t>Ice Cream and Frozen Dessert Manufacturing</t>
  </si>
  <si>
    <t>Fabrication de crème glacée et de desserts congelés</t>
  </si>
  <si>
    <t>ALBERTA PACIFIC FOREST INDUSTRIES</t>
  </si>
  <si>
    <t>Jackfish 1 SAGD Plant</t>
  </si>
  <si>
    <t>HÉROUX-DEVTEK</t>
  </si>
  <si>
    <t>Iamgold Corporation</t>
  </si>
  <si>
    <t>LA MINE NIOBEC</t>
  </si>
  <si>
    <t>All Other Metal Ore Mining</t>
  </si>
  <si>
    <t>WEST FRASER MILLS LTD.</t>
  </si>
  <si>
    <t>CARIBOO PULP AND PAPER COMPANY</t>
  </si>
  <si>
    <t>53-70-3</t>
  </si>
  <si>
    <t>Dibenz[a,h]anthracene</t>
  </si>
  <si>
    <t>Dibenz[a,h]anthracène</t>
  </si>
  <si>
    <t>MAAX SPAS (ONTARIO) INC.</t>
  </si>
  <si>
    <t>Beamsville Plant</t>
  </si>
  <si>
    <t>Plastic Plumbing Fixture Manufacturing</t>
  </si>
  <si>
    <t>XSTRATA NICKEL - MINE RAGLAN</t>
  </si>
  <si>
    <t>BlackGold SAGD Sec14-76-07W4</t>
  </si>
  <si>
    <t>EPCOR Water Services Inc.</t>
  </si>
  <si>
    <t>Gold Bar Wastewater Treatment Plant</t>
  </si>
  <si>
    <t>Ville de Montréal</t>
  </si>
  <si>
    <t>Station d'épuration des eaux usées Jean-R.-Marcotte</t>
  </si>
  <si>
    <t>North American Tungsten Corporation Ltd</t>
  </si>
  <si>
    <t>Cantung Mine</t>
  </si>
  <si>
    <t>Abitibi Consolidated Du Canada</t>
  </si>
  <si>
    <t>DIVISION LAURENTIDE</t>
  </si>
  <si>
    <t>GRIFFIN CANADA</t>
  </si>
  <si>
    <t>VILLE DE VAL-D'OR</t>
  </si>
  <si>
    <t>Usine d'épuration</t>
  </si>
  <si>
    <t>Twin Rivers Paper Company Inc.</t>
  </si>
  <si>
    <t>Edmundston Pulp Mill</t>
  </si>
  <si>
    <t>Kruger inc</t>
  </si>
  <si>
    <t>Kamloops Mill (SFO)</t>
  </si>
  <si>
    <t>Shellburn Terminal</t>
  </si>
  <si>
    <t>CANADIAN FOREST PRODUCTS LTD</t>
  </si>
  <si>
    <t>PG Wood</t>
  </si>
  <si>
    <t>Pouce Coupe Gas Plant</t>
  </si>
  <si>
    <t>Goldcorp Canada Limited - Red Lake Gold Mines</t>
  </si>
  <si>
    <t>Red Lake Gold Mines</t>
  </si>
  <si>
    <t>KLEEN-FLO TUMBLER INDUSTRIES</t>
  </si>
  <si>
    <t>NW ENERGY (WILLIAMS LAKE) CORP.</t>
  </si>
  <si>
    <t>WILLIAMS LAKE POWER PLANT</t>
  </si>
  <si>
    <t>U.S. Steel Canada Inc.</t>
  </si>
  <si>
    <t>Hamilton Works</t>
  </si>
  <si>
    <t>224-42-0</t>
  </si>
  <si>
    <t>Dibenz[a,j]acridine</t>
  </si>
  <si>
    <t>The Canadian Salt Co. Ltd. Regina</t>
  </si>
  <si>
    <t>PRINCE GEORGE PULP AND PAPER MILLS</t>
  </si>
  <si>
    <t>VAVENBY</t>
  </si>
  <si>
    <t>Slave Lake Pulp - A Division of West Fraser Mills</t>
  </si>
  <si>
    <t>SLAVE LAKE PULP - SLAVE LAKE</t>
  </si>
  <si>
    <t>Mechanical pulp mills</t>
  </si>
  <si>
    <t>SUDBURY  TERMINAL</t>
  </si>
  <si>
    <t>Regional Municipality of Halton</t>
  </si>
  <si>
    <t>Georgetown Waste Water Treatment Plant</t>
  </si>
  <si>
    <t>SEASTAR CHEMICALS ULC</t>
  </si>
  <si>
    <t>SEASTAR CHEMICALS - SIDNEY</t>
  </si>
  <si>
    <t>DEPARTMENT OF NATIONAL DEFENCE</t>
  </si>
  <si>
    <t>CANADIAN FORCES BASE/ AREA SUPPORT UNIT KINGSTON</t>
  </si>
  <si>
    <t>All Other Professional, Scientific and Technical Services</t>
  </si>
  <si>
    <t>CITY OF KAMLOOPS</t>
  </si>
  <si>
    <t>WASTEWATER TREATMENT CENTRE</t>
  </si>
  <si>
    <t>Thunder Bay Operations</t>
  </si>
  <si>
    <t>Parkland Refining (B.C.) Ltd.</t>
  </si>
  <si>
    <t>ARC Resins Corporation</t>
  </si>
  <si>
    <t>Longueuil Plant</t>
  </si>
  <si>
    <t>86-73-7</t>
  </si>
  <si>
    <t>Fluorene</t>
  </si>
  <si>
    <t>Fluorène</t>
  </si>
  <si>
    <t>Mine Raglan</t>
  </si>
  <si>
    <t>AV Terrace Bay Inc.</t>
  </si>
  <si>
    <t>AV Terrace Bay</t>
  </si>
  <si>
    <t>Coleman Gas Plant</t>
  </si>
  <si>
    <t>Osum Production Corp.</t>
  </si>
  <si>
    <t>Orion Facilities</t>
  </si>
  <si>
    <t>Waterville TG</t>
  </si>
  <si>
    <t>Waterville TG WATERVILLE</t>
  </si>
  <si>
    <t>Canfor Pulp Limited Partnership</t>
  </si>
  <si>
    <t>Prince George Pulp and Paper and Intercontinental Pulp Mills</t>
  </si>
  <si>
    <t>Moose Jaw Refinery Partnership</t>
  </si>
  <si>
    <t>Moose Jaw Refinery</t>
  </si>
  <si>
    <t>RUETGERS CANADA INC</t>
  </si>
  <si>
    <t>Young-Davidson</t>
  </si>
  <si>
    <t>Musreau Gas Plant</t>
  </si>
  <si>
    <t>52 Imperial St.</t>
  </si>
  <si>
    <t>S&amp;C Electric Canada Ltd.</t>
  </si>
  <si>
    <t>Switchgear and Switchboard, and Relay and Industrial Control Apparatus Manufacturing</t>
  </si>
  <si>
    <t>Pickering Nuclear</t>
  </si>
  <si>
    <t>South Wapiti</t>
  </si>
  <si>
    <t>Alberta Diluent / Crude Terminal (ADT/ACT)</t>
  </si>
  <si>
    <t>CONSUMERS GLASS (SCOUDOUC)</t>
  </si>
  <si>
    <t>Consumers Glass (Scoudouc)</t>
  </si>
  <si>
    <t>Glass Manufacturing</t>
  </si>
  <si>
    <t>Sierra Gas Plant</t>
  </si>
  <si>
    <t>Resolute Forest Products - Thunder Bay Operations</t>
  </si>
  <si>
    <t>Lingan Generating Station</t>
  </si>
  <si>
    <t>Watson Terminal</t>
  </si>
  <si>
    <t>Northern Wood Preservers</t>
  </si>
  <si>
    <t>Decker Lake Forest Products Ltd</t>
  </si>
  <si>
    <t>All Other Miscellaneous Wood Product Manufacturing</t>
  </si>
  <si>
    <t>BABINE FOREST PRODUCTS LTD.</t>
  </si>
  <si>
    <t>BABINE SAWMILL</t>
  </si>
  <si>
    <t>Shell Canada Products Limited</t>
  </si>
  <si>
    <t>Grande Cache Coal Corporation</t>
  </si>
  <si>
    <t>MARTINREA INTERNATIONAL INC</t>
  </si>
  <si>
    <t>Alfield Industries Ltd</t>
  </si>
  <si>
    <t>7723-14-0</t>
  </si>
  <si>
    <t>Phosphorus (yellow or white only)</t>
  </si>
  <si>
    <t>Phosphore (jaune ou blanc seulement)</t>
  </si>
  <si>
    <t>GENERAL MOTORS OF CANADA LIMITED, STE-THERESE PLANT</t>
  </si>
  <si>
    <t>Ste Therese Assembly Plant</t>
  </si>
  <si>
    <t>Weyerhaeuser Dryden Mill Operations</t>
  </si>
  <si>
    <t>Sivaco Ontario</t>
  </si>
  <si>
    <t>Myra Falls Mine Ltd</t>
  </si>
  <si>
    <t>Waste Management of Canada Corporation</t>
  </si>
  <si>
    <t>Twin Creeks Landfill (formerly Warwick Landfill)</t>
  </si>
  <si>
    <t>Novagas Canada Limited Partnership</t>
  </si>
  <si>
    <t>IRVING PULP &amp; PAPER LIMITED / IRVING TISSUE COMPANY</t>
  </si>
  <si>
    <t>Northwest Langley Wastewater Treatment Plant</t>
  </si>
  <si>
    <t>KINDER MORGAN CANADA INC.</t>
  </si>
  <si>
    <t>BURNABY TERMINAL</t>
  </si>
  <si>
    <t>BROOKLYN POWER</t>
  </si>
  <si>
    <t>Brooklyn Energy Centre</t>
  </si>
  <si>
    <t>SYNCRUDE CANADA</t>
  </si>
  <si>
    <t>MILDRED LAKE PLANT SITE</t>
  </si>
  <si>
    <t>Cold Lake</t>
  </si>
  <si>
    <t>Manatokan Custom Treating Facility 9-14</t>
  </si>
  <si>
    <t>Régie d'asssainissement Terrebonne-Mascouche</t>
  </si>
  <si>
    <t>Station d'épuration Terrebonne-Mascouche</t>
  </si>
  <si>
    <t>IMTT-Québec Inc.</t>
  </si>
  <si>
    <t>IMTT QUÉBEC - QUÉBEC</t>
  </si>
  <si>
    <t>Other warehousing and storage</t>
  </si>
  <si>
    <t>Autres activités d'entreposage</t>
  </si>
  <si>
    <t>Syncrude Canada Ltd.</t>
  </si>
  <si>
    <t>Mildred Lake Plant Site</t>
  </si>
  <si>
    <t>Port Colborne Refinery</t>
  </si>
  <si>
    <t>Nickel Rim South Mine</t>
  </si>
  <si>
    <t>Dee Valley Thermal</t>
  </si>
  <si>
    <t>LOXCREEN CANADA LIMITED</t>
  </si>
  <si>
    <t>BENGARD MANUFACTURING</t>
  </si>
  <si>
    <t>Unlaminated Plastics Profile Shape Manufacturing</t>
  </si>
  <si>
    <t>Fabrication de profilés non stratifiés en plastique</t>
  </si>
  <si>
    <t>IPSCO Inc.</t>
  </si>
  <si>
    <t>IPSCO Saskatchewan Inc.</t>
  </si>
  <si>
    <t>REGIONAL MUNICIPALITY OF DURHAM</t>
  </si>
  <si>
    <t>DUFFIN CREEK WPCP</t>
  </si>
  <si>
    <t>EXXONMOBIL CANADA</t>
  </si>
  <si>
    <t>RAINBOW GAS PLANT AND BATTERY 10</t>
  </si>
  <si>
    <t>Delta Service Centre</t>
  </si>
  <si>
    <t>ConocoPhillips Canada Operations Ltd.</t>
  </si>
  <si>
    <t>Elmworth Gas Plant</t>
  </si>
  <si>
    <t>Norcen Energy Resources Ltd.</t>
  </si>
  <si>
    <t>NORCEN PROGRESS GAS PLANT</t>
  </si>
  <si>
    <t>FTG CORPORATION</t>
  </si>
  <si>
    <t>FTG Circuits</t>
  </si>
  <si>
    <t>Domtar Inc.</t>
  </si>
  <si>
    <t>Domtar Usine de Windsor</t>
  </si>
  <si>
    <t>DaimlerChrysler Canada, Inc.</t>
  </si>
  <si>
    <t>PILLETTE ROAD TRUCK ASSEMBLY PLANT</t>
  </si>
  <si>
    <t>Burmount Terminal</t>
  </si>
  <si>
    <t>Hamilton Specialty Bar Corporation</t>
  </si>
  <si>
    <t>Hamilton Specialty Bar</t>
  </si>
  <si>
    <t>Chalk River Laboratories</t>
  </si>
  <si>
    <t>QIT-FER ET TITANE- P84</t>
  </si>
  <si>
    <t>QIT FER ET TITANE P84</t>
  </si>
  <si>
    <t>SFK PÂTE S.E.N.C.</t>
  </si>
  <si>
    <t>SFK PÂTE, USINE DE PÂTE KRAFT</t>
  </si>
  <si>
    <t>Ram River</t>
  </si>
  <si>
    <t>Silverdale FST</t>
  </si>
  <si>
    <t>De Beers Group</t>
  </si>
  <si>
    <t>Gahcho Kue Mine</t>
  </si>
  <si>
    <t>Diamond mining</t>
  </si>
  <si>
    <t>Papeterie de Dolbeau</t>
  </si>
  <si>
    <t>Kingston Terminal</t>
  </si>
  <si>
    <t>BHP Billiton Canada Inc.</t>
  </si>
  <si>
    <t>EKATI Diamond Mine</t>
  </si>
  <si>
    <t>WEYERHAEUSER COMPANY LIMITED</t>
  </si>
  <si>
    <t>WAWA OSB</t>
  </si>
  <si>
    <t>Alberta-Pacific Forest Industries Inc.</t>
  </si>
  <si>
    <t>Vale Newfoundland and Labrador Limited</t>
  </si>
  <si>
    <t>Long Harbour Operations</t>
  </si>
  <si>
    <t>Brisco Wood Preservers Co.</t>
  </si>
  <si>
    <t>BRISCO WOOD PRESERVERS - BRISCO</t>
  </si>
  <si>
    <t>PENGROWTH ENERGY CORPORATION</t>
  </si>
  <si>
    <t>JUDY CREEK PRODUCTION COMPLEX</t>
  </si>
  <si>
    <t>City of Prince Albert</t>
  </si>
  <si>
    <t>JW Oliver Waste Water Plant</t>
  </si>
  <si>
    <t>Neelon Casting Ltd.</t>
  </si>
  <si>
    <t>Weatherford Canada</t>
  </si>
  <si>
    <t>Weatherford Completion and Oilfield Services McAllister</t>
  </si>
  <si>
    <t>Pikes Peak South Thermal 05-07-049-23W3</t>
  </si>
  <si>
    <t>Slater Steels Inc.</t>
  </si>
  <si>
    <t>Hamilton Specialty Bar Division</t>
  </si>
  <si>
    <t>Apache Canada Ltd.</t>
  </si>
  <si>
    <t>Ricinus Gas Plant</t>
  </si>
  <si>
    <t>VALE INCO</t>
  </si>
  <si>
    <t>THOMPSON OPERATIONS</t>
  </si>
  <si>
    <t>Bay Mills Limited, Brampton Division</t>
  </si>
  <si>
    <t>Broad-Woven Fabric Mills</t>
  </si>
  <si>
    <t>Usines de tissus larges</t>
  </si>
  <si>
    <t>New Westminster Plant</t>
  </si>
  <si>
    <t>Northwood Pulp Mill</t>
  </si>
  <si>
    <t>CCR REFINERY</t>
  </si>
  <si>
    <t>CITY OF CALGARY WASTEWATER</t>
  </si>
  <si>
    <t>SHEPARD LAGOONS - CALGRO</t>
  </si>
  <si>
    <t>BRAMPTON ASSEMBLY PLANT</t>
  </si>
  <si>
    <t>Williams Operating Corporation</t>
  </si>
  <si>
    <t>Williams Mine</t>
  </si>
  <si>
    <t>Les Mines Agnico Eagle Limitée</t>
  </si>
  <si>
    <t>THUNDER BAY OPERATIONS</t>
  </si>
  <si>
    <t>London Operations</t>
  </si>
  <si>
    <t>Other Transportation Equipment Manufacturing</t>
  </si>
  <si>
    <t>Sollio Groupe Coopératif</t>
  </si>
  <si>
    <t>Meunerie de Joliette</t>
  </si>
  <si>
    <t>Peace River Complex</t>
  </si>
  <si>
    <t>Wedlock Paper Converters Ltd.</t>
  </si>
  <si>
    <t>WEDLOCK PAPER CONVERTERS LIMITED</t>
  </si>
  <si>
    <t>EDMONTON REFINERY</t>
  </si>
  <si>
    <t>Waterville Plant</t>
  </si>
  <si>
    <t>Essex-Windsor Solid Waste Authority</t>
  </si>
  <si>
    <t>Essex-Windsor Regional Landfill</t>
  </si>
  <si>
    <t>AIR LIQUIDE CANADA INC.</t>
  </si>
  <si>
    <t>Trefilerie et UMS (Usine de materiel de soudage)</t>
  </si>
  <si>
    <t>Nutrien (Canada) Holdings ULC.</t>
  </si>
  <si>
    <t>EMBALLAGES SMURFIT-STONE CANADA</t>
  </si>
  <si>
    <t>USINE PONTIAC</t>
  </si>
  <si>
    <t>Harmattan Gas Processing Plant</t>
  </si>
  <si>
    <t>Capital Power Generation Services Inc.</t>
  </si>
  <si>
    <t>Genesee Thermal Generating Station</t>
  </si>
  <si>
    <t>NIAGARA MACHINE PRODUCTS</t>
  </si>
  <si>
    <t>THOMPSON CREEK MINING LTD.</t>
  </si>
  <si>
    <t>Coal Mountain Operations</t>
  </si>
  <si>
    <t>Circo Craft Granby</t>
  </si>
  <si>
    <t>Municipality of the County of Colchester</t>
  </si>
  <si>
    <t>Central Colchester Wastewater Treatment Facility</t>
  </si>
  <si>
    <t>Zalev Brothers Co.</t>
  </si>
  <si>
    <t>Zalev Brothers</t>
  </si>
  <si>
    <t>Roche Vitamins Canada Inc.</t>
  </si>
  <si>
    <t>Cambridge Premix</t>
  </si>
  <si>
    <t>Support Activities for Animal Production</t>
  </si>
  <si>
    <t>Activités de soutien à l'élevage</t>
  </si>
  <si>
    <t>METOKOTE CORPORATION</t>
  </si>
  <si>
    <t>METOKOTE CORPORATION PLANT 72</t>
  </si>
  <si>
    <t>VILLE DE COWANSVILLE</t>
  </si>
  <si>
    <t>Bellatrix Exploration Ltd</t>
  </si>
  <si>
    <t>PRODUITS AMERICAN BILTRITE LTEE.</t>
  </si>
  <si>
    <t>85-44-9</t>
  </si>
  <si>
    <t>Phthalic anhydride</t>
  </si>
  <si>
    <t>Anhydride phtalique</t>
  </si>
  <si>
    <t>Shepard Lagoons - CALGRO</t>
  </si>
  <si>
    <t>Tonolli Canada</t>
  </si>
  <si>
    <t>TONOLLI CANADA LIMITED</t>
  </si>
  <si>
    <t>Huckleberry Mines Ltd.</t>
  </si>
  <si>
    <t>Polywheels Manufacturing Ltd</t>
  </si>
  <si>
    <t>Oakville Plant</t>
  </si>
  <si>
    <t>128-37-0</t>
  </si>
  <si>
    <t>2,6-Di-t-butyl-4-methylphenol</t>
  </si>
  <si>
    <t>2,6-Di-t-butyl-4-méthylphénol</t>
  </si>
  <si>
    <t>Edmonton Refinery</t>
  </si>
  <si>
    <t>WINFIELD SERVICE CENTRE</t>
  </si>
  <si>
    <t>FRANKE KINDRED CANADA LIMITED</t>
  </si>
  <si>
    <t>FRENCH FRY PLANT</t>
  </si>
  <si>
    <t>Frozen Food Manufacturing</t>
  </si>
  <si>
    <t>Fabrication d'aliments congelés</t>
  </si>
  <si>
    <t>Bare Point Terminal</t>
  </si>
  <si>
    <t>Cabot Canada Limited</t>
  </si>
  <si>
    <t>Dartmouth Terminal</t>
  </si>
  <si>
    <t>PURE METAL GALVANIZING</t>
  </si>
  <si>
    <t>REXDALE</t>
  </si>
  <si>
    <t>HYTHE BRAINARD SOUR GAS PLANT</t>
  </si>
  <si>
    <t>PENN WEST PETROLEUM LTD.</t>
  </si>
  <si>
    <t>MINNEHIK-BUCK LAKE GAS PLANT</t>
  </si>
  <si>
    <t>KRUGER</t>
  </si>
  <si>
    <t>USINE DE BROMPTON, SHERBROOKE</t>
  </si>
  <si>
    <t>IAMGOLD CORPORATION</t>
  </si>
  <si>
    <t>Spruce Lake Central Thermal</t>
  </si>
  <si>
    <t>Coeur Silvertip Holdings Ltd.</t>
  </si>
  <si>
    <t>Silvertip Mine</t>
  </si>
  <si>
    <t>Lead-zinc ore mining</t>
  </si>
  <si>
    <t>Barrick Energy Inc.</t>
  </si>
  <si>
    <t>Sturgeon Lake South Gas Plant 02-02</t>
  </si>
  <si>
    <t>Hudson Bay Mining and Smelting Co., Limited</t>
  </si>
  <si>
    <t>HBMS Trout Lake Mine</t>
  </si>
  <si>
    <t>NOVA Chemicals Corporation (OBPS)</t>
  </si>
  <si>
    <t>Corunna Site</t>
  </si>
  <si>
    <t>WILDCAT HILLS GAS PLANT</t>
  </si>
  <si>
    <t>Pickering Nuclear Division</t>
  </si>
  <si>
    <t xml:space="preserve">Clean Harbors Canada Inc. </t>
  </si>
  <si>
    <t>General Scrap Partnership</t>
  </si>
  <si>
    <t>Standard Products (Canada) Limited</t>
  </si>
  <si>
    <t>Rubber Plant #2</t>
  </si>
  <si>
    <t>SOCIÉTÉ PCI CHIMIE CANADA</t>
  </si>
  <si>
    <t>USINE DE BÉCANCOUR</t>
  </si>
  <si>
    <t>WESTERN STEEL LIMITED</t>
  </si>
  <si>
    <t>Winfield</t>
  </si>
  <si>
    <t>DOMTAR INC.</t>
  </si>
  <si>
    <t>DOMTAR INC, USINE DE LEBEL-SUR-QUÉVILLON</t>
  </si>
  <si>
    <t>Agnico Eagle Mines Limited (MAIN)</t>
  </si>
  <si>
    <t>Mine Canadian Malartic</t>
  </si>
  <si>
    <t>Ford Electronics, Markham Plant</t>
  </si>
  <si>
    <t>Markham Plant</t>
  </si>
  <si>
    <t>BIGORAY SOUR GAS PLANT</t>
  </si>
  <si>
    <t>Bigoray Sour Gas Plant</t>
  </si>
  <si>
    <t>HUDSON BAY MINING AND SMELTING CO., LIMITED</t>
  </si>
  <si>
    <t>HBMS SNOW LAKE MILL</t>
  </si>
  <si>
    <t>Saturn Deepcut Gas Plant 12-36</t>
  </si>
  <si>
    <t>REGIONAL MUNICIPALITY OF HALTON</t>
  </si>
  <si>
    <t>SKYWAY WASTE WATER TREATMENT PLANT</t>
  </si>
  <si>
    <t>ContiTech Canada Inc.</t>
  </si>
  <si>
    <t>Usine Granford</t>
  </si>
  <si>
    <t>Rubber and plastic hose and belting manufacturing</t>
  </si>
  <si>
    <t>103-23-1</t>
  </si>
  <si>
    <t>Bis(2-ethylhexyl) adipate</t>
  </si>
  <si>
    <t>Adipate de bis(2-éthylhexyle)</t>
  </si>
  <si>
    <t>M&amp;M PLATING INC.</t>
  </si>
  <si>
    <t>Bigoray Gas Plant</t>
  </si>
  <si>
    <t>LASHBURN SWB 02-02-049-24W3</t>
  </si>
  <si>
    <t>Panabrasive Inc.</t>
  </si>
  <si>
    <t>Abrasive product manufacturing</t>
  </si>
  <si>
    <t>Agnico-Eagle Meadowbank</t>
  </si>
  <si>
    <t>Division Meadowbank</t>
  </si>
  <si>
    <t>SATISFIED BRAKE PRODUCTS</t>
  </si>
  <si>
    <t>SATISFIED BRAKE PRODUCTS INC.</t>
  </si>
  <si>
    <t>Motor Vehicle Brake System Manufacturing</t>
  </si>
  <si>
    <t>Fabrication de systèmes de freinage pour véhicules automobiles</t>
  </si>
  <si>
    <t>Non-Ferrous Die-Casting Foundries</t>
  </si>
  <si>
    <t>Ashbridges Bay Treatment Plant</t>
  </si>
  <si>
    <t>City of Portage la Prairie</t>
  </si>
  <si>
    <t>City of Portage la Prairie Water Pollution Control Facility</t>
  </si>
  <si>
    <t>Stella-Jones inc.</t>
  </si>
  <si>
    <t>Usine de Delson</t>
  </si>
  <si>
    <t>Consumers' Co-operative Refineries Limited</t>
  </si>
  <si>
    <t>Co-op Carseland Terminal</t>
  </si>
  <si>
    <t>Skyway Waste Water Treatment Plant</t>
  </si>
  <si>
    <t>Mines d'Or Wesdome limitée</t>
  </si>
  <si>
    <t>Complexe minier Kiena</t>
  </si>
  <si>
    <t>Solutia Canada inc.</t>
  </si>
  <si>
    <t>Produits chimiques</t>
  </si>
  <si>
    <t>SOUVENIR AVANTI</t>
  </si>
  <si>
    <t>SOUVENIR AVANTI   POINTE CLAIRE</t>
  </si>
  <si>
    <t>Detour Gold Corporation</t>
  </si>
  <si>
    <t>Detour Lake Project</t>
  </si>
  <si>
    <t>LAKEHEAD SCRAP METALS</t>
  </si>
  <si>
    <t>Circo Craft Pointe-Claire</t>
  </si>
  <si>
    <t>USINE DE POINTE-CLAIRE</t>
  </si>
  <si>
    <t>SOCIÉTÉ EN COMMANDITE BORALEX ÉNERGIE</t>
  </si>
  <si>
    <t>CENTRALE DE DOLBEAU</t>
  </si>
  <si>
    <t>Sexsmith Sour Gas Plant</t>
  </si>
  <si>
    <t>Compagnie WestRock du Canada Corp.</t>
  </si>
  <si>
    <t>Usine de La Tuque</t>
  </si>
  <si>
    <t>West Stoddart Gas Processing Plant</t>
  </si>
  <si>
    <t>AMERADA HESS -BOUNDARY LAKE SOUR GAS PLANT</t>
  </si>
  <si>
    <t>Boundary Lake Gas Plant</t>
  </si>
  <si>
    <t>SUNCOR ENERGY INC.</t>
  </si>
  <si>
    <t>ACCEL Energy Canada Ltd.</t>
  </si>
  <si>
    <t>GLOBAL-GIX  CANADA  INC.  ( HARBISON WALKER REFRACTORIES )</t>
  </si>
  <si>
    <t>SMITHVILLE PLANT</t>
  </si>
  <si>
    <t>Clay Building Material and Refractory Manufacturing</t>
  </si>
  <si>
    <t>Fabrication de matériaux de construction en argile et de produits réfractaires</t>
  </si>
  <si>
    <t>Coronation FST</t>
  </si>
  <si>
    <t>Voisey's Bay Mine Site</t>
  </si>
  <si>
    <t>FENNER DUNLOP (BRACEBRIDGE) INC.</t>
  </si>
  <si>
    <t>Bracebridge plant</t>
  </si>
  <si>
    <t>Kingston Marketing Limited</t>
  </si>
  <si>
    <t>Virden Truck Terminal</t>
  </si>
  <si>
    <t>BP Canada Energy Company</t>
  </si>
  <si>
    <t>West Whitecourt Plant</t>
  </si>
  <si>
    <t>SHELBURNE WOOD PROCESSING</t>
  </si>
  <si>
    <t>RAFFINERIE DE MONTREAL</t>
  </si>
  <si>
    <t>Viking Air Ltd.</t>
  </si>
  <si>
    <t>VIKING AIR - SIDNEY</t>
  </si>
  <si>
    <t>GATES CANADA - BELT MANUFACTURING</t>
  </si>
  <si>
    <t>Belt Manufacturing</t>
  </si>
  <si>
    <t>117-84-0</t>
  </si>
  <si>
    <t>Di-n-octyl phthalate</t>
  </si>
  <si>
    <t>Phtalate de di-n-octyle</t>
  </si>
  <si>
    <t>KAMLOOPS CELLULOSE FIBERS</t>
  </si>
  <si>
    <t>IOCO TERMINAL</t>
  </si>
  <si>
    <t>REDWATER FERTILIZER OPERATIONS</t>
  </si>
  <si>
    <t>USINE DE WINDSOR</t>
  </si>
  <si>
    <t>7789-75-5</t>
  </si>
  <si>
    <t>Calcium fluoride</t>
  </si>
  <si>
    <t>Fluorure de calcium</t>
  </si>
  <si>
    <t>North Tangleflags Facility</t>
  </si>
  <si>
    <t>BFI USINE DE TRIAGE LACHENAIE</t>
  </si>
  <si>
    <t>USINE DE TRIAGE LACHENAIE</t>
  </si>
  <si>
    <t>SGO Mining Inc.</t>
  </si>
  <si>
    <t>Seabee</t>
  </si>
  <si>
    <t>LENNOX GENERATING STATION</t>
  </si>
  <si>
    <t>Wabamun Thermal Electric Power Generating Plant</t>
  </si>
  <si>
    <t>Prospec Chemicals</t>
  </si>
  <si>
    <t>Norealis Terminal</t>
  </si>
  <si>
    <t>BASF CANADA INC.</t>
  </si>
  <si>
    <t>Judy Creek FST</t>
  </si>
  <si>
    <t>Novelis Inc.</t>
  </si>
  <si>
    <t>Kingston Works</t>
  </si>
  <si>
    <t>Petrobank Energy and Resources Ltd.</t>
  </si>
  <si>
    <t>WHITESANDS PROJECT</t>
  </si>
  <si>
    <t>CAMCO</t>
  </si>
  <si>
    <t>USINE DE MONTRÉAL</t>
  </si>
  <si>
    <t>Major Kitchen Appliance Manufacturing</t>
  </si>
  <si>
    <t>Fabrication de gros appareils ménagers de cuisine</t>
  </si>
  <si>
    <t>HARRIS STEEL</t>
  </si>
  <si>
    <t>LEDUC PLANT</t>
  </si>
  <si>
    <t>NATIONAL GLASS LTD.</t>
  </si>
  <si>
    <t>NATIONAL GLASS - LANGLEY</t>
  </si>
  <si>
    <t>Glass Product Manufacturing from Purchased Glass</t>
  </si>
  <si>
    <t>Fabrication de produits en verre à partir de verre acheté</t>
  </si>
  <si>
    <t>Clean Harbors Canada, Inc. [principal]</t>
  </si>
  <si>
    <t xml:space="preserve">Clean Harbors Canada Inc. [Corunna] </t>
  </si>
  <si>
    <t>AINSWORTH ENGINEERED</t>
  </si>
  <si>
    <t>DIAGNOSTIC CHEMICALS LTD.</t>
  </si>
  <si>
    <t>The Regional Municipality of Halton</t>
  </si>
  <si>
    <t>Burlington Skyway Wastewater Treatment Plant</t>
  </si>
  <si>
    <t>KEEPHILLS THERMAL ELECTRIC POWER GENERATING PLANT</t>
  </si>
  <si>
    <t>General Electric Canada Co.</t>
  </si>
  <si>
    <t>Peterborough</t>
  </si>
  <si>
    <t>Baron Colour Concentrates Limited</t>
  </si>
  <si>
    <t>Kitchener Plant</t>
  </si>
  <si>
    <t>DOMTAR PULP AND PAPER PRODUCTS INC.</t>
  </si>
  <si>
    <t>DRYDEN MILL</t>
  </si>
  <si>
    <t>Drayton Valley</t>
  </si>
  <si>
    <t>CANUSA-CPS</t>
  </si>
  <si>
    <t>HUNTSVILLE</t>
  </si>
  <si>
    <t>VILLE DE SAGUENAY</t>
  </si>
  <si>
    <t>USINE ÉPURATION JONQUIÈRE</t>
  </si>
  <si>
    <t>ZALEV BROTHERS CO.</t>
  </si>
  <si>
    <t>ABITIBI CONSOLIDATED OF CANADA</t>
  </si>
  <si>
    <t>ABITIBI CONSOLIDATED DU CANADA, DIVISION LAURENTIDE</t>
  </si>
  <si>
    <t>MIRAMICHI MARINE TERMINAL</t>
  </si>
  <si>
    <t>Tembec Inc</t>
  </si>
  <si>
    <t>SITE DE TÉMISCAMING</t>
  </si>
  <si>
    <t>CITY OF RED DEER</t>
  </si>
  <si>
    <t>WASTE MANAGEMENT FACILITY</t>
  </si>
  <si>
    <t>Chromaflo Technologies Canada Inc</t>
  </si>
  <si>
    <t>Brampton Site</t>
  </si>
  <si>
    <t>Wapiti Sour Gas Processing Plant</t>
  </si>
  <si>
    <t>Carlyle (Champ Tech)</t>
  </si>
  <si>
    <t>CAPITAL POWER GENERATING SERVICES INC.</t>
  </si>
  <si>
    <t>GENESEE THERMAL GENERATING STATION</t>
  </si>
  <si>
    <t>PRODUITS SHELL CANADA</t>
  </si>
  <si>
    <t>RAFFINERIE DE MONTRÉAL-EST</t>
  </si>
  <si>
    <t>SCAPA NORTH AMERICA</t>
  </si>
  <si>
    <t>NAVAJO METALS</t>
  </si>
  <si>
    <t>Fox Creek Terminal</t>
  </si>
  <si>
    <t>ExxonMobil Canada Ltd.</t>
  </si>
  <si>
    <t>Lone Pine Creek Gas Plant</t>
  </si>
  <si>
    <t>TECK COAL LIMITED</t>
  </si>
  <si>
    <t>CARDINAL RIVER OPERATIONS</t>
  </si>
  <si>
    <t>Riverside Brass &amp; Aluminum Foundry Ltd.</t>
  </si>
  <si>
    <t>Riverside Brass - Hamilton Road</t>
  </si>
  <si>
    <t>Non-ferrous metal foundries (except die-casting)</t>
  </si>
  <si>
    <t>Owens Corning Insulating Systems Canada LP</t>
  </si>
  <si>
    <t>Edmonton Plant</t>
  </si>
  <si>
    <t>All other non-metallic mineral product manufacturing</t>
  </si>
  <si>
    <t>Gibson Energy Ltd.</t>
  </si>
  <si>
    <t>Edmonton South Terminal</t>
  </si>
  <si>
    <t>XSTRATA COPPER CANADA DIVISION, KIDD METALLURGICAL SITE</t>
  </si>
  <si>
    <t>Viking Energy Acquisitions Ltd.</t>
  </si>
  <si>
    <t>Bellshill Lake Plant</t>
  </si>
  <si>
    <t>SUNCOR ENERGY OIL SANDS LIMITED PARTNERSHIP</t>
  </si>
  <si>
    <t>SUNCOR ENERGY INC. OIL SANDS</t>
  </si>
  <si>
    <t>Inco Limited Port Colborne Refinery</t>
  </si>
  <si>
    <t>Fonte et affinage de métaux non ferreux, sauf l'aluminium</t>
  </si>
  <si>
    <t>Chevron Canada Resources</t>
  </si>
  <si>
    <t>West Pembina Sour Gas Plant</t>
  </si>
  <si>
    <t>Metra Aluminum Inc.</t>
  </si>
  <si>
    <t>METRA ALUMINIUM INC.</t>
  </si>
  <si>
    <t>NEWALTA  CORPORATION</t>
  </si>
  <si>
    <t>Keyera Corp.</t>
  </si>
  <si>
    <t>Steelman Gas Plant</t>
  </si>
  <si>
    <t>Copper Mountain Mine (BC) Ltd.</t>
  </si>
  <si>
    <t>Copper Mountain Mine</t>
  </si>
  <si>
    <t>Carseland Nitrogen Operations</t>
  </si>
  <si>
    <t>City of Winnipeg, Water &amp; Waste Department</t>
  </si>
  <si>
    <t>North End Water Pollution Control Centre (NEWPCC)</t>
  </si>
  <si>
    <t>MINES AURIZON</t>
  </si>
  <si>
    <t>CASA BERARDI</t>
  </si>
  <si>
    <t>Mituse Gas Plant</t>
  </si>
  <si>
    <t>Ville de Saguenay</t>
  </si>
  <si>
    <t>Usine Épuration Jonquière</t>
  </si>
  <si>
    <t>Redwater Process</t>
  </si>
  <si>
    <t>Septimus 08-22 Gas Plant</t>
  </si>
  <si>
    <t>Niton Junction</t>
  </si>
  <si>
    <t>Catalyst Paper Corporation</t>
  </si>
  <si>
    <t>Crofton Division</t>
  </si>
  <si>
    <t>Lloydminster Upgrader</t>
  </si>
  <si>
    <t>Norampac Inc.</t>
  </si>
  <si>
    <t>Red Rock Division</t>
  </si>
  <si>
    <t>ZALEV BROTHERS</t>
  </si>
  <si>
    <t>ANADARKO CANADA CORPORATION</t>
  </si>
  <si>
    <t>DUNVEGAN SOUR GAS PLANT</t>
  </si>
  <si>
    <t>Prodigy Gold Inc.</t>
  </si>
  <si>
    <t>Magino Mine</t>
  </si>
  <si>
    <t>POPE &amp; TALBOT LTD</t>
  </si>
  <si>
    <t>HARMAC PULP OPERATIONS</t>
  </si>
  <si>
    <t>TITAN STEEL &amp; WIRE CO. LTD.</t>
  </si>
  <si>
    <t>Lakehead Scrap Metal</t>
  </si>
  <si>
    <t>General Motors of Canada Limited</t>
  </si>
  <si>
    <t>WINDSOR TRANSMISSION PLANT</t>
  </si>
  <si>
    <t>Stadacona WB S.E.C.</t>
  </si>
  <si>
    <t>Usine de Québec</t>
  </si>
  <si>
    <t>MID-HALTON WASTE WATER TREATMENT PLANT</t>
  </si>
  <si>
    <t>BAKER PETROLITE</t>
  </si>
  <si>
    <t>BAKER PETROLITE CORPORATION - EASTFIELD</t>
  </si>
  <si>
    <t>98-82-8</t>
  </si>
  <si>
    <t>Cumene</t>
  </si>
  <si>
    <t>Cumène</t>
  </si>
  <si>
    <t>Flint Group Canada Ltd.</t>
  </si>
  <si>
    <t>Le Groupe Flint</t>
  </si>
  <si>
    <t>Printing ink manufacturing</t>
  </si>
  <si>
    <t>Oxy Durez Holding Company Inc</t>
  </si>
  <si>
    <t>OxyChem Durez Canada</t>
  </si>
  <si>
    <t>CARSTAIRS-CROSSFIELD GAS PLANT</t>
  </si>
  <si>
    <t>BRUNSWICK MINE</t>
  </si>
  <si>
    <t>BAYER CROPSCIENCE</t>
  </si>
  <si>
    <t>FORMULATION PLANT</t>
  </si>
  <si>
    <t>Other Grain Farming</t>
  </si>
  <si>
    <t>Autres cultures céréalières</t>
  </si>
  <si>
    <t>Northern Courier Pipeline Limited Partnership</t>
  </si>
  <si>
    <t>TransCanada Northern Courier Fort Hills Tank Terminal</t>
  </si>
  <si>
    <t>109-86-4</t>
  </si>
  <si>
    <t>2-Methoxyethanol</t>
  </si>
  <si>
    <t>2-Méthoxyéthanol</t>
  </si>
  <si>
    <t>Régie Intermunicipale Argenteuil Deux-Montagnes (RIADM)</t>
  </si>
  <si>
    <t>Air Canada</t>
  </si>
  <si>
    <t>St. John's International Airport</t>
  </si>
  <si>
    <t>Lake Shore Gold Corp.</t>
  </si>
  <si>
    <t>Bell Creek Complex</t>
  </si>
  <si>
    <t>PASTWAY PLANING LIMITED</t>
  </si>
  <si>
    <t>COMBERMERE TREATING PLANT</t>
  </si>
  <si>
    <t>Jansen Project</t>
  </si>
  <si>
    <t>Comment_Type_Name (English) Type_de_commentaire (Anglais)</t>
  </si>
  <si>
    <t>Comment_Type_Name (French) Type_de_commentaire (Français)</t>
  </si>
  <si>
    <t>Comment / Commentaires</t>
  </si>
  <si>
    <t xml:space="preserve">Algoma Steel Inc. </t>
  </si>
  <si>
    <t>On-site releases comment</t>
  </si>
  <si>
    <t>Commentaire sur les rejets sur le site</t>
  </si>
  <si>
    <t>Based on chemical analysis and air model. Transitioned to a new air model (AerMod 19191) as well as a new meteorological file and the change of land use from Urban to Rural.</t>
  </si>
  <si>
    <t>JUNGBUNZLAUER CANADA</t>
  </si>
  <si>
    <t>JUNGBUNZLAUER CANADA INC.</t>
  </si>
  <si>
    <t>Increase of influent ammonia load into the waste water treatment plant as a result of increased production volumes. Effective nitrification process maintained to oxidize the ammonia to nitrites and nitrates. (Nitrification Process)</t>
  </si>
  <si>
    <t>CANADA PIPE</t>
  </si>
  <si>
    <t>Fonderie La Perle</t>
  </si>
  <si>
    <t>La quantité de matières particulaires produites lors du procédé de fusion varie selon le taux de fusion.</t>
  </si>
  <si>
    <t>Pacifica Papers Inc.</t>
  </si>
  <si>
    <t>Powell River Division</t>
  </si>
  <si>
    <t>A newly installed bubbling fluidized bed power boiler was commissioned ì
early in 1998. This boiler (PB19) replaced 3 existing biomass fired power_x000D_
boilers that have since been decomissioned. PB19's capacity to burn ì
boiomass is substantially higher than</t>
  </si>
  <si>
    <t>Addition of road dust emissions</t>
  </si>
  <si>
    <t xml:space="preserve">La baisse est imputable au réacteur Copeland. Le résultat est issu d'un échantillonnage à la cheminée (tout comme l'an dernier), donc c'est difficile d'expliquer pourquoi il y a une difference de plus de 10%. Peut-être les proportions utilises d'essence de bois au moment de la caracterisation. </t>
  </si>
  <si>
    <t>Tigercat Industries Inc.</t>
  </si>
  <si>
    <t>Tigercat Industries - Plant #7</t>
  </si>
  <si>
    <t>Construction machinery manufacturing</t>
  </si>
  <si>
    <t>Fabrication de machines pour la construction</t>
  </si>
  <si>
    <t>Recycling comment</t>
  </si>
  <si>
    <t>Commentaire sur le recyclage </t>
  </si>
  <si>
    <t>Increase in recycling of material containing manganese.</t>
  </si>
  <si>
    <t>Regional Die Casting Ltd.</t>
  </si>
  <si>
    <t>Maufacturing Location</t>
  </si>
  <si>
    <t>Non-Ferrous Metal (except Copper and Aluminum) Rolling, Drawing, Extruding and Alloying</t>
  </si>
  <si>
    <t>Laminage, étirage, extrusion et alliage de métaux non ferreux, sauf le cuivre et l'aluminium</t>
  </si>
  <si>
    <t xml:space="preserve">Mathematical errors in previous years. Decimal point incorrectly placed._x000D_
</t>
  </si>
  <si>
    <t>Whitecourt Power Partnership</t>
  </si>
  <si>
    <t>Whitecourt Electric Power Generating Facility</t>
  </si>
  <si>
    <t>Not Applicable</t>
  </si>
  <si>
    <t>Alberta Power 2000 Ltd.</t>
  </si>
  <si>
    <t>Sheerness Generating Station</t>
  </si>
  <si>
    <t>Reason why substance was removed from the report</t>
  </si>
  <si>
    <t>Raison pour laquelle la substance a été retirée du rapport</t>
  </si>
  <si>
    <t xml:space="preserve">The site has been converted from a coal fired power plant to a natural gas fired power plant. There is no longer any ash produced on site or disposed/recycled. </t>
  </si>
  <si>
    <t>Northland Power Inc.</t>
  </si>
  <si>
    <t>Kingston CoGen</t>
  </si>
  <si>
    <t>Product not required this period</t>
  </si>
  <si>
    <t>Cleo Energy Corp.</t>
  </si>
  <si>
    <t>Neutral Hills Oil Battery 04-15</t>
  </si>
  <si>
    <t>new surveys conducted in 2021/ new leaks</t>
  </si>
  <si>
    <t>Augmentation du volume de gaz brûlé par les torchères.</t>
  </si>
  <si>
    <t>René Matériaux Composites Ltée.</t>
  </si>
  <si>
    <t>Usine St-Éphrem</t>
  </si>
  <si>
    <t>80-62-6</t>
  </si>
  <si>
    <t>Methyl methacrylate</t>
  </si>
  <si>
    <t>Méthacrylate de méthyle</t>
  </si>
  <si>
    <t>Augmentation de la production</t>
  </si>
  <si>
    <t>Disposal comment</t>
  </si>
  <si>
    <t>Commentaire sur l'élimination </t>
  </si>
  <si>
    <t>no disposals</t>
  </si>
  <si>
    <t>increased process</t>
  </si>
  <si>
    <t>A change in the mix of products handled by the Hardisty terminal resulted in an increase in estimated emissions of this compound.</t>
  </si>
  <si>
    <t>Emission rates from source testing program compared to previous design estimates</t>
  </si>
  <si>
    <t>Nordegg River Gas Plant</t>
  </si>
  <si>
    <t>Updated fugitive survey</t>
  </si>
  <si>
    <t>SPECIALTY GASKETS LTD</t>
  </si>
  <si>
    <t>SPECIALTY GASKETS INC.</t>
  </si>
  <si>
    <t>New drying procedure</t>
  </si>
  <si>
    <t>Regional Municipality of Waterloo</t>
  </si>
  <si>
    <t>Galt Wastewater Treatment Plant</t>
  </si>
  <si>
    <t>Substance criteria comment</t>
  </si>
  <si>
    <t>Commentaire sur le statut de déclaration de la substance</t>
  </si>
  <si>
    <t xml:space="preserve">Re-evaluation of the substance was performed in response to new reporting guideline release. </t>
  </si>
  <si>
    <t>Industries James Maclaren Inc.</t>
  </si>
  <si>
    <t>Industries James Maclaren Inc. Pâtes Thurso</t>
  </si>
  <si>
    <t xml:space="preserve">les facteurs d'émission de NCASI et des mesures directes ont été utilisés pour estimer les rejets._x000D_
</t>
  </si>
  <si>
    <t>GEA Refrigeration Canada Inc.</t>
  </si>
  <si>
    <t>Heating equipment and commercial refrigeration equipment manufacturing</t>
  </si>
  <si>
    <t>Fabrication d'appareils de chauffage et de réfrigération commerciale</t>
  </si>
  <si>
    <t>Increased production levels resulted in greater scrap materials sent for recycling relative to 2021.</t>
  </si>
  <si>
    <t>USINE DE LA TUQUE</t>
  </si>
  <si>
    <t>Mesures plus élevées de phosphores dans les résidus calciques en 2006</t>
  </si>
  <si>
    <t>Harmon Valley 05-12-084-19W5</t>
  </si>
  <si>
    <t xml:space="preserve">In 2017, the flare volume increased by 84%
</t>
  </si>
  <si>
    <t>The Fugitive emissions remained constant relative to 2021. The Loading emissions decreased by 9.1% in 2022, mainly due to the decrease in the gasoline loading volumes. The Tankage emissions increased by 12.3%. This was due to an increase in ethanol throughputs in 2022 compared to 2021.</t>
  </si>
  <si>
    <t>HEART RIVER GAS PLANT 04-11-077-16W5</t>
  </si>
  <si>
    <t>Increase in fuel volume</t>
  </si>
  <si>
    <t>Forterra Pipe &amp; Precast Ltd.</t>
  </si>
  <si>
    <t>Overall Production Increase 150%</t>
  </si>
  <si>
    <t>GOLDEN SPIKE GAS CONSERVATION PLANT</t>
  </si>
  <si>
    <t>Emissions increased due to increased compressor loading in 2007.</t>
  </si>
  <si>
    <t>Redwater Fractionation and Storage Facility</t>
  </si>
  <si>
    <t xml:space="preserve">Increase in Gas and NGL Fugitive Emissions_x000D_
</t>
  </si>
  <si>
    <t>NELSON AGGREGATE</t>
  </si>
  <si>
    <t>Oneida Quarry</t>
  </si>
  <si>
    <t>Site no longer meets the production threshold to report emissions from all sources. Only stationary combustion equipment is assessed, resulting in significantly lowered emissions.</t>
  </si>
  <si>
    <t>LADYFERN A-068-H</t>
  </si>
  <si>
    <t>Carbon monoxide emissions decreased due to decreased fuel consumption.</t>
  </si>
  <si>
    <t>OSRAM SYLVANIA LTÉE</t>
  </si>
  <si>
    <t xml:space="preserve">Prise en compte de l'évent du four de la ligne 2 comme source d'émission de xylène_x000D_
</t>
  </si>
  <si>
    <t>Canadian Forest Products Ltd</t>
  </si>
  <si>
    <t>Plateau Division</t>
  </si>
  <si>
    <t>Substance decreased significantly due to a reduction in wood waste burned in Energy System.</t>
  </si>
  <si>
    <t>Increase in disposal of waste material containing the substance in 2022 compared to 2021.</t>
  </si>
  <si>
    <t>Aallcann Wood Suppliers Inc.</t>
  </si>
  <si>
    <t>AALLCANN WOOD SUPPLIERS</t>
  </si>
  <si>
    <t>No Disposals</t>
  </si>
  <si>
    <t xml:space="preserve">Values entered are reported to the first decimal place to represent their estimated accuracies </t>
  </si>
  <si>
    <t>FS Partners, a division of Growmark</t>
  </si>
  <si>
    <t>Delhi Agronomy</t>
  </si>
  <si>
    <t>Below reporting threshold but facility is typically required to report. Reported voluntarily.</t>
  </si>
  <si>
    <t>TANTALUM MINING OF CANADA</t>
  </si>
  <si>
    <t>Bernic Lake Minesite</t>
  </si>
  <si>
    <t>No recycle of sulfuric acid.</t>
  </si>
  <si>
    <t>The emissions profile changed due to updated compressor vent emission factors and fugitive factors.</t>
  </si>
  <si>
    <t>Nova Scotia Power Inc.</t>
  </si>
  <si>
    <t xml:space="preserve">Flyash is used as a high quality substitute for Portland cement in ì
concrete.  The reuse of this former waste product displaces the need to ì
consume Portland cement resources and extends the operating life of ì
existing ash landfills._x000D_
</t>
  </si>
  <si>
    <t>Resolute FP Canada Inc. - Empty</t>
  </si>
  <si>
    <t>résultat selon caractérisation annuelle MP</t>
  </si>
  <si>
    <t xml:space="preserve">Updated Halide test results in 2018 show decreased chlorine emission rates on stack 2
</t>
  </si>
  <si>
    <t>Increase in fugitives from FCCU feed (hydrocarbon flanges)</t>
  </si>
  <si>
    <t>Frendel Kitchens Ltd.</t>
  </si>
  <si>
    <t>FRENDEL KITCHENS LIMITED</t>
  </si>
  <si>
    <t>Xylene usage and associated disposals are changing due to movement towards water based coatings as apposed to VOC's.</t>
  </si>
  <si>
    <t xml:space="preserve">Change in production levels </t>
  </si>
  <si>
    <t>Emissions based on NCASI handbook emission factors (2007 update) and on mill production data. Disposal in onsite landfill with leachate collection treated in effluent treatment plant.</t>
  </si>
  <si>
    <t>Kirkland Lake Gold Ltd</t>
  </si>
  <si>
    <t>Holloway Mine Site</t>
  </si>
  <si>
    <t xml:space="preserve">Substance is a naturally occurring impurity contained within the raw material; concentrations differ depending on the source material.    </t>
  </si>
  <si>
    <t>TEMBEC INC. TÉMISCAMING</t>
  </si>
  <si>
    <t>Modification apportées : Il y a eu un erreur de calcul au niveau des rejets à la rivière, le total de l'année a été calculé 2 fois, ce qui a doublé le nombre de tonnes.  Aussi, il y a eu une erreur de saisie au niveau des rejets atmosphériques.</t>
  </si>
  <si>
    <t>Willesden Green Sweet Gas Plant 14-01</t>
  </si>
  <si>
    <t xml:space="preserve">The nature of the venting changed_x000D_
</t>
  </si>
  <si>
    <t>Variability in test data (stack survey)</t>
  </si>
  <si>
    <t>ULTIMA DODSLAND 16-33-030-22W3</t>
  </si>
  <si>
    <t>Decrease in emissions</t>
  </si>
  <si>
    <t>EPCOR WATER SERVICES</t>
  </si>
  <si>
    <t>STRATHMORE WASTEWATER FACILITIES</t>
  </si>
  <si>
    <t>Water Supply and Irrigation Systems</t>
  </si>
  <si>
    <t>Réseaux d'aqueduc et systèmes d'irrigation</t>
  </si>
  <si>
    <t xml:space="preserve">A portion of Effluent from Strathmore Waste treatment plant is used for irrigation of feilds around the town site. The rest of the effluent is sent to storage ponds and discharged to the Western Irrigation Canal system._x000D_
</t>
  </si>
  <si>
    <t>ACSYS AUTOMOTIVE COMPONENTS SYSTEMS OF CANADA</t>
  </si>
  <si>
    <t>ACSYS TECHNOLOGIES</t>
  </si>
  <si>
    <t>Ceased manufacturing where used on approx. Feb. 27, 2004.  Demolotion of plant commenced December 2004.</t>
  </si>
  <si>
    <t>DANA CANADA CORPORATION</t>
  </si>
  <si>
    <t>DANA THERMAL PRODUCTS - MOUNT FOREST</t>
  </si>
  <si>
    <t>Process change causes more of one of the contributing production products to be used during processing</t>
  </si>
  <si>
    <t>Wastech Services Ltd.</t>
  </si>
  <si>
    <t>Releases are based on the capture and burning of landfill gas in stationary combustion unit. The quantity of fuel available (captured and generated landfill gas) varies with time due to several factors. A larger portion of fuel was flared rather than utilized by internal combustion engines due to engine shutdown. Flares have a lower emission factor, resulting in a lower estimated release.</t>
  </si>
  <si>
    <t>More coal and natural gas consumption.</t>
  </si>
  <si>
    <t>Jackfish 3 SAGD Plant</t>
  </si>
  <si>
    <t>Steam generators consumed more fuel.</t>
  </si>
  <si>
    <t>Ville de Lévis</t>
  </si>
  <si>
    <t>Incinérateur de Lévis</t>
  </si>
  <si>
    <t>Nouvelle caractérisation de la cheminée</t>
  </si>
  <si>
    <t>Portion (1.5%) of waste flammable liquids recovered and recycled in 2014</t>
  </si>
  <si>
    <t>AOC Resins &amp; Coatings Co.</t>
  </si>
  <si>
    <t>AOC Resins and Coatings Co.</t>
  </si>
  <si>
    <t>Decrease in combustion of natural gas</t>
  </si>
  <si>
    <t>Port Alberni Division</t>
  </si>
  <si>
    <t>normal process variation plus higher effluent flow</t>
  </si>
  <si>
    <t>Winona Rifle Range (4 CDSG)</t>
  </si>
  <si>
    <t>Defence services</t>
  </si>
  <si>
    <t>Services de défense</t>
  </si>
  <si>
    <t>Frequency of range us is variable, as is range maintenance, which can additionally impact range use. Military exercise styles and weapons used also vary from year, which can cause further variation in releases.   Lead releases to land and air were down 893.96 kg from the previous reporting year, for a difference (decrease) of approx. 66.8 %.</t>
  </si>
  <si>
    <t>No change</t>
  </si>
  <si>
    <t>OUTOKUMPU STAINLESS TUBULAR PRODUCTS LTD.</t>
  </si>
  <si>
    <t>BROCKVILLE PLANT</t>
  </si>
  <si>
    <t>The introduction of source testing (and changes in other estimation methods)resulted in significant quantities, that were previously allocated to disposal, to be correctly reallocated to recycling.</t>
  </si>
  <si>
    <t>MAPLE LEAF FOODS</t>
  </si>
  <si>
    <t>CONSUMER FOODS - WINNIPEG</t>
  </si>
  <si>
    <t>Rendering and Meat Processing from Carcasses</t>
  </si>
  <si>
    <t>Fonte des graisses animales et transformation de la viande provenant de carcasses</t>
  </si>
  <si>
    <t>Process is expanding, anticipate possible increase in refrigeration system.</t>
  </si>
  <si>
    <t>Richmond</t>
  </si>
  <si>
    <t>Univar EHS policy goals strive for zero releases.
The highest priority in the conduct of our business is safety and environmental protection. Univar Canada Ltd. policy on EHS outlines our commitment to this priority. Our systems ensure compliance with our stringent standards and all government regulations. We are committed to constant vigilance and continuous improvement.
Univar Canada Ltd has a quality management system complying with ISO 9001:2000 and registered by the Quality Management Institute. Our environmental management systems (EMS) for the British Columbia, Alberta and Ontario regions comply with ISO 14001 and are registered.
Release calculation methods used: TANKS &amp; Engineering estimates.
Waste as a result of our product handling processes is to be minimized through engineering controls, procedures and training. Our goal is to produce no waste.</t>
  </si>
  <si>
    <t>Aerospace Metal Finishing Inc.</t>
  </si>
  <si>
    <t>Lead tape was used less than last year 2017.</t>
  </si>
  <si>
    <t>Les concentration sont plus faibles qu'en 2018, sauf pour les réservoirs de dissolution. Une partie a été enlevée du total car associée à l'EGU. Retrait proportionnel pour les sources impliquées dans l'EGU (Puissance et Récupération)</t>
  </si>
  <si>
    <t>La station a produit 12913 tonnes de fertili cendres et 406 tonnes de granules qui ont été valorisées comme engrais agricole. La station a aussi évacuée 57 tonnes de gâteaux au LET chez Enviro Connexions à Terrebonne.</t>
  </si>
  <si>
    <t>City of Greater Sudbury</t>
  </si>
  <si>
    <t>Sudbury Wastewater Treatment Plant</t>
  </si>
  <si>
    <t>Does not meet threshold to report</t>
  </si>
  <si>
    <t>Stelco Inc.</t>
  </si>
  <si>
    <t>Reduced generation and disposal of tar contaminated wastes</t>
  </si>
  <si>
    <t xml:space="preserve">Variability in source testing data </t>
  </si>
  <si>
    <t>Changes in ore body</t>
  </si>
  <si>
    <t>Canfor Pulp Ltd.</t>
  </si>
  <si>
    <t>Updated the site specific emission factor with current data.</t>
  </si>
  <si>
    <t>SUNDANCE THERMAL ELECTRIC POWER GENERATING PLANT</t>
  </si>
  <si>
    <t>(UPDATED April 30, 2010) - Historical values have been updated to reflect changes in calculation methodology, and/or updated operational data used to determine the emissions from a facility.    UPDATED VALUES--&gt;Historical values have been updated to refle</t>
  </si>
  <si>
    <t>Regional District of Nanaimo</t>
  </si>
  <si>
    <t>Greater Nanaimo Pollution Control Centre</t>
  </si>
  <si>
    <t xml:space="preserve">Biosolids beneficial use from wastewater treatment.  </t>
  </si>
  <si>
    <t>The copper is wound over bobbins and is not released into the air.  All scrap is recycled.</t>
  </si>
  <si>
    <t>WEST FRASER MILLS - WILLIAMS LAKE</t>
  </si>
  <si>
    <t>In 2011, this substance met the threshold since the threshold for this substance was changed for 2011.</t>
  </si>
  <si>
    <t>Connacher Oil and Gas Limited</t>
  </si>
  <si>
    <t>Pod One</t>
  </si>
  <si>
    <t>Change in operation conditions</t>
  </si>
  <si>
    <t>Univar Solutions Canada Ltd</t>
  </si>
  <si>
    <t>Previous estimates included quantities that were handled in a closed loop system. New estimates only include where there is venting.</t>
  </si>
  <si>
    <t>total benzene used was 15.282 tonnes as a component of gasoline which is an ethanol denaturant.</t>
  </si>
  <si>
    <t>Gain Energy Ltd.</t>
  </si>
  <si>
    <t>Gilby Compressor Station 10-12-41-3W5M</t>
  </si>
  <si>
    <t>Facility shut in for 3 months.</t>
  </si>
  <si>
    <t>ESCO Limited</t>
  </si>
  <si>
    <t>ESCO has an 'old' slag and skulls storage area at their facility from production operations in the past. No old slag was shipped off-site for disposal/recycling in 2014.</t>
  </si>
  <si>
    <t>GOOD HUMOR-BREYERS, DIV OF UNILEVER CANADA INC.</t>
  </si>
  <si>
    <t>SIMCOE MANUFACTURING</t>
  </si>
  <si>
    <t>Changed to Canadian Energy Partnership for Environmental Innovation 2006 Emissions Calculator and Guidance Materials</t>
  </si>
  <si>
    <t>Mosaic Potash Esterhazy Limited Partnership</t>
  </si>
  <si>
    <t>MOSAIC POTASH ESTERHAZY - K1 SITE</t>
  </si>
  <si>
    <t>Please note that particulate releases are primarily soluble plant nutrients from a potash fertilizer facility. Calculations were completed using the SRC generated potash industry estimates. The climate data that was used to calculate the road dust was taken from Environment Canada website for the Yorkton Sk. station.</t>
  </si>
  <si>
    <t>Disposal is done only using licensed carriers for waste. A Registered Hazardous Waste Contractor disposes of all disposal products taken from Univar facilities.</t>
  </si>
  <si>
    <t>Updated SDS information</t>
  </si>
  <si>
    <t>PARAMOUNT RESOURCES LTD.</t>
  </si>
  <si>
    <t>PARAMOUNT KAKWA 01-13-063-05W6</t>
  </si>
  <si>
    <t>The calculated emission profile has changed due to a better understanding of the fired equipment at this facility</t>
  </si>
  <si>
    <t>Normal site variability</t>
  </si>
  <si>
    <t>Greentec International Inc</t>
  </si>
  <si>
    <t>Sent for recycling, not disposed</t>
  </si>
  <si>
    <t>HENKEL CANADA CORPORATION</t>
  </si>
  <si>
    <t>HENKEL SURFACE TECHNOLOGIES</t>
  </si>
  <si>
    <t>IN 2005 NO PRODUCT CONTAINING THIS NPRI PARAMETER WAS DISPOSED OF</t>
  </si>
  <si>
    <t>Sun Chemical Ltd.</t>
  </si>
  <si>
    <t xml:space="preserve">Calculated amounts supplied by waste receiver._x000D_
</t>
  </si>
  <si>
    <t>CAE Inc.</t>
  </si>
  <si>
    <t>Usine de Saint-Laurent</t>
  </si>
  <si>
    <t>Mesure de l'ordre des grammes, très faible quantité</t>
  </si>
  <si>
    <t>Peinture Denalt Ltée.</t>
  </si>
  <si>
    <t>No disposal</t>
  </si>
  <si>
    <t>Diminution de la valorisation.  Ce produit est contenu dans nos cendres volantes qui servent de matière première pour neutraliser les acides et aussi comme remplacement du ciment pour encapsuler les résidus chimiques chez Stablex.</t>
  </si>
  <si>
    <t>Irving Oil Refining G.P.</t>
  </si>
  <si>
    <t>Refinery</t>
  </si>
  <si>
    <t>N/A, not recycled</t>
  </si>
  <si>
    <t>DUNCAN PAVING</t>
  </si>
  <si>
    <t>PLANT 3</t>
  </si>
  <si>
    <t>This plant had an increase in production for 2005 and we are using the emission calculator fro the Ontario Hot Mix Producers.</t>
  </si>
  <si>
    <t>Boundary Lake South Sour Gas Plant 01-14-085-13W6</t>
  </si>
  <si>
    <t>Decrease in acid gas flaring in 2016.</t>
  </si>
  <si>
    <t>Golden Band Resources Inc.</t>
  </si>
  <si>
    <t>Jolu Mill Site</t>
  </si>
  <si>
    <t>No significant change in 2012.</t>
  </si>
  <si>
    <t>SLAVE LAKE COMPRESSOR 09-15-084-14W5</t>
  </si>
  <si>
    <t>not comparable since no data reported last year</t>
  </si>
  <si>
    <t>11-14-096-05W6</t>
  </si>
  <si>
    <t>Increased run-time of compressor.</t>
  </si>
  <si>
    <t>Yellow Head Power Station</t>
  </si>
  <si>
    <t>All PM assumed to be below 2.5 micrometers for natural gas units - see US EPA AP-42 Table 1.4-2. Reporting same emission number for PM10 and PMtotal as reported for PM2.5
increased generation in 2012</t>
  </si>
  <si>
    <t>UNIVAR CANADA LIMITED</t>
  </si>
  <si>
    <t>VALLEYFIELD</t>
  </si>
  <si>
    <t>Waste as a result of our product handling processes is to be minimized through engineering controls, procedures and training.  Our goal is to produce no waste.  A Registered Hazardous Waste Contractor disposes of all disposal products taken from Univar fa</t>
  </si>
  <si>
    <t>Lake Shore Gold</t>
  </si>
  <si>
    <t>Nature of other releases to land</t>
  </si>
  <si>
    <t>Nature des autres rejets au sol</t>
  </si>
  <si>
    <t>Tailings seepage.</t>
  </si>
  <si>
    <t>Exall Energy Corporation</t>
  </si>
  <si>
    <t>Mitsue 16-31-73-5W5</t>
  </si>
  <si>
    <t>There was an increase in operating hours for the gas-driven compressor on site, which increased the CO to above the reporting threshold.</t>
  </si>
  <si>
    <t>Brady Road Resource Management Facility</t>
  </si>
  <si>
    <t>Natural gas and biogas volumes are variable from one year to the next</t>
  </si>
  <si>
    <t>BlackPearl Resources Inc.</t>
  </si>
  <si>
    <t>6-18-72-7W5M Battery</t>
  </si>
  <si>
    <t>There was a decrease in flared volumes at the site, which resulted in a decrease in calculated emissions.</t>
  </si>
  <si>
    <t>Placid Comp Station 11-15</t>
  </si>
  <si>
    <t>Equipment loading and runtime unchanged from previous year.</t>
  </si>
  <si>
    <t>Surrey Special Waste Short Term Storage Facility</t>
  </si>
  <si>
    <t>1634-04-4</t>
  </si>
  <si>
    <t>Methyl tert-butyl ether</t>
  </si>
  <si>
    <t>Oxyde de tert-butyle et de méthyle</t>
  </si>
  <si>
    <t>Change in throughput volume</t>
  </si>
  <si>
    <t>Pacific Inland Resources</t>
  </si>
  <si>
    <t>Smithers Sawmill</t>
  </si>
  <si>
    <t xml:space="preserve">Decrease due to stack test variability. </t>
  </si>
  <si>
    <t>Algar</t>
  </si>
  <si>
    <t>Decrease in stationary combustion</t>
  </si>
  <si>
    <t>Lakeland Mills Ltd.</t>
  </si>
  <si>
    <t>none</t>
  </si>
  <si>
    <t>Roberts Company Canada Ltd.</t>
  </si>
  <si>
    <t xml:space="preserve">NO ANTICIPATED DISPOSAL.  REWORK.  UNANTICIPATED DISPOSAL MAY OCUR, NOT ASì
NEAT SUBSTANCE BUT AS COMPONENT OF UNKNOWN BLEND._x000D_
</t>
  </si>
  <si>
    <t>MEYER SOUTH 12-02</t>
  </si>
  <si>
    <t>Nox emissions decreased due to decreased fuel consumption</t>
  </si>
  <si>
    <t>The PM, PM2.5 and PM10 from the Road Dust were updated based on the 2015 revised facility information.</t>
  </si>
  <si>
    <t>POLYONE CANADA</t>
  </si>
  <si>
    <t>NIAGARA COMPOUND</t>
  </si>
  <si>
    <t>No changes. This plant ceased operations in Q1 of 2009.</t>
  </si>
  <si>
    <t>Gulf Midstream Services Ltd.</t>
  </si>
  <si>
    <t xml:space="preserve">No NPRI filters incinerated in 1999._x000D_
</t>
  </si>
  <si>
    <t>Saputo Foods Ltd.</t>
  </si>
  <si>
    <t>Abbotsford Plant</t>
  </si>
  <si>
    <t>The type of cleaning products used as well as their composition and quantity may vary from year to year depending on our production and sanitation requirements.</t>
  </si>
  <si>
    <t>TEINE Dodsland PRP 5-35</t>
  </si>
  <si>
    <t xml:space="preserve">Reason why substance was added to the report </t>
  </si>
  <si>
    <t xml:space="preserve">Raison pour laquelle la substance a été ajoutée au rapport </t>
  </si>
  <si>
    <t>Previously not reportable.</t>
  </si>
  <si>
    <t>LAFARGE CANADA INC.</t>
  </si>
  <si>
    <t>EXSHAW PLANT</t>
  </si>
  <si>
    <t>Different amounts of Waste(Cement Kiln Dust-CKD) Disposal &amp; Recycling in Cement.  Main Difference is new Waste(Cement Kiln Dust-CKD)Analysis, Disposals and Recyling was not reported in previous years as this was an over sight.</t>
  </si>
  <si>
    <t>DECO AUTOMOTIVE</t>
  </si>
  <si>
    <t>DECO AUTOMOTIVE - BRAMPTON</t>
  </si>
  <si>
    <t>MIG welding wire usage decreased 91 tonnes in 2006 vs. 162 tonnes in 2005.</t>
  </si>
  <si>
    <t>Atlas Roofing Corp.</t>
  </si>
  <si>
    <t>Atlas Roofing Corporation</t>
  </si>
  <si>
    <t>Urethane and other foam product (except polystyrene) manufacturing</t>
  </si>
  <si>
    <t>No disposal of this substance.</t>
  </si>
  <si>
    <t>Increased concentration in tailings disposals in 2023.</t>
  </si>
  <si>
    <t>COMMERCIAL ALCOHOLS INC.</t>
  </si>
  <si>
    <t xml:space="preserve">Reduced ammonia consumption as a result of improved operating efficiencies._x000D_
</t>
  </si>
  <si>
    <t>We use Mass Balance methaod.</t>
  </si>
  <si>
    <t>Rain Carbon Canada Inc.</t>
  </si>
  <si>
    <t>Refined emission estimation methodology</t>
  </si>
  <si>
    <t>Horizon Plastics International</t>
  </si>
  <si>
    <t>HORIZON PLASTICS INTERNATIONAL</t>
  </si>
  <si>
    <t>As a percentage of total waste disposition.</t>
  </si>
  <si>
    <t>INOAC Exterior Systems Inc.</t>
  </si>
  <si>
    <t>Motor vehicle plastic parts manufacturing</t>
  </si>
  <si>
    <t>Change in methodologies in 2023.</t>
  </si>
  <si>
    <t>WATERTON COMPLEX</t>
  </si>
  <si>
    <t>Progress Gas Plant</t>
  </si>
  <si>
    <t xml:space="preserve">Equipment operational information (load factors and utilization)was updated for 2017 which resulted in the change in the stack VOC speciation profile for Part 1 substances
</t>
  </si>
  <si>
    <t>ABITIBI CONSOLIDATED COMPANY OF CANADA</t>
  </si>
  <si>
    <t>IROQUOIS FALLS DIVISION</t>
  </si>
  <si>
    <t xml:space="preserve">The amount of releases have changed significantly because we no longer haul our sludge to our landfill site, we now haul it to Kinross Gold for soil reclamation_x000D_
</t>
  </si>
  <si>
    <t>Talmolder Inc.</t>
  </si>
  <si>
    <t>TALMOLDER INC.</t>
  </si>
  <si>
    <t>N/A Substance reacts to produce finished goods</t>
  </si>
  <si>
    <t>Rush Lake Thermal Pilot 12-03-048-21W3</t>
  </si>
  <si>
    <t>Updated produced water analysis was acquired.</t>
  </si>
  <si>
    <t>Dunvegan Sour Gas Plant</t>
  </si>
  <si>
    <t>Increase attributed to Glycol Dehydrator.</t>
  </si>
  <si>
    <t>Redwater Multi Well Battery 15-21-055-19W4</t>
  </si>
  <si>
    <t>Change in flaring volume</t>
  </si>
  <si>
    <t>Syncrude Canada Ltd</t>
  </si>
  <si>
    <t>Increase was due to increased speciation data availability with stack height changing from &gt;50 M to &gt;25M for the 2022 reporting cycle.</t>
  </si>
  <si>
    <t>STATION 1206 - DEUX RIVIERES</t>
  </si>
  <si>
    <t>There has been a change in the fuel consumption at this facility. Also, there has been a change in the calculations methodology.</t>
  </si>
  <si>
    <t>NORSKE - SKOG CANADA LIMITED</t>
  </si>
  <si>
    <t>PORT ALBERNI DIVISION</t>
  </si>
  <si>
    <t>Change in measured value possibly due to less boiler ash being generated.</t>
  </si>
  <si>
    <t>PEMBINA AREA 2 10-15-047-07W5</t>
  </si>
  <si>
    <t>PM emissions increased due to increased flaring</t>
  </si>
  <si>
    <t>CANCARB LTD.</t>
  </si>
  <si>
    <t>do not recycle</t>
  </si>
  <si>
    <t>Lesser demolition of obsolete piping insulation</t>
  </si>
  <si>
    <t>Increase in wood ash discharges to landfill.</t>
  </si>
  <si>
    <t>HINTON PULP, A DIVISION OF WEST FRASER MILLS LTD.</t>
  </si>
  <si>
    <t>Lower Production</t>
  </si>
  <si>
    <t>Boundary Dam Power Station</t>
  </si>
  <si>
    <t>Less coal consumption.</t>
  </si>
  <si>
    <t>Corbett Creek WPCP</t>
  </si>
  <si>
    <t>Emissions from natural gas boiler were calculated using annual natural gas consumption</t>
  </si>
  <si>
    <t xml:space="preserve">A small amount of material containing NPRI compounds is typically sent to off-site disposal and recycling facilities, however, the amount varies from year to year._x000D_
</t>
  </si>
  <si>
    <t>New wastewater treatment plant residuals characterization data was available for 2016 reporting, increased concentration in residuals and increased residuals disposal in 2016</t>
  </si>
  <si>
    <t>KERROBERT TERMINAL</t>
  </si>
  <si>
    <t>A certain amount of material containing NPRI compounds is sent to off-site disposal and recycling facilities, however, the amount varies from year to year depending on activities at the plant.</t>
  </si>
  <si>
    <t>INGA 06-19</t>
  </si>
  <si>
    <t>PM increased due to increased flaring</t>
  </si>
  <si>
    <t>nouvelle campagne d'échantillonnage avec résultats plus élevés qu'`à l'habitude</t>
  </si>
  <si>
    <t>LONGLAC WOOD INDUSTRIES</t>
  </si>
  <si>
    <t>LONGLAC WOOD INDUSTRIES INC.</t>
  </si>
  <si>
    <t>Facility Shutdown</t>
  </si>
  <si>
    <t>Booster Station 19 - Cabin Lake</t>
  </si>
  <si>
    <t>changeout for batteries is intermittent</t>
  </si>
  <si>
    <t>no waste recycling during 2018.</t>
  </si>
  <si>
    <t>DEMIX AGRÉGATS, DIVISION DE HOLCIM (CANADA) INC.</t>
  </si>
  <si>
    <t>CARRIÈRE DE LAVAL</t>
  </si>
  <si>
    <t>Modification du procédé</t>
  </si>
  <si>
    <t>Switch from gasoline to natural gasoline as a denaturant has eliminated the use of cyclohexane.</t>
  </si>
  <si>
    <t>Highway Gas Plant</t>
  </si>
  <si>
    <t>Change in fuel allocation methodology</t>
  </si>
  <si>
    <t>PRINCESS COMP STN</t>
  </si>
  <si>
    <t>Decrease in fuel combustion.</t>
  </si>
  <si>
    <t>Astra Viewfield 11-14-07-08 w2m</t>
  </si>
  <si>
    <t>Change in methodology - Assuming 75% VOC from the vented gas volume based on Valko-McCain correlation.</t>
  </si>
  <si>
    <t>CASCADES CANADA INC.</t>
  </si>
  <si>
    <t>CASCADES EAST ANGUS</t>
  </si>
  <si>
    <t>Diminution de la consommation de mazout lourd de 81% remplacé par la gaz naturel (+51%) et la biomasse (+5%).</t>
  </si>
  <si>
    <t>Keele Street Terminal</t>
  </si>
  <si>
    <t>Changes in quantity of the off-site waste disposal</t>
  </si>
  <si>
    <t>Methanex Corporation</t>
  </si>
  <si>
    <t>Medicine Hat Plant</t>
  </si>
  <si>
    <t xml:space="preserve">Methanex Medicine Hat plant was mothballed beginning in July 2001 for an indefinite period._x000D_
</t>
  </si>
  <si>
    <t>DOEPKER INDUSTRIES LTD.</t>
  </si>
  <si>
    <t>HEAD OFFICE / MAIN PLANT</t>
  </si>
  <si>
    <t>Truck Trailer Manufacturing</t>
  </si>
  <si>
    <t>Increased level of blasting in Annaheim when Humboldt Repair bays moved to Annaheim - Humboldt closed down</t>
  </si>
  <si>
    <t>PLAIN LAKE GAS BATTERY 15-36</t>
  </si>
  <si>
    <t>change in production levels, change in existing equipment information.</t>
  </si>
  <si>
    <t>Brazeau Comp Stn 06-29</t>
  </si>
  <si>
    <t>In 2020, fuel consumption was estimated using engineering calculations. The 2020 estimated fuel was 585 e3m3. In 2021, fuel consumption was taken from metered volumes reported in Petrinex. The 2021 measured fuel consumption was 1,187.1 e3m3. Combustion emissions increased as a result of efforts to report more accurately.</t>
  </si>
  <si>
    <t>Dow Chemical Canada ULC</t>
  </si>
  <si>
    <t>Prentiss Manufacturing Facility</t>
  </si>
  <si>
    <t xml:space="preserve">Variable waste generation.  _x000D_
</t>
  </si>
  <si>
    <t>Changes in production levels</t>
  </si>
  <si>
    <t>Advantage Oil &amp; Gas Ltd.</t>
  </si>
  <si>
    <t>AUB-WEST COMP STN 08-32</t>
  </si>
  <si>
    <t>Replacement of on-site engines with newer, more efficient model.</t>
  </si>
  <si>
    <t>Site de St-Hyacinthe</t>
  </si>
  <si>
    <t>Remediation services</t>
  </si>
  <si>
    <t>Services d'assainissement</t>
  </si>
  <si>
    <t>Par rapport à 2015, une plus grande proportion d'huile usée a été transférée hors-site pour recyclage en 2016.</t>
  </si>
  <si>
    <t>Walker Environmental Group Inc. - Landfill Sites</t>
  </si>
  <si>
    <t>Walker Environmental Group Inc. Landfill Sites</t>
  </si>
  <si>
    <t>The increase in total VOC emissions can be attributed to an increase in waste accepted at the south landfills, resulting in a 21% increase in VOC composition in LFG generated.</t>
  </si>
  <si>
    <t>Normal process and testing variation</t>
  </si>
  <si>
    <t>CANADIAN SUPERIOR ENERGY</t>
  </si>
  <si>
    <t>10-12-29-20W4M</t>
  </si>
  <si>
    <t>There were no change in operating hours or conditions, therefore there was no change in emissions levels.</t>
  </si>
  <si>
    <t>CEPSA CHIMIE MONTRÉAL, S.E.C.</t>
  </si>
  <si>
    <t>Arrêt d'un épurateur (CATOX HP) en octobre, novembre et décembre afin d'effectuer une réparation.</t>
  </si>
  <si>
    <t>EVONIK ROHMAX CANADA INC</t>
  </si>
  <si>
    <t>MORRISBURG PLANT</t>
  </si>
  <si>
    <t>Change in product mix led to increased toluene usage for cleaning purposes.</t>
  </si>
  <si>
    <t>Knowlton Development Corp.</t>
  </si>
  <si>
    <t>Les Emballages Knowlton Inc. (LEKinc)</t>
  </si>
  <si>
    <t>aucune quantite recycler</t>
  </si>
  <si>
    <t>Enmax Green Power Inc.</t>
  </si>
  <si>
    <t>Shepard Energy Centre</t>
  </si>
  <si>
    <t>Reduction in NH3 use</t>
  </si>
  <si>
    <t>STEPHENVILLE DIVISION</t>
  </si>
  <si>
    <t>The Abitibi Consolidated Company of Canada - Stephenville Division is permanently closed.  Operation ceased on October 21st, 2005.  All boilers have ceased operation in 2006.  The Package Boiler was utilized for a total of 81 days (to date) in 2006.</t>
  </si>
  <si>
    <t>ROLLS-ROYCE CANADA</t>
  </si>
  <si>
    <t>Cheminées des bancs d'essais des moteurs d'aéronefs</t>
  </si>
  <si>
    <t>Cargill Case Ready</t>
  </si>
  <si>
    <t>Cargill Case Ready Calgary</t>
  </si>
  <si>
    <t>Previous ammonia contractor estimated the total ammonia in system to be below 10 tonnes for the entire facility. New ammonia contractor calculated the total ammonia in system to be greater than 10 tonnes total.</t>
  </si>
  <si>
    <t>USINE DE NEW RICHMOND</t>
  </si>
  <si>
    <t>fermetude de l'usine</t>
  </si>
  <si>
    <t>East River Mill</t>
  </si>
  <si>
    <t>Particle board and fibreboard mills</t>
  </si>
  <si>
    <t xml:space="preserve">2014 NCASI NPRI Handbook 
Environment Canada Road Dust Calculator </t>
  </si>
  <si>
    <t>Hi-Pro Feeds</t>
  </si>
  <si>
    <t>Hi-Pro Feeds Ste. Anne</t>
  </si>
  <si>
    <t>new ownership</t>
  </si>
  <si>
    <t>Tuyaux Wolverine (Canada) inc.</t>
  </si>
  <si>
    <t>Usine de Montréal-Est</t>
  </si>
  <si>
    <t xml:space="preserve">Meilleur contrôle des méthodes de fabrication réduisant les rejets de production_x000D_
</t>
  </si>
  <si>
    <t xml:space="preserve">Increased material to flare in 2019 compared to 2018 due to an unplanned event at one unit which caused a process upset.
</t>
  </si>
  <si>
    <t>Oil Recovery Division</t>
  </si>
  <si>
    <t>Annual stack testing results</t>
  </si>
  <si>
    <t>Déclaration aux fins de comparaison</t>
  </si>
  <si>
    <t xml:space="preserve">Underground injection of produced water reported as offsite injection in 2012
</t>
  </si>
  <si>
    <t>General Dynamics OTS- Canada Valleyfield Inc.</t>
  </si>
  <si>
    <t>General Dynamic OTS-Canada Valleyfield Inc.</t>
  </si>
  <si>
    <t>55-63-0</t>
  </si>
  <si>
    <t>Nitroglycerin</t>
  </si>
  <si>
    <t>Nitroglycérine</t>
  </si>
  <si>
    <t>Le réel rejet à tous les médias a été de 1.474 tonne. Le formulaire ne permet pas d'inclure ce nombre.</t>
  </si>
  <si>
    <t>Olymel S.E.C. Red Deer</t>
  </si>
  <si>
    <t>Animal (except poultry) slaughtering</t>
  </si>
  <si>
    <t>Maintenance accru sur le système</t>
  </si>
  <si>
    <t>Changes in tailings volume and concentration</t>
  </si>
  <si>
    <t>City of Charlottetown</t>
  </si>
  <si>
    <t>Charlottetown Pollution Control Plant</t>
  </si>
  <si>
    <t>natural variation</t>
  </si>
  <si>
    <t>Ellen Pit</t>
  </si>
  <si>
    <t>Increased Operations and production of ore in 2014 versus 2013. Increase in traffic on unpaved roads.</t>
  </si>
  <si>
    <t>Services Safety-Kleen (Mercier) Ltée</t>
  </si>
  <si>
    <t>Les Services Safety-Kleen (Mercier) Ltée</t>
  </si>
  <si>
    <t xml:space="preserve">Une portion non incinérable des résidus reçus, c.à-d. les matières résiduelles solides des fonds de camions, est transférée vers un autre site pour être éliminée._x000D_
</t>
  </si>
  <si>
    <t>FNX MINING COMPANY INC.</t>
  </si>
  <si>
    <t>PODOLSKY MINE</t>
  </si>
  <si>
    <t>Metals in ore are considered MPO</t>
  </si>
  <si>
    <t>WASTE MANAGEMENT OF CANADA</t>
  </si>
  <si>
    <t>WEST EDMONTON LANDFILL</t>
  </si>
  <si>
    <t>Deterioration of the on-site roadways has occurred, resulting in the reclassification of some roads from paved to unpaved.  This reclassification has increased the annual vehicle kilometers travelled on unpaved roads to be greater than the 10,000 VKT repo</t>
  </si>
  <si>
    <t>Other Petroleum and Coal Product Manufacturing</t>
  </si>
  <si>
    <t>Spent catalyst was removed from process and sent for disposal. Disposal amounts are not consistent, but rather batch removals when the catalyst reaches the end of life.</t>
  </si>
  <si>
    <t xml:space="preserve">Due to the nature of a new treatment plant we had a number of plant upsets in 2016. With Provincial Government approval we released more waste water into the river which was higher in Cadmium then then in 2015.  Releases in 2017 are more in line with the 2015 releases. </t>
  </si>
  <si>
    <t>No product waste in 2019.</t>
  </si>
  <si>
    <t>ARSHINOFF &amp; COMPANY LIMITED</t>
  </si>
  <si>
    <t>ARSHINOFF &amp;</t>
  </si>
  <si>
    <t>Previous years' reporting had not taken into account the 50% reduction allowed for by using a water curtain on the spray booth.</t>
  </si>
  <si>
    <t>S.A. Armstrong Ltd.</t>
  </si>
  <si>
    <t>S.A. Armstrong</t>
  </si>
  <si>
    <t>Pump and compressor manufacturing</t>
  </si>
  <si>
    <t>Fabrication de pompes et de compresseurs</t>
  </si>
  <si>
    <t>Decrease in recycling of bronze.</t>
  </si>
  <si>
    <t>STERLING ROAD FACTORY</t>
  </si>
  <si>
    <t>Confectionery manufacturing from purchased chocolate</t>
  </si>
  <si>
    <t>Fabrication de confiseries à partir de chocolat acheté</t>
  </si>
  <si>
    <t>Decommissioned equipment provided reduction.</t>
  </si>
  <si>
    <t>WINNIPEG</t>
  </si>
  <si>
    <t>Univar Safety, Health &amp; Environment policy goals strive for zero releases.    The highest priority in the conduct of our business is safety and environmental protection. Univar Canada Ltd. policy on Safety, Health and Environment outlines our commitment t</t>
  </si>
  <si>
    <t>SCIERIE CLAUDE FORGET INC.</t>
  </si>
  <si>
    <t>CHAUDIÈRE INUTILISÉE DEPUIS LE DÉBUT JUIN 2004.  DÉMÉNAGEMENT DE NOS INSTALLATIONS.</t>
  </si>
  <si>
    <t>Certainteed Corp Insulation Group</t>
  </si>
  <si>
    <t>CertainTeed Insulation Canada - Redcliff</t>
  </si>
  <si>
    <t>Used as an additive in a trial process</t>
  </si>
  <si>
    <t xml:space="preserve">No recycling occurred. All disposal as per water license.
</t>
  </si>
  <si>
    <t>Canadian General-Tower Ltd.</t>
  </si>
  <si>
    <t>CANADIAN GENERAL-TOWER LTD.</t>
  </si>
  <si>
    <t>Recycling in 2010.</t>
  </si>
  <si>
    <t>MARENGO NORTH COMPRESSOR STATION</t>
  </si>
  <si>
    <t>Natural Gas Distribution</t>
  </si>
  <si>
    <t>Different operating hours.</t>
  </si>
  <si>
    <t>Rio Tinto plc</t>
  </si>
  <si>
    <t>Diavik Diamond Mines (2012) Inc.</t>
  </si>
  <si>
    <t>Reasons for excluding quantities in tailings or waste rock</t>
  </si>
  <si>
    <t>Raisons pour exclure les quantités dans les résidus miniers ou dans les stériles</t>
  </si>
  <si>
    <t>Waste rock quantities are not reported. Calculations show that waste rock generated at Diavik is classified as inert and therefore not reportable to NPRI.</t>
  </si>
  <si>
    <t>Pouce Coupe South Sour Gas Plant</t>
  </si>
  <si>
    <t>Increase in fuel volumes for 2014</t>
  </si>
  <si>
    <t>PAPIERS FRASER</t>
  </si>
  <si>
    <t>PAPIERS FRASER - PÂTES THURSO</t>
  </si>
  <si>
    <t xml:space="preserve">La valeur fournie en 2004 provenait d'une mesure directe. La valeur déclarée en 2005 provient aussi d'une mesure directe. Il est possible que les conditions d'opération des chaudières au moment de l'échantillonnage soient la cause des variations dans les </t>
  </si>
  <si>
    <t>CAMTAC MANUFACTURING</t>
  </si>
  <si>
    <t>no on-site releases.</t>
  </si>
  <si>
    <t>Not recycled</t>
  </si>
  <si>
    <t>EDSON W. 01-24-052-20W5</t>
  </si>
  <si>
    <t>Emissions are higher in 2005 due to increased compressor loading and fuel consumption.</t>
  </si>
  <si>
    <t>Irving Pulp &amp; Paper Ltd.</t>
  </si>
  <si>
    <t>Irving Pulp &amp; Paper</t>
  </si>
  <si>
    <t>A correction was made to the calculation used to determine total Toluene releases (resulted in 76% decrease); also corrected emission factor used for wood waste boiler.</t>
  </si>
  <si>
    <t>Seal	03-16-082-18W5</t>
  </si>
  <si>
    <t>Case 3 facility as per new reporting requirements.</t>
  </si>
  <si>
    <t>Replaced nitric acid in pre-plate cleaning process with an alternate chemistry.</t>
  </si>
  <si>
    <t>Pilkington Canada Ltd.</t>
  </si>
  <si>
    <t>Pilkington Glass of Canada Ltd.</t>
  </si>
  <si>
    <t>Glass product manufacturing from purchased glass</t>
  </si>
  <si>
    <t>The substance is not recycled</t>
  </si>
  <si>
    <t>The mercury sent for recycling resulted from a major laboratory clean-up at the Royal Military College of Canada.</t>
  </si>
  <si>
    <t>CAMI Assembly Plant</t>
  </si>
  <si>
    <t>Production Process Variation</t>
  </si>
  <si>
    <t>Grab sample analysis</t>
  </si>
  <si>
    <t>GILBY 10-19 BATTERY</t>
  </si>
  <si>
    <t>This is an oil &amp; gas facility operated continuously in 2006. Thus, there is no significant change.</t>
  </si>
  <si>
    <t>Arctic Canadian Diamond Company Ltd.</t>
  </si>
  <si>
    <t>Ekati Diamond Mine</t>
  </si>
  <si>
    <t>Total PAH was below the threshold</t>
  </si>
  <si>
    <t xml:space="preserve">Waste volumes received at the facility from off-site generators vary from year to year. 	</t>
  </si>
  <si>
    <t>WEST FRASER MILLS - QUESNEL SAWMILL</t>
  </si>
  <si>
    <t>Increase in wood dried in kiln and change in distribution of tree species processed.</t>
  </si>
  <si>
    <t>CAMOPLAST</t>
  </si>
  <si>
    <t>DIVISION ROSKI I</t>
  </si>
  <si>
    <t>Changement de procédé</t>
  </si>
  <si>
    <t>MARWOOD METAL FABRICATION</t>
  </si>
  <si>
    <t>PLANT 3 - 101 TOWNLINE RD.</t>
  </si>
  <si>
    <t>Auto Industry reduction in business and production</t>
  </si>
  <si>
    <t>CS No. N3, Sikanni Chief</t>
  </si>
  <si>
    <t>Less venting and fugitive calculation of compressors used actual compressor operating hours vs. full operation hours</t>
  </si>
  <si>
    <t>Camso Inc</t>
  </si>
  <si>
    <t>Camso Distribution Canada Inc</t>
  </si>
  <si>
    <t>All other machinery, equipment and supplies merchant wholesalers</t>
  </si>
  <si>
    <t>Grossistes-marchands de tous les autres machines, matériel et fournitures</t>
  </si>
  <si>
    <t>Ne s'applique, aucun rejet en élimination</t>
  </si>
  <si>
    <t>JOSEPHINE GAS PLANT</t>
  </si>
  <si>
    <t>Annual variability in emissions from stationary combustion equipment is expected and can result from changes in one, or any combination, of the following; pollution protection activities, production levels, equipment types or usages, or facility shutdowns</t>
  </si>
  <si>
    <t>Corporation Minière Inmet, Division Troilus</t>
  </si>
  <si>
    <t>Mine Troilus</t>
  </si>
  <si>
    <t xml:space="preserve">Sans qu'il y ait aucun contrôle spécifique les quantités rejetées dans l'environnement change car les concentrations sont très faible_x000D_
</t>
  </si>
  <si>
    <t>PORT HARDY TERMINAL</t>
  </si>
  <si>
    <t>Change in products throughputs</t>
  </si>
  <si>
    <t>Pas de recyclage</t>
  </si>
  <si>
    <t>Canadian National Steel Corporation</t>
  </si>
  <si>
    <t>Camrose Tubulars</t>
  </si>
  <si>
    <t>Also applied dust suppressant in 2015.</t>
  </si>
  <si>
    <t>Formet Industries</t>
  </si>
  <si>
    <t>FORMET INDUSTRIES</t>
  </si>
  <si>
    <t>Increase in natural gas use and metal processed</t>
  </si>
  <si>
    <t>SNC LAVALIN PROFAC</t>
  </si>
  <si>
    <t>RCMP D DIVISION</t>
  </si>
  <si>
    <t>Facilities Support Services</t>
  </si>
  <si>
    <t>Services de soutien d'installations</t>
  </si>
  <si>
    <t>Not disposed.</t>
  </si>
  <si>
    <t>No significant change</t>
  </si>
  <si>
    <t>London Branch</t>
  </si>
  <si>
    <t>Facility is a waste management operation.  Waste quantities &amp; composition received on site vary from year to year based on amount of waste material received from waste generators</t>
  </si>
  <si>
    <t>City of Sault Ste. Marie</t>
  </si>
  <si>
    <t>East Wastewater Treatment Plant</t>
  </si>
  <si>
    <t xml:space="preserve">Substance not disposed </t>
  </si>
  <si>
    <t>Bigstone Gas Battery 04-03</t>
  </si>
  <si>
    <t>Equipment operating details (i.e. load factors and utilization) and emission factors used in the calculation of emission estimates remained unchanged</t>
  </si>
  <si>
    <t>SABIC INNOVATIVE PLASTICS</t>
  </si>
  <si>
    <t>Phenol is a component waste in our vent oil.  This quantity varies from last year only due to a slightly different mix of product and also depends on the timing and amount of product shipped.  Plant total volume was almost exactly the same as 2005.</t>
  </si>
  <si>
    <t>Co-Ex-Tec Industries (South Plant)</t>
  </si>
  <si>
    <t>Below Part 1A reportable threshold.</t>
  </si>
  <si>
    <t>FORT SASKATCHEWAN PLANT</t>
  </si>
  <si>
    <t>Change due to increased input gas volume</t>
  </si>
  <si>
    <t>Brechin Quarry</t>
  </si>
  <si>
    <t>The Facility slightly increased production in 2012</t>
  </si>
  <si>
    <t>Erskine Oil Battery 05-07-039-20W4</t>
  </si>
  <si>
    <t>Increase in flaring.</t>
  </si>
  <si>
    <t>SAPA CANADA, INC.</t>
  </si>
  <si>
    <t>SAPA CANADA, INC. - MISSISSAUGA</t>
  </si>
  <si>
    <t>We are recycling 100% of our solvent at fielding chemical.</t>
  </si>
  <si>
    <t>COMMANDITÉ STADACONA INC. ( SITE QUEBEC )</t>
  </si>
  <si>
    <t>USINE DE QUÉBEC</t>
  </si>
  <si>
    <t>Les facteurs d'émissions proviennent de NCASI pour l'air</t>
  </si>
  <si>
    <t>Removed one haul truck in process.  Asphalt Plant not operational.</t>
  </si>
  <si>
    <t>REGIONAL MUNICPALITY OF NIAGARA</t>
  </si>
  <si>
    <t>NIAGARA FALLS POLLUTION CONTROL PLANT</t>
  </si>
  <si>
    <t xml:space="preserve">TEMPORARY TO GARNER ROAD LAGOONS FOR STORAGE _x000D_
VARIABLE QUANTITY AND QUALITY OF SEWAGE_x000D_
</t>
  </si>
  <si>
    <t>Covia Canada Ltd.</t>
  </si>
  <si>
    <t>Nepheline Syenite Operations</t>
  </si>
  <si>
    <t>Shale, clay and refractory mineral mining and quarrying</t>
  </si>
  <si>
    <t>Extraction de schiste, d'argile et de minerais réfractaires</t>
  </si>
  <si>
    <t>no recycling</t>
  </si>
  <si>
    <t>MEMORIAL UNIVERSITY OF NEWFOUNDLAND</t>
  </si>
  <si>
    <t>MAIN CAMPUS SITE, ST. JOHN'S</t>
  </si>
  <si>
    <t>Universities</t>
  </si>
  <si>
    <t>Universités</t>
  </si>
  <si>
    <t>Less fuel used overall and % of #2 fuel used at Utilities Annex increased from 15.7% to 25.5% with #6 fuel use reduced accordingly.</t>
  </si>
  <si>
    <t>Kinder Morgan Canada Inc.</t>
  </si>
  <si>
    <t>Hardisty Terminal</t>
  </si>
  <si>
    <t>no waste recycling in 2011</t>
  </si>
  <si>
    <t xml:space="preserve">Changes in fuel usage / composition </t>
  </si>
  <si>
    <t>Substance is not recycled.</t>
  </si>
  <si>
    <t>CAROLINE COMPLEX</t>
  </si>
  <si>
    <t>Significantly lower sulphur throughput due to field decline resulting in lower H2S emissions.</t>
  </si>
  <si>
    <t>TRENTON GENERATING STATION</t>
  </si>
  <si>
    <t xml:space="preserve">This substance varies in year-over-year reporting reflecting the variations in the fuel mix and fuel source.  The substance is deposited in a well-managed ashfill._x000D_
</t>
  </si>
  <si>
    <t>Amélioration de la réduction des évènements lier au arrêt d'usine planifier.</t>
  </si>
  <si>
    <t xml:space="preserve">The estimated Zn quantity "transferred is directly proportional to the quantity of digested sludge the WWTP pumped to the Shepard Sludge Lagoons and the Zn concentration in the sludge.
The increase from previous year is due to the increased amount of digested sludge transferred to the Shepard Lagoons. (from 2010s 15,626 dry tonnes @ 797.8 mg Zn /kg of dry solids to 18,155 dry tonnes @ 909.4 mg Zn/kg of dry solids). Proportionately, the Zn contained in the liquid phase of the digested sludge also increased.
</t>
  </si>
  <si>
    <t>waste quantities &amp; composition received on site vary from year to year</t>
  </si>
  <si>
    <t>VILLE DE LONGUEUIL</t>
  </si>
  <si>
    <t>CENTRE D'ÉPURATION RIVE-SUD</t>
  </si>
  <si>
    <t>Facteurs d'émissions pour les 17 congénères non-disponible.  EQT Total en dioxines/furanes=0.0830g ET (facteur d'émission)</t>
  </si>
  <si>
    <t>SCARBOROUGH</t>
  </si>
  <si>
    <t>No comment</t>
  </si>
  <si>
    <t>Reduced emissions reflect the removal of some tanks from the site.</t>
  </si>
  <si>
    <t>Disposition hors-site de 382 tonnes d'eau de procédé contaminée au phénol - traitement des eaux chimique.</t>
  </si>
  <si>
    <t>KAYBOB NORTH 01-12</t>
  </si>
  <si>
    <t>In general, emissions are lower due to decreased fuel consumption. Emission profiles are not proportional to fuel decrease because equipment was reallocated in 2005 to match reported fuel values.</t>
  </si>
  <si>
    <t>Omnichem inc.</t>
  </si>
  <si>
    <t>Siège social</t>
  </si>
  <si>
    <t>aucun</t>
  </si>
  <si>
    <t>Japan Canada Oil Sands Limited</t>
  </si>
  <si>
    <t>Hangingstone Expansion Project</t>
  </si>
  <si>
    <t>None recycled at site</t>
  </si>
  <si>
    <t>WEST FIREWEED</t>
  </si>
  <si>
    <t>Particulate matter emissions increased due to increased flaring.</t>
  </si>
  <si>
    <t>All other specialty trade contractors</t>
  </si>
  <si>
    <t>Tous les autres entrepreneurs spécialisés</t>
  </si>
  <si>
    <t>changes in production and paint use and type year to year</t>
  </si>
  <si>
    <t>Bethany Pit</t>
  </si>
  <si>
    <t>Increased efficiency of fugitive dust control</t>
  </si>
  <si>
    <t>Greater Vancouver Regional District</t>
  </si>
  <si>
    <t>Lower influent and effluent concentrations and lower SSO and CSO volume in 2011</t>
  </si>
  <si>
    <t>Marwood Ltd.</t>
  </si>
  <si>
    <t>MARWOOD TRACYVILLE</t>
  </si>
  <si>
    <t>due to timing, annual quantity is down.</t>
  </si>
  <si>
    <t>IRVING PULP &amp; PAPER</t>
  </si>
  <si>
    <t>IRVING TISSUE SAINT JOHN</t>
  </si>
  <si>
    <t>Updated to 2006 NCASI emission factors.  Lower factor for recovery boiler, wood waste boiler and ash.  Improvement to method used to calculate amount of bark burned in Woodwaste Boiler.</t>
  </si>
  <si>
    <t>Nexcycle Industries Ltd</t>
  </si>
  <si>
    <t>Nexcycle Industries Ltd.</t>
  </si>
  <si>
    <t>Other recyclable material merchant wholesalers</t>
  </si>
  <si>
    <t>Grossistes-marchands d'autres matières recyclables</t>
  </si>
  <si>
    <t xml:space="preserve">Vehicle travel on unpaved roads exceeded 10,000 VKT in 2019 and therefore road dust releases were included </t>
  </si>
  <si>
    <t>Hymopack Ltd.</t>
  </si>
  <si>
    <t>Plastic bag and pouch manufacturing</t>
  </si>
  <si>
    <t>Fabrication de sacs et de sachets en plastique</t>
  </si>
  <si>
    <t xml:space="preserve">Substance not recycled. </t>
  </si>
  <si>
    <t>New Brunswick Power Corporation</t>
  </si>
  <si>
    <t>Belledune Generating Station</t>
  </si>
  <si>
    <t xml:space="preserve">COVID-19 response and recovery aspects resulted in a reduced demand for electricity in New Brunswick during 2020. Operational requirements, market conditions and price influenced when fossil unit operation was required during the year. _x000D_
_x000D_
Gross generation for NB Powers coal and petroleum coke-fired Belledune Generating Station decreased 36.9 percent from 2.9151 TWHr in 2019 to 1.8397 TWHr in 2020 as a result of a lower capacity factor for the station._x000D_
</t>
  </si>
  <si>
    <t>Unity</t>
  </si>
  <si>
    <t>Increase in production lead to PM2.5 meeting the NPRI criteria for 2018.</t>
  </si>
  <si>
    <t>USINE DE TROIS-RIVIÈRES</t>
  </si>
  <si>
    <t>Erreurs de calculs dans le fichier pour la première déclaration de 2003</t>
  </si>
  <si>
    <t>Atlantic Wallboard LP</t>
  </si>
  <si>
    <t>Gypsum product manufacturing</t>
  </si>
  <si>
    <t>Fabrication de produits en gypse</t>
  </si>
  <si>
    <t>Below reporting threshold of 20tonnes</t>
  </si>
  <si>
    <t>Noranda Inc</t>
  </si>
  <si>
    <t>Fonderie Horne</t>
  </si>
  <si>
    <t>Le traitement des gaz de la cheminee de ventilation des trous de coulees du ì
reacteur noranda vers un depoussiereur a permis de reduire de facon ì
significative nos emissions de cuivre en 1998._x000D_
Du a des problemes techniques, des modifications substancie</t>
  </si>
  <si>
    <t>Changed due to a change in off-site transfer for recyclying.</t>
  </si>
  <si>
    <t>VICTORIA TERMINAL</t>
  </si>
  <si>
    <t xml:space="preserve">No waste generated._x000D_
</t>
  </si>
  <si>
    <t>Flow variations and process treatment adjustments/optimizations accounted for lowered_x000D_
effluent average concentrations over the year.</t>
  </si>
  <si>
    <t>Changes in production level</t>
  </si>
  <si>
    <t>NO PSD testing done in 2004 so used published emission factor</t>
  </si>
  <si>
    <t>More shipment of toxic organic solid wastes</t>
  </si>
  <si>
    <t>Less spent catalyst in 2018</t>
  </si>
  <si>
    <t>No biosolids disposed in 2016</t>
  </si>
  <si>
    <t>SWAN HILLS 02-23 BATTERY</t>
  </si>
  <si>
    <t>PM decreased due to decreasd flaring</t>
  </si>
  <si>
    <t>Consommation gaz naturel et de mazout lourd #6 moins élevée en 2011 comparativement à 2010</t>
  </si>
  <si>
    <t>Sandspit returned to typical standby operation in 2021</t>
  </si>
  <si>
    <t>City of Saskatoon</t>
  </si>
  <si>
    <t>WASTEWATER TREATMENT PLANT</t>
  </si>
  <si>
    <t xml:space="preserve">This compound is not detectable in the final plant effluent, but was calculated as outlined in the Guide._x000D_
</t>
  </si>
  <si>
    <t>Stolberg Comp Stn 15-1</t>
  </si>
  <si>
    <t>rich burn engine emission factor changed</t>
  </si>
  <si>
    <t xml:space="preserve">Change in wastes composition and method of waste disposal.
</t>
  </si>
  <si>
    <t>Tarxien Components Corporation</t>
  </si>
  <si>
    <t>Paint Facility</t>
  </si>
  <si>
    <t xml:space="preserve">Facility is trying to minimize on the usage of this material and wherever ì
possible eliminate._x000D_
</t>
  </si>
  <si>
    <t>Labatt Breweries of Canada LP</t>
  </si>
  <si>
    <t>Labatt Breweries Newfoundland</t>
  </si>
  <si>
    <t>Breweries</t>
  </si>
  <si>
    <t>Brasseries</t>
  </si>
  <si>
    <t>increase acid dosing for pH neutralization</t>
  </si>
  <si>
    <t>The decrease/increase from previous year is considered to be within normal variation for the biological treatment processes used. All discharges were within Provincial Approval limits.</t>
  </si>
  <si>
    <t>Modern Resources Inc.</t>
  </si>
  <si>
    <t>Elmworth 10-01-069-13 W6M</t>
  </si>
  <si>
    <t>new reporting requirements</t>
  </si>
  <si>
    <t>Rio Tinto Alcan Inc.</t>
  </si>
  <si>
    <t>The overall increase in PAHs disposed is due to waste pitch produced in 2018 wasn't shipped to a final receiving facility as operations was improving the logistics of transport and all of it was eventually shipped in 2019 instead.</t>
  </si>
  <si>
    <t>EOG RESOURCES CANADA</t>
  </si>
  <si>
    <t>GLEICHEN 13-26-21-23W4M</t>
  </si>
  <si>
    <t>removed compression, rebalance load on remaining compressors</t>
  </si>
  <si>
    <t>ATCO MIDSTREAM</t>
  </si>
  <si>
    <t>WATELET</t>
  </si>
  <si>
    <t>Increased run time hours in compressors</t>
  </si>
  <si>
    <t>York Energy Centre LP</t>
  </si>
  <si>
    <t>York Energy Centre</t>
  </si>
  <si>
    <t xml:space="preserve">9.58% increase in electrical generation of 2014 relative to 2013.	
</t>
  </si>
  <si>
    <t>No change in off-site recycles.</t>
  </si>
  <si>
    <t>Dextran Products Ltd.</t>
  </si>
  <si>
    <t xml:space="preserve">Company uses lesser quantity of the material due to better work practices training. </t>
  </si>
  <si>
    <t>UPM KYMMENE MIRAMICHI INC.</t>
  </si>
  <si>
    <t>GROUNDWOOD MILL DIVISION</t>
  </si>
  <si>
    <t>Mill Shutdown Aug 24/08.</t>
  </si>
  <si>
    <t>Results of Stack Sampling Program 2006</t>
  </si>
  <si>
    <t>Halo Exploration Ltd.</t>
  </si>
  <si>
    <t>HALO MCKINLEY 03-22-065-22W5 MULTIWELL BATTERY</t>
  </si>
  <si>
    <t xml:space="preserve">Storage tank emissions are sent to the flare. </t>
  </si>
  <si>
    <t>Variation in composition of recovered purge solvent</t>
  </si>
  <si>
    <t xml:space="preserve">Change in feedstock. </t>
  </si>
  <si>
    <t>West Doe Gas Plant</t>
  </si>
  <si>
    <t>Fugitive survey identified more leaks than previous year</t>
  </si>
  <si>
    <t>Change in composition of Ash.</t>
  </si>
  <si>
    <t>The Toluene emission of compressor increases around 16kg.</t>
  </si>
  <si>
    <t>Bradken Mineral Processing B.c. Ldt</t>
  </si>
  <si>
    <t>Bradken Mont-Joli</t>
  </si>
  <si>
    <t>L'alcool isopropylique est utilisé chez Bradken Mont-Joli comme faisant partie de certaines peintures et diluants</t>
  </si>
  <si>
    <t xml:space="preserve">Item is recycled and not released_x000D_
</t>
  </si>
  <si>
    <t>HYDRO-QUÉBEC</t>
  </si>
  <si>
    <t>CENTRALE DE CAP-AUX MEULES</t>
  </si>
  <si>
    <t>Le calcul des émissions se fait à partir d'un facteur d'émission obtenu lors d'essais en cheminée et de la production annuelle d'électricité.  Les émissions dans la section Autres rejets non ponctuels sont pour le chauffage d'un entrepôt annexe à la centr</t>
  </si>
  <si>
    <t>Milne Port Site</t>
  </si>
  <si>
    <t>Increased production to 4.1 Mt.</t>
  </si>
  <si>
    <t>Sika Canada</t>
  </si>
  <si>
    <t>Pointe-claire plant</t>
  </si>
  <si>
    <t xml:space="preserve">This substance used as a sub product and did not release any quantity Onsite.
</t>
  </si>
  <si>
    <t>Inland Technologies Canada Inc</t>
  </si>
  <si>
    <t>Halifax Recycling Facility</t>
  </si>
  <si>
    <t>Other airport operations</t>
  </si>
  <si>
    <t>Autres opérations aéroportuaires</t>
  </si>
  <si>
    <t>Releases due to nature of aircraft de and anti icing, fluid sheers off during taxing and takeoff and unable to capture for recycling when not in a deicing pad or gate.</t>
  </si>
  <si>
    <t>Gayford Comp Stn. 10-17</t>
  </si>
  <si>
    <t xml:space="preserve">Change in the number of active compressors on-site. </t>
  </si>
  <si>
    <t>Increase in  coolant was recycled  in 2020 as there was a major mine equipment maintenance  in 2020 to change-out coolant. Less  quantity was used in 2021.</t>
  </si>
  <si>
    <t>226-36-8</t>
  </si>
  <si>
    <t>Dibenz[a,h]acridine</t>
  </si>
  <si>
    <t>Increased diverting in 2018.</t>
  </si>
  <si>
    <t>191-30-0</t>
  </si>
  <si>
    <t>Dibenzo[a,l]pyrene</t>
  </si>
  <si>
    <t>Dibenzo[a,l]pyrène</t>
  </si>
  <si>
    <t>Les émissions de HAP dans latmosphère sont majoritairement influencées par la fabrication danodes crues mais sont aussi influencées par le nombre de démarrage de cuves.</t>
  </si>
  <si>
    <t>CARROT CREEK SWEET GAS PLANT</t>
  </si>
  <si>
    <t>Variance from previous year due to decrease in facility fuel usage.</t>
  </si>
  <si>
    <t xml:space="preserve">Approx. 400 T/yr of UF85 concentrate is consumed as a binder and hardening agent for the urea product.  The supplier MSDS states the formaldehyde concentration is between10% and 30%._x000D_
_x000D_
Formaldehyde is emitted to air as a trace by-product of combustion of natural gas.  </t>
  </si>
  <si>
    <t>Gordondale Blend Facility 08-10</t>
  </si>
  <si>
    <t xml:space="preserve">existing site, but historically zero emissions (no venting tanks). Added 3 tanks
</t>
  </si>
  <si>
    <t>Pouce Coupe Oil Battery 06-33-077-11W6</t>
  </si>
  <si>
    <t>Refined engine information from MSAPR reporting.</t>
  </si>
  <si>
    <t>Colortech Inc.</t>
  </si>
  <si>
    <t>COLORTECH INC. BRAMPTON</t>
  </si>
  <si>
    <t>Increase in plastics processing. Slight Increase in NG consumption</t>
  </si>
  <si>
    <t>UNIVAR CANADA LTD.</t>
  </si>
  <si>
    <t xml:space="preserve">A Registered Hazardous Waste Contractor disposes of all disposal products taken from Univar facilities._x000D_
</t>
  </si>
  <si>
    <t>Karve Energy Inc.</t>
  </si>
  <si>
    <t>Provost Veteran 09-15 Viking Sands Battery</t>
  </si>
  <si>
    <t xml:space="preserve">Non Routine Flaring year to year at this site results in variation of releases_x000D_
</t>
  </si>
  <si>
    <t>LES REVÊTEMENTS POLYVAL INC.</t>
  </si>
  <si>
    <t xml:space="preserve">SAME COMMENT AS FOR METHYL ISOBUTYL KETONE._x000D_
</t>
  </si>
  <si>
    <t>JD Irving</t>
  </si>
  <si>
    <t>More bark burned, increased effluent flows and increased concentration measured in effluent.</t>
  </si>
  <si>
    <t>Exceeds 10 tonnes of throughput at 1% concentration.</t>
  </si>
  <si>
    <t>Utilisation du NCASI handbook.</t>
  </si>
  <si>
    <t>Increased fuel use in 2020</t>
  </si>
  <si>
    <t>Imperial Metals Corporation</t>
  </si>
  <si>
    <t>Mount Polley Mine</t>
  </si>
  <si>
    <t>Contained in waste rock</t>
  </si>
  <si>
    <t>CANEXUS CHEMICALS CANADA LIMITED PARTNERSHIP</t>
  </si>
  <si>
    <t>CANEXUS CHEMICALS CANADA LIMITED PARTNERSHIP BEAUHARNOIS</t>
  </si>
  <si>
    <t>No recycling activites occur for this material</t>
  </si>
  <si>
    <t>Valleyview 12-10</t>
  </si>
  <si>
    <t xml:space="preserve">Change in methodology
</t>
  </si>
  <si>
    <t>Keephills Thermal Electric Power Generating Plant</t>
  </si>
  <si>
    <t xml:space="preserve">Keephills 3 (stack 2) was successfully commissioned on September 1, 2011 and added to the total substance amounts from then on.
Land - There was an increase in fly ash disposal quantities in 2011, as compared to amounts disposed in 2010
</t>
  </si>
  <si>
    <t>Updated fugitive survey for 2022</t>
  </si>
  <si>
    <t>Different results from source testing.</t>
  </si>
  <si>
    <t>CFS St. John's - Cambrai Rifle Range</t>
  </si>
  <si>
    <t>Military training</t>
  </si>
  <si>
    <t>10768499 Canada Inc</t>
  </si>
  <si>
    <t>Welding fume constituent</t>
  </si>
  <si>
    <t>VILLE DE MONTRÉAL</t>
  </si>
  <si>
    <t>STATION D'ÉPURATION DES EAUX USÉES</t>
  </si>
  <si>
    <t>La méthode d'estimation retenue pour 2007 fut similaire à celle retenue les années  précédentes. Les variations des charges reçues provoquent une imprécision sur la  moyenne des charges déversées et de celles transférées dans les cendres et gâteaux  comme</t>
  </si>
  <si>
    <t>NORAMBAR INC. (ANCIENNEMENT STELCO MCMASTER LTÉE)</t>
  </si>
  <si>
    <t xml:space="preserve">L'usine avait interrompu ses opérations entre le 31 juillet 2002 et le 12 janvier 2003 en raison d'un conflit de travail. L'année 2003 fut une année presque complète de production._x000D_
</t>
  </si>
  <si>
    <t>AV Cell Inc.</t>
  </si>
  <si>
    <t>Chlorine is a by-product of the chlorine dioxide generating reaction.  The amount reported is the amount measured at the stacks during our annual stack testing campaign, extrapolated to a yearly value._x000D_
_x000D_
This increase is partly due to the increase in the</t>
  </si>
  <si>
    <t>NATIONAL SILICATES PARTNERSHIP</t>
  </si>
  <si>
    <t>New emission factor</t>
  </si>
  <si>
    <t>Facility is a waste management operation.  Waste quantities &amp; composition received on site vary from year to year based on amount of waste material received from waste generators.</t>
  </si>
  <si>
    <t>Centerra Gold Inc.</t>
  </si>
  <si>
    <t>Mount Milligan Mine</t>
  </si>
  <si>
    <t>All waste rock is used for on-site construction and deposition within the TSF perimeter. The percentage of lead in waste rock was below 1%</t>
  </si>
  <si>
    <t>Augmentation causée par la combustion de farine animale destinée à l'enfouissement (crackling MRS selon l'Agence Canadienne d'Inspection des Aliments) dans une nouvelle chaudière industrielle à répurération d'énergie mis en opération en 2013</t>
  </si>
  <si>
    <t>NOBLE METAL PROCESSING CANADA INC</t>
  </si>
  <si>
    <t>Other Metalworking Machinery Manufacturing</t>
  </si>
  <si>
    <t>Fabrication d'autres machines-outils pour le travail du métal</t>
  </si>
  <si>
    <t>Cr+6 is in the scrap steel which is recycled.</t>
  </si>
  <si>
    <t>McMahon Gas Plant</t>
  </si>
  <si>
    <t>Above the reporting threshold in 2013</t>
  </si>
  <si>
    <t>POINT TUPPER GENERATING STATION</t>
  </si>
  <si>
    <t>changes in year over year recycling amounts occur because of variability in annual recycling opportunities.</t>
  </si>
  <si>
    <t>EVRAZ Inc NA Canada</t>
  </si>
  <si>
    <t>EVRAZ Inc NA Canada - Regina Facilities</t>
  </si>
  <si>
    <t>2013 source testing results caused the calculated MPO to be above the 100 kg reporting threshold.</t>
  </si>
  <si>
    <t>CROWN METAL PACKAGING CANADA LP</t>
  </si>
  <si>
    <t>CROWN METAL PACKAING CANADA LP - PLANT 244</t>
  </si>
  <si>
    <t>Production was down and we installed a system to eliminate the use of backwash solvent.</t>
  </si>
  <si>
    <t>Ivaco Rolling Mills 2004 L. P.</t>
  </si>
  <si>
    <t>Ivaco Rolling Mills</t>
  </si>
  <si>
    <t>Installation of new EAF baghouse.</t>
  </si>
  <si>
    <t>CENTRON COMP STN 07-16</t>
  </si>
  <si>
    <t>Change in production levels, removal of one engine, and change in utilization of available engine still on-site</t>
  </si>
  <si>
    <t>Momentive Specialty Chemicals Canada Inc.</t>
  </si>
  <si>
    <t>Momentive - St-Romuald</t>
  </si>
  <si>
    <t>La variation des taux de production fait varier la quantité de méthanol envoyé à l'incinérateur, et l'usure des blocs de catalysts fait varier l'efficacité de destruction de l'incinérateur catalytique, ce qui fait varier les émissions de méthanol rejetées à l'environnement.</t>
  </si>
  <si>
    <t>Changement dans les méthodes d'estimation des rejets</t>
  </si>
  <si>
    <t>SMITHERS SAWMILL</t>
  </si>
  <si>
    <t>Scieries, sauf les usines de bardeaux et de bardeaux de fente</t>
  </si>
  <si>
    <t>The total quantity of wood waste consumed in the burner was 28,810 ODTs, approximately 57,620 tonnes._x000D_
Approximately 1000 cubic metres of ash is used on-site as a road base._x000D_
No release information was available regarding this substance since no testing w</t>
  </si>
  <si>
    <t xml:space="preserve">Did not send for recycle
</t>
  </si>
  <si>
    <t>Steelman Unit # 3 06-27-004-06-W2</t>
  </si>
  <si>
    <t>Production Changes</t>
  </si>
  <si>
    <t>Lehigh Hanson Materials Limited</t>
  </si>
  <si>
    <t>Picton  Plant</t>
  </si>
  <si>
    <t>Below limit of quantification</t>
  </si>
  <si>
    <t>Jazz Aviation LP</t>
  </si>
  <si>
    <t>Fort St. John Airport</t>
  </si>
  <si>
    <t>Other support activities for air transportation</t>
  </si>
  <si>
    <t xml:space="preserve">Aircraft deicing fluid. Changes in quantities released are due to varying weather conditions from year to year. </t>
  </si>
  <si>
    <t>NORTH HOTCHKISS</t>
  </si>
  <si>
    <t>Increased flare volume.</t>
  </si>
  <si>
    <t>7-10-8-11 W2</t>
  </si>
  <si>
    <t>The emission estimates at this facility have changed due to changes in data collection and calculation methodology.</t>
  </si>
  <si>
    <t>TOWN OF CATALINA</t>
  </si>
  <si>
    <t xml:space="preserve">Stack release calculated by Environment Canada, Atlantic Region:_x000D_
- Emission factor of 30 kg CO/tonne waste burned (USEPA 1992. AP-42 ch. 2.7)_x000D_
- Per capita waste generation rate for Newfoundland and Labrador of 0.67 tonnes/year (Statistics Canada, 1998. </t>
  </si>
  <si>
    <t>Le zinc dans l'eau est acheminé vers un équipement de traitement (étang aéré) situé sur le site de notre installation.</t>
  </si>
  <si>
    <t>Air - Increase due to change in stack testing emission and decrease in wind erosion dust.  Water - Increased loadings.</t>
  </si>
  <si>
    <t>Aurora North Mine Site</t>
  </si>
  <si>
    <t>Net amount of substance increased due to float tailings increase</t>
  </si>
  <si>
    <t>To site landfarm</t>
  </si>
  <si>
    <t>Harmon Valley	16-13-084-18W5</t>
  </si>
  <si>
    <t xml:space="preserve">Case 3 facility as per new reporting requirements.
</t>
  </si>
  <si>
    <t>Talisman Energy</t>
  </si>
  <si>
    <t>Edson Gas Plant</t>
  </si>
  <si>
    <t xml:space="preserve">Lower produced water volume in 2017
</t>
  </si>
  <si>
    <t>Scotford Refinery PAH release/disposal or   recycle totals are small amounts which may   vary by &gt; 10% but do not indicate any   signifincant change in the quantity   released. There are no anticipated   disposals or recycled PAH amounts from year   to ye</t>
  </si>
  <si>
    <t>NA - 20</t>
  </si>
  <si>
    <t>Nonylphenol and its ethoxylates</t>
  </si>
  <si>
    <t>Nonylphénol et ses dérivés éthoxylés</t>
  </si>
  <si>
    <t>higher effluent concentrations in 2017</t>
  </si>
  <si>
    <t>RIO-TINTO-ALCAN MÉTAL PRIMAIRE</t>
  </si>
  <si>
    <t>USINE SHAWINIGAN</t>
  </si>
  <si>
    <t>Les rejets 2004 sont inférieurs à 2003 en raison d'une erreur dans la déclaration 2003.</t>
  </si>
  <si>
    <t>Calculation error in 2004 (indicating 1 of the 5 compressors on site had a utilized hp = 0)</t>
  </si>
  <si>
    <t>Port Hawkesbury Paper LP</t>
  </si>
  <si>
    <t>Port Hawkesbury Paper</t>
  </si>
  <si>
    <t>Ran full 2013.</t>
  </si>
  <si>
    <t>Fio Automotive Canada Corp.</t>
  </si>
  <si>
    <t>Plant 1</t>
  </si>
  <si>
    <t>see previous comment</t>
  </si>
  <si>
    <t>IPSCO SASKATCHEWAN INC.</t>
  </si>
  <si>
    <t xml:space="preserve">Suspect normal variation in testing_x000D_
</t>
  </si>
  <si>
    <t>Cheecham Terminal</t>
  </si>
  <si>
    <t>More pigging in 2019</t>
  </si>
  <si>
    <t>Doepker Industries Ltd.</t>
  </si>
  <si>
    <t>Saskatoon Branch - 103rd St.</t>
  </si>
  <si>
    <t>Increased natural gas consumption.</t>
  </si>
  <si>
    <t>ECHO BAY MINES LTD.</t>
  </si>
  <si>
    <t>LUPIN GOLD MINE</t>
  </si>
  <si>
    <t>Increased release quantity from previously reported releases is primarily due to the release of mill process waters from the Tailings Containment Area which were held over a two year period and not released in 2001.  Previous release in 2000 followed a tw</t>
  </si>
  <si>
    <t>Lower production levels and improved emission calculation methods.</t>
  </si>
  <si>
    <t>APACHE CANADA</t>
  </si>
  <si>
    <t>HOPE CREEK GAS PLANT</t>
  </si>
  <si>
    <t>Improved PM emission factors were obtained for flaring and have been applied.</t>
  </si>
  <si>
    <t>ALBRIGHT &amp; WILSON AMERICAS LIMITED</t>
  </si>
  <si>
    <t>PORT MAITLAND PLANT</t>
  </si>
  <si>
    <t xml:space="preserve">We are in the process of organizing the removal of contaminated phosphorusì
from our storage tanks and sending it to South Africa for recycle.  We ì
estimate a total of 97 tonnes will be processed, 1999 - 2001._x000D_
</t>
  </si>
  <si>
    <t>UNEEDA WOOD PRODUCTS</t>
  </si>
  <si>
    <t>Estimate of PM releases improves as better emission factors become available through the on going work of FPAC &amp; NCASI OR when site equipment design data is made available from the supplier.</t>
  </si>
  <si>
    <t>YORK UNIVERSITY</t>
  </si>
  <si>
    <t>KEELE CAMPUS</t>
  </si>
  <si>
    <t xml:space="preserve">New natrual-gas fired turbine cogenerating unit installed in 2003._x000D_
</t>
  </si>
  <si>
    <t>RICHMOND</t>
  </si>
  <si>
    <t>Due to the system used at Univar Canada, the waste that can be recycled is shown in sales figures and is not available in the data used for waste.</t>
  </si>
  <si>
    <t>TransCanada Keystone Pipeline Limited Partnership</t>
  </si>
  <si>
    <t>TransCanada Hardisty B Terminal</t>
  </si>
  <si>
    <t xml:space="preserve">For the 2020 reporting year, data collection methods were refined to better capture recycling data. </t>
  </si>
  <si>
    <t>Wildwood Oil SWB 14-35</t>
  </si>
  <si>
    <t>Decrease in flaring volume</t>
  </si>
  <si>
    <t>Warwick Gas Storage LP</t>
  </si>
  <si>
    <t>Domcan Warwick 10-18 GGS</t>
  </si>
  <si>
    <t>met the new reporting requirement for 2018 for &lt;20,000 facility</t>
  </si>
  <si>
    <t>Pratt &amp; Whitney Canada Inc.</t>
  </si>
  <si>
    <t>Établissement 05</t>
  </si>
  <si>
    <t>Turbine and turbine generator set unit manufacturing</t>
  </si>
  <si>
    <t>Fabrication de turbines et de groupes turbogénérateurs</t>
  </si>
  <si>
    <t>Régulation annuelle des achats</t>
  </si>
  <si>
    <t>Motor Coach Industries</t>
  </si>
  <si>
    <t>St. Matthews - Plants 1, 2 &amp; 3</t>
  </si>
  <si>
    <t xml:space="preserve">Compared to previous years report of scrap metal sold, there is no significant change. Less than 10%._x000D_
</t>
  </si>
  <si>
    <t>MAZEPPA PROCESSING PARTNERSHIP</t>
  </si>
  <si>
    <t>MAZEPPA GAS PROCESSING FACILITY</t>
  </si>
  <si>
    <t>The dehyrators no longer vent emissions but are tied into the low pressure flare header. Toluene  stack emissions are lower than 2004.</t>
  </si>
  <si>
    <t>CLOVERDALE PAINT INC</t>
  </si>
  <si>
    <t>CLOVERDALE PAINT - SURREY</t>
  </si>
  <si>
    <t>Product is purchased in containers that are returned to the supplier.</t>
  </si>
  <si>
    <t>MORNINGSIDE PLANT</t>
  </si>
  <si>
    <t>Better inventory data. Improved record keeping procedures.  Different operating hours. Different Load Factor.  Used CAPP Level 1&amp; 2 to calculate emissions.</t>
  </si>
  <si>
    <t>L'eau des rideaux d'eau utilisé dans les cabines de peinture comme outil de filtration est maintenant traité au traitement des eaux de l'usine puis les boues contenant du chrome sont éliminés par une compagnie accréditée.</t>
  </si>
  <si>
    <t>Land -There was an increase in bottom ash disposal quantities in 2009, as compared to amounts disposed in 2008</t>
  </si>
  <si>
    <t>More cadmium injected in 2012</t>
  </si>
  <si>
    <t>SKBT0029434</t>
  </si>
  <si>
    <t>Substance quantity is due to fugitives and venting, which have annual variation</t>
  </si>
  <si>
    <t>VANCOUVER WHARVES LTD. PARTNERSHIP</t>
  </si>
  <si>
    <t>VANCOUVER WHARVES - NORTH VANCOUVER</t>
  </si>
  <si>
    <t>Marine Cargo Handling</t>
  </si>
  <si>
    <t>No product containing this material was recycled this year.</t>
  </si>
  <si>
    <t>Vopak Canada Ltd.</t>
  </si>
  <si>
    <t xml:space="preserve">Due to the system used at Vopak Canada, the waste that can be recycled is shown in sales figures and is not available in the data used for waste._x000D_
</t>
  </si>
  <si>
    <t>The emission factors used were obtained from the NCASI handbook of emission factors that was put together specifically for the Pulp &amp; Paper Industry.  Some direct measurement data was used in addition to the emission factors.</t>
  </si>
  <si>
    <t>SHUR GAIN</t>
  </si>
  <si>
    <t>ST ROMUALD</t>
  </si>
  <si>
    <t>usine vendu en fevrier 2009 , quantité 2010 sont pour janvier et fevrier 2009</t>
  </si>
  <si>
    <t>MILLS 14-06</t>
  </si>
  <si>
    <t>Emissions increased due to the addition  of a compressor</t>
  </si>
  <si>
    <t>Cariboo Pulp and Paper Company</t>
  </si>
  <si>
    <t>Reduced hog fuel consumption.</t>
  </si>
  <si>
    <t>There was a spill and clean-up in 2014 but not in 2015.</t>
  </si>
  <si>
    <t>Changes in the trace metal concentration in waste rock, tailings and ore.</t>
  </si>
  <si>
    <t>Gordondale Sour Gas Plant 16-31</t>
  </si>
  <si>
    <t>Used new CAPP/WSP VOC speciation tool resulting in new thresholds being met.</t>
  </si>
  <si>
    <t>MACKENZIE OPERATIONS</t>
  </si>
  <si>
    <t xml:space="preserve">Increase in production, operating time and road dust </t>
  </si>
  <si>
    <t>5N Plus Inc.</t>
  </si>
  <si>
    <t>4405, rue Garand</t>
  </si>
  <si>
    <t>Aucun transfert pour recyclage</t>
  </si>
  <si>
    <t>BENSON TERMINAL</t>
  </si>
  <si>
    <t>Change in product throughput volumes.</t>
  </si>
  <si>
    <t>PROCTER &amp; GAMBLE INC.</t>
  </si>
  <si>
    <t>Mercury is present in fluorescent light bulbs and Mercotac switches, which are recycled</t>
  </si>
  <si>
    <t>04-34-031-23 W3M</t>
  </si>
  <si>
    <t>Updated emission calculation to point source monitoring</t>
  </si>
  <si>
    <t>Centre de transfert de St. Augustin</t>
  </si>
  <si>
    <t>Changes in throughput volume</t>
  </si>
  <si>
    <t>Selenis Canada Inc.</t>
  </si>
  <si>
    <t>Selenis Canada Inc</t>
  </si>
  <si>
    <t>Source 11 (fournaises)</t>
  </si>
  <si>
    <t>Thunder Bay Plant</t>
  </si>
  <si>
    <t>Railroad rolling stock manufacturing</t>
  </si>
  <si>
    <t>Fabrication de matériel ferroviaire roulant</t>
  </si>
  <si>
    <t>Decrease in recycling of materials containing substance.</t>
  </si>
  <si>
    <t>Ammonia 1 plant operated more hours in 2011 than 2010.</t>
  </si>
  <si>
    <t>Changes in emissions are mainly from  ponds releases. Please note that the sum of speciated vocs is more than the total VOC emissions reported for individual stacks greater than 5 m . This is due to the difference in emission factors used for calculating the emissions. While speciated voc emissions for natural gas combustion is calculated based on the new 2015 CEPEI EFs the total voc emission is calculated based on the old US EPA AP 42 emissions factor which is an order of magnitude lower than the individual emissions.</t>
  </si>
  <si>
    <t>Increased hog burning for cogeneration</t>
  </si>
  <si>
    <t>Guide Exploration Ltd.</t>
  </si>
  <si>
    <t>LRE - Westfire Redwater 07-21</t>
  </si>
  <si>
    <t>Changes in production levels and stationary combustion equipment.</t>
  </si>
  <si>
    <t>ASW Steel Inc.</t>
  </si>
  <si>
    <t>Updated Source Testing Data for 2020 are used.</t>
  </si>
  <si>
    <t>Crocotta Energy Inc.</t>
  </si>
  <si>
    <t>Edson 01-13-054-19W5</t>
  </si>
  <si>
    <t>The increase in NOx emission volume can be attributed to an increase in natural gas consumption on the lease.</t>
  </si>
  <si>
    <t>Head Office / Main Plant</t>
  </si>
  <si>
    <t>Volume effect</t>
  </si>
  <si>
    <t>Fletcher Challenge Canada</t>
  </si>
  <si>
    <t>Elk Falls Mill</t>
  </si>
  <si>
    <t xml:space="preserve">Increased releases due to resumption of production following a labor strike in 1997 and 1998_x000D_
</t>
  </si>
  <si>
    <t>La Coop fédérée</t>
  </si>
  <si>
    <t>Plus grande production que l'année dernière.</t>
  </si>
  <si>
    <t>GENERAL PAINT</t>
  </si>
  <si>
    <t>GENERAL PAINT - VANCOUVER</t>
  </si>
  <si>
    <t>Less waste due to reuse of off-spec material</t>
  </si>
  <si>
    <t>ISPAT SIDBEC INC.</t>
  </si>
  <si>
    <t>USINE DE RÉDUCTION</t>
  </si>
  <si>
    <t xml:space="preserve">Les émissions ont été calculées en partie à l'aide du facteur d'émission de 30.4 kg/Mm³ de gaz naturel utilisé (4.613 t.m.).  Le reste des paticules totales est basé sur de l'échantillonnage des émissions particulaires effectué en 2000._x000D_
</t>
  </si>
  <si>
    <t>Less process welding done on site</t>
  </si>
  <si>
    <t>LAFARGE NORTH AMERICA</t>
  </si>
  <si>
    <t>Stoney Creek Plant</t>
  </si>
  <si>
    <t>Other Concrete Product Manufacturing</t>
  </si>
  <si>
    <t>Fabrication d'autres produits en béton</t>
  </si>
  <si>
    <t xml:space="preserve">For MOE Road Dust we now use a dust suppressant which the EPA 13.2.2-13 estimates at 80% effective.  We estimated conservatively at 50% effectiveness._x000D_
</t>
  </si>
  <si>
    <t>Due to changes in calculation methodology and updated pump information.</t>
  </si>
  <si>
    <t>3 arrêts pour entretien dont 1 d'une durée de 1 mois, meilleur suivi au niveau du phosphore et dosage plus précis pour le traitement secondaire des effluents</t>
  </si>
  <si>
    <t>DAlthough the disposition of produced water to various disposal wells did not change during 2001, the reporting of emissions due to the underground injection of produced water has been modified to include both disposals to the 16-36 injection well and off</t>
  </si>
  <si>
    <t>Weston</t>
  </si>
  <si>
    <t>Univar EHS policy goals strive for zero releases.
The highest priority in the conduct of our business is safety and environmental protection. Univar Canada Ltd. policy on EHS outlines our commitment to this priority. Our systems ensure compliance with our stringent standards and all government regulations. We are committed to constant vigilance and continuous improvement.
Release calculation methods used: TANKS &amp; Engineering estimates.
Waste as a result of our product handling processes is to be minimized through engineering controls, procedures and training. Our goal is to produce no waste.</t>
  </si>
  <si>
    <t>ALGAR SOUTH 16-01</t>
  </si>
  <si>
    <t>Decreased fuel Consumption</t>
  </si>
  <si>
    <t>STANLEY MANUFACTURING COMPANY INC.</t>
  </si>
  <si>
    <t>STANLEY PLANT</t>
  </si>
  <si>
    <t>Sign Manufacturing</t>
  </si>
  <si>
    <t>Fabrication d'enseignes</t>
  </si>
  <si>
    <t>To be discontinued and will not be available by 2007</t>
  </si>
  <si>
    <t>GREENFIELD ETHANOL INC.</t>
  </si>
  <si>
    <t>updated base don emission tests in 2010.</t>
  </si>
  <si>
    <t>WESTPINE MDF</t>
  </si>
  <si>
    <t>Total VOCs releases were calculated using site source testing data.    Methanol releases were calculated using emission factors, and therefore, exceed total VOC releases.</t>
  </si>
  <si>
    <t>Irving Oil Refinery</t>
  </si>
  <si>
    <t>Catalyst Disposal</t>
  </si>
  <si>
    <t>Darlington Nuclear</t>
  </si>
  <si>
    <t>Nuclear electric power generation</t>
  </si>
  <si>
    <t>Increased by production of ammonia.</t>
  </si>
  <si>
    <t>Magris Ressources</t>
  </si>
  <si>
    <t>La Mine Niobec</t>
  </si>
  <si>
    <t>Concentrations plus faibles selon les échantillonnages à l'effluent final. Pas d'explication.</t>
  </si>
  <si>
    <t>PÉTROMONT</t>
  </si>
  <si>
    <t>USINE DE VARENNES</t>
  </si>
  <si>
    <t>L'usine a cessé ses activités de production le 30 avril 2008 et Pétromont a annoncé en janvier 2009 la fermeture définitive de ses 2 usines.</t>
  </si>
  <si>
    <t>Operational variability</t>
  </si>
  <si>
    <t>Process Improvements</t>
  </si>
  <si>
    <t>TECK COMINCO METALS LTD.</t>
  </si>
  <si>
    <t>TRAIL OPERATIONS</t>
  </si>
  <si>
    <t xml:space="preserve">Increase in emissions for Ammonia is the direct result of increased plant operating time (approximately 22%) for 2002 over 2001._x000D_
</t>
  </si>
  <si>
    <t>Dana Canada Corp.</t>
  </si>
  <si>
    <t>Dana Mount Forest</t>
  </si>
  <si>
    <t>Manganese was detected in the sanitary sewer analysis in 2011.</t>
  </si>
  <si>
    <t>CITY OF BROCKVILLE</t>
  </si>
  <si>
    <t>WATER POLLUTION CONTROL CENTRE</t>
  </si>
  <si>
    <t>Increase in ammonia concentrations in Final Effluent.</t>
  </si>
  <si>
    <t>HILLSDOWN 13-04 - 2</t>
  </si>
  <si>
    <t>Emissions increased due to the addition of 2 compressors.</t>
  </si>
  <si>
    <t xml:space="preserve">Values entered are reported to the first decimal place (value &gt; 1) or first significant digit (value &lt; 1) to represent their estimated accuracies._x000D_
</t>
  </si>
  <si>
    <t>Disposal quantities varies from year to year</t>
  </si>
  <si>
    <t>LA POILE LOCAL SERVICE DISTRICT</t>
  </si>
  <si>
    <t>La Poile Incinerator</t>
  </si>
  <si>
    <t>Updated source testing results for scrubber stacks (release to air) and water loading (release to water bodies) in 2022</t>
  </si>
  <si>
    <t>ABITIBI-CONSOLIDATED DU CANADA</t>
  </si>
  <si>
    <t>DIVISION ALMA</t>
  </si>
  <si>
    <t>Augmentation substantielle de la consommation de mazout en 2003 vs 2002 etdiminution de la consommation de gaz naturel.</t>
  </si>
  <si>
    <t>Stanfields Ltd.</t>
  </si>
  <si>
    <t>Other clothing knitting mills</t>
  </si>
  <si>
    <t>Usines de tricotage d'autres vêtements</t>
  </si>
  <si>
    <t>meets criteria</t>
  </si>
  <si>
    <t>Swan Hills Oil SWB 03-10</t>
  </si>
  <si>
    <t>Amoco Canada Petroleum Company</t>
  </si>
  <si>
    <t>75-15-0</t>
  </si>
  <si>
    <t>Carbon disulphide</t>
  </si>
  <si>
    <t>Disulfure de carbone</t>
  </si>
  <si>
    <t xml:space="preserve">Reductions in CS2 emissions in 1999 are associated with changes in the composition of the solution gas processed at the facility (i.e., less H2S processed through the facility)._x000D_
</t>
  </si>
  <si>
    <t>I-XL Industries Ltd.</t>
  </si>
  <si>
    <t>MEDICINE HAT BRICK &amp; TILE</t>
  </si>
  <si>
    <t>Run times for facility as per Section T1.4_x000D_
_x000D_
Reported 0.14 tonnes refers to Manganese  present in 945 tonnes waste clay pile on site. This is eventually transferred to City of Medicine Hat Landfill approximately every 5 years. To be consistent with previ</t>
  </si>
  <si>
    <t>DIAVIK DIAMOND MINES INC.</t>
  </si>
  <si>
    <t>By product. Not disposed.</t>
  </si>
  <si>
    <t>Road dust reduced due to mine being shut down for approximately 44 day in May due to the wildfire.</t>
  </si>
  <si>
    <t>Chetwynd Forest Industries</t>
  </si>
  <si>
    <t>Chetwynd Sawmill</t>
  </si>
  <si>
    <t xml:space="preserve">Emission factors from NCASI Handbook._x000D_
</t>
  </si>
  <si>
    <t>Department of National Defence</t>
  </si>
  <si>
    <t>CANADIAN FORCES BASE/ AREA SUPPORT UNIT PETAWAWA</t>
  </si>
  <si>
    <t>Defence Services</t>
  </si>
  <si>
    <t>Change in estimation methods for fuel combustion.</t>
  </si>
  <si>
    <t>Updated source testing results for dryer (release to air) and water loading (release to water bodies) in 2022</t>
  </si>
  <si>
    <t>77-73-6</t>
  </si>
  <si>
    <t>Dicyclopentadiene</t>
  </si>
  <si>
    <t>Dicyclopentadiène</t>
  </si>
  <si>
    <t>Decrease in flaring and releases, no annual turnarounds.</t>
  </si>
  <si>
    <t>Updated emission factors for 2018.</t>
  </si>
  <si>
    <t>Prince George Plant</t>
  </si>
  <si>
    <t>Scheduled cylinder cleanings in 2017</t>
  </si>
  <si>
    <t>Koyo Bearings Canada Inc.</t>
  </si>
  <si>
    <t>Roulements Koyo Canada Inc.</t>
  </si>
  <si>
    <t>Arrêt de l'utilisation d'un alliage (plus grande utilisation d'un autre alliage).
Augmentation des concentrations en manganese dans nos alliages</t>
  </si>
  <si>
    <t>SARNIA FRACTIONATION PLANT</t>
  </si>
  <si>
    <t>Increased recycling of waste</t>
  </si>
  <si>
    <t>Reduction in gas to flare</t>
  </si>
  <si>
    <t>Updated 2023 fugitive survey</t>
  </si>
  <si>
    <t>NARL Refining LP</t>
  </si>
  <si>
    <t>The facility was not operational in 2021. Pollution/emission sources were reduced for the year overall as a result of the idle state.</t>
  </si>
  <si>
    <t>Stack tests are done to determine the amount of metals released in air emissions. Based on the latest stack tests, the amount of lead in air emissions has dropped significantly. This may be attributable to the low amounts of coal being burnt at the facility with more natural gas being used in the fuel mix in 2020.</t>
  </si>
  <si>
    <t>Co-Ex-Tec Industries (North Plant)</t>
  </si>
  <si>
    <t>Increase in usage of material containing methyl ethyl ketone.</t>
  </si>
  <si>
    <t xml:space="preserve">New Gold Inc. </t>
  </si>
  <si>
    <t>Rainy River Mine</t>
  </si>
  <si>
    <t>Increase in blasting.</t>
  </si>
  <si>
    <t>DELHI INDUSTRIES INC</t>
  </si>
  <si>
    <t>JAMES ST.</t>
  </si>
  <si>
    <t>Zinc emissions increased because the Site chose to use galvanized steel instead of painting the steel.  VOC emissions reduced to below reportable levels.</t>
  </si>
  <si>
    <t>TOWN OF TWILLINGATE</t>
  </si>
  <si>
    <t>Stack release calculated by Environment Canada, Atlantic Region:_x000D_
- Emission factor of 10 kg NMTOC/tonne waste burned (USEPA 1992. AP-42 ch. 2.7)_x000D_
- Per capita waste generation rate for Newfoundland and Labrador of 0.67 tonnes/year (Statistics Canada, 199</t>
  </si>
  <si>
    <t>NALCO CANADA CO.</t>
  </si>
  <si>
    <t>NISKU BLEND PLANT</t>
  </si>
  <si>
    <t xml:space="preserve">Production and inventory quatntities change year to year affecting the amount waste generated._x000D_
</t>
  </si>
  <si>
    <t>Shell Chemicals Canada Ltd</t>
  </si>
  <si>
    <t xml:space="preserve">We instituted a new emission calculation program.  This program uses better ì
validation and verification methods._x000D_
</t>
  </si>
  <si>
    <t>NUVISTA ENERGY LTD.</t>
  </si>
  <si>
    <t>ARGUS COMP STN 06-09</t>
  </si>
  <si>
    <t>Equipment operating details (i.e. load factors and utilization) and emission factors used in the calculation of emission estimates remained unchanged.</t>
  </si>
  <si>
    <t>KOCH FERTILIZER CANADA, LTD.</t>
  </si>
  <si>
    <t>Mixed Fertilizer Manufacturing</t>
  </si>
  <si>
    <t>Fabrication d'engrais mixtes</t>
  </si>
  <si>
    <t>In 2008 a shutdown of all plants for inspections, maintenance and repairs caused a reduction in production levels.  Methanol is a production residue from ammonia manufacturing.  Methanol emissions are linked to catalyst performance which can vary on a yea</t>
  </si>
  <si>
    <t xml:space="preserve">A Registered Hazardous Waste Contractor disposes of all disposal products taken from Vopak facilities._x000D_
</t>
  </si>
  <si>
    <t>4 CDSB Petawawa - Garrison Petawawa</t>
  </si>
  <si>
    <t>Amount of zinc released to land is due to military training activities; specifically firing of ammunition containing zinc that is caught in an earth back stop.</t>
  </si>
  <si>
    <t>TORONTO PAINT SHOP</t>
  </si>
  <si>
    <t>Benzyl alcohol, the principle ingredient in Air Canada's paint stripper, was ruled by the NPRI office as a non VOC compound in 2004.  This ruling was based on:  	NPRI-VOC_definition_and_info.pdf in conjunction with the VOC_Guidline.pdf;  	Guidance liste</t>
  </si>
  <si>
    <t>Une fibre synthétique est à l'essai ce qui pourrait entraîner une réduction du volume d'amiante utilisé</t>
  </si>
  <si>
    <t>changes in throughput volumes</t>
  </si>
  <si>
    <t>Began using equipment specific AP42 natural gas combustion emission factors (ie. nat gas turbine) where applicable, which results in less Zn emissions from natural gas combustion.  Impact is minor as emissions from combustion are extremely small.</t>
  </si>
  <si>
    <t>L'entreposage des résidus, précédent leur incinération, n'occasionne pas d'émissions fugitives vers l'environnement.  Notre système opérationnel est conçu  de façon à diriger tous les gaz/vapeurs générés dans chacun des réservoirs, vers l'incinérateur pou</t>
  </si>
  <si>
    <t>READY BAKE FOODS INC.</t>
  </si>
  <si>
    <t>LA BAGUETTERIE LACHINE</t>
  </si>
  <si>
    <t>This facility ceased product September 2009</t>
  </si>
  <si>
    <t>From_Table</t>
  </si>
  <si>
    <t>transfers</t>
  </si>
  <si>
    <t>releases</t>
  </si>
  <si>
    <t>disposals</t>
  </si>
  <si>
    <t>Column Labels</t>
  </si>
  <si>
    <t>Grand Total</t>
  </si>
  <si>
    <t>Row Labels</t>
  </si>
  <si>
    <t>Sum of Quantity / Quantité</t>
  </si>
  <si>
    <t>(All)</t>
  </si>
  <si>
    <t>(Multiple Items)</t>
  </si>
  <si>
    <t>facilities</t>
  </si>
  <si>
    <t>Count of Facility_Name / Installation</t>
  </si>
  <si>
    <r>
      <rPr>
        <sz val="61"/>
        <color theme="0"/>
        <rFont val="HP Simplified"/>
        <family val="2"/>
      </rPr>
      <t>Pollutants measured (1993-2023)</t>
    </r>
    <r>
      <rPr>
        <sz val="34"/>
        <color theme="0"/>
        <rFont val="HP Simplified"/>
        <family val="2"/>
      </rPr>
      <t xml:space="preserve">
</t>
    </r>
    <r>
      <rPr>
        <sz val="31"/>
        <color theme="0"/>
        <rFont val="HP Simplified"/>
        <family val="2"/>
      </rPr>
      <t>NPRI data sample (500 entries)</t>
    </r>
  </si>
  <si>
    <r>
      <t xml:space="preserve">Ctrl + Click on a slicer button to multi-select (or deselect) it.
Shift + Click to select a range ("bookends").
Slicer &gt; Top right &gt; Red X to deselect all active filters.
</t>
    </r>
    <r>
      <rPr>
        <sz val="13"/>
        <color theme="0" tint="-0.249977111117893"/>
        <rFont val="Consolas"/>
        <family val="3"/>
      </rPr>
      <t>Sheet made in under 5 hours.</t>
    </r>
  </si>
  <si>
    <t>https://www.canada.ca/en/environment-climate-change/services/national-pollutant-release-inventory/tools-resources-data/exploredata.html</t>
  </si>
  <si>
    <t>Data source:</t>
  </si>
  <si>
    <t>NPRI (National Pollutant Release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</si>
</sst>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name val="Calibri"/>
      <family val="2"/>
    </font>
    <font>
      <b/>
      <sz val="34"/>
      <color theme="1"/>
      <name val="Calibri"/>
      <family val="2"/>
      <scheme val="minor"/>
    </font>
    <font>
      <sz val="31"/>
      <color theme="0"/>
      <name val="HP Simplified"/>
      <family val="2"/>
    </font>
    <font>
      <sz val="34"/>
      <color theme="0"/>
      <name val="HP Simplified"/>
      <family val="2"/>
    </font>
    <font>
      <sz val="61"/>
      <color theme="0"/>
      <name val="HP Simplified"/>
      <family val="2"/>
    </font>
    <font>
      <sz val="43"/>
      <color theme="0"/>
      <name val="HP Simplified"/>
      <family val="2"/>
    </font>
    <font>
      <sz val="31"/>
      <color theme="0"/>
      <name val="HP Simplified Light"/>
      <family val="2"/>
    </font>
    <font>
      <sz val="13"/>
      <color theme="2" tint="-0.499984740745262"/>
      <name val="Consolas"/>
      <family val="3"/>
    </font>
    <font>
      <sz val="13"/>
      <color theme="0" tint="-0.249977111117893"/>
      <name val="Consolas"/>
      <family val="3"/>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0.499984740745262"/>
        <bgColor indexed="64"/>
      </patternFill>
    </fill>
    <fill>
      <patternFill patternType="solid">
        <fgColor theme="4"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1"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pivotButton="1"/>
    <xf numFmtId="0" fontId="0" fillId="0" borderId="0" xfId="0" applyAlignment="1">
      <alignment horizontal="left"/>
    </xf>
    <xf numFmtId="0" fontId="2" fillId="0" borderId="0" xfId="0" applyFont="1" applyAlignment="1">
      <alignment vertical="center" wrapText="1"/>
    </xf>
    <xf numFmtId="0" fontId="2" fillId="2" borderId="0" xfId="0" applyFont="1" applyFill="1" applyAlignment="1">
      <alignment vertical="top" wrapText="1"/>
    </xf>
    <xf numFmtId="0" fontId="8" fillId="0" borderId="0" xfId="0" applyFont="1" applyAlignment="1">
      <alignment horizontal="center" vertical="center" wrapText="1"/>
    </xf>
    <xf numFmtId="0" fontId="7" fillId="3" borderId="0" xfId="0" applyFont="1" applyFill="1" applyAlignment="1">
      <alignment horizontal="center" vertical="top"/>
    </xf>
    <xf numFmtId="1" fontId="6" fillId="3" borderId="0" xfId="0" applyNumberFormat="1" applyFont="1" applyFill="1" applyAlignment="1">
      <alignment horizontal="center"/>
    </xf>
    <xf numFmtId="0" fontId="4" fillId="4" borderId="0" xfId="0" applyFont="1" applyFill="1" applyAlignment="1">
      <alignment horizontal="center" vertical="center" wrapText="1"/>
    </xf>
    <xf numFmtId="164" fontId="6" fillId="3" borderId="0" xfId="0" applyNumberFormat="1" applyFont="1" applyFill="1" applyAlignment="1">
      <alignment horizontal="center"/>
    </xf>
    <xf numFmtId="0" fontId="11" fillId="0" borderId="0" xfId="1"/>
    <xf numFmtId="0" fontId="10" fillId="0" borderId="0" xfId="0" applyFont="1"/>
    <xf numFmtId="0" fontId="0" fillId="0" borderId="0" xfId="0" applyNumberFormat="1"/>
  </cellXfs>
  <cellStyles count="2">
    <cellStyle name="Hyperlink" xfId="1" builtinId="8"/>
    <cellStyle name="Normal" xfId="0" builtinId="0"/>
  </cellStyles>
  <dxfs count="0"/>
  <tableStyles count="0" defaultTableStyle="TableStyleMedium2" defaultPivotStyle="PivotStyleLight16"/>
  <colors>
    <mruColors>
      <color rgb="FF0092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[Facility pollutants (NPRI data excerpt) - Dashboard and pivot tables.xlsx]Pivot - pollutant totals!PivotTable1</c:name>
    <c:fmtId val="14"/>
  </c:pivotSource>
  <c:chart>
    <c:title>
      <c:tx>
        <c:rich>
          <a:bodyPr rot="0" spcFirstLastPara="1" vertOverflow="ellipsis" vert="horz" wrap="square" anchor="ctr" anchorCtr="1"/>
          <a:lstStyle/>
          <a:p>
            <a:pPr>
              <a:defRPr sz="3100" b="1" i="0" u="none" strike="noStrike" kern="1200" spc="0" baseline="0">
                <a:solidFill>
                  <a:schemeClr val="tx1">
                    <a:lumMod val="65000"/>
                    <a:lumOff val="35000"/>
                  </a:schemeClr>
                </a:solidFill>
                <a:latin typeface="HP Simplified Light" panose="020B0404020204020204" pitchFamily="34" charset="0"/>
                <a:ea typeface="+mn-ea"/>
                <a:cs typeface="+mn-cs"/>
              </a:defRPr>
            </a:pPr>
            <a:r>
              <a:rPr lang="en-GB" sz="3100" b="1">
                <a:latin typeface="HP Simplified Light" panose="020B0404020204020204" pitchFamily="34" charset="0"/>
              </a:rPr>
              <a:t>Top 10 pollutants</a:t>
            </a:r>
          </a:p>
        </c:rich>
      </c:tx>
      <c:layout>
        <c:manualLayout>
          <c:xMode val="edge"/>
          <c:yMode val="edge"/>
          <c:x val="2.652572569341323E-2"/>
          <c:y val="2.0106700874492064E-2"/>
        </c:manualLayout>
      </c:layout>
      <c:overlay val="0"/>
      <c:spPr>
        <a:noFill/>
        <a:ln>
          <a:noFill/>
        </a:ln>
        <a:effectLst/>
      </c:spPr>
      <c:txPr>
        <a:bodyPr rot="0" spcFirstLastPara="1" vertOverflow="ellipsis" vert="horz" wrap="square" anchor="ctr" anchorCtr="1"/>
        <a:lstStyle/>
        <a:p>
          <a:pPr>
            <a:defRPr sz="3100" b="1" i="0" u="none" strike="noStrike" kern="1200" spc="0" baseline="0">
              <a:solidFill>
                <a:schemeClr val="tx1">
                  <a:lumMod val="65000"/>
                  <a:lumOff val="35000"/>
                </a:schemeClr>
              </a:solidFill>
              <a:latin typeface="HP Simplified Light" panose="020B0404020204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68210880137823"/>
          <c:y val="0.1963031066703616"/>
          <c:w val="0.5523543625109395"/>
          <c:h val="0.66422667011665137"/>
        </c:manualLayout>
      </c:layout>
      <c:barChart>
        <c:barDir val="bar"/>
        <c:grouping val="clustered"/>
        <c:varyColors val="0"/>
        <c:ser>
          <c:idx val="0"/>
          <c:order val="0"/>
          <c:tx>
            <c:strRef>
              <c:f>'Pivot - pollutant totals'!$B$8:$B$9</c:f>
              <c:strCache>
                <c:ptCount val="1"/>
                <c:pt idx="0">
                  <c:v>Chromium (and its compounds)</c:v>
                </c:pt>
              </c:strCache>
            </c:strRef>
          </c:tx>
          <c:spPr>
            <a:solidFill>
              <a:schemeClr val="accent1"/>
            </a:solidFill>
            <a:ln>
              <a:noFill/>
            </a:ln>
            <a:effectLst/>
          </c:spPr>
          <c:invertIfNegative val="0"/>
          <c:cat>
            <c:strRef>
              <c:f>'Pivot - pollutant totals'!$A$10</c:f>
              <c:strCache>
                <c:ptCount val="1"/>
                <c:pt idx="0">
                  <c:v>Total</c:v>
                </c:pt>
              </c:strCache>
            </c:strRef>
          </c:cat>
          <c:val>
            <c:numRef>
              <c:f>'Pivot - pollutant totals'!$B$10</c:f>
              <c:numCache>
                <c:formatCode>General</c:formatCode>
                <c:ptCount val="1"/>
                <c:pt idx="0">
                  <c:v>281.96699999999998</c:v>
                </c:pt>
              </c:numCache>
            </c:numRef>
          </c:val>
          <c:extLst>
            <c:ext xmlns:c16="http://schemas.microsoft.com/office/drawing/2014/chart" uri="{C3380CC4-5D6E-409C-BE32-E72D297353CC}">
              <c16:uniqueId val="{00000000-152A-4364-925D-E6F55F9F4D55}"/>
            </c:ext>
          </c:extLst>
        </c:ser>
        <c:ser>
          <c:idx val="1"/>
          <c:order val="1"/>
          <c:tx>
            <c:strRef>
              <c:f>'Pivot - pollutant totals'!$C$8:$C$9</c:f>
              <c:strCache>
                <c:ptCount val="1"/>
                <c:pt idx="0">
                  <c:v>PM2.5 - Particulate Matter &lt;= 2.5 Micrometers</c:v>
                </c:pt>
              </c:strCache>
            </c:strRef>
          </c:tx>
          <c:spPr>
            <a:solidFill>
              <a:schemeClr val="accent2"/>
            </a:solidFill>
            <a:ln>
              <a:noFill/>
            </a:ln>
            <a:effectLst/>
          </c:spPr>
          <c:invertIfNegative val="0"/>
          <c:cat>
            <c:strRef>
              <c:f>'Pivot - pollutant totals'!$A$10</c:f>
              <c:strCache>
                <c:ptCount val="1"/>
                <c:pt idx="0">
                  <c:v>Total</c:v>
                </c:pt>
              </c:strCache>
            </c:strRef>
          </c:cat>
          <c:val>
            <c:numRef>
              <c:f>'Pivot - pollutant totals'!$C$10</c:f>
              <c:numCache>
                <c:formatCode>General</c:formatCode>
                <c:ptCount val="1"/>
                <c:pt idx="0">
                  <c:v>403.75360000000001</c:v>
                </c:pt>
              </c:numCache>
            </c:numRef>
          </c:val>
          <c:extLst>
            <c:ext xmlns:c16="http://schemas.microsoft.com/office/drawing/2014/chart" uri="{C3380CC4-5D6E-409C-BE32-E72D297353CC}">
              <c16:uniqueId val="{0000034F-152A-4364-925D-E6F55F9F4D55}"/>
            </c:ext>
          </c:extLst>
        </c:ser>
        <c:ser>
          <c:idx val="2"/>
          <c:order val="2"/>
          <c:tx>
            <c:strRef>
              <c:f>'Pivot - pollutant totals'!$D$8:$D$9</c:f>
              <c:strCache>
                <c:ptCount val="1"/>
                <c:pt idx="0">
                  <c:v>PM10 - Particulate Matter &lt;= 10 Micrometers</c:v>
                </c:pt>
              </c:strCache>
            </c:strRef>
          </c:tx>
          <c:spPr>
            <a:solidFill>
              <a:schemeClr val="accent3"/>
            </a:solidFill>
            <a:ln>
              <a:noFill/>
            </a:ln>
            <a:effectLst/>
          </c:spPr>
          <c:invertIfNegative val="0"/>
          <c:cat>
            <c:strRef>
              <c:f>'Pivot - pollutant totals'!$A$10</c:f>
              <c:strCache>
                <c:ptCount val="1"/>
                <c:pt idx="0">
                  <c:v>Total</c:v>
                </c:pt>
              </c:strCache>
            </c:strRef>
          </c:cat>
          <c:val>
            <c:numRef>
              <c:f>'Pivot - pollutant totals'!$D$10</c:f>
              <c:numCache>
                <c:formatCode>General</c:formatCode>
                <c:ptCount val="1"/>
                <c:pt idx="0">
                  <c:v>489.39819999999997</c:v>
                </c:pt>
              </c:numCache>
            </c:numRef>
          </c:val>
          <c:extLst>
            <c:ext xmlns:c16="http://schemas.microsoft.com/office/drawing/2014/chart" uri="{C3380CC4-5D6E-409C-BE32-E72D297353CC}">
              <c16:uniqueId val="{00000350-152A-4364-925D-E6F55F9F4D55}"/>
            </c:ext>
          </c:extLst>
        </c:ser>
        <c:ser>
          <c:idx val="3"/>
          <c:order val="3"/>
          <c:tx>
            <c:strRef>
              <c:f>'Pivot - pollutant totals'!$E$8:$E$9</c:f>
              <c:strCache>
                <c:ptCount val="1"/>
                <c:pt idx="0">
                  <c:v>Methanol</c:v>
                </c:pt>
              </c:strCache>
            </c:strRef>
          </c:tx>
          <c:spPr>
            <a:solidFill>
              <a:schemeClr val="accent4"/>
            </a:solidFill>
            <a:ln>
              <a:noFill/>
            </a:ln>
            <a:effectLst/>
          </c:spPr>
          <c:invertIfNegative val="0"/>
          <c:cat>
            <c:strRef>
              <c:f>'Pivot - pollutant totals'!$A$10</c:f>
              <c:strCache>
                <c:ptCount val="1"/>
                <c:pt idx="0">
                  <c:v>Total</c:v>
                </c:pt>
              </c:strCache>
            </c:strRef>
          </c:cat>
          <c:val>
            <c:numRef>
              <c:f>'Pivot - pollutant totals'!$E$10</c:f>
              <c:numCache>
                <c:formatCode>General</c:formatCode>
                <c:ptCount val="1"/>
                <c:pt idx="0">
                  <c:v>534.02189999999996</c:v>
                </c:pt>
              </c:numCache>
            </c:numRef>
          </c:val>
          <c:extLst>
            <c:ext xmlns:c16="http://schemas.microsoft.com/office/drawing/2014/chart" uri="{C3380CC4-5D6E-409C-BE32-E72D297353CC}">
              <c16:uniqueId val="{00000001-90A7-4058-BDB5-6C7803E5BAAC}"/>
            </c:ext>
          </c:extLst>
        </c:ser>
        <c:ser>
          <c:idx val="4"/>
          <c:order val="4"/>
          <c:tx>
            <c:strRef>
              <c:f>'Pivot - pollutant totals'!$F$8:$F$9</c:f>
              <c:strCache>
                <c:ptCount val="1"/>
                <c:pt idx="0">
                  <c:v>Volatile Organic Compounds (VOCs)</c:v>
                </c:pt>
              </c:strCache>
            </c:strRef>
          </c:tx>
          <c:spPr>
            <a:solidFill>
              <a:schemeClr val="accent5"/>
            </a:solidFill>
            <a:ln>
              <a:noFill/>
            </a:ln>
            <a:effectLst/>
          </c:spPr>
          <c:invertIfNegative val="0"/>
          <c:cat>
            <c:strRef>
              <c:f>'Pivot - pollutant totals'!$A$10</c:f>
              <c:strCache>
                <c:ptCount val="1"/>
                <c:pt idx="0">
                  <c:v>Total</c:v>
                </c:pt>
              </c:strCache>
            </c:strRef>
          </c:cat>
          <c:val>
            <c:numRef>
              <c:f>'Pivot - pollutant totals'!$F$10</c:f>
              <c:numCache>
                <c:formatCode>General</c:formatCode>
                <c:ptCount val="1"/>
                <c:pt idx="0">
                  <c:v>582.07629999999995</c:v>
                </c:pt>
              </c:numCache>
            </c:numRef>
          </c:val>
          <c:extLst>
            <c:ext xmlns:c16="http://schemas.microsoft.com/office/drawing/2014/chart" uri="{C3380CC4-5D6E-409C-BE32-E72D297353CC}">
              <c16:uniqueId val="{00000002-90A7-4058-BDB5-6C7803E5BAAC}"/>
            </c:ext>
          </c:extLst>
        </c:ser>
        <c:ser>
          <c:idx val="5"/>
          <c:order val="5"/>
          <c:tx>
            <c:strRef>
              <c:f>'Pivot - pollutant totals'!$G$8:$G$9</c:f>
              <c:strCache>
                <c:ptCount val="1"/>
                <c:pt idx="0">
                  <c:v>Ammonia (total)</c:v>
                </c:pt>
              </c:strCache>
            </c:strRef>
          </c:tx>
          <c:spPr>
            <a:solidFill>
              <a:schemeClr val="accent6"/>
            </a:solidFill>
            <a:ln>
              <a:noFill/>
            </a:ln>
            <a:effectLst/>
          </c:spPr>
          <c:invertIfNegative val="0"/>
          <c:cat>
            <c:strRef>
              <c:f>'Pivot - pollutant totals'!$A$10</c:f>
              <c:strCache>
                <c:ptCount val="1"/>
                <c:pt idx="0">
                  <c:v>Total</c:v>
                </c:pt>
              </c:strCache>
            </c:strRef>
          </c:cat>
          <c:val>
            <c:numRef>
              <c:f>'Pivot - pollutant totals'!$G$10</c:f>
              <c:numCache>
                <c:formatCode>General</c:formatCode>
                <c:ptCount val="1"/>
                <c:pt idx="0">
                  <c:v>1981.021</c:v>
                </c:pt>
              </c:numCache>
            </c:numRef>
          </c:val>
          <c:extLst>
            <c:ext xmlns:c16="http://schemas.microsoft.com/office/drawing/2014/chart" uri="{C3380CC4-5D6E-409C-BE32-E72D297353CC}">
              <c16:uniqueId val="{00000001-17F1-495E-8A00-C224BF863DF4}"/>
            </c:ext>
          </c:extLst>
        </c:ser>
        <c:ser>
          <c:idx val="6"/>
          <c:order val="6"/>
          <c:tx>
            <c:strRef>
              <c:f>'Pivot - pollutant totals'!$H$8:$H$9</c:f>
              <c:strCache>
                <c:ptCount val="1"/>
                <c:pt idx="0">
                  <c:v>Nitrogen oxides (expressed as nitrogen dioxide)</c:v>
                </c:pt>
              </c:strCache>
            </c:strRef>
          </c:tx>
          <c:spPr>
            <a:solidFill>
              <a:schemeClr val="accent1">
                <a:lumMod val="60000"/>
              </a:schemeClr>
            </a:solidFill>
            <a:ln>
              <a:noFill/>
            </a:ln>
            <a:effectLst/>
          </c:spPr>
          <c:invertIfNegative val="0"/>
          <c:cat>
            <c:strRef>
              <c:f>'Pivot - pollutant totals'!$A$10</c:f>
              <c:strCache>
                <c:ptCount val="1"/>
                <c:pt idx="0">
                  <c:v>Total</c:v>
                </c:pt>
              </c:strCache>
            </c:strRef>
          </c:cat>
          <c:val>
            <c:numRef>
              <c:f>'Pivot - pollutant totals'!$H$10</c:f>
              <c:numCache>
                <c:formatCode>General</c:formatCode>
                <c:ptCount val="1"/>
                <c:pt idx="0">
                  <c:v>2441.3805000000002</c:v>
                </c:pt>
              </c:numCache>
            </c:numRef>
          </c:val>
          <c:extLst>
            <c:ext xmlns:c16="http://schemas.microsoft.com/office/drawing/2014/chart" uri="{C3380CC4-5D6E-409C-BE32-E72D297353CC}">
              <c16:uniqueId val="{00000002-17F1-495E-8A00-C224BF863DF4}"/>
            </c:ext>
          </c:extLst>
        </c:ser>
        <c:ser>
          <c:idx val="7"/>
          <c:order val="7"/>
          <c:tx>
            <c:strRef>
              <c:f>'Pivot - pollutant totals'!$I$8:$I$9</c:f>
              <c:strCache>
                <c:ptCount val="1"/>
                <c:pt idx="0">
                  <c:v>Total particulate matter</c:v>
                </c:pt>
              </c:strCache>
            </c:strRef>
          </c:tx>
          <c:spPr>
            <a:solidFill>
              <a:schemeClr val="accent2">
                <a:lumMod val="60000"/>
              </a:schemeClr>
            </a:solidFill>
            <a:ln>
              <a:noFill/>
            </a:ln>
            <a:effectLst/>
          </c:spPr>
          <c:invertIfNegative val="0"/>
          <c:cat>
            <c:strRef>
              <c:f>'Pivot - pollutant totals'!$A$10</c:f>
              <c:strCache>
                <c:ptCount val="1"/>
                <c:pt idx="0">
                  <c:v>Total</c:v>
                </c:pt>
              </c:strCache>
            </c:strRef>
          </c:cat>
          <c:val>
            <c:numRef>
              <c:f>'Pivot - pollutant totals'!$I$10</c:f>
              <c:numCache>
                <c:formatCode>General</c:formatCode>
                <c:ptCount val="1"/>
                <c:pt idx="0">
                  <c:v>2985.2160000000003</c:v>
                </c:pt>
              </c:numCache>
            </c:numRef>
          </c:val>
          <c:extLst>
            <c:ext xmlns:c16="http://schemas.microsoft.com/office/drawing/2014/chart" uri="{C3380CC4-5D6E-409C-BE32-E72D297353CC}">
              <c16:uniqueId val="{00000003-17F1-495E-8A00-C224BF863DF4}"/>
            </c:ext>
          </c:extLst>
        </c:ser>
        <c:ser>
          <c:idx val="8"/>
          <c:order val="8"/>
          <c:tx>
            <c:strRef>
              <c:f>'Pivot - pollutant totals'!$J$8:$J$9</c:f>
              <c:strCache>
                <c:ptCount val="1"/>
                <c:pt idx="0">
                  <c:v>Sulphur dioxide</c:v>
                </c:pt>
              </c:strCache>
            </c:strRef>
          </c:tx>
          <c:spPr>
            <a:solidFill>
              <a:schemeClr val="accent3">
                <a:lumMod val="60000"/>
              </a:schemeClr>
            </a:solidFill>
            <a:ln>
              <a:noFill/>
            </a:ln>
            <a:effectLst/>
          </c:spPr>
          <c:invertIfNegative val="0"/>
          <c:cat>
            <c:strRef>
              <c:f>'Pivot - pollutant totals'!$A$10</c:f>
              <c:strCache>
                <c:ptCount val="1"/>
                <c:pt idx="0">
                  <c:v>Total</c:v>
                </c:pt>
              </c:strCache>
            </c:strRef>
          </c:cat>
          <c:val>
            <c:numRef>
              <c:f>'Pivot - pollutant totals'!$J$10</c:f>
              <c:numCache>
                <c:formatCode>General</c:formatCode>
                <c:ptCount val="1"/>
                <c:pt idx="0">
                  <c:v>4857.1653999999999</c:v>
                </c:pt>
              </c:numCache>
            </c:numRef>
          </c:val>
          <c:extLst>
            <c:ext xmlns:c16="http://schemas.microsoft.com/office/drawing/2014/chart" uri="{C3380CC4-5D6E-409C-BE32-E72D297353CC}">
              <c16:uniqueId val="{00000004-17F1-495E-8A00-C224BF863DF4}"/>
            </c:ext>
          </c:extLst>
        </c:ser>
        <c:ser>
          <c:idx val="9"/>
          <c:order val="9"/>
          <c:tx>
            <c:strRef>
              <c:f>'Pivot - pollutant totals'!$K$8:$K$9</c:f>
              <c:strCache>
                <c:ptCount val="1"/>
                <c:pt idx="0">
                  <c:v>Carbon monoxide</c:v>
                </c:pt>
              </c:strCache>
            </c:strRef>
          </c:tx>
          <c:spPr>
            <a:solidFill>
              <a:schemeClr val="accent4">
                <a:lumMod val="60000"/>
              </a:schemeClr>
            </a:solidFill>
            <a:ln>
              <a:noFill/>
            </a:ln>
            <a:effectLst/>
          </c:spPr>
          <c:invertIfNegative val="0"/>
          <c:cat>
            <c:strRef>
              <c:f>'Pivot - pollutant totals'!$A$10</c:f>
              <c:strCache>
                <c:ptCount val="1"/>
                <c:pt idx="0">
                  <c:v>Total</c:v>
                </c:pt>
              </c:strCache>
            </c:strRef>
          </c:cat>
          <c:val>
            <c:numRef>
              <c:f>'Pivot - pollutant totals'!$K$10</c:f>
              <c:numCache>
                <c:formatCode>General</c:formatCode>
                <c:ptCount val="1"/>
                <c:pt idx="0">
                  <c:v>11499.049099999998</c:v>
                </c:pt>
              </c:numCache>
            </c:numRef>
          </c:val>
          <c:extLst>
            <c:ext xmlns:c16="http://schemas.microsoft.com/office/drawing/2014/chart" uri="{C3380CC4-5D6E-409C-BE32-E72D297353CC}">
              <c16:uniqueId val="{00000005-17F1-495E-8A00-C224BF863DF4}"/>
            </c:ext>
          </c:extLst>
        </c:ser>
        <c:dLbls>
          <c:showLegendKey val="0"/>
          <c:showVal val="0"/>
          <c:showCatName val="0"/>
          <c:showSerName val="0"/>
          <c:showPercent val="0"/>
          <c:showBubbleSize val="0"/>
        </c:dLbls>
        <c:gapWidth val="43"/>
        <c:axId val="1956447871"/>
        <c:axId val="1956448831"/>
      </c:barChart>
      <c:catAx>
        <c:axId val="1956447871"/>
        <c:scaling>
          <c:orientation val="minMax"/>
        </c:scaling>
        <c:delete val="1"/>
        <c:axPos val="l"/>
        <c:numFmt formatCode="General" sourceLinked="1"/>
        <c:majorTickMark val="out"/>
        <c:minorTickMark val="none"/>
        <c:tickLblPos val="nextTo"/>
        <c:crossAx val="1956448831"/>
        <c:crosses val="autoZero"/>
        <c:auto val="1"/>
        <c:lblAlgn val="ctr"/>
        <c:lblOffset val="100"/>
        <c:noMultiLvlLbl val="0"/>
      </c:catAx>
      <c:valAx>
        <c:axId val="19564488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300" b="0" i="0" u="none" strike="noStrike" kern="1200" baseline="0">
                    <a:solidFill>
                      <a:schemeClr val="tx1">
                        <a:lumMod val="65000"/>
                        <a:lumOff val="35000"/>
                      </a:schemeClr>
                    </a:solidFill>
                    <a:latin typeface="HP Simplified Light" panose="020B0404020204020204" pitchFamily="34" charset="0"/>
                    <a:ea typeface="+mn-ea"/>
                    <a:cs typeface="+mn-cs"/>
                  </a:defRPr>
                </a:pPr>
                <a:r>
                  <a:rPr lang="en-GB" sz="1300">
                    <a:latin typeface="HP Simplified Light" panose="020B0404020204020204" pitchFamily="34" charset="0"/>
                  </a:rPr>
                  <a:t>Quantity</a:t>
                </a:r>
                <a:r>
                  <a:rPr lang="en-GB" sz="1300" baseline="0">
                    <a:latin typeface="HP Simplified Light" panose="020B0404020204020204" pitchFamily="34" charset="0"/>
                  </a:rPr>
                  <a:t> (selected unit)</a:t>
                </a:r>
                <a:endParaRPr lang="en-GB" sz="1300">
                  <a:latin typeface="HP Simplified Light" panose="020B0404020204020204" pitchFamily="34" charset="0"/>
                </a:endParaRPr>
              </a:p>
            </c:rich>
          </c:tx>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HP Simplified Light" panose="020B0404020204020204" pitchFamily="34" charset="0"/>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HP Simplified Light" panose="020B0404020204020204" pitchFamily="34" charset="0"/>
                <a:ea typeface="+mn-ea"/>
                <a:cs typeface="+mn-cs"/>
              </a:defRPr>
            </a:pPr>
            <a:endParaRPr lang="en-US"/>
          </a:p>
        </c:txPr>
        <c:crossAx val="1956447871"/>
        <c:crosses val="autoZero"/>
        <c:crossBetween val="between"/>
      </c:valAx>
      <c:spPr>
        <a:noFill/>
        <a:ln>
          <a:noFill/>
        </a:ln>
        <a:effectLst/>
      </c:spPr>
    </c:plotArea>
    <c:legend>
      <c:legendPos val="r"/>
      <c:layout>
        <c:manualLayout>
          <c:xMode val="edge"/>
          <c:yMode val="edge"/>
          <c:x val="2.3417367359974722E-2"/>
          <c:y val="0.14698750065890184"/>
          <c:w val="0.33703074769237518"/>
          <c:h val="0.74151602329045863"/>
        </c:manualLayout>
      </c:layout>
      <c:overlay val="0"/>
      <c:spPr>
        <a:noFill/>
        <a:ln>
          <a:noFill/>
        </a:ln>
        <a:effectLst/>
      </c:spPr>
      <c:txPr>
        <a:bodyPr rot="0" spcFirstLastPara="1" vertOverflow="ellipsis" vert="horz" wrap="square" anchor="ctr" anchorCtr="0"/>
        <a:lstStyle/>
        <a:p>
          <a:pPr>
            <a:defRPr sz="1400" b="0" i="0" u="none" strike="noStrike" kern="1200" baseline="0">
              <a:ln>
                <a:noFill/>
              </a:ln>
              <a:solidFill>
                <a:sysClr val="windowText" lastClr="000000"/>
              </a:solidFill>
              <a:effectLst/>
              <a:latin typeface="HP Simplified Light" panose="020B04040202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[Facility pollutants (NPRI data excerpt) - Dashboard and pivot tables.xlsx]Pivot - provinces by year!PivotTable1</c:name>
    <c:fmtId val="9"/>
  </c:pivotSource>
  <c:chart>
    <c:title>
      <c:tx>
        <c:rich>
          <a:bodyPr rot="0" spcFirstLastPara="1" vertOverflow="ellipsis" vert="horz" wrap="square" anchor="ctr" anchorCtr="1"/>
          <a:lstStyle/>
          <a:p>
            <a:pPr>
              <a:defRPr sz="3100" b="0" i="0" u="none" strike="noStrike" kern="1200" spc="0" baseline="0">
                <a:solidFill>
                  <a:schemeClr val="tx1">
                    <a:lumMod val="65000"/>
                    <a:lumOff val="35000"/>
                  </a:schemeClr>
                </a:solidFill>
                <a:latin typeface="HP Simplified Light" panose="020B0404020204020204" pitchFamily="34" charset="0"/>
                <a:ea typeface="+mn-ea"/>
                <a:cs typeface="+mn-cs"/>
              </a:defRPr>
            </a:pPr>
            <a:r>
              <a:rPr lang="en-GB" sz="3100" b="0" i="0" u="none" strike="noStrike" kern="1200" spc="0" baseline="0">
                <a:solidFill>
                  <a:sysClr val="windowText" lastClr="000000">
                    <a:lumMod val="65000"/>
                    <a:lumOff val="35000"/>
                  </a:sysClr>
                </a:solidFill>
                <a:latin typeface="HP Simplified Light" panose="020B0404020204020204" pitchFamily="34" charset="0"/>
              </a:rPr>
              <a:t>Yearly p</a:t>
            </a:r>
            <a:r>
              <a:rPr lang="en-GB" sz="3100" b="0">
                <a:latin typeface="HP Simplified Light" panose="020B0404020204020204" pitchFamily="34" charset="0"/>
              </a:rPr>
              <a:t>rovincial</a:t>
            </a:r>
            <a:r>
              <a:rPr lang="en-GB" sz="3100" b="0" baseline="0">
                <a:latin typeface="HP Simplified Light" panose="020B0404020204020204" pitchFamily="34" charset="0"/>
              </a:rPr>
              <a:t> contributions</a:t>
            </a:r>
            <a:endParaRPr lang="en-GB" sz="3100" b="0">
              <a:latin typeface="HP Simplified Light" panose="020B0404020204020204" pitchFamily="34" charset="0"/>
            </a:endParaRPr>
          </a:p>
        </c:rich>
      </c:tx>
      <c:layout>
        <c:manualLayout>
          <c:xMode val="edge"/>
          <c:yMode val="edge"/>
          <c:x val="1.8834395734314793E-2"/>
          <c:y val="2.2386045494313212E-2"/>
        </c:manualLayout>
      </c:layout>
      <c:overlay val="0"/>
      <c:spPr>
        <a:noFill/>
        <a:ln>
          <a:noFill/>
        </a:ln>
        <a:effectLst/>
      </c:spPr>
      <c:txPr>
        <a:bodyPr rot="0" spcFirstLastPara="1" vertOverflow="ellipsis" vert="horz" wrap="square" anchor="ctr" anchorCtr="1"/>
        <a:lstStyle/>
        <a:p>
          <a:pPr>
            <a:defRPr sz="3100" b="0" i="0" u="none" strike="noStrike" kern="1200" spc="0" baseline="0">
              <a:solidFill>
                <a:schemeClr val="tx1">
                  <a:lumMod val="65000"/>
                  <a:lumOff val="35000"/>
                </a:schemeClr>
              </a:solidFill>
              <a:latin typeface="HP Simplified Light" panose="020B0404020204020204" pitchFamily="34" charset="0"/>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11868628511796E-2"/>
          <c:y val="0.17402399700037496"/>
          <c:w val="0.87723408043734441"/>
          <c:h val="0.70120434945631782"/>
        </c:manualLayout>
      </c:layout>
      <c:barChart>
        <c:barDir val="col"/>
        <c:grouping val="stacked"/>
        <c:varyColors val="0"/>
        <c:ser>
          <c:idx val="0"/>
          <c:order val="0"/>
          <c:tx>
            <c:strRef>
              <c:f>'Pivot - provinces by year'!$B$7:$B$8</c:f>
              <c:strCache>
                <c:ptCount val="1"/>
                <c:pt idx="0">
                  <c:v>SK</c:v>
                </c:pt>
              </c:strCache>
            </c:strRef>
          </c:tx>
          <c:spPr>
            <a:solidFill>
              <a:schemeClr val="accent6"/>
            </a:solidFill>
            <a:ln>
              <a:noFill/>
            </a:ln>
            <a:effectLst/>
          </c:spPr>
          <c:invertIfNegative val="0"/>
          <c:cat>
            <c:strRef>
              <c:f>'Pivot - provinces by year'!$A$9:$A$28</c:f>
              <c:strCache>
                <c:ptCount val="1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strCache>
            </c:strRef>
          </c:cat>
          <c:val>
            <c:numRef>
              <c:f>'Pivot - provinces by year'!$B$9:$B$28</c:f>
              <c:numCache>
                <c:formatCode>General</c:formatCode>
                <c:ptCount val="19"/>
                <c:pt idx="5">
                  <c:v>36</c:v>
                </c:pt>
                <c:pt idx="6">
                  <c:v>2692.1709999999998</c:v>
                </c:pt>
                <c:pt idx="7">
                  <c:v>0.26500000000000001</c:v>
                </c:pt>
                <c:pt idx="9">
                  <c:v>4090.73</c:v>
                </c:pt>
                <c:pt idx="10">
                  <c:v>14.016999999999999</c:v>
                </c:pt>
                <c:pt idx="11">
                  <c:v>3.2160000000000002</c:v>
                </c:pt>
                <c:pt idx="12">
                  <c:v>4.8000000000000001E-2</c:v>
                </c:pt>
                <c:pt idx="13">
                  <c:v>165.72800000000001</c:v>
                </c:pt>
                <c:pt idx="14">
                  <c:v>2.3449999999999998</c:v>
                </c:pt>
                <c:pt idx="15">
                  <c:v>7.2000000000000008E-2</c:v>
                </c:pt>
                <c:pt idx="16">
                  <c:v>10.916</c:v>
                </c:pt>
                <c:pt idx="17">
                  <c:v>17.843999999999998</c:v>
                </c:pt>
              </c:numCache>
            </c:numRef>
          </c:val>
          <c:extLst>
            <c:ext xmlns:c16="http://schemas.microsoft.com/office/drawing/2014/chart" uri="{C3380CC4-5D6E-409C-BE32-E72D297353CC}">
              <c16:uniqueId val="{00000000-73E3-4544-BD6C-F1847AD96DFF}"/>
            </c:ext>
          </c:extLst>
        </c:ser>
        <c:ser>
          <c:idx val="1"/>
          <c:order val="1"/>
          <c:tx>
            <c:strRef>
              <c:f>'Pivot - provinces by year'!$C$7:$C$8</c:f>
              <c:strCache>
                <c:ptCount val="1"/>
                <c:pt idx="0">
                  <c:v>QC</c:v>
                </c:pt>
              </c:strCache>
            </c:strRef>
          </c:tx>
          <c:spPr>
            <a:solidFill>
              <a:schemeClr val="accent5"/>
            </a:solidFill>
            <a:ln>
              <a:noFill/>
            </a:ln>
            <a:effectLst/>
          </c:spPr>
          <c:invertIfNegative val="0"/>
          <c:cat>
            <c:strRef>
              <c:f>'Pivot - provinces by year'!$A$9:$A$28</c:f>
              <c:strCache>
                <c:ptCount val="1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strCache>
            </c:strRef>
          </c:cat>
          <c:val>
            <c:numRef>
              <c:f>'Pivot - provinces by year'!$C$9:$C$28</c:f>
              <c:numCache>
                <c:formatCode>General</c:formatCode>
                <c:ptCount val="19"/>
                <c:pt idx="0">
                  <c:v>73.8</c:v>
                </c:pt>
                <c:pt idx="2">
                  <c:v>293.92499999999995</c:v>
                </c:pt>
                <c:pt idx="3">
                  <c:v>44.15</c:v>
                </c:pt>
                <c:pt idx="4">
                  <c:v>6.6000000000000003E-2</c:v>
                </c:pt>
                <c:pt idx="5">
                  <c:v>48.362000000000002</c:v>
                </c:pt>
                <c:pt idx="6">
                  <c:v>179.66300000000001</c:v>
                </c:pt>
                <c:pt idx="7">
                  <c:v>176.14500000000001</c:v>
                </c:pt>
                <c:pt idx="8">
                  <c:v>205.49299999999997</c:v>
                </c:pt>
                <c:pt idx="9">
                  <c:v>0.17400000000000002</c:v>
                </c:pt>
                <c:pt idx="10">
                  <c:v>156.21</c:v>
                </c:pt>
                <c:pt idx="11">
                  <c:v>4.8899999999999997</c:v>
                </c:pt>
                <c:pt idx="12">
                  <c:v>192.92400000000001</c:v>
                </c:pt>
                <c:pt idx="13">
                  <c:v>10.2006</c:v>
                </c:pt>
                <c:pt idx="14">
                  <c:v>61.393799999999999</c:v>
                </c:pt>
                <c:pt idx="15">
                  <c:v>10.231999999999999</c:v>
                </c:pt>
                <c:pt idx="16">
                  <c:v>18.178000000000001</c:v>
                </c:pt>
                <c:pt idx="17">
                  <c:v>716.99199999999996</c:v>
                </c:pt>
                <c:pt idx="18">
                  <c:v>36.473399999999998</c:v>
                </c:pt>
              </c:numCache>
            </c:numRef>
          </c:val>
          <c:extLst>
            <c:ext xmlns:c16="http://schemas.microsoft.com/office/drawing/2014/chart" uri="{C3380CC4-5D6E-409C-BE32-E72D297353CC}">
              <c16:uniqueId val="{0000014C-73E3-4544-BD6C-F1847AD96DFF}"/>
            </c:ext>
          </c:extLst>
        </c:ser>
        <c:ser>
          <c:idx val="2"/>
          <c:order val="2"/>
          <c:tx>
            <c:strRef>
              <c:f>'Pivot - provinces by year'!$D$7:$D$8</c:f>
              <c:strCache>
                <c:ptCount val="1"/>
                <c:pt idx="0">
                  <c:v>ON</c:v>
                </c:pt>
              </c:strCache>
            </c:strRef>
          </c:tx>
          <c:spPr>
            <a:solidFill>
              <a:schemeClr val="accent4"/>
            </a:solidFill>
            <a:ln>
              <a:noFill/>
            </a:ln>
            <a:effectLst/>
          </c:spPr>
          <c:invertIfNegative val="0"/>
          <c:cat>
            <c:strRef>
              <c:f>'Pivot - provinces by year'!$A$9:$A$28</c:f>
              <c:strCache>
                <c:ptCount val="1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strCache>
            </c:strRef>
          </c:cat>
          <c:val>
            <c:numRef>
              <c:f>'Pivot - provinces by year'!$D$9:$D$28</c:f>
              <c:numCache>
                <c:formatCode>General</c:formatCode>
                <c:ptCount val="19"/>
                <c:pt idx="0">
                  <c:v>0.24000000000000002</c:v>
                </c:pt>
                <c:pt idx="1">
                  <c:v>40.445</c:v>
                </c:pt>
                <c:pt idx="2">
                  <c:v>136.57899999999998</c:v>
                </c:pt>
                <c:pt idx="3">
                  <c:v>5.2</c:v>
                </c:pt>
                <c:pt idx="4">
                  <c:v>2.27</c:v>
                </c:pt>
                <c:pt idx="5">
                  <c:v>81.34899999999999</c:v>
                </c:pt>
                <c:pt idx="6">
                  <c:v>180.29500000000002</c:v>
                </c:pt>
                <c:pt idx="7">
                  <c:v>103.09699999999999</c:v>
                </c:pt>
                <c:pt idx="8">
                  <c:v>183.78300000000002</c:v>
                </c:pt>
                <c:pt idx="9">
                  <c:v>155.51299999999998</c:v>
                </c:pt>
                <c:pt idx="10">
                  <c:v>1282.7130000000002</c:v>
                </c:pt>
                <c:pt idx="11">
                  <c:v>58.948</c:v>
                </c:pt>
                <c:pt idx="12">
                  <c:v>9.7810000000000006</c:v>
                </c:pt>
                <c:pt idx="13">
                  <c:v>144.2319</c:v>
                </c:pt>
                <c:pt idx="14">
                  <c:v>124.70359999999999</c:v>
                </c:pt>
                <c:pt idx="15">
                  <c:v>109.911</c:v>
                </c:pt>
                <c:pt idx="16">
                  <c:v>4.7134</c:v>
                </c:pt>
                <c:pt idx="17">
                  <c:v>561.04600000000005</c:v>
                </c:pt>
                <c:pt idx="18">
                  <c:v>38.286200000000001</c:v>
                </c:pt>
              </c:numCache>
            </c:numRef>
          </c:val>
          <c:extLst>
            <c:ext xmlns:c16="http://schemas.microsoft.com/office/drawing/2014/chart" uri="{C3380CC4-5D6E-409C-BE32-E72D297353CC}">
              <c16:uniqueId val="{0000014D-73E3-4544-BD6C-F1847AD96DFF}"/>
            </c:ext>
          </c:extLst>
        </c:ser>
        <c:ser>
          <c:idx val="3"/>
          <c:order val="3"/>
          <c:tx>
            <c:strRef>
              <c:f>'Pivot - provinces by year'!$E$7:$E$8</c:f>
              <c:strCache>
                <c:ptCount val="1"/>
                <c:pt idx="0">
                  <c:v>BC</c:v>
                </c:pt>
              </c:strCache>
            </c:strRef>
          </c:tx>
          <c:spPr>
            <a:solidFill>
              <a:schemeClr val="accent6">
                <a:lumMod val="60000"/>
              </a:schemeClr>
            </a:solidFill>
            <a:ln>
              <a:noFill/>
            </a:ln>
            <a:effectLst/>
          </c:spPr>
          <c:invertIfNegative val="0"/>
          <c:cat>
            <c:strRef>
              <c:f>'Pivot - provinces by year'!$A$9:$A$28</c:f>
              <c:strCache>
                <c:ptCount val="1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strCache>
            </c:strRef>
          </c:cat>
          <c:val>
            <c:numRef>
              <c:f>'Pivot - provinces by year'!$E$9:$E$28</c:f>
              <c:numCache>
                <c:formatCode>General</c:formatCode>
                <c:ptCount val="19"/>
                <c:pt idx="0">
                  <c:v>1E-3</c:v>
                </c:pt>
                <c:pt idx="3">
                  <c:v>5.5270000000000001</c:v>
                </c:pt>
                <c:pt idx="4">
                  <c:v>0.1</c:v>
                </c:pt>
                <c:pt idx="5">
                  <c:v>6.8</c:v>
                </c:pt>
                <c:pt idx="6">
                  <c:v>0.64200000000000002</c:v>
                </c:pt>
                <c:pt idx="7">
                  <c:v>607.678</c:v>
                </c:pt>
                <c:pt idx="8">
                  <c:v>23.682000000000002</c:v>
                </c:pt>
                <c:pt idx="9">
                  <c:v>56.015000000000001</c:v>
                </c:pt>
                <c:pt idx="10">
                  <c:v>7807.7540000000008</c:v>
                </c:pt>
                <c:pt idx="11">
                  <c:v>221.26900000000001</c:v>
                </c:pt>
                <c:pt idx="12">
                  <c:v>1.702</c:v>
                </c:pt>
                <c:pt idx="14">
                  <c:v>36.956299999999999</c:v>
                </c:pt>
                <c:pt idx="15">
                  <c:v>42.347000000000001</c:v>
                </c:pt>
                <c:pt idx="16">
                  <c:v>43.150199999999998</c:v>
                </c:pt>
                <c:pt idx="17">
                  <c:v>2796.9210000000003</c:v>
                </c:pt>
                <c:pt idx="18">
                  <c:v>158.97630000000001</c:v>
                </c:pt>
              </c:numCache>
            </c:numRef>
          </c:val>
          <c:extLst>
            <c:ext xmlns:c16="http://schemas.microsoft.com/office/drawing/2014/chart" uri="{C3380CC4-5D6E-409C-BE32-E72D297353CC}">
              <c16:uniqueId val="{00000001-4A59-4304-9ACD-38E04D402534}"/>
            </c:ext>
          </c:extLst>
        </c:ser>
        <c:ser>
          <c:idx val="4"/>
          <c:order val="4"/>
          <c:tx>
            <c:strRef>
              <c:f>'Pivot - provinces by year'!$F$7:$F$8</c:f>
              <c:strCache>
                <c:ptCount val="1"/>
                <c:pt idx="0">
                  <c:v>AB</c:v>
                </c:pt>
              </c:strCache>
            </c:strRef>
          </c:tx>
          <c:spPr>
            <a:solidFill>
              <a:schemeClr val="accent5">
                <a:lumMod val="60000"/>
              </a:schemeClr>
            </a:solidFill>
            <a:ln>
              <a:noFill/>
            </a:ln>
            <a:effectLst/>
          </c:spPr>
          <c:invertIfNegative val="0"/>
          <c:cat>
            <c:strRef>
              <c:f>'Pivot - provinces by year'!$A$9:$A$28</c:f>
              <c:strCache>
                <c:ptCount val="1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strCache>
            </c:strRef>
          </c:cat>
          <c:val>
            <c:numRef>
              <c:f>'Pivot - provinces by year'!$F$9:$F$28</c:f>
              <c:numCache>
                <c:formatCode>General</c:formatCode>
                <c:ptCount val="19"/>
                <c:pt idx="0">
                  <c:v>1.41</c:v>
                </c:pt>
                <c:pt idx="1">
                  <c:v>6.7530000000000001</c:v>
                </c:pt>
                <c:pt idx="2">
                  <c:v>0.53500000000000003</c:v>
                </c:pt>
                <c:pt idx="3">
                  <c:v>56.384</c:v>
                </c:pt>
                <c:pt idx="5">
                  <c:v>0.69800000000000006</c:v>
                </c:pt>
                <c:pt idx="6">
                  <c:v>105.59599999999999</c:v>
                </c:pt>
                <c:pt idx="7">
                  <c:v>312.685</c:v>
                </c:pt>
                <c:pt idx="8">
                  <c:v>256.32700000000006</c:v>
                </c:pt>
                <c:pt idx="9">
                  <c:v>5.6020000000000003</c:v>
                </c:pt>
                <c:pt idx="10">
                  <c:v>446.01400000000001</c:v>
                </c:pt>
                <c:pt idx="11">
                  <c:v>134.74799999999999</c:v>
                </c:pt>
                <c:pt idx="12">
                  <c:v>374.26400000000001</c:v>
                </c:pt>
                <c:pt idx="13">
                  <c:v>27.622600000000002</c:v>
                </c:pt>
                <c:pt idx="14">
                  <c:v>162.81470000000002</c:v>
                </c:pt>
                <c:pt idx="15">
                  <c:v>1168.3631</c:v>
                </c:pt>
                <c:pt idx="16">
                  <c:v>72.082499999999982</c:v>
                </c:pt>
                <c:pt idx="17">
                  <c:v>23.364999999999998</c:v>
                </c:pt>
                <c:pt idx="18">
                  <c:v>151.39050000000003</c:v>
                </c:pt>
              </c:numCache>
            </c:numRef>
          </c:val>
          <c:extLst>
            <c:ext xmlns:c16="http://schemas.microsoft.com/office/drawing/2014/chart" uri="{C3380CC4-5D6E-409C-BE32-E72D297353CC}">
              <c16:uniqueId val="{00000001-42CC-4892-B702-2FDE7C969C70}"/>
            </c:ext>
          </c:extLst>
        </c:ser>
        <c:dLbls>
          <c:showLegendKey val="0"/>
          <c:showVal val="0"/>
          <c:showCatName val="0"/>
          <c:showSerName val="0"/>
          <c:showPercent val="0"/>
          <c:showBubbleSize val="0"/>
        </c:dLbls>
        <c:gapWidth val="43"/>
        <c:overlap val="100"/>
        <c:axId val="1956447871"/>
        <c:axId val="1956448831"/>
      </c:barChart>
      <c:catAx>
        <c:axId val="195644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HP Simplified Light" panose="020B0404020204020204" pitchFamily="34" charset="0"/>
                <a:ea typeface="+mn-ea"/>
                <a:cs typeface="+mn-cs"/>
              </a:defRPr>
            </a:pPr>
            <a:endParaRPr lang="en-US"/>
          </a:p>
        </c:txPr>
        <c:crossAx val="1956448831"/>
        <c:crosses val="autoZero"/>
        <c:auto val="1"/>
        <c:lblAlgn val="ctr"/>
        <c:lblOffset val="100"/>
        <c:noMultiLvlLbl val="0"/>
      </c:catAx>
      <c:valAx>
        <c:axId val="1956448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300" b="0" i="0" u="none" strike="noStrike" kern="1200" baseline="0">
                    <a:solidFill>
                      <a:sysClr val="windowText" lastClr="000000">
                        <a:lumMod val="65000"/>
                        <a:lumOff val="35000"/>
                      </a:sysClr>
                    </a:solidFill>
                    <a:latin typeface="HP Simplified Light" panose="020B0404020204020204" pitchFamily="34" charset="0"/>
                  </a:rPr>
                  <a:t>Quantity (selected unit)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HP Simplified Light" panose="020B0404020204020204" pitchFamily="34" charset="0"/>
                <a:ea typeface="+mn-ea"/>
                <a:cs typeface="+mn-cs"/>
              </a:defRPr>
            </a:pPr>
            <a:endParaRPr lang="en-US"/>
          </a:p>
        </c:txPr>
        <c:crossAx val="1956447871"/>
        <c:crosses val="autoZero"/>
        <c:crossBetween val="between"/>
      </c:valAx>
      <c:spPr>
        <a:noFill/>
        <a:ln>
          <a:noFill/>
        </a:ln>
        <a:effectLst/>
      </c:spPr>
    </c:plotArea>
    <c:legend>
      <c:legendPos val="r"/>
      <c:layout>
        <c:manualLayout>
          <c:xMode val="edge"/>
          <c:yMode val="edge"/>
          <c:x val="0.94881038260428119"/>
          <c:y val="7.5480524934383189E-2"/>
          <c:w val="2.9156377351093582E-2"/>
          <c:h val="0.2942341207349081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HP Simplified Light" panose="020B04040202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[Facility pollutants (NPRI data excerpt) - Dashboard and pivot tables.xlsx]Pivot - quantity by method!PivotTable1</c:name>
    <c:fmtId val="11"/>
  </c:pivotSource>
  <c:chart>
    <c:title>
      <c:tx>
        <c:rich>
          <a:bodyPr rot="0" spcFirstLastPara="1" vertOverflow="ellipsis" vert="horz" wrap="square" anchor="ctr" anchorCtr="1"/>
          <a:lstStyle/>
          <a:p>
            <a:pPr>
              <a:defRPr sz="3100" b="0" i="0" u="none" strike="noStrike" kern="1200" spc="0" baseline="0">
                <a:solidFill>
                  <a:schemeClr val="tx1">
                    <a:lumMod val="65000"/>
                    <a:lumOff val="35000"/>
                  </a:schemeClr>
                </a:solidFill>
                <a:latin typeface="HP Simplified Light" panose="020B0404020204020204" pitchFamily="34" charset="0"/>
                <a:ea typeface="+mn-ea"/>
                <a:cs typeface="+mn-cs"/>
              </a:defRPr>
            </a:pPr>
            <a:r>
              <a:rPr lang="en-GB" sz="3100" b="0">
                <a:latin typeface="HP Simplified Light" panose="020B0404020204020204" pitchFamily="34" charset="0"/>
              </a:rPr>
              <a:t>Processing methods</a:t>
            </a:r>
          </a:p>
        </c:rich>
      </c:tx>
      <c:layout>
        <c:manualLayout>
          <c:xMode val="edge"/>
          <c:yMode val="edge"/>
          <c:x val="4.9990759975881802E-2"/>
          <c:y val="3.7333341172355101E-2"/>
        </c:manualLayout>
      </c:layout>
      <c:overlay val="0"/>
      <c:spPr>
        <a:noFill/>
        <a:ln>
          <a:noFill/>
        </a:ln>
        <a:effectLst/>
      </c:spPr>
      <c:txPr>
        <a:bodyPr rot="0" spcFirstLastPara="1" vertOverflow="ellipsis" vert="horz" wrap="square" anchor="ctr" anchorCtr="1"/>
        <a:lstStyle/>
        <a:p>
          <a:pPr>
            <a:defRPr sz="3100" b="0" i="0" u="none" strike="noStrike" kern="1200" spc="0" baseline="0">
              <a:solidFill>
                <a:schemeClr val="tx1">
                  <a:lumMod val="65000"/>
                  <a:lumOff val="35000"/>
                </a:schemeClr>
              </a:solidFill>
              <a:latin typeface="HP Simplified Light" panose="020B0404020204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dLbl>
          <c:idx val="0"/>
          <c:showLegendKey val="0"/>
          <c:showVal val="0"/>
          <c:showCatName val="0"/>
          <c:showSerName val="0"/>
          <c:showPercent val="0"/>
          <c:showBubbleSize val="0"/>
          <c:extLst>
            <c:ext xmlns:c15="http://schemas.microsoft.com/office/drawing/2012/chart" uri="{CE6537A1-D6FC-4f65-9D91-7224C49458BB}"/>
          </c:extLst>
        </c:dLbl>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dLbl>
          <c:idx val="0"/>
          <c:showLegendKey val="0"/>
          <c:showVal val="0"/>
          <c:showCatName val="0"/>
          <c:showSerName val="0"/>
          <c:showPercent val="0"/>
          <c:showBubbleSize val="0"/>
          <c:extLst>
            <c:ext xmlns:c15="http://schemas.microsoft.com/office/drawing/2012/chart" uri="{CE6537A1-D6FC-4f65-9D91-7224C49458BB}"/>
          </c:extLst>
        </c:dLbl>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dLbl>
          <c:idx val="0"/>
          <c:showLegendKey val="0"/>
          <c:showVal val="0"/>
          <c:showCatName val="0"/>
          <c:showSerName val="0"/>
          <c:showPercent val="0"/>
          <c:showBubbleSize val="0"/>
          <c:extLst>
            <c:ext xmlns:c15="http://schemas.microsoft.com/office/drawing/2012/chart" uri="{CE6537A1-D6FC-4f65-9D91-7224C49458BB}"/>
          </c:extLst>
        </c:dLbl>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dLbl>
          <c:idx val="0"/>
          <c:showLegendKey val="0"/>
          <c:showVal val="0"/>
          <c:showCatName val="0"/>
          <c:showSerName val="0"/>
          <c:showPercent val="0"/>
          <c:showBubbleSize val="0"/>
          <c:extLst>
            <c:ext xmlns:c15="http://schemas.microsoft.com/office/drawing/2012/chart" uri="{CE6537A1-D6FC-4f65-9D91-7224C49458BB}"/>
          </c:extLst>
        </c:dLbl>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dLbl>
          <c:idx val="0"/>
          <c:showLegendKey val="0"/>
          <c:showVal val="0"/>
          <c:showCatName val="0"/>
          <c:showSerName val="0"/>
          <c:showPercent val="0"/>
          <c:showBubbleSize val="0"/>
          <c:extLst>
            <c:ext xmlns:c15="http://schemas.microsoft.com/office/drawing/2012/chart" uri="{CE6537A1-D6FC-4f65-9D91-7224C49458BB}"/>
          </c:extLst>
        </c:dLbl>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dLbl>
          <c:idx val="0"/>
          <c:showLegendKey val="0"/>
          <c:showVal val="0"/>
          <c:showCatName val="0"/>
          <c:showSerName val="0"/>
          <c:showPercent val="0"/>
          <c:showBubbleSize val="0"/>
          <c:extLst>
            <c:ext xmlns:c15="http://schemas.microsoft.com/office/drawing/2012/chart" uri="{CE6537A1-D6FC-4f65-9D91-7224C49458BB}"/>
          </c:extLst>
        </c:dLbl>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dLbl>
          <c:idx val="0"/>
          <c:showLegendKey val="0"/>
          <c:showVal val="0"/>
          <c:showCatName val="0"/>
          <c:showSerName val="0"/>
          <c:showPercent val="0"/>
          <c:showBubbleSize val="0"/>
          <c:extLst>
            <c:ext xmlns:c15="http://schemas.microsoft.com/office/drawing/2012/chart" uri="{CE6537A1-D6FC-4f65-9D91-7224C49458BB}"/>
          </c:extLst>
        </c:dLbl>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dLbl>
          <c:idx val="0"/>
          <c:showLegendKey val="0"/>
          <c:showVal val="0"/>
          <c:showCatName val="0"/>
          <c:showSerName val="0"/>
          <c:showPercent val="0"/>
          <c:showBubbleSize val="0"/>
          <c:extLst>
            <c:ext xmlns:c15="http://schemas.microsoft.com/office/drawing/2012/chart" uri="{CE6537A1-D6FC-4f65-9D91-7224C49458BB}"/>
          </c:extLst>
        </c:dLbl>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dLbl>
          <c:idx val="0"/>
          <c:showLegendKey val="0"/>
          <c:showVal val="0"/>
          <c:showCatName val="0"/>
          <c:showSerName val="0"/>
          <c:showPercent val="0"/>
          <c:showBubbleSize val="0"/>
          <c:extLst>
            <c:ext xmlns:c15="http://schemas.microsoft.com/office/drawing/2012/chart" uri="{CE6537A1-D6FC-4f65-9D91-7224C49458BB}"/>
          </c:extLst>
        </c:dLbl>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dLbl>
          <c:idx val="0"/>
          <c:showLegendKey val="0"/>
          <c:showVal val="0"/>
          <c:showCatName val="0"/>
          <c:showSerName val="0"/>
          <c:showPercent val="0"/>
          <c:showBubbleSize val="0"/>
          <c:extLst>
            <c:ext xmlns:c15="http://schemas.microsoft.com/office/drawing/2012/chart" uri="{CE6537A1-D6FC-4f65-9D91-7224C49458BB}"/>
          </c:extLst>
        </c:dLbl>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dLbl>
          <c:idx val="0"/>
          <c:showLegendKey val="0"/>
          <c:showVal val="0"/>
          <c:showCatName val="0"/>
          <c:showSerName val="0"/>
          <c:showPercent val="0"/>
          <c:showBubbleSize val="0"/>
          <c:extLst>
            <c:ext xmlns:c15="http://schemas.microsoft.com/office/drawing/2012/chart" uri="{CE6537A1-D6FC-4f65-9D91-7224C49458BB}"/>
          </c:extLst>
        </c:dLbl>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dLbl>
          <c:idx val="0"/>
          <c:showLegendKey val="0"/>
          <c:showVal val="0"/>
          <c:showCatName val="0"/>
          <c:showSerName val="0"/>
          <c:showPercent val="0"/>
          <c:showBubbleSize val="0"/>
          <c:extLst>
            <c:ext xmlns:c15="http://schemas.microsoft.com/office/drawing/2012/chart" uri="{CE6537A1-D6FC-4f65-9D91-7224C49458BB}"/>
          </c:extLst>
        </c:dLbl>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dLbl>
          <c:idx val="0"/>
          <c:showLegendKey val="0"/>
          <c:showVal val="0"/>
          <c:showCatName val="0"/>
          <c:showSerName val="0"/>
          <c:showPercent val="0"/>
          <c:showBubbleSize val="0"/>
          <c:extLst>
            <c:ext xmlns:c15="http://schemas.microsoft.com/office/drawing/2012/chart" uri="{CE6537A1-D6FC-4f65-9D91-7224C49458BB}"/>
          </c:extLst>
        </c:dLbl>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dLbl>
          <c:idx val="0"/>
          <c:showLegendKey val="0"/>
          <c:showVal val="0"/>
          <c:showCatName val="0"/>
          <c:showSerName val="0"/>
          <c:showPercent val="0"/>
          <c:showBubbleSize val="0"/>
          <c:extLst>
            <c:ext xmlns:c15="http://schemas.microsoft.com/office/drawing/2012/chart" uri="{CE6537A1-D6FC-4f65-9D91-7224C49458BB}"/>
          </c:extLst>
        </c:dLbl>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dLbl>
          <c:idx val="0"/>
          <c:showLegendKey val="0"/>
          <c:showVal val="0"/>
          <c:showCatName val="0"/>
          <c:showSerName val="0"/>
          <c:showPercent val="0"/>
          <c:showBubbleSize val="0"/>
          <c:extLst>
            <c:ext xmlns:c15="http://schemas.microsoft.com/office/drawing/2012/chart" uri="{CE6537A1-D6FC-4f65-9D91-7224C49458BB}"/>
          </c:extLst>
        </c:dLbl>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dLbl>
          <c:idx val="0"/>
          <c:showLegendKey val="0"/>
          <c:showVal val="0"/>
          <c:showCatName val="0"/>
          <c:showSerName val="0"/>
          <c:showPercent val="0"/>
          <c:showBubbleSize val="0"/>
          <c:extLst>
            <c:ext xmlns:c15="http://schemas.microsoft.com/office/drawing/2012/chart" uri="{CE6537A1-D6FC-4f65-9D91-7224C49458BB}"/>
          </c:extLst>
        </c:dLbl>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dLbl>
          <c:idx val="0"/>
          <c:showLegendKey val="0"/>
          <c:showVal val="0"/>
          <c:showCatName val="0"/>
          <c:showSerName val="0"/>
          <c:showPercent val="0"/>
          <c:showBubbleSize val="0"/>
          <c:extLst>
            <c:ext xmlns:c15="http://schemas.microsoft.com/office/drawing/2012/chart" uri="{CE6537A1-D6FC-4f65-9D91-7224C49458BB}"/>
          </c:extLst>
        </c:dLbl>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dLbl>
          <c:idx val="0"/>
          <c:showLegendKey val="0"/>
          <c:showVal val="0"/>
          <c:showCatName val="0"/>
          <c:showSerName val="0"/>
          <c:showPercent val="0"/>
          <c:showBubbleSize val="0"/>
          <c:extLst>
            <c:ext xmlns:c15="http://schemas.microsoft.com/office/drawing/2012/chart" uri="{CE6537A1-D6FC-4f65-9D91-7224C49458BB}"/>
          </c:extLst>
        </c:dLbl>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dLbl>
          <c:idx val="0"/>
          <c:showLegendKey val="0"/>
          <c:showVal val="0"/>
          <c:showCatName val="0"/>
          <c:showSerName val="0"/>
          <c:showPercent val="0"/>
          <c:showBubbleSize val="0"/>
          <c:extLst>
            <c:ext xmlns:c15="http://schemas.microsoft.com/office/drawing/2012/chart" uri="{CE6537A1-D6FC-4f65-9D91-7224C49458BB}"/>
          </c:extLst>
        </c:dLbl>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dLbl>
          <c:idx val="0"/>
          <c:showLegendKey val="0"/>
          <c:showVal val="0"/>
          <c:showCatName val="0"/>
          <c:showSerName val="0"/>
          <c:showPercent val="0"/>
          <c:showBubbleSize val="0"/>
          <c:extLst>
            <c:ext xmlns:c15="http://schemas.microsoft.com/office/drawing/2012/chart" uri="{CE6537A1-D6FC-4f65-9D91-7224C49458BB}"/>
          </c:extLst>
        </c:dLbl>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dLbl>
          <c:idx val="0"/>
          <c:showLegendKey val="0"/>
          <c:showVal val="0"/>
          <c:showCatName val="0"/>
          <c:showSerName val="0"/>
          <c:showPercent val="0"/>
          <c:showBubbleSize val="0"/>
          <c:extLst>
            <c:ext xmlns:c15="http://schemas.microsoft.com/office/drawing/2012/chart" uri="{CE6537A1-D6FC-4f65-9D91-7224C49458BB}"/>
          </c:extLst>
        </c:dLbl>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dLbl>
          <c:idx val="0"/>
          <c:showLegendKey val="0"/>
          <c:showVal val="0"/>
          <c:showCatName val="0"/>
          <c:showSerName val="0"/>
          <c:showPercent val="0"/>
          <c:showBubbleSize val="0"/>
          <c:extLst>
            <c:ext xmlns:c15="http://schemas.microsoft.com/office/drawing/2012/chart" uri="{CE6537A1-D6FC-4f65-9D91-7224C49458BB}"/>
          </c:extLst>
        </c:dLbl>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dLbl>
          <c:idx val="0"/>
          <c:showLegendKey val="0"/>
          <c:showVal val="0"/>
          <c:showCatName val="0"/>
          <c:showSerName val="0"/>
          <c:showPercent val="0"/>
          <c:showBubbleSize val="0"/>
          <c:extLst>
            <c:ext xmlns:c15="http://schemas.microsoft.com/office/drawing/2012/chart" uri="{CE6537A1-D6FC-4f65-9D91-7224C49458BB}"/>
          </c:extLst>
        </c:dLbl>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dLbl>
          <c:idx val="0"/>
          <c:showLegendKey val="0"/>
          <c:showVal val="0"/>
          <c:showCatName val="0"/>
          <c:showSerName val="0"/>
          <c:showPercent val="0"/>
          <c:showBubbleSize val="0"/>
          <c:extLst>
            <c:ext xmlns:c15="http://schemas.microsoft.com/office/drawing/2012/chart" uri="{CE6537A1-D6FC-4f65-9D91-7224C49458BB}"/>
          </c:extLst>
        </c:dLbl>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dLbl>
          <c:idx val="0"/>
          <c:showLegendKey val="0"/>
          <c:showVal val="0"/>
          <c:showCatName val="0"/>
          <c:showSerName val="0"/>
          <c:showPercent val="0"/>
          <c:showBubbleSize val="0"/>
          <c:extLst>
            <c:ext xmlns:c15="http://schemas.microsoft.com/office/drawing/2012/chart" uri="{CE6537A1-D6FC-4f65-9D91-7224C49458BB}"/>
          </c:extLst>
        </c:dLbl>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dLbl>
          <c:idx val="0"/>
          <c:showLegendKey val="0"/>
          <c:showVal val="0"/>
          <c:showCatName val="0"/>
          <c:showSerName val="0"/>
          <c:showPercent val="0"/>
          <c:showBubbleSize val="0"/>
          <c:extLst>
            <c:ext xmlns:c15="http://schemas.microsoft.com/office/drawing/2012/chart" uri="{CE6537A1-D6FC-4f65-9D91-7224C49458BB}"/>
          </c:extLst>
        </c:dLbl>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dLbl>
          <c:idx val="0"/>
          <c:showLegendKey val="0"/>
          <c:showVal val="0"/>
          <c:showCatName val="0"/>
          <c:showSerName val="0"/>
          <c:showPercent val="0"/>
          <c:showBubbleSize val="0"/>
          <c:extLst>
            <c:ext xmlns:c15="http://schemas.microsoft.com/office/drawing/2012/chart" uri="{CE6537A1-D6FC-4f65-9D91-7224C49458BB}"/>
          </c:extLst>
        </c:dLbl>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dLbl>
          <c:idx val="0"/>
          <c:showLegendKey val="0"/>
          <c:showVal val="0"/>
          <c:showCatName val="0"/>
          <c:showSerName val="0"/>
          <c:showPercent val="0"/>
          <c:showBubbleSize val="0"/>
          <c:extLst>
            <c:ext xmlns:c15="http://schemas.microsoft.com/office/drawing/2012/chart" uri="{CE6537A1-D6FC-4f65-9D91-7224C49458BB}"/>
          </c:extLst>
        </c:dLbl>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dLbl>
          <c:idx val="0"/>
          <c:showLegendKey val="0"/>
          <c:showVal val="0"/>
          <c:showCatName val="0"/>
          <c:showSerName val="0"/>
          <c:showPercent val="0"/>
          <c:showBubbleSize val="0"/>
          <c:extLst>
            <c:ext xmlns:c15="http://schemas.microsoft.com/office/drawing/2012/chart" uri="{CE6537A1-D6FC-4f65-9D91-7224C49458BB}"/>
          </c:extLst>
        </c:dLbl>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dLbl>
          <c:idx val="0"/>
          <c:showLegendKey val="0"/>
          <c:showVal val="0"/>
          <c:showCatName val="0"/>
          <c:showSerName val="0"/>
          <c:showPercent val="0"/>
          <c:showBubbleSize val="0"/>
          <c:extLst>
            <c:ext xmlns:c15="http://schemas.microsoft.com/office/drawing/2012/chart" uri="{CE6537A1-D6FC-4f65-9D91-7224C49458BB}"/>
          </c:extLst>
        </c:dLbl>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dLbl>
          <c:idx val="0"/>
          <c:showLegendKey val="0"/>
          <c:showVal val="0"/>
          <c:showCatName val="0"/>
          <c:showSerName val="0"/>
          <c:showPercent val="0"/>
          <c:showBubbleSize val="0"/>
          <c:extLst>
            <c:ext xmlns:c15="http://schemas.microsoft.com/office/drawing/2012/chart" uri="{CE6537A1-D6FC-4f65-9D91-7224C49458BB}"/>
          </c:extLst>
        </c:dLbl>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dLbl>
          <c:idx val="0"/>
          <c:showLegendKey val="0"/>
          <c:showVal val="0"/>
          <c:showCatName val="0"/>
          <c:showSerName val="0"/>
          <c:showPercent val="0"/>
          <c:showBubbleSize val="0"/>
          <c:extLst>
            <c:ext xmlns:c15="http://schemas.microsoft.com/office/drawing/2012/chart" uri="{CE6537A1-D6FC-4f65-9D91-7224C49458BB}"/>
          </c:extLst>
        </c:dLbl>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dLbl>
          <c:idx val="0"/>
          <c:showLegendKey val="0"/>
          <c:showVal val="0"/>
          <c:showCatName val="0"/>
          <c:showSerName val="0"/>
          <c:showPercent val="0"/>
          <c:showBubbleSize val="0"/>
          <c:extLst>
            <c:ext xmlns:c15="http://schemas.microsoft.com/office/drawing/2012/chart" uri="{CE6537A1-D6FC-4f65-9D91-7224C49458BB}"/>
          </c:extLst>
        </c:dLbl>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dLbl>
          <c:idx val="0"/>
          <c:showLegendKey val="0"/>
          <c:showVal val="0"/>
          <c:showCatName val="0"/>
          <c:showSerName val="0"/>
          <c:showPercent val="0"/>
          <c:showBubbleSize val="0"/>
          <c:extLst>
            <c:ext xmlns:c15="http://schemas.microsoft.com/office/drawing/2012/chart" uri="{CE6537A1-D6FC-4f65-9D91-7224C49458BB}"/>
          </c:extLst>
        </c:dLbl>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dLbl>
          <c:idx val="0"/>
          <c:showLegendKey val="0"/>
          <c:showVal val="0"/>
          <c:showCatName val="0"/>
          <c:showSerName val="0"/>
          <c:showPercent val="0"/>
          <c:showBubbleSize val="0"/>
          <c:extLst>
            <c:ext xmlns:c15="http://schemas.microsoft.com/office/drawing/2012/chart" uri="{CE6537A1-D6FC-4f65-9D91-7224C49458BB}"/>
          </c:extLst>
        </c:dLbl>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dLbl>
          <c:idx val="0"/>
          <c:showLegendKey val="0"/>
          <c:showVal val="0"/>
          <c:showCatName val="0"/>
          <c:showSerName val="0"/>
          <c:showPercent val="0"/>
          <c:showBubbleSize val="0"/>
          <c:extLst>
            <c:ext xmlns:c15="http://schemas.microsoft.com/office/drawing/2012/chart" uri="{CE6537A1-D6FC-4f65-9D91-7224C49458BB}"/>
          </c:extLst>
        </c:dLbl>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dLbl>
          <c:idx val="0"/>
          <c:showLegendKey val="0"/>
          <c:showVal val="0"/>
          <c:showCatName val="0"/>
          <c:showSerName val="0"/>
          <c:showPercent val="0"/>
          <c:showBubbleSize val="0"/>
          <c:extLst>
            <c:ext xmlns:c15="http://schemas.microsoft.com/office/drawing/2012/chart" uri="{CE6537A1-D6FC-4f65-9D91-7224C49458BB}"/>
          </c:extLst>
        </c:dLbl>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dLbl>
          <c:idx val="0"/>
          <c:showLegendKey val="0"/>
          <c:showVal val="0"/>
          <c:showCatName val="0"/>
          <c:showSerName val="0"/>
          <c:showPercent val="0"/>
          <c:showBubbleSize val="0"/>
          <c:extLst>
            <c:ext xmlns:c15="http://schemas.microsoft.com/office/drawing/2012/chart" uri="{CE6537A1-D6FC-4f65-9D91-7224C49458BB}"/>
          </c:extLst>
        </c:dLbl>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dLbl>
          <c:idx val="0"/>
          <c:showLegendKey val="0"/>
          <c:showVal val="0"/>
          <c:showCatName val="0"/>
          <c:showSerName val="0"/>
          <c:showPercent val="0"/>
          <c:showBubbleSize val="0"/>
          <c:extLst>
            <c:ext xmlns:c15="http://schemas.microsoft.com/office/drawing/2012/chart" uri="{CE6537A1-D6FC-4f65-9D91-7224C49458BB}"/>
          </c:extLst>
        </c:dLbl>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dLbl>
          <c:idx val="0"/>
          <c:showLegendKey val="0"/>
          <c:showVal val="0"/>
          <c:showCatName val="0"/>
          <c:showSerName val="0"/>
          <c:showPercent val="0"/>
          <c:showBubbleSize val="0"/>
          <c:extLst>
            <c:ext xmlns:c15="http://schemas.microsoft.com/office/drawing/2012/chart" uri="{CE6537A1-D6FC-4f65-9D91-7224C49458BB}"/>
          </c:extLst>
        </c:dLbl>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dLbl>
          <c:idx val="0"/>
          <c:showLegendKey val="0"/>
          <c:showVal val="0"/>
          <c:showCatName val="0"/>
          <c:showSerName val="0"/>
          <c:showPercent val="0"/>
          <c:showBubbleSize val="0"/>
          <c:extLst>
            <c:ext xmlns:c15="http://schemas.microsoft.com/office/drawing/2012/chart" uri="{CE6537A1-D6FC-4f65-9D91-7224C49458BB}"/>
          </c:extLst>
        </c:dLbl>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dLbl>
          <c:idx val="0"/>
          <c:showLegendKey val="0"/>
          <c:showVal val="0"/>
          <c:showCatName val="0"/>
          <c:showSerName val="0"/>
          <c:showPercent val="0"/>
          <c:showBubbleSize val="0"/>
          <c:extLst>
            <c:ext xmlns:c15="http://schemas.microsoft.com/office/drawing/2012/chart" uri="{CE6537A1-D6FC-4f65-9D91-7224C49458BB}"/>
          </c:extLst>
        </c:dLbl>
      </c:pivotFmt>
      <c:pivotFmt>
        <c:idx val="837"/>
      </c:pivotFmt>
      <c:pivotFmt>
        <c:idx val="838"/>
      </c:pivotFmt>
      <c:pivotFmt>
        <c:idx val="839"/>
      </c:pivotFmt>
      <c:pivotFmt>
        <c:idx val="840"/>
      </c:pivotFmt>
      <c:pivotFmt>
        <c:idx val="841"/>
      </c:pivotFmt>
      <c:pivotFmt>
        <c:idx val="842"/>
      </c:pivotFmt>
      <c:pivotFmt>
        <c:idx val="843"/>
      </c:pivotFmt>
      <c:pivotFmt>
        <c:idx val="844"/>
      </c:pivotFmt>
      <c:pivotFmt>
        <c:idx val="845"/>
        <c:dLbl>
          <c:idx val="0"/>
          <c:showLegendKey val="0"/>
          <c:showVal val="0"/>
          <c:showCatName val="0"/>
          <c:showSerName val="0"/>
          <c:showPercent val="0"/>
          <c:showBubbleSize val="0"/>
          <c:extLst>
            <c:ext xmlns:c15="http://schemas.microsoft.com/office/drawing/2012/chart" uri="{CE6537A1-D6FC-4f65-9D91-7224C49458BB}"/>
          </c:extLst>
        </c:dLbl>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dLbl>
          <c:idx val="0"/>
          <c:showLegendKey val="0"/>
          <c:showVal val="0"/>
          <c:showCatName val="0"/>
          <c:showSerName val="0"/>
          <c:showPercent val="0"/>
          <c:showBubbleSize val="0"/>
          <c:extLst>
            <c:ext xmlns:c15="http://schemas.microsoft.com/office/drawing/2012/chart" uri="{CE6537A1-D6FC-4f65-9D91-7224C49458BB}"/>
          </c:extLst>
        </c:dLbl>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dLbl>
          <c:idx val="0"/>
          <c:showLegendKey val="0"/>
          <c:showVal val="0"/>
          <c:showCatName val="0"/>
          <c:showSerName val="0"/>
          <c:showPercent val="0"/>
          <c:showBubbleSize val="0"/>
          <c:extLst>
            <c:ext xmlns:c15="http://schemas.microsoft.com/office/drawing/2012/chart" uri="{CE6537A1-D6FC-4f65-9D91-7224C49458BB}"/>
          </c:extLst>
        </c:dLbl>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dLbl>
          <c:idx val="0"/>
          <c:showLegendKey val="0"/>
          <c:showVal val="0"/>
          <c:showCatName val="0"/>
          <c:showSerName val="0"/>
          <c:showPercent val="0"/>
          <c:showBubbleSize val="0"/>
          <c:extLst>
            <c:ext xmlns:c15="http://schemas.microsoft.com/office/drawing/2012/chart" uri="{CE6537A1-D6FC-4f65-9D91-7224C49458BB}"/>
          </c:extLst>
        </c:dLbl>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dLbl>
          <c:idx val="0"/>
          <c:showLegendKey val="0"/>
          <c:showVal val="0"/>
          <c:showCatName val="0"/>
          <c:showSerName val="0"/>
          <c:showPercent val="0"/>
          <c:showBubbleSize val="0"/>
          <c:extLst>
            <c:ext xmlns:c15="http://schemas.microsoft.com/office/drawing/2012/chart" uri="{CE6537A1-D6FC-4f65-9D91-7224C49458BB}"/>
          </c:extLst>
        </c:dLbl>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dLbl>
          <c:idx val="0"/>
          <c:showLegendKey val="0"/>
          <c:showVal val="0"/>
          <c:showCatName val="0"/>
          <c:showSerName val="0"/>
          <c:showPercent val="0"/>
          <c:showBubbleSize val="0"/>
          <c:extLst>
            <c:ext xmlns:c15="http://schemas.microsoft.com/office/drawing/2012/chart" uri="{CE6537A1-D6FC-4f65-9D91-7224C49458BB}"/>
          </c:extLst>
        </c:dLbl>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dLbl>
          <c:idx val="0"/>
          <c:showLegendKey val="0"/>
          <c:showVal val="0"/>
          <c:showCatName val="0"/>
          <c:showSerName val="0"/>
          <c:showPercent val="0"/>
          <c:showBubbleSize val="0"/>
          <c:extLst>
            <c:ext xmlns:c15="http://schemas.microsoft.com/office/drawing/2012/chart" uri="{CE6537A1-D6FC-4f65-9D91-7224C49458BB}"/>
          </c:extLst>
        </c:dLbl>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dLbl>
          <c:idx val="0"/>
          <c:showLegendKey val="0"/>
          <c:showVal val="0"/>
          <c:showCatName val="0"/>
          <c:showSerName val="0"/>
          <c:showPercent val="0"/>
          <c:showBubbleSize val="0"/>
          <c:extLst>
            <c:ext xmlns:c15="http://schemas.microsoft.com/office/drawing/2012/chart" uri="{CE6537A1-D6FC-4f65-9D91-7224C49458BB}"/>
          </c:extLst>
        </c:dLbl>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dLbl>
          <c:idx val="0"/>
          <c:showLegendKey val="0"/>
          <c:showVal val="0"/>
          <c:showCatName val="0"/>
          <c:showSerName val="0"/>
          <c:showPercent val="0"/>
          <c:showBubbleSize val="0"/>
          <c:extLst>
            <c:ext xmlns:c15="http://schemas.microsoft.com/office/drawing/2012/chart" uri="{CE6537A1-D6FC-4f65-9D91-7224C49458BB}"/>
          </c:extLst>
        </c:dLbl>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dLbl>
          <c:idx val="0"/>
          <c:showLegendKey val="0"/>
          <c:showVal val="0"/>
          <c:showCatName val="0"/>
          <c:showSerName val="0"/>
          <c:showPercent val="0"/>
          <c:showBubbleSize val="0"/>
          <c:extLst>
            <c:ext xmlns:c15="http://schemas.microsoft.com/office/drawing/2012/chart" uri="{CE6537A1-D6FC-4f65-9D91-7224C49458BB}"/>
          </c:extLst>
        </c:dLbl>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dLbl>
          <c:idx val="0"/>
          <c:showLegendKey val="0"/>
          <c:showVal val="0"/>
          <c:showCatName val="0"/>
          <c:showSerName val="0"/>
          <c:showPercent val="0"/>
          <c:showBubbleSize val="0"/>
          <c:extLst>
            <c:ext xmlns:c15="http://schemas.microsoft.com/office/drawing/2012/chart" uri="{CE6537A1-D6FC-4f65-9D91-7224C49458BB}"/>
          </c:extLst>
        </c:dLbl>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dLbl>
          <c:idx val="0"/>
          <c:showLegendKey val="0"/>
          <c:showVal val="0"/>
          <c:showCatName val="0"/>
          <c:showSerName val="0"/>
          <c:showPercent val="0"/>
          <c:showBubbleSize val="0"/>
          <c:extLst>
            <c:ext xmlns:c15="http://schemas.microsoft.com/office/drawing/2012/chart" uri="{CE6537A1-D6FC-4f65-9D91-7224C49458BB}"/>
          </c:extLst>
        </c:dLbl>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dLbl>
          <c:idx val="0"/>
          <c:showLegendKey val="0"/>
          <c:showVal val="0"/>
          <c:showCatName val="0"/>
          <c:showSerName val="0"/>
          <c:showPercent val="0"/>
          <c:showBubbleSize val="0"/>
          <c:extLst>
            <c:ext xmlns:c15="http://schemas.microsoft.com/office/drawing/2012/chart" uri="{CE6537A1-D6FC-4f65-9D91-7224C49458BB}"/>
          </c:extLst>
        </c:dLbl>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dLbl>
          <c:idx val="0"/>
          <c:showLegendKey val="0"/>
          <c:showVal val="0"/>
          <c:showCatName val="0"/>
          <c:showSerName val="0"/>
          <c:showPercent val="0"/>
          <c:showBubbleSize val="0"/>
          <c:extLst>
            <c:ext xmlns:c15="http://schemas.microsoft.com/office/drawing/2012/chart" uri="{CE6537A1-D6FC-4f65-9D91-7224C49458BB}"/>
          </c:extLst>
        </c:dLbl>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dLbl>
          <c:idx val="0"/>
          <c:showLegendKey val="0"/>
          <c:showVal val="0"/>
          <c:showCatName val="0"/>
          <c:showSerName val="0"/>
          <c:showPercent val="0"/>
          <c:showBubbleSize val="0"/>
          <c:extLst>
            <c:ext xmlns:c15="http://schemas.microsoft.com/office/drawing/2012/chart" uri="{CE6537A1-D6FC-4f65-9D91-7224C49458BB}"/>
          </c:extLst>
        </c:dLbl>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dLbl>
          <c:idx val="0"/>
          <c:showLegendKey val="0"/>
          <c:showVal val="0"/>
          <c:showCatName val="0"/>
          <c:showSerName val="0"/>
          <c:showPercent val="0"/>
          <c:showBubbleSize val="0"/>
          <c:extLst>
            <c:ext xmlns:c15="http://schemas.microsoft.com/office/drawing/2012/chart" uri="{CE6537A1-D6FC-4f65-9D91-7224C49458BB}"/>
          </c:extLst>
        </c:dLbl>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dLbl>
          <c:idx val="0"/>
          <c:showLegendKey val="0"/>
          <c:showVal val="0"/>
          <c:showCatName val="0"/>
          <c:showSerName val="0"/>
          <c:showPercent val="0"/>
          <c:showBubbleSize val="0"/>
          <c:extLst>
            <c:ext xmlns:c15="http://schemas.microsoft.com/office/drawing/2012/chart" uri="{CE6537A1-D6FC-4f65-9D91-7224C49458BB}"/>
          </c:extLst>
        </c:dLbl>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dLbl>
          <c:idx val="0"/>
          <c:showLegendKey val="0"/>
          <c:showVal val="0"/>
          <c:showCatName val="0"/>
          <c:showSerName val="0"/>
          <c:showPercent val="0"/>
          <c:showBubbleSize val="0"/>
          <c:extLst>
            <c:ext xmlns:c15="http://schemas.microsoft.com/office/drawing/2012/chart" uri="{CE6537A1-D6FC-4f65-9D91-7224C49458BB}"/>
          </c:extLst>
        </c:dLbl>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dLbl>
          <c:idx val="0"/>
          <c:showLegendKey val="0"/>
          <c:showVal val="0"/>
          <c:showCatName val="0"/>
          <c:showSerName val="0"/>
          <c:showPercent val="0"/>
          <c:showBubbleSize val="0"/>
          <c:extLst>
            <c:ext xmlns:c15="http://schemas.microsoft.com/office/drawing/2012/chart" uri="{CE6537A1-D6FC-4f65-9D91-7224C49458BB}"/>
          </c:extLst>
        </c:dLbl>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dLbl>
          <c:idx val="0"/>
          <c:showLegendKey val="0"/>
          <c:showVal val="0"/>
          <c:showCatName val="0"/>
          <c:showSerName val="0"/>
          <c:showPercent val="0"/>
          <c:showBubbleSize val="0"/>
          <c:extLst>
            <c:ext xmlns:c15="http://schemas.microsoft.com/office/drawing/2012/chart" uri="{CE6537A1-D6FC-4f65-9D91-7224C49458BB}"/>
          </c:extLst>
        </c:dLbl>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dLbl>
          <c:idx val="0"/>
          <c:showLegendKey val="0"/>
          <c:showVal val="0"/>
          <c:showCatName val="0"/>
          <c:showSerName val="0"/>
          <c:showPercent val="0"/>
          <c:showBubbleSize val="0"/>
          <c:extLst>
            <c:ext xmlns:c15="http://schemas.microsoft.com/office/drawing/2012/chart" uri="{CE6537A1-D6FC-4f65-9D91-7224C49458BB}"/>
          </c:extLst>
        </c:dLbl>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dLbl>
          <c:idx val="0"/>
          <c:showLegendKey val="0"/>
          <c:showVal val="0"/>
          <c:showCatName val="0"/>
          <c:showSerName val="0"/>
          <c:showPercent val="0"/>
          <c:showBubbleSize val="0"/>
          <c:extLst>
            <c:ext xmlns:c15="http://schemas.microsoft.com/office/drawing/2012/chart" uri="{CE6537A1-D6FC-4f65-9D91-7224C49458BB}"/>
          </c:extLst>
        </c:dLbl>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dLbl>
          <c:idx val="0"/>
          <c:showLegendKey val="0"/>
          <c:showVal val="0"/>
          <c:showCatName val="0"/>
          <c:showSerName val="0"/>
          <c:showPercent val="0"/>
          <c:showBubbleSize val="0"/>
          <c:extLst>
            <c:ext xmlns:c15="http://schemas.microsoft.com/office/drawing/2012/chart" uri="{CE6537A1-D6FC-4f65-9D91-7224C49458BB}"/>
          </c:extLst>
        </c:dLbl>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dLbl>
          <c:idx val="0"/>
          <c:showLegendKey val="0"/>
          <c:showVal val="0"/>
          <c:showCatName val="0"/>
          <c:showSerName val="0"/>
          <c:showPercent val="0"/>
          <c:showBubbleSize val="0"/>
          <c:extLst>
            <c:ext xmlns:c15="http://schemas.microsoft.com/office/drawing/2012/chart" uri="{CE6537A1-D6FC-4f65-9D91-7224C49458BB}"/>
          </c:extLst>
        </c:dLbl>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dLbl>
          <c:idx val="0"/>
          <c:showLegendKey val="0"/>
          <c:showVal val="0"/>
          <c:showCatName val="0"/>
          <c:showSerName val="0"/>
          <c:showPercent val="0"/>
          <c:showBubbleSize val="0"/>
          <c:extLst>
            <c:ext xmlns:c15="http://schemas.microsoft.com/office/drawing/2012/chart" uri="{CE6537A1-D6FC-4f65-9D91-7224C49458BB}"/>
          </c:extLst>
        </c:dLbl>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dLbl>
          <c:idx val="0"/>
          <c:showLegendKey val="0"/>
          <c:showVal val="0"/>
          <c:showCatName val="0"/>
          <c:showSerName val="0"/>
          <c:showPercent val="0"/>
          <c:showBubbleSize val="0"/>
          <c:extLst>
            <c:ext xmlns:c15="http://schemas.microsoft.com/office/drawing/2012/chart" uri="{CE6537A1-D6FC-4f65-9D91-7224C49458BB}"/>
          </c:extLst>
        </c:dLbl>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dLbl>
          <c:idx val="0"/>
          <c:showLegendKey val="0"/>
          <c:showVal val="0"/>
          <c:showCatName val="0"/>
          <c:showSerName val="0"/>
          <c:showPercent val="0"/>
          <c:showBubbleSize val="0"/>
          <c:extLst>
            <c:ext xmlns:c15="http://schemas.microsoft.com/office/drawing/2012/chart" uri="{CE6537A1-D6FC-4f65-9D91-7224C49458BB}"/>
          </c:extLst>
        </c:dLbl>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dLbl>
          <c:idx val="0"/>
          <c:showLegendKey val="0"/>
          <c:showVal val="0"/>
          <c:showCatName val="0"/>
          <c:showSerName val="0"/>
          <c:showPercent val="0"/>
          <c:showBubbleSize val="0"/>
          <c:extLst>
            <c:ext xmlns:c15="http://schemas.microsoft.com/office/drawing/2012/chart" uri="{CE6537A1-D6FC-4f65-9D91-7224C49458BB}"/>
          </c:extLst>
        </c:dLbl>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dLbl>
          <c:idx val="0"/>
          <c:showLegendKey val="0"/>
          <c:showVal val="0"/>
          <c:showCatName val="0"/>
          <c:showSerName val="0"/>
          <c:showPercent val="0"/>
          <c:showBubbleSize val="0"/>
          <c:extLst>
            <c:ext xmlns:c15="http://schemas.microsoft.com/office/drawing/2012/chart" uri="{CE6537A1-D6FC-4f65-9D91-7224C49458BB}"/>
          </c:extLst>
        </c:dLbl>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dLbl>
          <c:idx val="0"/>
          <c:showLegendKey val="0"/>
          <c:showVal val="0"/>
          <c:showCatName val="0"/>
          <c:showSerName val="0"/>
          <c:showPercent val="0"/>
          <c:showBubbleSize val="0"/>
          <c:extLst>
            <c:ext xmlns:c15="http://schemas.microsoft.com/office/drawing/2012/chart" uri="{CE6537A1-D6FC-4f65-9D91-7224C49458BB}"/>
          </c:extLst>
        </c:dLbl>
      </c:pivotFmt>
      <c:pivotFmt>
        <c:idx val="1107"/>
      </c:pivotFmt>
      <c:pivotFmt>
        <c:idx val="1108"/>
      </c:pivotFmt>
      <c:pivotFmt>
        <c:idx val="1109"/>
      </c:pivotFmt>
      <c:pivotFmt>
        <c:idx val="1110"/>
      </c:pivotFmt>
      <c:pivotFmt>
        <c:idx val="1111"/>
      </c:pivotFmt>
      <c:pivotFmt>
        <c:idx val="1112"/>
      </c:pivotFmt>
      <c:pivotFmt>
        <c:idx val="1113"/>
      </c:pivotFmt>
      <c:pivotFmt>
        <c:idx val="1114"/>
      </c:pivotFmt>
      <c:pivotFmt>
        <c:idx val="1115"/>
        <c:dLbl>
          <c:idx val="0"/>
          <c:showLegendKey val="0"/>
          <c:showVal val="0"/>
          <c:showCatName val="0"/>
          <c:showSerName val="0"/>
          <c:showPercent val="0"/>
          <c:showBubbleSize val="0"/>
          <c:extLst>
            <c:ext xmlns:c15="http://schemas.microsoft.com/office/drawing/2012/chart" uri="{CE6537A1-D6FC-4f65-9D91-7224C49458BB}"/>
          </c:extLst>
        </c:dLbl>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dLbl>
          <c:idx val="0"/>
          <c:showLegendKey val="0"/>
          <c:showVal val="0"/>
          <c:showCatName val="0"/>
          <c:showSerName val="0"/>
          <c:showPercent val="0"/>
          <c:showBubbleSize val="0"/>
          <c:extLst>
            <c:ext xmlns:c15="http://schemas.microsoft.com/office/drawing/2012/chart" uri="{CE6537A1-D6FC-4f65-9D91-7224C49458BB}"/>
          </c:extLst>
        </c:dLbl>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dLbl>
          <c:idx val="0"/>
          <c:showLegendKey val="0"/>
          <c:showVal val="0"/>
          <c:showCatName val="0"/>
          <c:showSerName val="0"/>
          <c:showPercent val="0"/>
          <c:showBubbleSize val="0"/>
          <c:extLst>
            <c:ext xmlns:c15="http://schemas.microsoft.com/office/drawing/2012/chart" uri="{CE6537A1-D6FC-4f65-9D91-7224C49458BB}"/>
          </c:extLst>
        </c:dLbl>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dLbl>
          <c:idx val="0"/>
          <c:showLegendKey val="0"/>
          <c:showVal val="0"/>
          <c:showCatName val="0"/>
          <c:showSerName val="0"/>
          <c:showPercent val="0"/>
          <c:showBubbleSize val="0"/>
          <c:extLst>
            <c:ext xmlns:c15="http://schemas.microsoft.com/office/drawing/2012/chart" uri="{CE6537A1-D6FC-4f65-9D91-7224C49458BB}"/>
          </c:extLst>
        </c:dLbl>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dLbl>
          <c:idx val="0"/>
          <c:showLegendKey val="0"/>
          <c:showVal val="0"/>
          <c:showCatName val="0"/>
          <c:showSerName val="0"/>
          <c:showPercent val="0"/>
          <c:showBubbleSize val="0"/>
          <c:extLst>
            <c:ext xmlns:c15="http://schemas.microsoft.com/office/drawing/2012/chart" uri="{CE6537A1-D6FC-4f65-9D91-7224C49458BB}"/>
          </c:extLst>
        </c:dLbl>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dLbl>
          <c:idx val="0"/>
          <c:showLegendKey val="0"/>
          <c:showVal val="0"/>
          <c:showCatName val="0"/>
          <c:showSerName val="0"/>
          <c:showPercent val="0"/>
          <c:showBubbleSize val="0"/>
          <c:extLst>
            <c:ext xmlns:c15="http://schemas.microsoft.com/office/drawing/2012/chart" uri="{CE6537A1-D6FC-4f65-9D91-7224C49458BB}"/>
          </c:extLst>
        </c:dLbl>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dLbl>
          <c:idx val="0"/>
          <c:showLegendKey val="0"/>
          <c:showVal val="0"/>
          <c:showCatName val="0"/>
          <c:showSerName val="0"/>
          <c:showPercent val="0"/>
          <c:showBubbleSize val="0"/>
          <c:extLst>
            <c:ext xmlns:c15="http://schemas.microsoft.com/office/drawing/2012/chart" uri="{CE6537A1-D6FC-4f65-9D91-7224C49458BB}"/>
          </c:extLst>
        </c:dLbl>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dLbl>
          <c:idx val="0"/>
          <c:showLegendKey val="0"/>
          <c:showVal val="0"/>
          <c:showCatName val="0"/>
          <c:showSerName val="0"/>
          <c:showPercent val="0"/>
          <c:showBubbleSize val="0"/>
          <c:extLst>
            <c:ext xmlns:c15="http://schemas.microsoft.com/office/drawing/2012/chart" uri="{CE6537A1-D6FC-4f65-9D91-7224C49458BB}"/>
          </c:extLst>
        </c:dLbl>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dLbl>
          <c:idx val="0"/>
          <c:showLegendKey val="0"/>
          <c:showVal val="0"/>
          <c:showCatName val="0"/>
          <c:showSerName val="0"/>
          <c:showPercent val="0"/>
          <c:showBubbleSize val="0"/>
          <c:extLst>
            <c:ext xmlns:c15="http://schemas.microsoft.com/office/drawing/2012/chart" uri="{CE6537A1-D6FC-4f65-9D91-7224C49458BB}"/>
          </c:extLst>
        </c:dLbl>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dLbl>
          <c:idx val="0"/>
          <c:showLegendKey val="0"/>
          <c:showVal val="0"/>
          <c:showCatName val="0"/>
          <c:showSerName val="0"/>
          <c:showPercent val="0"/>
          <c:showBubbleSize val="0"/>
          <c:extLst>
            <c:ext xmlns:c15="http://schemas.microsoft.com/office/drawing/2012/chart" uri="{CE6537A1-D6FC-4f65-9D91-7224C49458BB}"/>
          </c:extLst>
        </c:dLbl>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dLbl>
          <c:idx val="0"/>
          <c:showLegendKey val="0"/>
          <c:showVal val="0"/>
          <c:showCatName val="0"/>
          <c:showSerName val="0"/>
          <c:showPercent val="0"/>
          <c:showBubbleSize val="0"/>
          <c:extLst>
            <c:ext xmlns:c15="http://schemas.microsoft.com/office/drawing/2012/chart" uri="{CE6537A1-D6FC-4f65-9D91-7224C49458BB}"/>
          </c:extLst>
        </c:dLbl>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dLbl>
          <c:idx val="0"/>
          <c:showLegendKey val="0"/>
          <c:showVal val="0"/>
          <c:showCatName val="0"/>
          <c:showSerName val="0"/>
          <c:showPercent val="0"/>
          <c:showBubbleSize val="0"/>
          <c:extLst>
            <c:ext xmlns:c15="http://schemas.microsoft.com/office/drawing/2012/chart" uri="{CE6537A1-D6FC-4f65-9D91-7224C49458BB}"/>
          </c:extLst>
        </c:dLbl>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dLbl>
          <c:idx val="0"/>
          <c:showLegendKey val="0"/>
          <c:showVal val="0"/>
          <c:showCatName val="0"/>
          <c:showSerName val="0"/>
          <c:showPercent val="0"/>
          <c:showBubbleSize val="0"/>
          <c:extLst>
            <c:ext xmlns:c15="http://schemas.microsoft.com/office/drawing/2012/chart" uri="{CE6537A1-D6FC-4f65-9D91-7224C49458BB}"/>
          </c:extLst>
        </c:dLbl>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dLbl>
          <c:idx val="0"/>
          <c:showLegendKey val="0"/>
          <c:showVal val="0"/>
          <c:showCatName val="0"/>
          <c:showSerName val="0"/>
          <c:showPercent val="0"/>
          <c:showBubbleSize val="0"/>
          <c:extLst>
            <c:ext xmlns:c15="http://schemas.microsoft.com/office/drawing/2012/chart" uri="{CE6537A1-D6FC-4f65-9D91-7224C49458BB}"/>
          </c:extLst>
        </c:dLbl>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dLbl>
          <c:idx val="0"/>
          <c:showLegendKey val="0"/>
          <c:showVal val="0"/>
          <c:showCatName val="0"/>
          <c:showSerName val="0"/>
          <c:showPercent val="0"/>
          <c:showBubbleSize val="0"/>
          <c:extLst>
            <c:ext xmlns:c15="http://schemas.microsoft.com/office/drawing/2012/chart" uri="{CE6537A1-D6FC-4f65-9D91-7224C49458BB}"/>
          </c:extLst>
        </c:dLbl>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dLbl>
          <c:idx val="0"/>
          <c:showLegendKey val="0"/>
          <c:showVal val="0"/>
          <c:showCatName val="0"/>
          <c:showSerName val="0"/>
          <c:showPercent val="0"/>
          <c:showBubbleSize val="0"/>
          <c:extLst>
            <c:ext xmlns:c15="http://schemas.microsoft.com/office/drawing/2012/chart" uri="{CE6537A1-D6FC-4f65-9D91-7224C49458BB}"/>
          </c:extLst>
        </c:dLbl>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dLbl>
          <c:idx val="0"/>
          <c:showLegendKey val="0"/>
          <c:showVal val="0"/>
          <c:showCatName val="0"/>
          <c:showSerName val="0"/>
          <c:showPercent val="0"/>
          <c:showBubbleSize val="0"/>
          <c:extLst>
            <c:ext xmlns:c15="http://schemas.microsoft.com/office/drawing/2012/chart" uri="{CE6537A1-D6FC-4f65-9D91-7224C49458BB}"/>
          </c:extLst>
        </c:dLbl>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dLbl>
          <c:idx val="0"/>
          <c:showLegendKey val="0"/>
          <c:showVal val="0"/>
          <c:showCatName val="0"/>
          <c:showSerName val="0"/>
          <c:showPercent val="0"/>
          <c:showBubbleSize val="0"/>
          <c:extLst>
            <c:ext xmlns:c15="http://schemas.microsoft.com/office/drawing/2012/chart" uri="{CE6537A1-D6FC-4f65-9D91-7224C49458BB}"/>
          </c:extLst>
        </c:dLbl>
      </c:pivotFmt>
      <c:pivotFmt>
        <c:idx val="1269"/>
      </c:pivotFmt>
      <c:pivotFmt>
        <c:idx val="1270"/>
      </c:pivotFmt>
      <c:pivotFmt>
        <c:idx val="1271"/>
      </c:pivotFmt>
      <c:pivotFmt>
        <c:idx val="1272"/>
      </c:pivotFmt>
      <c:pivotFmt>
        <c:idx val="1273"/>
      </c:pivotFmt>
      <c:pivotFmt>
        <c:idx val="1274"/>
      </c:pivotFmt>
      <c:pivotFmt>
        <c:idx val="1275"/>
      </c:pivotFmt>
      <c:pivotFmt>
        <c:idx val="1276"/>
      </c:pivotFmt>
      <c:pivotFmt>
        <c:idx val="1277"/>
        <c:dLbl>
          <c:idx val="0"/>
          <c:showLegendKey val="0"/>
          <c:showVal val="0"/>
          <c:showCatName val="0"/>
          <c:showSerName val="0"/>
          <c:showPercent val="0"/>
          <c:showBubbleSize val="0"/>
          <c:extLst>
            <c:ext xmlns:c15="http://schemas.microsoft.com/office/drawing/2012/chart" uri="{CE6537A1-D6FC-4f65-9D91-7224C49458BB}"/>
          </c:extLst>
        </c:dLbl>
      </c:pivotFmt>
      <c:pivotFmt>
        <c:idx val="1278"/>
      </c:pivotFmt>
      <c:pivotFmt>
        <c:idx val="1279"/>
      </c:pivotFmt>
      <c:pivotFmt>
        <c:idx val="1280"/>
      </c:pivotFmt>
      <c:pivotFmt>
        <c:idx val="1281"/>
      </c:pivotFmt>
      <c:pivotFmt>
        <c:idx val="1282"/>
      </c:pivotFmt>
      <c:pivotFmt>
        <c:idx val="1283"/>
      </c:pivotFmt>
      <c:pivotFmt>
        <c:idx val="1284"/>
      </c:pivotFmt>
      <c:pivotFmt>
        <c:idx val="1285"/>
      </c:pivotFmt>
      <c:pivotFmt>
        <c:idx val="1286"/>
        <c:dLbl>
          <c:idx val="0"/>
          <c:showLegendKey val="0"/>
          <c:showVal val="0"/>
          <c:showCatName val="0"/>
          <c:showSerName val="0"/>
          <c:showPercent val="0"/>
          <c:showBubbleSize val="0"/>
          <c:extLst>
            <c:ext xmlns:c15="http://schemas.microsoft.com/office/drawing/2012/chart" uri="{CE6537A1-D6FC-4f65-9D91-7224C49458BB}"/>
          </c:extLst>
        </c:dLbl>
      </c:pivotFmt>
      <c:pivotFmt>
        <c:idx val="1287"/>
      </c:pivotFmt>
      <c:pivotFmt>
        <c:idx val="1288"/>
      </c:pivotFmt>
      <c:pivotFmt>
        <c:idx val="1289"/>
      </c:pivotFmt>
      <c:pivotFmt>
        <c:idx val="1290"/>
      </c:pivotFmt>
      <c:pivotFmt>
        <c:idx val="1291"/>
      </c:pivotFmt>
      <c:pivotFmt>
        <c:idx val="1292"/>
      </c:pivotFmt>
      <c:pivotFmt>
        <c:idx val="1293"/>
      </c:pivotFmt>
      <c:pivotFmt>
        <c:idx val="1294"/>
      </c:pivotFmt>
      <c:pivotFmt>
        <c:idx val="1295"/>
        <c:dLbl>
          <c:idx val="0"/>
          <c:showLegendKey val="0"/>
          <c:showVal val="0"/>
          <c:showCatName val="0"/>
          <c:showSerName val="0"/>
          <c:showPercent val="0"/>
          <c:showBubbleSize val="0"/>
          <c:extLst>
            <c:ext xmlns:c15="http://schemas.microsoft.com/office/drawing/2012/chart" uri="{CE6537A1-D6FC-4f65-9D91-7224C49458BB}"/>
          </c:extLst>
        </c:dLbl>
      </c:pivotFmt>
      <c:pivotFmt>
        <c:idx val="1296"/>
      </c:pivotFmt>
      <c:pivotFmt>
        <c:idx val="1297"/>
      </c:pivotFmt>
      <c:pivotFmt>
        <c:idx val="1298"/>
      </c:pivotFmt>
      <c:pivotFmt>
        <c:idx val="1299"/>
      </c:pivotFmt>
      <c:pivotFmt>
        <c:idx val="1300"/>
      </c:pivotFmt>
      <c:pivotFmt>
        <c:idx val="1301"/>
      </c:pivotFmt>
      <c:pivotFmt>
        <c:idx val="1302"/>
      </c:pivotFmt>
      <c:pivotFmt>
        <c:idx val="1303"/>
      </c:pivotFmt>
      <c:pivotFmt>
        <c:idx val="130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05"/>
      </c:pivotFmt>
      <c:pivotFmt>
        <c:idx val="1306"/>
      </c:pivotFmt>
      <c:pivotFmt>
        <c:idx val="1307"/>
      </c:pivotFmt>
      <c:pivotFmt>
        <c:idx val="1308"/>
      </c:pivotFmt>
      <c:pivotFmt>
        <c:idx val="1309"/>
      </c:pivotFmt>
      <c:pivotFmt>
        <c:idx val="1310"/>
      </c:pivotFmt>
      <c:pivotFmt>
        <c:idx val="1311"/>
      </c:pivotFmt>
      <c:pivotFmt>
        <c:idx val="1312"/>
      </c:pivotFmt>
      <c:pivotFmt>
        <c:idx val="131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14"/>
      </c:pivotFmt>
      <c:pivotFmt>
        <c:idx val="1315"/>
      </c:pivotFmt>
      <c:pivotFmt>
        <c:idx val="1316"/>
      </c:pivotFmt>
      <c:pivotFmt>
        <c:idx val="1317"/>
      </c:pivotFmt>
      <c:pivotFmt>
        <c:idx val="1318"/>
      </c:pivotFmt>
      <c:pivotFmt>
        <c:idx val="1319"/>
      </c:pivotFmt>
      <c:pivotFmt>
        <c:idx val="1320"/>
      </c:pivotFmt>
      <c:pivotFmt>
        <c:idx val="1321"/>
      </c:pivotFmt>
      <c:pivotFmt>
        <c:idx val="132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23"/>
      </c:pivotFmt>
      <c:pivotFmt>
        <c:idx val="1324"/>
      </c:pivotFmt>
      <c:pivotFmt>
        <c:idx val="1325"/>
      </c:pivotFmt>
      <c:pivotFmt>
        <c:idx val="1326"/>
      </c:pivotFmt>
      <c:pivotFmt>
        <c:idx val="1327"/>
      </c:pivotFmt>
      <c:pivotFmt>
        <c:idx val="1328"/>
      </c:pivotFmt>
      <c:pivotFmt>
        <c:idx val="1329"/>
      </c:pivotFmt>
      <c:pivotFmt>
        <c:idx val="1330"/>
      </c:pivotFmt>
      <c:pivotFmt>
        <c:idx val="133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32"/>
      </c:pivotFmt>
      <c:pivotFmt>
        <c:idx val="1333"/>
      </c:pivotFmt>
      <c:pivotFmt>
        <c:idx val="1334"/>
      </c:pivotFmt>
      <c:pivotFmt>
        <c:idx val="1335"/>
      </c:pivotFmt>
      <c:pivotFmt>
        <c:idx val="1336"/>
      </c:pivotFmt>
      <c:pivotFmt>
        <c:idx val="1337"/>
      </c:pivotFmt>
      <c:pivotFmt>
        <c:idx val="1338"/>
      </c:pivotFmt>
      <c:pivotFmt>
        <c:idx val="1339"/>
      </c:pivotFmt>
      <c:pivotFmt>
        <c:idx val="134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41"/>
      </c:pivotFmt>
      <c:pivotFmt>
        <c:idx val="1342"/>
      </c:pivotFmt>
      <c:pivotFmt>
        <c:idx val="1343"/>
      </c:pivotFmt>
      <c:pivotFmt>
        <c:idx val="1344"/>
      </c:pivotFmt>
      <c:pivotFmt>
        <c:idx val="1345"/>
      </c:pivotFmt>
      <c:pivotFmt>
        <c:idx val="1346"/>
      </c:pivotFmt>
      <c:pivotFmt>
        <c:idx val="1347"/>
      </c:pivotFmt>
      <c:pivotFmt>
        <c:idx val="1348"/>
      </c:pivotFmt>
      <c:pivotFmt>
        <c:idx val="134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50"/>
      </c:pivotFmt>
      <c:pivotFmt>
        <c:idx val="1351"/>
      </c:pivotFmt>
      <c:pivotFmt>
        <c:idx val="1352"/>
      </c:pivotFmt>
      <c:pivotFmt>
        <c:idx val="1353"/>
      </c:pivotFmt>
      <c:pivotFmt>
        <c:idx val="1354"/>
      </c:pivotFmt>
      <c:pivotFmt>
        <c:idx val="1355"/>
      </c:pivotFmt>
      <c:pivotFmt>
        <c:idx val="1356"/>
      </c:pivotFmt>
      <c:pivotFmt>
        <c:idx val="1357"/>
      </c:pivotFmt>
      <c:pivotFmt>
        <c:idx val="135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59"/>
      </c:pivotFmt>
      <c:pivotFmt>
        <c:idx val="1360"/>
      </c:pivotFmt>
      <c:pivotFmt>
        <c:idx val="1361"/>
      </c:pivotFmt>
      <c:pivotFmt>
        <c:idx val="1362"/>
      </c:pivotFmt>
      <c:pivotFmt>
        <c:idx val="1363"/>
      </c:pivotFmt>
      <c:pivotFmt>
        <c:idx val="1364"/>
      </c:pivotFmt>
      <c:pivotFmt>
        <c:idx val="1365"/>
      </c:pivotFmt>
      <c:pivotFmt>
        <c:idx val="1366"/>
      </c:pivotFmt>
      <c:pivotFmt>
        <c:idx val="1367"/>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68"/>
      </c:pivotFmt>
      <c:pivotFmt>
        <c:idx val="1369"/>
      </c:pivotFmt>
      <c:pivotFmt>
        <c:idx val="1370"/>
      </c:pivotFmt>
      <c:pivotFmt>
        <c:idx val="1371"/>
      </c:pivotFmt>
      <c:pivotFmt>
        <c:idx val="1372"/>
      </c:pivotFmt>
      <c:pivotFmt>
        <c:idx val="1373"/>
      </c:pivotFmt>
      <c:pivotFmt>
        <c:idx val="1374"/>
      </c:pivotFmt>
      <c:pivotFmt>
        <c:idx val="1375"/>
      </c:pivotFmt>
      <c:pivotFmt>
        <c:idx val="137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77"/>
      </c:pivotFmt>
      <c:pivotFmt>
        <c:idx val="1378"/>
      </c:pivotFmt>
      <c:pivotFmt>
        <c:idx val="1379"/>
      </c:pivotFmt>
      <c:pivotFmt>
        <c:idx val="1380"/>
      </c:pivotFmt>
      <c:pivotFmt>
        <c:idx val="1381"/>
      </c:pivotFmt>
      <c:pivotFmt>
        <c:idx val="1382"/>
      </c:pivotFmt>
      <c:pivotFmt>
        <c:idx val="1383"/>
      </c:pivotFmt>
      <c:pivotFmt>
        <c:idx val="1384"/>
      </c:pivotFmt>
      <c:pivotFmt>
        <c:idx val="138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86"/>
      </c:pivotFmt>
      <c:pivotFmt>
        <c:idx val="1387"/>
      </c:pivotFmt>
      <c:pivotFmt>
        <c:idx val="1388"/>
      </c:pivotFmt>
      <c:pivotFmt>
        <c:idx val="1389"/>
      </c:pivotFmt>
      <c:pivotFmt>
        <c:idx val="1390"/>
      </c:pivotFmt>
      <c:pivotFmt>
        <c:idx val="1391"/>
      </c:pivotFmt>
      <c:pivotFmt>
        <c:idx val="1392"/>
      </c:pivotFmt>
      <c:pivotFmt>
        <c:idx val="1393"/>
      </c:pivotFmt>
      <c:pivotFmt>
        <c:idx val="139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395"/>
      </c:pivotFmt>
      <c:pivotFmt>
        <c:idx val="1396"/>
      </c:pivotFmt>
      <c:pivotFmt>
        <c:idx val="1397"/>
      </c:pivotFmt>
      <c:pivotFmt>
        <c:idx val="1398"/>
      </c:pivotFmt>
      <c:pivotFmt>
        <c:idx val="1399"/>
      </c:pivotFmt>
      <c:pivotFmt>
        <c:idx val="1400"/>
      </c:pivotFmt>
      <c:pivotFmt>
        <c:idx val="1401"/>
      </c:pivotFmt>
      <c:pivotFmt>
        <c:idx val="1402"/>
      </c:pivotFmt>
      <c:pivotFmt>
        <c:idx val="140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04"/>
      </c:pivotFmt>
      <c:pivotFmt>
        <c:idx val="1405"/>
      </c:pivotFmt>
      <c:pivotFmt>
        <c:idx val="1406"/>
      </c:pivotFmt>
      <c:pivotFmt>
        <c:idx val="1407"/>
      </c:pivotFmt>
      <c:pivotFmt>
        <c:idx val="1408"/>
      </c:pivotFmt>
      <c:pivotFmt>
        <c:idx val="1409"/>
      </c:pivotFmt>
      <c:pivotFmt>
        <c:idx val="1410"/>
      </c:pivotFmt>
      <c:pivotFmt>
        <c:idx val="1411"/>
      </c:pivotFmt>
      <c:pivotFmt>
        <c:idx val="141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13"/>
      </c:pivotFmt>
      <c:pivotFmt>
        <c:idx val="1414"/>
      </c:pivotFmt>
      <c:pivotFmt>
        <c:idx val="1415"/>
      </c:pivotFmt>
      <c:pivotFmt>
        <c:idx val="1416"/>
      </c:pivotFmt>
      <c:pivotFmt>
        <c:idx val="1417"/>
      </c:pivotFmt>
      <c:pivotFmt>
        <c:idx val="1418"/>
      </c:pivotFmt>
      <c:pivotFmt>
        <c:idx val="1419"/>
      </c:pivotFmt>
      <c:pivotFmt>
        <c:idx val="1420"/>
      </c:pivotFmt>
      <c:pivotFmt>
        <c:idx val="142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22"/>
      </c:pivotFmt>
      <c:pivotFmt>
        <c:idx val="1423"/>
      </c:pivotFmt>
      <c:pivotFmt>
        <c:idx val="1424"/>
      </c:pivotFmt>
      <c:pivotFmt>
        <c:idx val="1425"/>
      </c:pivotFmt>
      <c:pivotFmt>
        <c:idx val="1426"/>
      </c:pivotFmt>
      <c:pivotFmt>
        <c:idx val="1427"/>
      </c:pivotFmt>
      <c:pivotFmt>
        <c:idx val="1428"/>
      </c:pivotFmt>
      <c:pivotFmt>
        <c:idx val="1429"/>
      </c:pivotFmt>
      <c:pivotFmt>
        <c:idx val="143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31"/>
      </c:pivotFmt>
      <c:pivotFmt>
        <c:idx val="1432"/>
      </c:pivotFmt>
      <c:pivotFmt>
        <c:idx val="1433"/>
      </c:pivotFmt>
      <c:pivotFmt>
        <c:idx val="1434"/>
      </c:pivotFmt>
      <c:pivotFmt>
        <c:idx val="1435"/>
      </c:pivotFmt>
      <c:pivotFmt>
        <c:idx val="1436"/>
      </c:pivotFmt>
      <c:pivotFmt>
        <c:idx val="1437"/>
      </c:pivotFmt>
      <c:pivotFmt>
        <c:idx val="1438"/>
      </c:pivotFmt>
      <c:pivotFmt>
        <c:idx val="143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40"/>
      </c:pivotFmt>
      <c:pivotFmt>
        <c:idx val="1441"/>
      </c:pivotFmt>
      <c:pivotFmt>
        <c:idx val="1442"/>
      </c:pivotFmt>
      <c:pivotFmt>
        <c:idx val="1443"/>
      </c:pivotFmt>
      <c:pivotFmt>
        <c:idx val="1444"/>
      </c:pivotFmt>
      <c:pivotFmt>
        <c:idx val="1445"/>
      </c:pivotFmt>
      <c:pivotFmt>
        <c:idx val="1446"/>
      </c:pivotFmt>
      <c:pivotFmt>
        <c:idx val="1447"/>
      </c:pivotFmt>
      <c:pivotFmt>
        <c:idx val="144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49"/>
      </c:pivotFmt>
      <c:pivotFmt>
        <c:idx val="1450"/>
      </c:pivotFmt>
      <c:pivotFmt>
        <c:idx val="1451"/>
      </c:pivotFmt>
      <c:pivotFmt>
        <c:idx val="1452"/>
      </c:pivotFmt>
      <c:pivotFmt>
        <c:idx val="1453"/>
      </c:pivotFmt>
      <c:pivotFmt>
        <c:idx val="1454"/>
      </c:pivotFmt>
      <c:pivotFmt>
        <c:idx val="1455"/>
      </c:pivotFmt>
      <c:pivotFmt>
        <c:idx val="1456"/>
      </c:pivotFmt>
      <c:pivotFmt>
        <c:idx val="1457"/>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58"/>
      </c:pivotFmt>
      <c:pivotFmt>
        <c:idx val="1459"/>
      </c:pivotFmt>
      <c:pivotFmt>
        <c:idx val="1460"/>
      </c:pivotFmt>
      <c:pivotFmt>
        <c:idx val="1461"/>
      </c:pivotFmt>
      <c:pivotFmt>
        <c:idx val="1462"/>
      </c:pivotFmt>
      <c:pivotFmt>
        <c:idx val="1463"/>
      </c:pivotFmt>
      <c:pivotFmt>
        <c:idx val="1464"/>
      </c:pivotFmt>
      <c:pivotFmt>
        <c:idx val="1465"/>
      </c:pivotFmt>
      <c:pivotFmt>
        <c:idx val="146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67"/>
      </c:pivotFmt>
      <c:pivotFmt>
        <c:idx val="1468"/>
      </c:pivotFmt>
      <c:pivotFmt>
        <c:idx val="1469"/>
      </c:pivotFmt>
      <c:pivotFmt>
        <c:idx val="1470"/>
      </c:pivotFmt>
      <c:pivotFmt>
        <c:idx val="1471"/>
      </c:pivotFmt>
      <c:pivotFmt>
        <c:idx val="1472"/>
      </c:pivotFmt>
      <c:pivotFmt>
        <c:idx val="1473"/>
      </c:pivotFmt>
      <c:pivotFmt>
        <c:idx val="1474"/>
      </c:pivotFmt>
      <c:pivotFmt>
        <c:idx val="147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76"/>
      </c:pivotFmt>
      <c:pivotFmt>
        <c:idx val="1477"/>
      </c:pivotFmt>
      <c:pivotFmt>
        <c:idx val="1478"/>
      </c:pivotFmt>
      <c:pivotFmt>
        <c:idx val="1479"/>
      </c:pivotFmt>
      <c:pivotFmt>
        <c:idx val="1480"/>
      </c:pivotFmt>
      <c:pivotFmt>
        <c:idx val="1481"/>
      </c:pivotFmt>
      <c:pivotFmt>
        <c:idx val="1482"/>
      </c:pivotFmt>
      <c:pivotFmt>
        <c:idx val="1483"/>
      </c:pivotFmt>
      <c:pivotFmt>
        <c:idx val="148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485"/>
      </c:pivotFmt>
      <c:pivotFmt>
        <c:idx val="1486"/>
      </c:pivotFmt>
      <c:pivotFmt>
        <c:idx val="1487"/>
      </c:pivotFmt>
      <c:pivotFmt>
        <c:idx val="1488"/>
      </c:pivotFmt>
      <c:pivotFmt>
        <c:idx val="1489"/>
      </c:pivotFmt>
      <c:pivotFmt>
        <c:idx val="1490"/>
      </c:pivotFmt>
      <c:pivotFmt>
        <c:idx val="1491"/>
      </c:pivotFmt>
      <c:pivotFmt>
        <c:idx val="1492"/>
      </c:pivotFmt>
      <c:pivotFmt>
        <c:idx val="1493"/>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494"/>
      </c:pivotFmt>
      <c:pivotFmt>
        <c:idx val="1495"/>
      </c:pivotFmt>
      <c:pivotFmt>
        <c:idx val="1496"/>
      </c:pivotFmt>
      <c:pivotFmt>
        <c:idx val="1497"/>
      </c:pivotFmt>
      <c:pivotFmt>
        <c:idx val="1498"/>
      </c:pivotFmt>
      <c:pivotFmt>
        <c:idx val="1499"/>
      </c:pivotFmt>
      <c:pivotFmt>
        <c:idx val="1500"/>
      </c:pivotFmt>
      <c:pivotFmt>
        <c:idx val="1501"/>
      </c:pivotFmt>
      <c:pivotFmt>
        <c:idx val="150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03"/>
      </c:pivotFmt>
      <c:pivotFmt>
        <c:idx val="1504"/>
      </c:pivotFmt>
      <c:pivotFmt>
        <c:idx val="1505"/>
      </c:pivotFmt>
      <c:pivotFmt>
        <c:idx val="1506"/>
      </c:pivotFmt>
      <c:pivotFmt>
        <c:idx val="1507"/>
      </c:pivotFmt>
      <c:pivotFmt>
        <c:idx val="1508"/>
      </c:pivotFmt>
      <c:pivotFmt>
        <c:idx val="1509"/>
      </c:pivotFmt>
      <c:pivotFmt>
        <c:idx val="1510"/>
      </c:pivotFmt>
      <c:pivotFmt>
        <c:idx val="151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12"/>
      </c:pivotFmt>
      <c:pivotFmt>
        <c:idx val="1513"/>
      </c:pivotFmt>
      <c:pivotFmt>
        <c:idx val="1514"/>
      </c:pivotFmt>
      <c:pivotFmt>
        <c:idx val="1515"/>
      </c:pivotFmt>
      <c:pivotFmt>
        <c:idx val="1516"/>
      </c:pivotFmt>
      <c:pivotFmt>
        <c:idx val="1517"/>
      </c:pivotFmt>
      <c:pivotFmt>
        <c:idx val="1518"/>
      </c:pivotFmt>
      <c:pivotFmt>
        <c:idx val="1519"/>
      </c:pivotFmt>
      <c:pivotFmt>
        <c:idx val="152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21"/>
      </c:pivotFmt>
      <c:pivotFmt>
        <c:idx val="1522"/>
      </c:pivotFmt>
      <c:pivotFmt>
        <c:idx val="1523"/>
      </c:pivotFmt>
      <c:pivotFmt>
        <c:idx val="1524"/>
      </c:pivotFmt>
      <c:pivotFmt>
        <c:idx val="1525"/>
      </c:pivotFmt>
      <c:pivotFmt>
        <c:idx val="1526"/>
      </c:pivotFmt>
      <c:pivotFmt>
        <c:idx val="1527"/>
      </c:pivotFmt>
      <c:pivotFmt>
        <c:idx val="1528"/>
      </c:pivotFmt>
      <c:pivotFmt>
        <c:idx val="152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30"/>
      </c:pivotFmt>
      <c:pivotFmt>
        <c:idx val="1531"/>
      </c:pivotFmt>
      <c:pivotFmt>
        <c:idx val="1532"/>
      </c:pivotFmt>
      <c:pivotFmt>
        <c:idx val="1533"/>
      </c:pivotFmt>
      <c:pivotFmt>
        <c:idx val="1534"/>
      </c:pivotFmt>
      <c:pivotFmt>
        <c:idx val="1535"/>
      </c:pivotFmt>
      <c:pivotFmt>
        <c:idx val="1536"/>
      </c:pivotFmt>
      <c:pivotFmt>
        <c:idx val="1537"/>
      </c:pivotFmt>
      <c:pivotFmt>
        <c:idx val="153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39"/>
      </c:pivotFmt>
      <c:pivotFmt>
        <c:idx val="1540"/>
      </c:pivotFmt>
      <c:pivotFmt>
        <c:idx val="1541"/>
      </c:pivotFmt>
      <c:pivotFmt>
        <c:idx val="1542"/>
      </c:pivotFmt>
      <c:pivotFmt>
        <c:idx val="1543"/>
      </c:pivotFmt>
      <c:pivotFmt>
        <c:idx val="1544"/>
      </c:pivotFmt>
      <c:pivotFmt>
        <c:idx val="1545"/>
      </c:pivotFmt>
      <c:pivotFmt>
        <c:idx val="1546"/>
      </c:pivotFmt>
      <c:pivotFmt>
        <c:idx val="1547"/>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548"/>
      </c:pivotFmt>
      <c:pivotFmt>
        <c:idx val="1549"/>
      </c:pivotFmt>
      <c:pivotFmt>
        <c:idx val="1550"/>
      </c:pivotFmt>
      <c:pivotFmt>
        <c:idx val="1551"/>
      </c:pivotFmt>
      <c:pivotFmt>
        <c:idx val="1552"/>
      </c:pivotFmt>
      <c:pivotFmt>
        <c:idx val="1553"/>
      </c:pivotFmt>
      <c:pivotFmt>
        <c:idx val="1554"/>
      </c:pivotFmt>
      <c:pivotFmt>
        <c:idx val="1555"/>
      </c:pivotFmt>
      <c:pivotFmt>
        <c:idx val="155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57"/>
      </c:pivotFmt>
      <c:pivotFmt>
        <c:idx val="1558"/>
      </c:pivotFmt>
      <c:pivotFmt>
        <c:idx val="1559"/>
      </c:pivotFmt>
      <c:pivotFmt>
        <c:idx val="1560"/>
      </c:pivotFmt>
      <c:pivotFmt>
        <c:idx val="1561"/>
      </c:pivotFmt>
      <c:pivotFmt>
        <c:idx val="1562"/>
      </c:pivotFmt>
      <c:pivotFmt>
        <c:idx val="1563"/>
      </c:pivotFmt>
      <c:pivotFmt>
        <c:idx val="1564"/>
      </c:pivotFmt>
      <c:pivotFmt>
        <c:idx val="156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66"/>
      </c:pivotFmt>
      <c:pivotFmt>
        <c:idx val="1567"/>
      </c:pivotFmt>
      <c:pivotFmt>
        <c:idx val="1568"/>
      </c:pivotFmt>
      <c:pivotFmt>
        <c:idx val="1569"/>
      </c:pivotFmt>
      <c:pivotFmt>
        <c:idx val="1570"/>
      </c:pivotFmt>
      <c:pivotFmt>
        <c:idx val="1571"/>
      </c:pivotFmt>
      <c:pivotFmt>
        <c:idx val="1572"/>
      </c:pivotFmt>
      <c:pivotFmt>
        <c:idx val="1573"/>
      </c:pivotFmt>
      <c:pivotFmt>
        <c:idx val="157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75"/>
      </c:pivotFmt>
      <c:pivotFmt>
        <c:idx val="1576"/>
      </c:pivotFmt>
      <c:pivotFmt>
        <c:idx val="1577"/>
      </c:pivotFmt>
      <c:pivotFmt>
        <c:idx val="1578"/>
      </c:pivotFmt>
      <c:pivotFmt>
        <c:idx val="1579"/>
      </c:pivotFmt>
      <c:pivotFmt>
        <c:idx val="1580"/>
      </c:pivotFmt>
      <c:pivotFmt>
        <c:idx val="1581"/>
      </c:pivotFmt>
      <c:pivotFmt>
        <c:idx val="1582"/>
      </c:pivotFmt>
      <c:pivotFmt>
        <c:idx val="158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84"/>
      </c:pivotFmt>
      <c:pivotFmt>
        <c:idx val="1585"/>
      </c:pivotFmt>
      <c:pivotFmt>
        <c:idx val="1586"/>
      </c:pivotFmt>
      <c:pivotFmt>
        <c:idx val="1587"/>
      </c:pivotFmt>
      <c:pivotFmt>
        <c:idx val="1588"/>
      </c:pivotFmt>
      <c:pivotFmt>
        <c:idx val="1589"/>
      </c:pivotFmt>
      <c:pivotFmt>
        <c:idx val="1590"/>
      </c:pivotFmt>
      <c:pivotFmt>
        <c:idx val="1591"/>
      </c:pivotFmt>
      <c:pivotFmt>
        <c:idx val="159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593"/>
      </c:pivotFmt>
      <c:pivotFmt>
        <c:idx val="1594"/>
      </c:pivotFmt>
      <c:pivotFmt>
        <c:idx val="1595"/>
      </c:pivotFmt>
      <c:pivotFmt>
        <c:idx val="1596"/>
      </c:pivotFmt>
      <c:pivotFmt>
        <c:idx val="1597"/>
      </c:pivotFmt>
      <c:pivotFmt>
        <c:idx val="1598"/>
      </c:pivotFmt>
      <c:pivotFmt>
        <c:idx val="1599"/>
      </c:pivotFmt>
      <c:pivotFmt>
        <c:idx val="1600"/>
      </c:pivotFmt>
      <c:pivotFmt>
        <c:idx val="160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02"/>
      </c:pivotFmt>
      <c:pivotFmt>
        <c:idx val="1603"/>
      </c:pivotFmt>
      <c:pivotFmt>
        <c:idx val="1604"/>
      </c:pivotFmt>
      <c:pivotFmt>
        <c:idx val="1605"/>
      </c:pivotFmt>
      <c:pivotFmt>
        <c:idx val="1606"/>
      </c:pivotFmt>
      <c:pivotFmt>
        <c:idx val="1607"/>
      </c:pivotFmt>
      <c:pivotFmt>
        <c:idx val="1608"/>
      </c:pivotFmt>
      <c:pivotFmt>
        <c:idx val="1609"/>
      </c:pivotFmt>
      <c:pivotFmt>
        <c:idx val="161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11"/>
      </c:pivotFmt>
      <c:pivotFmt>
        <c:idx val="1612"/>
      </c:pivotFmt>
      <c:pivotFmt>
        <c:idx val="1613"/>
      </c:pivotFmt>
      <c:pivotFmt>
        <c:idx val="1614"/>
      </c:pivotFmt>
      <c:pivotFmt>
        <c:idx val="1615"/>
      </c:pivotFmt>
      <c:pivotFmt>
        <c:idx val="1616"/>
      </c:pivotFmt>
      <c:pivotFmt>
        <c:idx val="1617"/>
      </c:pivotFmt>
      <c:pivotFmt>
        <c:idx val="1618"/>
      </c:pivotFmt>
      <c:pivotFmt>
        <c:idx val="161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20"/>
      </c:pivotFmt>
      <c:pivotFmt>
        <c:idx val="1621"/>
      </c:pivotFmt>
      <c:pivotFmt>
        <c:idx val="1622"/>
      </c:pivotFmt>
      <c:pivotFmt>
        <c:idx val="1623"/>
      </c:pivotFmt>
      <c:pivotFmt>
        <c:idx val="1624"/>
      </c:pivotFmt>
      <c:pivotFmt>
        <c:idx val="1625"/>
      </c:pivotFmt>
      <c:pivotFmt>
        <c:idx val="1626"/>
      </c:pivotFmt>
      <c:pivotFmt>
        <c:idx val="1627"/>
      </c:pivotFmt>
      <c:pivotFmt>
        <c:idx val="162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29"/>
      </c:pivotFmt>
      <c:pivotFmt>
        <c:idx val="1630"/>
      </c:pivotFmt>
      <c:pivotFmt>
        <c:idx val="1631"/>
      </c:pivotFmt>
      <c:pivotFmt>
        <c:idx val="1632"/>
      </c:pivotFmt>
      <c:pivotFmt>
        <c:idx val="1633"/>
      </c:pivotFmt>
      <c:pivotFmt>
        <c:idx val="1634"/>
      </c:pivotFmt>
      <c:pivotFmt>
        <c:idx val="1635"/>
      </c:pivotFmt>
      <c:pivotFmt>
        <c:idx val="1636"/>
      </c:pivotFmt>
      <c:pivotFmt>
        <c:idx val="1637"/>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38"/>
      </c:pivotFmt>
      <c:pivotFmt>
        <c:idx val="1639"/>
      </c:pivotFmt>
      <c:pivotFmt>
        <c:idx val="1640"/>
      </c:pivotFmt>
      <c:pivotFmt>
        <c:idx val="1641"/>
      </c:pivotFmt>
      <c:pivotFmt>
        <c:idx val="1642"/>
      </c:pivotFmt>
      <c:pivotFmt>
        <c:idx val="1643"/>
      </c:pivotFmt>
      <c:pivotFmt>
        <c:idx val="1644"/>
      </c:pivotFmt>
      <c:pivotFmt>
        <c:idx val="1645"/>
      </c:pivotFmt>
      <c:pivotFmt>
        <c:idx val="164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47"/>
      </c:pivotFmt>
      <c:pivotFmt>
        <c:idx val="1648"/>
      </c:pivotFmt>
      <c:pivotFmt>
        <c:idx val="1649"/>
      </c:pivotFmt>
      <c:pivotFmt>
        <c:idx val="1650"/>
      </c:pivotFmt>
      <c:pivotFmt>
        <c:idx val="1651"/>
      </c:pivotFmt>
      <c:pivotFmt>
        <c:idx val="1652"/>
      </c:pivotFmt>
      <c:pivotFmt>
        <c:idx val="1653"/>
      </c:pivotFmt>
      <c:pivotFmt>
        <c:idx val="1654"/>
      </c:pivotFmt>
      <c:pivotFmt>
        <c:idx val="165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56"/>
      </c:pivotFmt>
      <c:pivotFmt>
        <c:idx val="1657"/>
      </c:pivotFmt>
      <c:pivotFmt>
        <c:idx val="1658"/>
      </c:pivotFmt>
      <c:pivotFmt>
        <c:idx val="1659"/>
      </c:pivotFmt>
      <c:pivotFmt>
        <c:idx val="1660"/>
      </c:pivotFmt>
      <c:pivotFmt>
        <c:idx val="1661"/>
      </c:pivotFmt>
      <c:pivotFmt>
        <c:idx val="1662"/>
      </c:pivotFmt>
      <c:pivotFmt>
        <c:idx val="1663"/>
      </c:pivotFmt>
      <c:pivotFmt>
        <c:idx val="1664"/>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665"/>
      </c:pivotFmt>
      <c:pivotFmt>
        <c:idx val="1666"/>
      </c:pivotFmt>
      <c:pivotFmt>
        <c:idx val="1667"/>
      </c:pivotFmt>
      <c:pivotFmt>
        <c:idx val="1668"/>
      </c:pivotFmt>
      <c:pivotFmt>
        <c:idx val="1669"/>
      </c:pivotFmt>
      <c:pivotFmt>
        <c:idx val="1670"/>
      </c:pivotFmt>
      <c:pivotFmt>
        <c:idx val="1671"/>
      </c:pivotFmt>
      <c:pivotFmt>
        <c:idx val="1672"/>
      </c:pivotFmt>
      <c:pivotFmt>
        <c:idx val="167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74"/>
      </c:pivotFmt>
      <c:pivotFmt>
        <c:idx val="1675"/>
      </c:pivotFmt>
      <c:pivotFmt>
        <c:idx val="1676"/>
      </c:pivotFmt>
      <c:pivotFmt>
        <c:idx val="1677"/>
      </c:pivotFmt>
      <c:pivotFmt>
        <c:idx val="1678"/>
      </c:pivotFmt>
      <c:pivotFmt>
        <c:idx val="1679"/>
      </c:pivotFmt>
      <c:pivotFmt>
        <c:idx val="1680"/>
      </c:pivotFmt>
      <c:pivotFmt>
        <c:idx val="1681"/>
      </c:pivotFmt>
      <c:pivotFmt>
        <c:idx val="168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83"/>
      </c:pivotFmt>
      <c:pivotFmt>
        <c:idx val="1684"/>
      </c:pivotFmt>
      <c:pivotFmt>
        <c:idx val="1685"/>
      </c:pivotFmt>
      <c:pivotFmt>
        <c:idx val="1686"/>
      </c:pivotFmt>
      <c:pivotFmt>
        <c:idx val="1687"/>
      </c:pivotFmt>
      <c:pivotFmt>
        <c:idx val="1688"/>
      </c:pivotFmt>
      <c:pivotFmt>
        <c:idx val="1689"/>
      </c:pivotFmt>
      <c:pivotFmt>
        <c:idx val="1690"/>
      </c:pivotFmt>
      <c:pivotFmt>
        <c:idx val="169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692"/>
      </c:pivotFmt>
      <c:pivotFmt>
        <c:idx val="1693"/>
      </c:pivotFmt>
      <c:pivotFmt>
        <c:idx val="1694"/>
      </c:pivotFmt>
      <c:pivotFmt>
        <c:idx val="1695"/>
      </c:pivotFmt>
      <c:pivotFmt>
        <c:idx val="1696"/>
      </c:pivotFmt>
      <c:pivotFmt>
        <c:idx val="1697"/>
      </c:pivotFmt>
      <c:pivotFmt>
        <c:idx val="1698"/>
      </c:pivotFmt>
      <c:pivotFmt>
        <c:idx val="1699"/>
      </c:pivotFmt>
      <c:pivotFmt>
        <c:idx val="170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01"/>
      </c:pivotFmt>
      <c:pivotFmt>
        <c:idx val="1702"/>
      </c:pivotFmt>
      <c:pivotFmt>
        <c:idx val="1703"/>
      </c:pivotFmt>
      <c:pivotFmt>
        <c:idx val="1704"/>
      </c:pivotFmt>
      <c:pivotFmt>
        <c:idx val="1705"/>
      </c:pivotFmt>
      <c:pivotFmt>
        <c:idx val="1706"/>
      </c:pivotFmt>
      <c:pivotFmt>
        <c:idx val="1707"/>
      </c:pivotFmt>
      <c:pivotFmt>
        <c:idx val="1708"/>
      </c:pivotFmt>
      <c:pivotFmt>
        <c:idx val="170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10"/>
      </c:pivotFmt>
      <c:pivotFmt>
        <c:idx val="1711"/>
      </c:pivotFmt>
      <c:pivotFmt>
        <c:idx val="1712"/>
      </c:pivotFmt>
      <c:pivotFmt>
        <c:idx val="1713"/>
      </c:pivotFmt>
      <c:pivotFmt>
        <c:idx val="1714"/>
      </c:pivotFmt>
      <c:pivotFmt>
        <c:idx val="1715"/>
      </c:pivotFmt>
      <c:pivotFmt>
        <c:idx val="1716"/>
      </c:pivotFmt>
      <c:pivotFmt>
        <c:idx val="1717"/>
      </c:pivotFmt>
      <c:pivotFmt>
        <c:idx val="171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19"/>
      </c:pivotFmt>
      <c:pivotFmt>
        <c:idx val="1720"/>
      </c:pivotFmt>
      <c:pivotFmt>
        <c:idx val="1721"/>
      </c:pivotFmt>
      <c:pivotFmt>
        <c:idx val="1722"/>
      </c:pivotFmt>
      <c:pivotFmt>
        <c:idx val="1723"/>
      </c:pivotFmt>
      <c:pivotFmt>
        <c:idx val="1724"/>
      </c:pivotFmt>
      <c:pivotFmt>
        <c:idx val="1725"/>
      </c:pivotFmt>
      <c:pivotFmt>
        <c:idx val="1726"/>
      </c:pivotFmt>
      <c:pivotFmt>
        <c:idx val="1727"/>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28"/>
      </c:pivotFmt>
      <c:pivotFmt>
        <c:idx val="1729"/>
      </c:pivotFmt>
      <c:pivotFmt>
        <c:idx val="1730"/>
      </c:pivotFmt>
      <c:pivotFmt>
        <c:idx val="1731"/>
      </c:pivotFmt>
      <c:pivotFmt>
        <c:idx val="1732"/>
      </c:pivotFmt>
      <c:pivotFmt>
        <c:idx val="1733"/>
      </c:pivotFmt>
      <c:pivotFmt>
        <c:idx val="1734"/>
      </c:pivotFmt>
      <c:pivotFmt>
        <c:idx val="1735"/>
      </c:pivotFmt>
      <c:pivotFmt>
        <c:idx val="173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37"/>
      </c:pivotFmt>
      <c:pivotFmt>
        <c:idx val="1738"/>
      </c:pivotFmt>
      <c:pivotFmt>
        <c:idx val="1739"/>
      </c:pivotFmt>
      <c:pivotFmt>
        <c:idx val="1740"/>
      </c:pivotFmt>
      <c:pivotFmt>
        <c:idx val="1741"/>
      </c:pivotFmt>
      <c:pivotFmt>
        <c:idx val="1742"/>
      </c:pivotFmt>
      <c:pivotFmt>
        <c:idx val="1743"/>
      </c:pivotFmt>
      <c:pivotFmt>
        <c:idx val="1744"/>
      </c:pivotFmt>
      <c:pivotFmt>
        <c:idx val="174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46"/>
      </c:pivotFmt>
      <c:pivotFmt>
        <c:idx val="1747"/>
      </c:pivotFmt>
      <c:pivotFmt>
        <c:idx val="1748"/>
      </c:pivotFmt>
      <c:pivotFmt>
        <c:idx val="1749"/>
      </c:pivotFmt>
      <c:pivotFmt>
        <c:idx val="1750"/>
      </c:pivotFmt>
      <c:pivotFmt>
        <c:idx val="1751"/>
      </c:pivotFmt>
      <c:pivotFmt>
        <c:idx val="1752"/>
      </c:pivotFmt>
      <c:pivotFmt>
        <c:idx val="1753"/>
      </c:pivotFmt>
      <c:pivotFmt>
        <c:idx val="175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55"/>
      </c:pivotFmt>
      <c:pivotFmt>
        <c:idx val="1756"/>
      </c:pivotFmt>
      <c:pivotFmt>
        <c:idx val="1757"/>
      </c:pivotFmt>
      <c:pivotFmt>
        <c:idx val="1758"/>
      </c:pivotFmt>
      <c:pivotFmt>
        <c:idx val="1759"/>
      </c:pivotFmt>
      <c:pivotFmt>
        <c:idx val="1760"/>
      </c:pivotFmt>
      <c:pivotFmt>
        <c:idx val="1761"/>
      </c:pivotFmt>
      <c:pivotFmt>
        <c:idx val="1762"/>
      </c:pivotFmt>
      <c:pivotFmt>
        <c:idx val="176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64"/>
      </c:pivotFmt>
      <c:pivotFmt>
        <c:idx val="1765"/>
      </c:pivotFmt>
      <c:pivotFmt>
        <c:idx val="1766"/>
      </c:pivotFmt>
      <c:pivotFmt>
        <c:idx val="1767"/>
      </c:pivotFmt>
      <c:pivotFmt>
        <c:idx val="1768"/>
      </c:pivotFmt>
      <c:pivotFmt>
        <c:idx val="1769"/>
      </c:pivotFmt>
      <c:pivotFmt>
        <c:idx val="1770"/>
      </c:pivotFmt>
      <c:pivotFmt>
        <c:idx val="1771"/>
      </c:pivotFmt>
      <c:pivotFmt>
        <c:idx val="177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73"/>
      </c:pivotFmt>
      <c:pivotFmt>
        <c:idx val="1774"/>
      </c:pivotFmt>
      <c:pivotFmt>
        <c:idx val="1775"/>
      </c:pivotFmt>
      <c:pivotFmt>
        <c:idx val="1776"/>
      </c:pivotFmt>
      <c:pivotFmt>
        <c:idx val="1777"/>
      </c:pivotFmt>
      <c:pivotFmt>
        <c:idx val="1778"/>
      </c:pivotFmt>
      <c:pivotFmt>
        <c:idx val="1779"/>
      </c:pivotFmt>
      <c:pivotFmt>
        <c:idx val="1780"/>
      </c:pivotFmt>
      <c:pivotFmt>
        <c:idx val="178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82"/>
      </c:pivotFmt>
      <c:pivotFmt>
        <c:idx val="1783"/>
      </c:pivotFmt>
      <c:pivotFmt>
        <c:idx val="1784"/>
      </c:pivotFmt>
      <c:pivotFmt>
        <c:idx val="1785"/>
      </c:pivotFmt>
      <c:pivotFmt>
        <c:idx val="1786"/>
      </c:pivotFmt>
      <c:pivotFmt>
        <c:idx val="1787"/>
      </c:pivotFmt>
      <c:pivotFmt>
        <c:idx val="1788"/>
      </c:pivotFmt>
      <c:pivotFmt>
        <c:idx val="1789"/>
      </c:pivotFmt>
      <c:pivotFmt>
        <c:idx val="179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791"/>
      </c:pivotFmt>
      <c:pivotFmt>
        <c:idx val="1792"/>
      </c:pivotFmt>
      <c:pivotFmt>
        <c:idx val="1793"/>
      </c:pivotFmt>
      <c:pivotFmt>
        <c:idx val="1794"/>
      </c:pivotFmt>
      <c:pivotFmt>
        <c:idx val="1795"/>
      </c:pivotFmt>
      <c:pivotFmt>
        <c:idx val="1796"/>
      </c:pivotFmt>
      <c:pivotFmt>
        <c:idx val="1797"/>
      </c:pivotFmt>
      <c:pivotFmt>
        <c:idx val="1798"/>
      </c:pivotFmt>
      <c:pivotFmt>
        <c:idx val="179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00"/>
      </c:pivotFmt>
      <c:pivotFmt>
        <c:idx val="1801"/>
      </c:pivotFmt>
      <c:pivotFmt>
        <c:idx val="1802"/>
      </c:pivotFmt>
      <c:pivotFmt>
        <c:idx val="1803"/>
      </c:pivotFmt>
      <c:pivotFmt>
        <c:idx val="1804"/>
      </c:pivotFmt>
      <c:pivotFmt>
        <c:idx val="1805"/>
      </c:pivotFmt>
      <c:pivotFmt>
        <c:idx val="1806"/>
      </c:pivotFmt>
      <c:pivotFmt>
        <c:idx val="1807"/>
      </c:pivotFmt>
      <c:pivotFmt>
        <c:idx val="180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09"/>
      </c:pivotFmt>
      <c:pivotFmt>
        <c:idx val="1810"/>
      </c:pivotFmt>
      <c:pivotFmt>
        <c:idx val="1811"/>
      </c:pivotFmt>
      <c:pivotFmt>
        <c:idx val="1812"/>
      </c:pivotFmt>
      <c:pivotFmt>
        <c:idx val="1813"/>
      </c:pivotFmt>
      <c:pivotFmt>
        <c:idx val="1814"/>
      </c:pivotFmt>
      <c:pivotFmt>
        <c:idx val="1815"/>
      </c:pivotFmt>
      <c:pivotFmt>
        <c:idx val="1816"/>
      </c:pivotFmt>
      <c:pivotFmt>
        <c:idx val="1817"/>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18"/>
      </c:pivotFmt>
      <c:pivotFmt>
        <c:idx val="1819"/>
      </c:pivotFmt>
      <c:pivotFmt>
        <c:idx val="1820"/>
      </c:pivotFmt>
      <c:pivotFmt>
        <c:idx val="1821"/>
      </c:pivotFmt>
      <c:pivotFmt>
        <c:idx val="1822"/>
      </c:pivotFmt>
      <c:pivotFmt>
        <c:idx val="1823"/>
      </c:pivotFmt>
      <c:pivotFmt>
        <c:idx val="1824"/>
      </c:pivotFmt>
      <c:pivotFmt>
        <c:idx val="1825"/>
      </c:pivotFmt>
      <c:pivotFmt>
        <c:idx val="182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27"/>
      </c:pivotFmt>
      <c:pivotFmt>
        <c:idx val="1828"/>
      </c:pivotFmt>
      <c:pivotFmt>
        <c:idx val="1829"/>
      </c:pivotFmt>
      <c:pivotFmt>
        <c:idx val="1830"/>
      </c:pivotFmt>
      <c:pivotFmt>
        <c:idx val="1831"/>
      </c:pivotFmt>
      <c:pivotFmt>
        <c:idx val="1832"/>
      </c:pivotFmt>
      <c:pivotFmt>
        <c:idx val="1833"/>
      </c:pivotFmt>
      <c:pivotFmt>
        <c:idx val="1834"/>
      </c:pivotFmt>
      <c:pivotFmt>
        <c:idx val="183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36"/>
      </c:pivotFmt>
      <c:pivotFmt>
        <c:idx val="1837"/>
      </c:pivotFmt>
      <c:pivotFmt>
        <c:idx val="1838"/>
      </c:pivotFmt>
      <c:pivotFmt>
        <c:idx val="1839"/>
      </c:pivotFmt>
      <c:pivotFmt>
        <c:idx val="1840"/>
      </c:pivotFmt>
      <c:pivotFmt>
        <c:idx val="1841"/>
      </c:pivotFmt>
      <c:pivotFmt>
        <c:idx val="1842"/>
      </c:pivotFmt>
      <c:pivotFmt>
        <c:idx val="1843"/>
      </c:pivotFmt>
      <c:pivotFmt>
        <c:idx val="184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45"/>
      </c:pivotFmt>
      <c:pivotFmt>
        <c:idx val="1846"/>
      </c:pivotFmt>
      <c:pivotFmt>
        <c:idx val="1847"/>
      </c:pivotFmt>
      <c:pivotFmt>
        <c:idx val="1848"/>
      </c:pivotFmt>
      <c:pivotFmt>
        <c:idx val="1849"/>
      </c:pivotFmt>
      <c:pivotFmt>
        <c:idx val="1850"/>
      </c:pivotFmt>
      <c:pivotFmt>
        <c:idx val="1851"/>
      </c:pivotFmt>
      <c:pivotFmt>
        <c:idx val="1852"/>
      </c:pivotFmt>
      <c:pivotFmt>
        <c:idx val="185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54"/>
      </c:pivotFmt>
      <c:pivotFmt>
        <c:idx val="1855"/>
      </c:pivotFmt>
      <c:pivotFmt>
        <c:idx val="1856"/>
      </c:pivotFmt>
      <c:pivotFmt>
        <c:idx val="1857"/>
      </c:pivotFmt>
      <c:pivotFmt>
        <c:idx val="1858"/>
      </c:pivotFmt>
      <c:pivotFmt>
        <c:idx val="1859"/>
      </c:pivotFmt>
      <c:pivotFmt>
        <c:idx val="1860"/>
      </c:pivotFmt>
      <c:pivotFmt>
        <c:idx val="1861"/>
      </c:pivotFmt>
      <c:pivotFmt>
        <c:idx val="186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63"/>
      </c:pivotFmt>
      <c:pivotFmt>
        <c:idx val="1864"/>
      </c:pivotFmt>
      <c:pivotFmt>
        <c:idx val="1865"/>
      </c:pivotFmt>
      <c:pivotFmt>
        <c:idx val="1866"/>
      </c:pivotFmt>
      <c:pivotFmt>
        <c:idx val="1867"/>
      </c:pivotFmt>
      <c:pivotFmt>
        <c:idx val="1868"/>
      </c:pivotFmt>
      <c:pivotFmt>
        <c:idx val="1869"/>
      </c:pivotFmt>
      <c:pivotFmt>
        <c:idx val="1870"/>
      </c:pivotFmt>
      <c:pivotFmt>
        <c:idx val="187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72"/>
      </c:pivotFmt>
      <c:pivotFmt>
        <c:idx val="1873"/>
      </c:pivotFmt>
      <c:pivotFmt>
        <c:idx val="1874"/>
      </c:pivotFmt>
      <c:pivotFmt>
        <c:idx val="1875"/>
      </c:pivotFmt>
      <c:pivotFmt>
        <c:idx val="1876"/>
      </c:pivotFmt>
      <c:pivotFmt>
        <c:idx val="1877"/>
      </c:pivotFmt>
      <c:pivotFmt>
        <c:idx val="1878"/>
      </c:pivotFmt>
      <c:pivotFmt>
        <c:idx val="1879"/>
      </c:pivotFmt>
      <c:pivotFmt>
        <c:idx val="188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81"/>
      </c:pivotFmt>
      <c:pivotFmt>
        <c:idx val="1882"/>
      </c:pivotFmt>
      <c:pivotFmt>
        <c:idx val="1883"/>
      </c:pivotFmt>
      <c:pivotFmt>
        <c:idx val="1884"/>
      </c:pivotFmt>
      <c:pivotFmt>
        <c:idx val="1885"/>
      </c:pivotFmt>
      <c:pivotFmt>
        <c:idx val="1886"/>
      </c:pivotFmt>
      <c:pivotFmt>
        <c:idx val="1887"/>
      </c:pivotFmt>
      <c:pivotFmt>
        <c:idx val="1888"/>
      </c:pivotFmt>
      <c:pivotFmt>
        <c:idx val="188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90"/>
      </c:pivotFmt>
      <c:pivotFmt>
        <c:idx val="1891"/>
      </c:pivotFmt>
      <c:pivotFmt>
        <c:idx val="1892"/>
      </c:pivotFmt>
      <c:pivotFmt>
        <c:idx val="1893"/>
      </c:pivotFmt>
      <c:pivotFmt>
        <c:idx val="1894"/>
      </c:pivotFmt>
      <c:pivotFmt>
        <c:idx val="1895"/>
      </c:pivotFmt>
      <c:pivotFmt>
        <c:idx val="1896"/>
      </c:pivotFmt>
      <c:pivotFmt>
        <c:idx val="1897"/>
      </c:pivotFmt>
      <c:pivotFmt>
        <c:idx val="189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899"/>
      </c:pivotFmt>
      <c:pivotFmt>
        <c:idx val="1900"/>
      </c:pivotFmt>
      <c:pivotFmt>
        <c:idx val="1901"/>
      </c:pivotFmt>
      <c:pivotFmt>
        <c:idx val="1902"/>
      </c:pivotFmt>
      <c:pivotFmt>
        <c:idx val="1903"/>
      </c:pivotFmt>
      <c:pivotFmt>
        <c:idx val="1904"/>
      </c:pivotFmt>
      <c:pivotFmt>
        <c:idx val="1905"/>
      </c:pivotFmt>
      <c:pivotFmt>
        <c:idx val="1906"/>
      </c:pivotFmt>
      <c:pivotFmt>
        <c:idx val="1907"/>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908"/>
      </c:pivotFmt>
      <c:pivotFmt>
        <c:idx val="1909"/>
      </c:pivotFmt>
      <c:pivotFmt>
        <c:idx val="1910"/>
      </c:pivotFmt>
      <c:pivotFmt>
        <c:idx val="1911"/>
      </c:pivotFmt>
      <c:pivotFmt>
        <c:idx val="1912"/>
      </c:pivotFmt>
      <c:pivotFmt>
        <c:idx val="1913"/>
      </c:pivotFmt>
      <c:pivotFmt>
        <c:idx val="1914"/>
      </c:pivotFmt>
      <c:pivotFmt>
        <c:idx val="1915"/>
      </c:pivotFmt>
      <c:pivotFmt>
        <c:idx val="191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17"/>
      </c:pivotFmt>
      <c:pivotFmt>
        <c:idx val="1918"/>
      </c:pivotFmt>
      <c:pivotFmt>
        <c:idx val="1919"/>
      </c:pivotFmt>
      <c:pivotFmt>
        <c:idx val="1920"/>
      </c:pivotFmt>
      <c:pivotFmt>
        <c:idx val="1921"/>
      </c:pivotFmt>
      <c:pivotFmt>
        <c:idx val="1922"/>
      </c:pivotFmt>
      <c:pivotFmt>
        <c:idx val="1923"/>
      </c:pivotFmt>
      <c:pivotFmt>
        <c:idx val="1924"/>
      </c:pivotFmt>
      <c:pivotFmt>
        <c:idx val="192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26"/>
      </c:pivotFmt>
      <c:pivotFmt>
        <c:idx val="1927"/>
      </c:pivotFmt>
      <c:pivotFmt>
        <c:idx val="1928"/>
      </c:pivotFmt>
      <c:pivotFmt>
        <c:idx val="1929"/>
      </c:pivotFmt>
      <c:pivotFmt>
        <c:idx val="1930"/>
      </c:pivotFmt>
      <c:pivotFmt>
        <c:idx val="1931"/>
      </c:pivotFmt>
      <c:pivotFmt>
        <c:idx val="1932"/>
      </c:pivotFmt>
      <c:pivotFmt>
        <c:idx val="1933"/>
      </c:pivotFmt>
      <c:pivotFmt>
        <c:idx val="193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35"/>
      </c:pivotFmt>
      <c:pivotFmt>
        <c:idx val="1936"/>
      </c:pivotFmt>
      <c:pivotFmt>
        <c:idx val="1937"/>
      </c:pivotFmt>
      <c:pivotFmt>
        <c:idx val="1938"/>
      </c:pivotFmt>
      <c:pivotFmt>
        <c:idx val="1939"/>
      </c:pivotFmt>
      <c:pivotFmt>
        <c:idx val="1940"/>
      </c:pivotFmt>
      <c:pivotFmt>
        <c:idx val="1941"/>
      </c:pivotFmt>
      <c:pivotFmt>
        <c:idx val="1942"/>
      </c:pivotFmt>
      <c:pivotFmt>
        <c:idx val="194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44"/>
      </c:pivotFmt>
      <c:pivotFmt>
        <c:idx val="1945"/>
      </c:pivotFmt>
      <c:pivotFmt>
        <c:idx val="1946"/>
      </c:pivotFmt>
      <c:pivotFmt>
        <c:idx val="1947"/>
      </c:pivotFmt>
      <c:pivotFmt>
        <c:idx val="1948"/>
      </c:pivotFmt>
      <c:pivotFmt>
        <c:idx val="1949"/>
      </c:pivotFmt>
      <c:pivotFmt>
        <c:idx val="1950"/>
      </c:pivotFmt>
      <c:pivotFmt>
        <c:idx val="1951"/>
      </c:pivotFmt>
      <c:pivotFmt>
        <c:idx val="195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53"/>
      </c:pivotFmt>
      <c:pivotFmt>
        <c:idx val="1954"/>
      </c:pivotFmt>
      <c:pivotFmt>
        <c:idx val="1955"/>
      </c:pivotFmt>
      <c:pivotFmt>
        <c:idx val="1956"/>
      </c:pivotFmt>
      <c:pivotFmt>
        <c:idx val="1957"/>
      </c:pivotFmt>
      <c:pivotFmt>
        <c:idx val="1958"/>
      </c:pivotFmt>
      <c:pivotFmt>
        <c:idx val="1959"/>
      </c:pivotFmt>
      <c:pivotFmt>
        <c:idx val="1960"/>
      </c:pivotFmt>
      <c:pivotFmt>
        <c:idx val="196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62"/>
      </c:pivotFmt>
      <c:pivotFmt>
        <c:idx val="1963"/>
      </c:pivotFmt>
      <c:pivotFmt>
        <c:idx val="1964"/>
      </c:pivotFmt>
      <c:pivotFmt>
        <c:idx val="1965"/>
      </c:pivotFmt>
      <c:pivotFmt>
        <c:idx val="1966"/>
      </c:pivotFmt>
      <c:pivotFmt>
        <c:idx val="1967"/>
      </c:pivotFmt>
      <c:pivotFmt>
        <c:idx val="1968"/>
      </c:pivotFmt>
      <c:pivotFmt>
        <c:idx val="1969"/>
      </c:pivotFmt>
      <c:pivotFmt>
        <c:idx val="197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71"/>
      </c:pivotFmt>
      <c:pivotFmt>
        <c:idx val="1972"/>
      </c:pivotFmt>
      <c:pivotFmt>
        <c:idx val="1973"/>
      </c:pivotFmt>
      <c:pivotFmt>
        <c:idx val="1974"/>
      </c:pivotFmt>
      <c:pivotFmt>
        <c:idx val="1975"/>
      </c:pivotFmt>
      <c:pivotFmt>
        <c:idx val="1976"/>
      </c:pivotFmt>
      <c:pivotFmt>
        <c:idx val="1977"/>
      </c:pivotFmt>
      <c:pivotFmt>
        <c:idx val="1978"/>
      </c:pivotFmt>
      <c:pivotFmt>
        <c:idx val="197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80"/>
      </c:pivotFmt>
      <c:pivotFmt>
        <c:idx val="1981"/>
      </c:pivotFmt>
      <c:pivotFmt>
        <c:idx val="1982"/>
      </c:pivotFmt>
      <c:pivotFmt>
        <c:idx val="1983"/>
      </c:pivotFmt>
      <c:pivotFmt>
        <c:idx val="1984"/>
      </c:pivotFmt>
      <c:pivotFmt>
        <c:idx val="1985"/>
      </c:pivotFmt>
      <c:pivotFmt>
        <c:idx val="1986"/>
      </c:pivotFmt>
      <c:pivotFmt>
        <c:idx val="1987"/>
      </c:pivotFmt>
      <c:pivotFmt>
        <c:idx val="198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89"/>
      </c:pivotFmt>
      <c:pivotFmt>
        <c:idx val="1990"/>
      </c:pivotFmt>
      <c:pivotFmt>
        <c:idx val="1991"/>
      </c:pivotFmt>
      <c:pivotFmt>
        <c:idx val="1992"/>
      </c:pivotFmt>
      <c:pivotFmt>
        <c:idx val="1993"/>
      </c:pivotFmt>
      <c:pivotFmt>
        <c:idx val="1994"/>
      </c:pivotFmt>
      <c:pivotFmt>
        <c:idx val="1995"/>
      </c:pivotFmt>
      <c:pivotFmt>
        <c:idx val="1996"/>
      </c:pivotFmt>
      <c:pivotFmt>
        <c:idx val="1997"/>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1998"/>
      </c:pivotFmt>
      <c:pivotFmt>
        <c:idx val="1999"/>
      </c:pivotFmt>
      <c:pivotFmt>
        <c:idx val="2000"/>
      </c:pivotFmt>
      <c:pivotFmt>
        <c:idx val="2001"/>
      </c:pivotFmt>
      <c:pivotFmt>
        <c:idx val="2002"/>
      </c:pivotFmt>
      <c:pivotFmt>
        <c:idx val="2003"/>
      </c:pivotFmt>
      <c:pivotFmt>
        <c:idx val="2004"/>
      </c:pivotFmt>
      <c:pivotFmt>
        <c:idx val="2005"/>
      </c:pivotFmt>
      <c:pivotFmt>
        <c:idx val="200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07"/>
      </c:pivotFmt>
      <c:pivotFmt>
        <c:idx val="2008"/>
      </c:pivotFmt>
      <c:pivotFmt>
        <c:idx val="2009"/>
      </c:pivotFmt>
      <c:pivotFmt>
        <c:idx val="2010"/>
      </c:pivotFmt>
      <c:pivotFmt>
        <c:idx val="2011"/>
      </c:pivotFmt>
      <c:pivotFmt>
        <c:idx val="2012"/>
      </c:pivotFmt>
      <c:pivotFmt>
        <c:idx val="2013"/>
      </c:pivotFmt>
      <c:pivotFmt>
        <c:idx val="2014"/>
      </c:pivotFmt>
      <c:pivotFmt>
        <c:idx val="201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16"/>
      </c:pivotFmt>
      <c:pivotFmt>
        <c:idx val="2017"/>
      </c:pivotFmt>
      <c:pivotFmt>
        <c:idx val="2018"/>
      </c:pivotFmt>
      <c:pivotFmt>
        <c:idx val="2019"/>
      </c:pivotFmt>
      <c:pivotFmt>
        <c:idx val="2020"/>
      </c:pivotFmt>
      <c:pivotFmt>
        <c:idx val="2021"/>
      </c:pivotFmt>
      <c:pivotFmt>
        <c:idx val="2022"/>
      </c:pivotFmt>
      <c:pivotFmt>
        <c:idx val="2023"/>
      </c:pivotFmt>
      <c:pivotFmt>
        <c:idx val="202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25"/>
      </c:pivotFmt>
      <c:pivotFmt>
        <c:idx val="2026"/>
      </c:pivotFmt>
      <c:pivotFmt>
        <c:idx val="2027"/>
      </c:pivotFmt>
      <c:pivotFmt>
        <c:idx val="2028"/>
      </c:pivotFmt>
      <c:pivotFmt>
        <c:idx val="2029"/>
      </c:pivotFmt>
      <c:pivotFmt>
        <c:idx val="2030"/>
      </c:pivotFmt>
      <c:pivotFmt>
        <c:idx val="2031"/>
      </c:pivotFmt>
      <c:pivotFmt>
        <c:idx val="2032"/>
      </c:pivotFmt>
      <c:pivotFmt>
        <c:idx val="203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34"/>
      </c:pivotFmt>
      <c:pivotFmt>
        <c:idx val="2035"/>
      </c:pivotFmt>
      <c:pivotFmt>
        <c:idx val="2036"/>
      </c:pivotFmt>
      <c:pivotFmt>
        <c:idx val="2037"/>
      </c:pivotFmt>
      <c:pivotFmt>
        <c:idx val="2038"/>
      </c:pivotFmt>
      <c:pivotFmt>
        <c:idx val="2039"/>
      </c:pivotFmt>
      <c:pivotFmt>
        <c:idx val="2040"/>
      </c:pivotFmt>
      <c:pivotFmt>
        <c:idx val="2041"/>
      </c:pivotFmt>
      <c:pivotFmt>
        <c:idx val="204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43"/>
      </c:pivotFmt>
      <c:pivotFmt>
        <c:idx val="2044"/>
      </c:pivotFmt>
      <c:pivotFmt>
        <c:idx val="2045"/>
      </c:pivotFmt>
      <c:pivotFmt>
        <c:idx val="2046"/>
      </c:pivotFmt>
      <c:pivotFmt>
        <c:idx val="2047"/>
      </c:pivotFmt>
      <c:pivotFmt>
        <c:idx val="2048"/>
      </c:pivotFmt>
      <c:pivotFmt>
        <c:idx val="2049"/>
      </c:pivotFmt>
      <c:pivotFmt>
        <c:idx val="2050"/>
      </c:pivotFmt>
      <c:pivotFmt>
        <c:idx val="205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52"/>
      </c:pivotFmt>
      <c:pivotFmt>
        <c:idx val="2053"/>
      </c:pivotFmt>
      <c:pivotFmt>
        <c:idx val="2054"/>
      </c:pivotFmt>
      <c:pivotFmt>
        <c:idx val="2055"/>
      </c:pivotFmt>
      <c:pivotFmt>
        <c:idx val="2056"/>
      </c:pivotFmt>
      <c:pivotFmt>
        <c:idx val="2057"/>
      </c:pivotFmt>
      <c:pivotFmt>
        <c:idx val="2058"/>
      </c:pivotFmt>
      <c:pivotFmt>
        <c:idx val="2059"/>
      </c:pivotFmt>
      <c:pivotFmt>
        <c:idx val="206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61"/>
      </c:pivotFmt>
      <c:pivotFmt>
        <c:idx val="2062"/>
      </c:pivotFmt>
      <c:pivotFmt>
        <c:idx val="2063"/>
      </c:pivotFmt>
      <c:pivotFmt>
        <c:idx val="2064"/>
      </c:pivotFmt>
      <c:pivotFmt>
        <c:idx val="2065"/>
      </c:pivotFmt>
      <c:pivotFmt>
        <c:idx val="2066"/>
      </c:pivotFmt>
      <c:pivotFmt>
        <c:idx val="2067"/>
      </c:pivotFmt>
      <c:pivotFmt>
        <c:idx val="2068"/>
      </c:pivotFmt>
      <c:pivotFmt>
        <c:idx val="206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70"/>
      </c:pivotFmt>
      <c:pivotFmt>
        <c:idx val="2071"/>
      </c:pivotFmt>
      <c:pivotFmt>
        <c:idx val="2072"/>
      </c:pivotFmt>
      <c:pivotFmt>
        <c:idx val="2073"/>
      </c:pivotFmt>
      <c:pivotFmt>
        <c:idx val="2074"/>
      </c:pivotFmt>
      <c:pivotFmt>
        <c:idx val="2075"/>
      </c:pivotFmt>
      <c:pivotFmt>
        <c:idx val="2076"/>
      </c:pivotFmt>
      <c:pivotFmt>
        <c:idx val="2077"/>
      </c:pivotFmt>
      <c:pivotFmt>
        <c:idx val="2078"/>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79"/>
      </c:pivotFmt>
      <c:pivotFmt>
        <c:idx val="2080"/>
      </c:pivotFmt>
      <c:pivotFmt>
        <c:idx val="2081"/>
      </c:pivotFmt>
      <c:pivotFmt>
        <c:idx val="2082"/>
      </c:pivotFmt>
      <c:pivotFmt>
        <c:idx val="2083"/>
      </c:pivotFmt>
      <c:pivotFmt>
        <c:idx val="2084"/>
      </c:pivotFmt>
      <c:pivotFmt>
        <c:idx val="2085"/>
      </c:pivotFmt>
      <c:pivotFmt>
        <c:idx val="2086"/>
      </c:pivotFmt>
      <c:pivotFmt>
        <c:idx val="2087"/>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88"/>
      </c:pivotFmt>
      <c:pivotFmt>
        <c:idx val="2089"/>
      </c:pivotFmt>
      <c:pivotFmt>
        <c:idx val="2090"/>
      </c:pivotFmt>
      <c:pivotFmt>
        <c:idx val="2091"/>
      </c:pivotFmt>
      <c:pivotFmt>
        <c:idx val="2092"/>
      </c:pivotFmt>
      <c:pivotFmt>
        <c:idx val="2093"/>
      </c:pivotFmt>
      <c:pivotFmt>
        <c:idx val="2094"/>
      </c:pivotFmt>
      <c:pivotFmt>
        <c:idx val="2095"/>
      </c:pivotFmt>
      <c:pivotFmt>
        <c:idx val="209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097"/>
      </c:pivotFmt>
      <c:pivotFmt>
        <c:idx val="2098"/>
      </c:pivotFmt>
      <c:pivotFmt>
        <c:idx val="2099"/>
      </c:pivotFmt>
      <c:pivotFmt>
        <c:idx val="2100"/>
      </c:pivotFmt>
      <c:pivotFmt>
        <c:idx val="2101"/>
      </c:pivotFmt>
      <c:pivotFmt>
        <c:idx val="2102"/>
      </c:pivotFmt>
      <c:pivotFmt>
        <c:idx val="2103"/>
      </c:pivotFmt>
      <c:pivotFmt>
        <c:idx val="2104"/>
      </c:pivotFmt>
      <c:pivotFmt>
        <c:idx val="2105"/>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106"/>
      </c:pivotFmt>
      <c:pivotFmt>
        <c:idx val="2107"/>
      </c:pivotFmt>
      <c:pivotFmt>
        <c:idx val="2108"/>
      </c:pivotFmt>
      <c:pivotFmt>
        <c:idx val="2109"/>
      </c:pivotFmt>
      <c:pivotFmt>
        <c:idx val="2110"/>
      </c:pivotFmt>
      <c:pivotFmt>
        <c:idx val="2111"/>
      </c:pivotFmt>
      <c:pivotFmt>
        <c:idx val="2112"/>
      </c:pivotFmt>
      <c:pivotFmt>
        <c:idx val="2113"/>
      </c:pivotFmt>
      <c:pivotFmt>
        <c:idx val="2114"/>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115"/>
      </c:pivotFmt>
      <c:pivotFmt>
        <c:idx val="2116"/>
      </c:pivotFmt>
      <c:pivotFmt>
        <c:idx val="2117"/>
      </c:pivotFmt>
      <c:pivotFmt>
        <c:idx val="2118"/>
      </c:pivotFmt>
      <c:pivotFmt>
        <c:idx val="2119"/>
      </c:pivotFmt>
      <c:pivotFmt>
        <c:idx val="2120"/>
      </c:pivotFmt>
      <c:pivotFmt>
        <c:idx val="2121"/>
      </c:pivotFmt>
      <c:pivotFmt>
        <c:idx val="2122"/>
      </c:pivotFmt>
      <c:pivotFmt>
        <c:idx val="2123"/>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124"/>
      </c:pivotFmt>
      <c:pivotFmt>
        <c:idx val="2125"/>
      </c:pivotFmt>
      <c:pivotFmt>
        <c:idx val="2126"/>
      </c:pivotFmt>
      <c:pivotFmt>
        <c:idx val="2127"/>
      </c:pivotFmt>
      <c:pivotFmt>
        <c:idx val="2128"/>
      </c:pivotFmt>
      <c:pivotFmt>
        <c:idx val="2129"/>
      </c:pivotFmt>
      <c:pivotFmt>
        <c:idx val="2130"/>
      </c:pivotFmt>
      <c:pivotFmt>
        <c:idx val="2131"/>
      </c:pivotFmt>
      <c:pivotFmt>
        <c:idx val="2132"/>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133"/>
      </c:pivotFmt>
      <c:pivotFmt>
        <c:idx val="2134"/>
      </c:pivotFmt>
      <c:pivotFmt>
        <c:idx val="2135"/>
      </c:pivotFmt>
      <c:pivotFmt>
        <c:idx val="2136"/>
      </c:pivotFmt>
      <c:pivotFmt>
        <c:idx val="2137"/>
      </c:pivotFmt>
      <c:pivotFmt>
        <c:idx val="2138"/>
      </c:pivotFmt>
      <c:pivotFmt>
        <c:idx val="2139"/>
      </c:pivotFmt>
      <c:pivotFmt>
        <c:idx val="2140"/>
      </c:pivotFmt>
      <c:pivotFmt>
        <c:idx val="214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142"/>
      </c:pivotFmt>
      <c:pivotFmt>
        <c:idx val="2143"/>
      </c:pivotFmt>
      <c:pivotFmt>
        <c:idx val="2144"/>
      </c:pivotFmt>
      <c:pivotFmt>
        <c:idx val="2145"/>
      </c:pivotFmt>
      <c:pivotFmt>
        <c:idx val="2146"/>
      </c:pivotFmt>
      <c:pivotFmt>
        <c:idx val="2147"/>
      </c:pivotFmt>
      <c:pivotFmt>
        <c:idx val="2148"/>
      </c:pivotFmt>
      <c:pivotFmt>
        <c:idx val="2149"/>
      </c:pivotFmt>
      <c:pivotFmt>
        <c:idx val="2150"/>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151"/>
      </c:pivotFmt>
      <c:pivotFmt>
        <c:idx val="2152"/>
      </c:pivotFmt>
      <c:pivotFmt>
        <c:idx val="2153"/>
      </c:pivotFmt>
      <c:pivotFmt>
        <c:idx val="2154"/>
      </c:pivotFmt>
      <c:pivotFmt>
        <c:idx val="2155"/>
      </c:pivotFmt>
      <c:pivotFmt>
        <c:idx val="2156"/>
      </c:pivotFmt>
      <c:pivotFmt>
        <c:idx val="2157"/>
      </c:pivotFmt>
      <c:pivotFmt>
        <c:idx val="2158"/>
      </c:pivotFmt>
      <c:pivotFmt>
        <c:idx val="2159"/>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160"/>
      </c:pivotFmt>
      <c:pivotFmt>
        <c:idx val="2161"/>
      </c:pivotFmt>
      <c:pivotFmt>
        <c:idx val="2162"/>
      </c:pivotFmt>
      <c:pivotFmt>
        <c:idx val="2163"/>
      </c:pivotFmt>
      <c:pivotFmt>
        <c:idx val="2164"/>
      </c:pivotFmt>
      <c:pivotFmt>
        <c:idx val="2165"/>
      </c:pivotFmt>
      <c:pivotFmt>
        <c:idx val="2166"/>
      </c:pivotFmt>
      <c:pivotFmt>
        <c:idx val="2167"/>
      </c:pivotFmt>
      <c:pivotFmt>
        <c:idx val="216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9"/>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3"/>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4"/>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6"/>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7"/>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9"/>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3"/>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4"/>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6"/>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7"/>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9"/>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3"/>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4"/>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5"/>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96"/>
        <c:spPr>
          <a:solidFill>
            <a:schemeClr val="accent1"/>
          </a:solidFill>
          <a:ln w="19050">
            <a:solidFill>
              <a:schemeClr val="lt1"/>
            </a:solidFill>
          </a:ln>
          <a:effectLst/>
        </c:spPr>
      </c:pivotFmt>
      <c:pivotFmt>
        <c:idx val="2197"/>
        <c:spPr>
          <a:solidFill>
            <a:schemeClr val="accent1"/>
          </a:solidFill>
          <a:ln w="19050">
            <a:solidFill>
              <a:schemeClr val="lt1"/>
            </a:solidFill>
          </a:ln>
          <a:effectLst/>
        </c:spPr>
      </c:pivotFmt>
      <c:pivotFmt>
        <c:idx val="2198"/>
        <c:spPr>
          <a:solidFill>
            <a:schemeClr val="accent1"/>
          </a:solidFill>
          <a:ln w="19050">
            <a:solidFill>
              <a:schemeClr val="lt1"/>
            </a:solidFill>
          </a:ln>
          <a:effectLst/>
        </c:spPr>
      </c:pivotFmt>
      <c:pivotFmt>
        <c:idx val="2199"/>
        <c:spPr>
          <a:solidFill>
            <a:schemeClr val="accent1"/>
          </a:solidFill>
          <a:ln w="19050">
            <a:solidFill>
              <a:schemeClr val="lt1"/>
            </a:solidFill>
          </a:ln>
          <a:effectLst/>
        </c:spPr>
      </c:pivotFmt>
      <c:pivotFmt>
        <c:idx val="2200"/>
        <c:spPr>
          <a:solidFill>
            <a:schemeClr val="accent1"/>
          </a:solidFill>
          <a:ln w="19050">
            <a:solidFill>
              <a:schemeClr val="lt1"/>
            </a:solidFill>
          </a:ln>
          <a:effectLst/>
        </c:spPr>
      </c:pivotFmt>
      <c:pivotFmt>
        <c:idx val="2201"/>
        <c:spPr>
          <a:solidFill>
            <a:schemeClr val="accent1"/>
          </a:solidFill>
          <a:ln w="19050">
            <a:solidFill>
              <a:schemeClr val="lt1"/>
            </a:solidFill>
          </a:ln>
          <a:effectLst/>
        </c:spPr>
      </c:pivotFmt>
      <c:pivotFmt>
        <c:idx val="2202"/>
        <c:spPr>
          <a:solidFill>
            <a:schemeClr val="accent1"/>
          </a:solidFill>
          <a:ln w="19050">
            <a:solidFill>
              <a:schemeClr val="lt1"/>
            </a:solidFill>
          </a:ln>
          <a:effectLst/>
        </c:spPr>
      </c:pivotFmt>
      <c:pivotFmt>
        <c:idx val="2203"/>
        <c:spPr>
          <a:solidFill>
            <a:schemeClr val="accent1"/>
          </a:solidFill>
          <a:ln w="19050">
            <a:solidFill>
              <a:schemeClr val="lt1"/>
            </a:solidFill>
          </a:ln>
          <a:effectLst/>
        </c:spPr>
      </c:pivotFmt>
    </c:pivotFmts>
    <c:plotArea>
      <c:layout>
        <c:manualLayout>
          <c:layoutTarget val="inner"/>
          <c:xMode val="edge"/>
          <c:yMode val="edge"/>
          <c:x val="5.3447140043258845E-2"/>
          <c:y val="0.27530080387156691"/>
          <c:w val="0.50054341911279587"/>
          <c:h val="0.6364053829722589"/>
        </c:manualLayout>
      </c:layout>
      <c:pieChart>
        <c:varyColors val="1"/>
        <c:ser>
          <c:idx val="0"/>
          <c:order val="0"/>
          <c:tx>
            <c:strRef>
              <c:f>'Pivot - quantity by method'!$B$7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82-4AB7-88C1-698930C910B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A82-4AB7-88C1-698930C910B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A82-4AB7-88C1-698930C910B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DA82-4AB7-88C1-698930C910BB}"/>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DA82-4AB7-88C1-698930C910BB}"/>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DA82-4AB7-88C1-698930C910BB}"/>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DA82-4AB7-88C1-698930C910BB}"/>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DA82-4AB7-88C1-698930C910BB}"/>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 quantity by method'!$A$8:$A$16</c:f>
              <c:strCache>
                <c:ptCount val="8"/>
                <c:pt idx="0">
                  <c:v>Off-site Disposal</c:v>
                </c:pt>
                <c:pt idx="1">
                  <c:v>Off-site Transfers for Recycling</c:v>
                </c:pt>
                <c:pt idx="2">
                  <c:v>Off-site Transfers for Treatment Prior to Final Disposal</c:v>
                </c:pt>
                <c:pt idx="3">
                  <c:v>On-site Disposal</c:v>
                </c:pt>
                <c:pt idx="4">
                  <c:v>Releases to Air</c:v>
                </c:pt>
                <c:pt idx="5">
                  <c:v>Releases to Land</c:v>
                </c:pt>
                <c:pt idx="6">
                  <c:v>Releases to Water Bodies</c:v>
                </c:pt>
                <c:pt idx="7">
                  <c:v>Sum of release to all media (&lt;1tonne)</c:v>
                </c:pt>
              </c:strCache>
            </c:strRef>
          </c:cat>
          <c:val>
            <c:numRef>
              <c:f>'Pivot - quantity by method'!$B$8:$B$16</c:f>
              <c:numCache>
                <c:formatCode>General</c:formatCode>
                <c:ptCount val="8"/>
                <c:pt idx="0">
                  <c:v>3688.5122999999999</c:v>
                </c:pt>
                <c:pt idx="1">
                  <c:v>5362.5258000000003</c:v>
                </c:pt>
                <c:pt idx="2">
                  <c:v>2767.468800000001</c:v>
                </c:pt>
                <c:pt idx="3">
                  <c:v>15307.834900000003</c:v>
                </c:pt>
                <c:pt idx="4">
                  <c:v>24500.198799999998</c:v>
                </c:pt>
                <c:pt idx="5">
                  <c:v>50.288000000000004</c:v>
                </c:pt>
                <c:pt idx="6">
                  <c:v>334.23650000000004</c:v>
                </c:pt>
                <c:pt idx="7">
                  <c:v>2.1356999999999999</c:v>
                </c:pt>
              </c:numCache>
            </c:numRef>
          </c:val>
          <c:extLst>
            <c:ext xmlns:c16="http://schemas.microsoft.com/office/drawing/2014/chart" uri="{C3380CC4-5D6E-409C-BE32-E72D297353CC}">
              <c16:uniqueId val="{00000010-DA82-4AB7-88C1-698930C910B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55262825425970064"/>
          <c:y val="0.19222807185891272"/>
          <c:w val="0.43492735722593834"/>
          <c:h val="0.7724505558951297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HP Simplified Light" panose="020B04040202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10</xdr:row>
      <xdr:rowOff>0</xdr:rowOff>
    </xdr:from>
    <xdr:to>
      <xdr:col>23</xdr:col>
      <xdr:colOff>0</xdr:colOff>
      <xdr:row>34</xdr:row>
      <xdr:rowOff>1</xdr:rowOff>
    </xdr:to>
    <xdr:graphicFrame macro="">
      <xdr:nvGraphicFramePr>
        <xdr:cNvPr id="3" name="Chart 2">
          <a:extLst>
            <a:ext uri="{FF2B5EF4-FFF2-40B4-BE49-F238E27FC236}">
              <a16:creationId xmlns:a16="http://schemas.microsoft.com/office/drawing/2014/main" id="{B65BDB20-1269-4DD9-9360-CBB2DFC53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34</xdr:row>
      <xdr:rowOff>0</xdr:rowOff>
    </xdr:from>
    <xdr:to>
      <xdr:col>33</xdr:col>
      <xdr:colOff>0</xdr:colOff>
      <xdr:row>59</xdr:row>
      <xdr:rowOff>0</xdr:rowOff>
    </xdr:to>
    <xdr:graphicFrame macro="">
      <xdr:nvGraphicFramePr>
        <xdr:cNvPr id="4" name="Chart 3">
          <a:extLst>
            <a:ext uri="{FF2B5EF4-FFF2-40B4-BE49-F238E27FC236}">
              <a16:creationId xmlns:a16="http://schemas.microsoft.com/office/drawing/2014/main" id="{EB0FCB5C-3C2F-4C4D-942B-85A70F3D6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38</xdr:col>
      <xdr:colOff>1</xdr:colOff>
      <xdr:row>0</xdr:row>
      <xdr:rowOff>0</xdr:rowOff>
    </xdr:from>
    <xdr:to>
      <xdr:col>43</xdr:col>
      <xdr:colOff>0</xdr:colOff>
      <xdr:row>59</xdr:row>
      <xdr:rowOff>0</xdr:rowOff>
    </xdr:to>
    <mc:AlternateContent xmlns:mc="http://schemas.openxmlformats.org/markup-compatibility/2006" xmlns:a14="http://schemas.microsoft.com/office/drawing/2010/main">
      <mc:Choice Requires="a14">
        <xdr:graphicFrame macro="">
          <xdr:nvGraphicFramePr>
            <xdr:cNvPr id="6" name="Company_Name / Dénomination_sociale_de_l'entreprise">
              <a:extLst>
                <a:ext uri="{FF2B5EF4-FFF2-40B4-BE49-F238E27FC236}">
                  <a16:creationId xmlns:a16="http://schemas.microsoft.com/office/drawing/2014/main" id="{A4F664EB-F9D4-E6B2-8A9A-E2BEC4BDDCA2}"/>
                </a:ext>
              </a:extLst>
            </xdr:cNvPr>
            <xdr:cNvGraphicFramePr/>
          </xdr:nvGraphicFramePr>
          <xdr:xfrm>
            <a:off x="0" y="0"/>
            <a:ext cx="0" cy="0"/>
          </xdr:xfrm>
          <a:graphic>
            <a:graphicData uri="http://schemas.microsoft.com/office/drawing/2010/slicer">
              <sle:slicer xmlns:sle="http://schemas.microsoft.com/office/drawing/2010/slicer" name="Company_Name / Dénomination_sociale_de_l'entreprise"/>
            </a:graphicData>
          </a:graphic>
        </xdr:graphicFrame>
      </mc:Choice>
      <mc:Fallback xmlns="">
        <xdr:sp macro="" textlink="">
          <xdr:nvSpPr>
            <xdr:cNvPr id="0" name=""/>
            <xdr:cNvSpPr>
              <a:spLocks noTextEdit="1"/>
            </xdr:cNvSpPr>
          </xdr:nvSpPr>
          <xdr:spPr>
            <a:xfrm>
              <a:off x="23033183" y="0"/>
              <a:ext cx="3030681" cy="11239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59</xdr:row>
      <xdr:rowOff>0</xdr:rowOff>
    </xdr:from>
    <xdr:to>
      <xdr:col>43</xdr:col>
      <xdr:colOff>0</xdr:colOff>
      <xdr:row>63</xdr:row>
      <xdr:rowOff>0</xdr:rowOff>
    </xdr:to>
    <mc:AlternateContent xmlns:mc="http://schemas.openxmlformats.org/markup-compatibility/2006" xmlns:a14="http://schemas.microsoft.com/office/drawing/2010/main">
      <mc:Choice Requires="a14">
        <xdr:graphicFrame macro="">
          <xdr:nvGraphicFramePr>
            <xdr:cNvPr id="7" name="Reporting_Year / Année">
              <a:extLst>
                <a:ext uri="{FF2B5EF4-FFF2-40B4-BE49-F238E27FC236}">
                  <a16:creationId xmlns:a16="http://schemas.microsoft.com/office/drawing/2014/main" id="{6972D0C5-F556-A777-BF2D-F8871010E177}"/>
                </a:ext>
              </a:extLst>
            </xdr:cNvPr>
            <xdr:cNvGraphicFramePr/>
          </xdr:nvGraphicFramePr>
          <xdr:xfrm>
            <a:off x="0" y="0"/>
            <a:ext cx="0" cy="0"/>
          </xdr:xfrm>
          <a:graphic>
            <a:graphicData uri="http://schemas.microsoft.com/office/drawing/2010/slicer">
              <sle:slicer xmlns:sle="http://schemas.microsoft.com/office/drawing/2010/slicer" name="Reporting_Year / Année"/>
            </a:graphicData>
          </a:graphic>
        </xdr:graphicFrame>
      </mc:Choice>
      <mc:Fallback xmlns="">
        <xdr:sp macro="" textlink="">
          <xdr:nvSpPr>
            <xdr:cNvPr id="0" name=""/>
            <xdr:cNvSpPr>
              <a:spLocks noTextEdit="1"/>
            </xdr:cNvSpPr>
          </xdr:nvSpPr>
          <xdr:spPr>
            <a:xfrm>
              <a:off x="1" y="11239500"/>
              <a:ext cx="26063863"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0</xdr:rowOff>
    </xdr:from>
    <xdr:to>
      <xdr:col>6</xdr:col>
      <xdr:colOff>0</xdr:colOff>
      <xdr:row>51</xdr:row>
      <xdr:rowOff>0</xdr:rowOff>
    </xdr:to>
    <mc:AlternateContent xmlns:mc="http://schemas.openxmlformats.org/markup-compatibility/2006" xmlns:a14="http://schemas.microsoft.com/office/drawing/2010/main">
      <mc:Choice Requires="a14">
        <xdr:graphicFrame macro="">
          <xdr:nvGraphicFramePr>
            <xdr:cNvPr id="9" name="PROVINCE">
              <a:extLst>
                <a:ext uri="{FF2B5EF4-FFF2-40B4-BE49-F238E27FC236}">
                  <a16:creationId xmlns:a16="http://schemas.microsoft.com/office/drawing/2014/main" id="{B69BB764-B12C-F451-FB59-3D7DB3DF2A46}"/>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0" y="8382000"/>
              <a:ext cx="3636818"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0</xdr:rowOff>
    </xdr:from>
    <xdr:to>
      <xdr:col>3</xdr:col>
      <xdr:colOff>0</xdr:colOff>
      <xdr:row>59</xdr:row>
      <xdr:rowOff>0</xdr:rowOff>
    </xdr:to>
    <mc:AlternateContent xmlns:mc="http://schemas.openxmlformats.org/markup-compatibility/2006" xmlns:a14="http://schemas.microsoft.com/office/drawing/2010/main">
      <mc:Choice Requires="a14">
        <xdr:graphicFrame macro="">
          <xdr:nvGraphicFramePr>
            <xdr:cNvPr id="10" name="Units / Unités">
              <a:extLst>
                <a:ext uri="{FF2B5EF4-FFF2-40B4-BE49-F238E27FC236}">
                  <a16:creationId xmlns:a16="http://schemas.microsoft.com/office/drawing/2014/main" id="{07AE0307-17FE-B7B3-5DC9-CC5FE1B40FFD}"/>
                </a:ext>
              </a:extLst>
            </xdr:cNvPr>
            <xdr:cNvGraphicFramePr/>
          </xdr:nvGraphicFramePr>
          <xdr:xfrm>
            <a:off x="0" y="0"/>
            <a:ext cx="0" cy="0"/>
          </xdr:xfrm>
          <a:graphic>
            <a:graphicData uri="http://schemas.microsoft.com/office/drawing/2010/slicer">
              <sle:slicer xmlns:sle="http://schemas.microsoft.com/office/drawing/2010/slicer" name="Units / Unités"/>
            </a:graphicData>
          </a:graphic>
        </xdr:graphicFrame>
      </mc:Choice>
      <mc:Fallback xmlns="">
        <xdr:sp macro="" textlink="">
          <xdr:nvSpPr>
            <xdr:cNvPr id="0" name=""/>
            <xdr:cNvSpPr>
              <a:spLocks noTextEdit="1"/>
            </xdr:cNvSpPr>
          </xdr:nvSpPr>
          <xdr:spPr>
            <a:xfrm>
              <a:off x="0" y="9715500"/>
              <a:ext cx="1818409"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xdr:colOff>
      <xdr:row>51</xdr:row>
      <xdr:rowOff>0</xdr:rowOff>
    </xdr:from>
    <xdr:to>
      <xdr:col>6</xdr:col>
      <xdr:colOff>0</xdr:colOff>
      <xdr:row>59</xdr:row>
      <xdr:rowOff>0</xdr:rowOff>
    </xdr:to>
    <mc:AlternateContent xmlns:mc="http://schemas.openxmlformats.org/markup-compatibility/2006" xmlns:a14="http://schemas.microsoft.com/office/drawing/2010/main">
      <mc:Choice Requires="a14">
        <xdr:graphicFrame macro="">
          <xdr:nvGraphicFramePr>
            <xdr:cNvPr id="11" name="From_Table">
              <a:extLst>
                <a:ext uri="{FF2B5EF4-FFF2-40B4-BE49-F238E27FC236}">
                  <a16:creationId xmlns:a16="http://schemas.microsoft.com/office/drawing/2014/main" id="{23B88489-A72C-E57A-89B3-3CA3345978A9}"/>
                </a:ext>
              </a:extLst>
            </xdr:cNvPr>
            <xdr:cNvGraphicFramePr/>
          </xdr:nvGraphicFramePr>
          <xdr:xfrm>
            <a:off x="0" y="0"/>
            <a:ext cx="0" cy="0"/>
          </xdr:xfrm>
          <a:graphic>
            <a:graphicData uri="http://schemas.microsoft.com/office/drawing/2010/slicer">
              <sle:slicer xmlns:sle="http://schemas.microsoft.com/office/drawing/2010/slicer" name="From_Table"/>
            </a:graphicData>
          </a:graphic>
        </xdr:graphicFrame>
      </mc:Choice>
      <mc:Fallback xmlns="">
        <xdr:sp macro="" textlink="">
          <xdr:nvSpPr>
            <xdr:cNvPr id="0" name=""/>
            <xdr:cNvSpPr>
              <a:spLocks noTextEdit="1"/>
            </xdr:cNvSpPr>
          </xdr:nvSpPr>
          <xdr:spPr>
            <a:xfrm>
              <a:off x="1818410" y="9715500"/>
              <a:ext cx="1818408"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6185</xdr:colOff>
      <xdr:row>10</xdr:row>
      <xdr:rowOff>1</xdr:rowOff>
    </xdr:from>
    <xdr:to>
      <xdr:col>33</xdr:col>
      <xdr:colOff>0</xdr:colOff>
      <xdr:row>34</xdr:row>
      <xdr:rowOff>0</xdr:rowOff>
    </xdr:to>
    <xdr:graphicFrame macro="">
      <xdr:nvGraphicFramePr>
        <xdr:cNvPr id="12" name="Chart 11">
          <a:extLst>
            <a:ext uri="{FF2B5EF4-FFF2-40B4-BE49-F238E27FC236}">
              <a16:creationId xmlns:a16="http://schemas.microsoft.com/office/drawing/2014/main" id="{CF0CFEFC-EE29-4542-83C6-F9BCEA889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33</xdr:col>
      <xdr:colOff>8163</xdr:colOff>
      <xdr:row>0</xdr:row>
      <xdr:rowOff>0</xdr:rowOff>
    </xdr:from>
    <xdr:to>
      <xdr:col>38</xdr:col>
      <xdr:colOff>0</xdr:colOff>
      <xdr:row>59</xdr:row>
      <xdr:rowOff>0</xdr:rowOff>
    </xdr:to>
    <mc:AlternateContent xmlns:mc="http://schemas.openxmlformats.org/markup-compatibility/2006" xmlns:a14="http://schemas.microsoft.com/office/drawing/2010/main">
      <mc:Choice Requires="a14">
        <xdr:graphicFrame macro="">
          <xdr:nvGraphicFramePr>
            <xdr:cNvPr id="13" name="Substance Name (English) / Nom de substance (Anglais)">
              <a:extLst>
                <a:ext uri="{FF2B5EF4-FFF2-40B4-BE49-F238E27FC236}">
                  <a16:creationId xmlns:a16="http://schemas.microsoft.com/office/drawing/2014/main" id="{F95D0CE6-E935-0449-0B39-539407F5FED1}"/>
                </a:ext>
              </a:extLst>
            </xdr:cNvPr>
            <xdr:cNvGraphicFramePr/>
          </xdr:nvGraphicFramePr>
          <xdr:xfrm>
            <a:off x="0" y="0"/>
            <a:ext cx="0" cy="0"/>
          </xdr:xfrm>
          <a:graphic>
            <a:graphicData uri="http://schemas.microsoft.com/office/drawing/2010/slicer">
              <sle:slicer xmlns:sle="http://schemas.microsoft.com/office/drawing/2010/slicer" name="Substance Name (English) / Nom de substance (Anglais)"/>
            </a:graphicData>
          </a:graphic>
        </xdr:graphicFrame>
      </mc:Choice>
      <mc:Fallback xmlns="">
        <xdr:sp macro="" textlink="">
          <xdr:nvSpPr>
            <xdr:cNvPr id="0" name=""/>
            <xdr:cNvSpPr>
              <a:spLocks noTextEdit="1"/>
            </xdr:cNvSpPr>
          </xdr:nvSpPr>
          <xdr:spPr>
            <a:xfrm>
              <a:off x="20010663" y="0"/>
              <a:ext cx="3022519" cy="11239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30</xdr:row>
      <xdr:rowOff>0</xdr:rowOff>
    </xdr:from>
    <xdr:to>
      <xdr:col>6</xdr:col>
      <xdr:colOff>0</xdr:colOff>
      <xdr:row>44</xdr:row>
      <xdr:rowOff>0</xdr:rowOff>
    </xdr:to>
    <mc:AlternateContent xmlns:mc="http://schemas.openxmlformats.org/markup-compatibility/2006" xmlns:a14="http://schemas.microsoft.com/office/drawing/2010/main">
      <mc:Choice Requires="a14">
        <xdr:graphicFrame macro="">
          <xdr:nvGraphicFramePr>
            <xdr:cNvPr id="14" name="Group (English) / Groupe (Anglais)">
              <a:extLst>
                <a:ext uri="{FF2B5EF4-FFF2-40B4-BE49-F238E27FC236}">
                  <a16:creationId xmlns:a16="http://schemas.microsoft.com/office/drawing/2014/main" id="{9943BC5B-6200-5AC5-1B68-8BD5A0D22E21}"/>
                </a:ext>
              </a:extLst>
            </xdr:cNvPr>
            <xdr:cNvGraphicFramePr/>
          </xdr:nvGraphicFramePr>
          <xdr:xfrm>
            <a:off x="0" y="0"/>
            <a:ext cx="0" cy="0"/>
          </xdr:xfrm>
          <a:graphic>
            <a:graphicData uri="http://schemas.microsoft.com/office/drawing/2010/slicer">
              <sle:slicer xmlns:sle="http://schemas.microsoft.com/office/drawing/2010/slicer" name="Group (English) / Groupe (Anglais)"/>
            </a:graphicData>
          </a:graphic>
        </xdr:graphicFrame>
      </mc:Choice>
      <mc:Fallback xmlns="">
        <xdr:sp macro="" textlink="">
          <xdr:nvSpPr>
            <xdr:cNvPr id="0" name=""/>
            <xdr:cNvSpPr>
              <a:spLocks noTextEdit="1"/>
            </xdr:cNvSpPr>
          </xdr:nvSpPr>
          <xdr:spPr>
            <a:xfrm>
              <a:off x="1" y="5715000"/>
              <a:ext cx="3636817"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i" refreshedDate="45963.888159953705" createdVersion="8" refreshedVersion="8" minRefreshableVersion="3" recordCount="1500" xr:uid="{44C1870F-FCB2-47B5-A343-627ABBF9623B}">
  <cacheSource type="worksheet">
    <worksheetSource ref="A1:S1501" sheet="Merged table"/>
  </cacheSource>
  <cacheFields count="19">
    <cacheField name="Reporting_Year / Année" numFmtId="0">
      <sharedItems containsSemiMixedTypes="0" containsString="0" containsNumber="1" containsInteger="1" minValue="1993" maxValue="2023" count="31">
        <n v="1998"/>
        <n v="2015"/>
        <n v="2016"/>
        <n v="2001"/>
        <n v="1999"/>
        <n v="2011"/>
        <n v="2006"/>
        <n v="2020"/>
        <n v="2007"/>
        <n v="2014"/>
        <n v="2002"/>
        <n v="2012"/>
        <n v="2018"/>
        <n v="2004"/>
        <n v="2021"/>
        <n v="2017"/>
        <n v="2008"/>
        <n v="2023"/>
        <n v="2013"/>
        <n v="2003"/>
        <n v="2005"/>
        <n v="2019"/>
        <n v="2000"/>
        <n v="1997"/>
        <n v="1995"/>
        <n v="1994"/>
        <n v="2009"/>
        <n v="2010"/>
        <n v="1996"/>
        <n v="2022"/>
        <n v="1993"/>
      </sharedItems>
    </cacheField>
    <cacheField name="NPRI_ID / No_INRP" numFmtId="0">
      <sharedItems containsSemiMixedTypes="0" containsString="0" containsNumber="1" containsInteger="1" minValue="1" maxValue="34493"/>
    </cacheField>
    <cacheField name="Company_Name / Dénomination_sociale_de_l'entreprise" numFmtId="0">
      <sharedItems count="902">
        <s v="POLYCON INDUSTRIES"/>
        <s v="KP Bronze Ltd."/>
        <s v="Honda Canada Inc."/>
        <s v="MILLER ENVIRONMENTAL CORPORATION"/>
        <s v="Tenneco Automotive"/>
        <s v="Newalta Corporation"/>
        <s v="SONOCO CANADA"/>
        <s v="RBW Waste Management Ltd."/>
        <s v="CHEVRON CANADA LIMITED"/>
        <s v="VEOLIA ES CANADA SERVICES INDUSTRIELS INC."/>
        <s v="Tempo Aerospace"/>
        <s v="Les Forges de Sorel Cie"/>
        <s v="IMPERIAL OIL"/>
        <s v="TransAlta Corporation"/>
        <s v="SCHWARTZ CHEMICAL CORPORATION"/>
        <s v="City of Calgary"/>
        <s v="Louisiana-Pacific Canada Ltd."/>
        <s v="AFFINIA CANADA CORP."/>
        <s v="ARBORITE,DIVISION DE / OF  ITW  CANADA"/>
        <s v="INVISTA (Canada) Company"/>
        <s v="Revolution Environmental Solutions Acquisition GP Inc"/>
        <s v="ArcelorMittal Tailored Blanks Americas Limited"/>
        <s v="Toxco Waste Management Ltd."/>
        <s v="3M CANADA"/>
        <s v="Alberta Power Limited"/>
        <s v="GFL Environmental Services Inc."/>
        <s v="ONTARIO POWER GENERATION INC."/>
        <s v="Greater Vancouver Sewerage and Drainage District"/>
        <s v="BASF Canada Inc."/>
        <s v="APOTEX PHARMACHEM INC."/>
        <s v="Wajax"/>
        <s v="Valero Energy Inc."/>
        <s v="DURA-CHROME LIMITED"/>
        <s v="AltaGas Ltd."/>
        <s v="OLYMPIC COATERS"/>
        <s v="Cameco Corporation"/>
        <s v="NOVA CHEMICALS CORPORATION"/>
        <s v="Fonderie générale du Canada"/>
        <s v="Boeing Toronto Ltd."/>
        <s v="Chrysler Canada Inc."/>
        <s v="KRUG"/>
        <s v="Suncor Enery Products Partenership "/>
        <s v="Toyota Motor Manufacturing Canada Inc."/>
        <s v="Rolls-Royce Canada"/>
        <s v="Central Wire Industries Ltd."/>
        <s v="Griffin Canada Inc."/>
        <s v="Decor Cabinets Ltd."/>
        <s v="Laboratoires Choisy Ltée."/>
        <s v="CR3X Inc."/>
        <s v="PPG CANADA INC."/>
        <s v="MORTON-PARKER LIMITED"/>
        <s v="Ashland Chemical Canada Ltd."/>
        <s v="Société en commandite Boralex Énergie"/>
        <s v="Revolution ORS Acquisition GP Inc."/>
        <s v="Dofasco Inc."/>
        <s v="Saputo Produits Laitiers Canada s.e.n.c."/>
        <s v="IMPERIAL OIL LIMITED"/>
        <s v="Sun Chemical Ltd. (Brampton)"/>
        <s v="Shell Canada Energy Limited"/>
        <s v="TC Industries of Canada"/>
        <s v="STELLA-JONES INC."/>
        <s v="Clean Harbors Canada, Inc."/>
        <s v="FORD MOTOR OF CANADA"/>
        <s v="Goodrich Aerospace Canada Ltd."/>
        <s v="Bramalea Assembly Plant"/>
        <s v="BRENNTAG CANADA"/>
        <s v="SIMS Group Recycling Solutions Canada Ltd."/>
        <s v="City of Brockville (Corporation of the)"/>
        <s v="HCI CANADA INC. (QS65)"/>
        <s v="FIELDING CHEMICAL TECHNOLOGIES INC."/>
        <s v="NOVA Chemicals (Canada) Ltd."/>
        <s v="A.G.Simpson Co. Ltd."/>
        <s v="KEYERA ENERGY LTD."/>
        <s v="Canada Colors &amp; Chemicals Limited"/>
        <s v="Falconbridge Ltd-Kidd Metallurgical Div."/>
        <s v="Produits American Biltrite Ltée"/>
        <s v="EDMONTON - AIR CANADA"/>
        <s v="A.G. Simpson Automotive Inc."/>
        <s v="SPRAY LAKE SAWMILLS (1980)"/>
        <s v="SICO INC."/>
        <s v="Van Waters &amp; Rogers Ltd."/>
        <s v="IMP GROUP"/>
        <s v="Nexeo Solutions Canada Corporation"/>
        <s v="ARC RESOURCES LTD."/>
        <s v="Abbott Point of Care Canada Limited"/>
        <s v="Saskatchewan Power Corporation"/>
        <s v="Shell Canada Products "/>
        <s v="GREAT LAKES COPPER INC."/>
        <s v="CHEMREC INC."/>
        <s v="MAUSER CANADA LIMITED"/>
        <s v="LES INDUSTRIES CAPITOL INC."/>
        <s v="Ventra Group Co."/>
        <s v="ARCELORMITTAL DOFASCO INC."/>
        <s v="Anachem Ltée."/>
        <s v="Cooper Standard Automotive Canada Ltd."/>
        <s v="NEXEN MARKETING"/>
        <s v="Kleen-Flo Tumbler Industries Ltd."/>
        <s v="HONEYWELL"/>
        <s v="Lantic Inc. - Vancouver Refinery"/>
        <s v="Traxle Manufacturing Ltd."/>
        <s v="Russel Metals Inc."/>
        <s v="BAKER PERFORMANCE CHEMICALS,INC."/>
        <s v="SOUTHWIRE CANADA COMPANY"/>
        <s v="PHILLIPS &amp; TEMRO INDUSTRIES LTD."/>
        <s v="EPCOR Distribution and Transmission"/>
        <s v="ROCTEL MANUFACTURING"/>
        <s v="AJAX TEXTILE PROCESSING COMPANY LTD"/>
        <s v="BOMBARDIER INC."/>
        <s v="ROLLSTAMP MANUFACTURING"/>
        <s v="Kuntz Electroplating Inc."/>
        <s v="Daam Galvanizing Co Ltd."/>
        <s v="BIOX Canada Ltd."/>
        <s v="Viasystems Canada inc."/>
        <s v="CANADIAN OCCIDENTAL PETROLEUM LTD."/>
        <s v="FORD MOTOR COMPANY"/>
        <s v="COLGATE-PALMOLIVE CANADA INC."/>
        <s v="Sherwin-Williams Canada"/>
        <s v="DOMTAR PAPERS"/>
        <s v="Gerdau Ameristeel Corporation"/>
        <s v="EPCOR WATER SERVICES INC."/>
        <s v="PETRO-CANADA"/>
        <s v="HULS CANADA (Leaside)"/>
        <s v="GURIT (CANADA) INC"/>
        <s v="Safety-Kleen Canada Inc."/>
        <s v="HUNTSMAN CORPORATION CANADA INC."/>
        <s v="CLEAN HARBORS QUÉBEC, INC."/>
        <s v="Douglas Barwick Inc."/>
        <s v="AV Nackawic Inc."/>
        <s v="RHONE-POULENC SPECIALTY CHEMICALS"/>
        <s v="Shrader Canada"/>
        <s v="General Paint"/>
        <s v="Musashi Auto Parts Canada Inc."/>
        <s v="Héroux-Devtek Inc."/>
        <s v="AP&amp;C Advanced Powders &amp; Coatings Inc."/>
        <s v="ALCATEL CANADA WIRE"/>
        <s v="Durapaint Industries"/>
        <s v="GALVCAST MANUFACTURING INC."/>
        <s v="CANBRO INC"/>
        <s v="The Valspar Corporation"/>
        <s v="VFT Inc."/>
        <s v="WESCAST INDUSTRIES INC."/>
        <s v="Hanson Pressure Pipes"/>
        <s v="Canadian Technical Tape Ltd."/>
        <s v="DIAGEO APPROVISIONNEMENT MONDIAL"/>
        <s v="Lactalis Canada Inc."/>
        <s v="TEMBEC, ARC RESINS"/>
        <s v="Olin Canada ULC"/>
        <s v="Irving Pulp &amp; Paper, Limited"/>
        <s v="Multichair Inc."/>
        <s v="Progressive Anodizers Inc."/>
        <s v="PPG Phillips Industrial Coatings Inc"/>
        <s v="Sherwin-Williams Canada Inc"/>
        <s v="GÉNÉRALE ÉLECTRIQUE DU CANADA"/>
        <s v="M &amp; P Tool Products Inc."/>
        <s v="AKZO NOBEL COATINGS"/>
        <s v="SANDVIK MINING AND CONSTRUCTION"/>
        <s v="KUNTZ ELECTROPLATING"/>
        <s v="Degussa-Hüls Canada Inc."/>
        <s v="HOTZ ENVIRONMENTAL SERVICES INC."/>
        <s v="FORD MOTOR COMPANY OF CANADA LIMITED"/>
        <s v="CASCADES INC."/>
        <s v="Kawneer Canada Ltd."/>
        <s v="The Electromac Group"/>
        <s v="3M Canada Co."/>
        <s v="Spectra Energy Midstream Corporation"/>
        <s v="Walinga Inc."/>
        <s v="Washington Mills Electro Minerals Corp."/>
        <s v="EMI RFI SHIELD PLATING"/>
        <s v="PARMALAT DAIRY &amp; BAKERY INC."/>
        <s v="GOODYEAR CANADA"/>
        <s v="Ball Packaging Products Canada, Inc."/>
        <s v="Shell Canada Products"/>
        <s v="Town of Orangeville"/>
        <s v="P&amp;F TOOL AND DIE"/>
        <s v="Trilogy Energy Corp."/>
        <s v="Envirotec Services Incorporated"/>
        <s v="DURO-KOTE LTÉE"/>
        <s v="Kaiser Aluminum Canada Limited"/>
        <s v="Anachemia Ltee/Ltd"/>
        <s v="Ontario Power Generation Inc"/>
        <s v="Durez Canada Company, Ltd."/>
        <s v="SHELL CANADA LIMITED"/>
        <s v="CP LOEWEN ENTERPRISES"/>
        <s v="NALCO CANADA"/>
        <s v="Dyno Nobel Canada Inc."/>
        <s v="Ford Motor Company of Canada, Limited"/>
        <s v="Plains Midstream Canada"/>
        <s v="Lambton Conveyor Limited"/>
        <s v="Morton International, Ltd."/>
        <s v="SUPERFINISH"/>
        <s v="CORUS L.P."/>
        <s v="ROLL SURFACE TECHNOLOGIES INC."/>
        <s v="Vulsay Industries Ltd."/>
        <s v="Co-Steel LASCO"/>
        <s v="GENERAL MOTORS OF CANADA LIMITED"/>
        <s v="ASHLAND CANADA"/>
        <s v="Iron Ore Company of Canada"/>
        <s v="Bohler-Uddeholm Ltd."/>
        <s v="Direct Energy Marketing Ltd."/>
        <s v="City of Regina"/>
        <s v="DAYMOND ALUMINUM"/>
        <s v="THE BUTCHER ENGINEERING ENTERPRISES LTD"/>
        <s v="MACDONALD AND WHITE VARNISH AND PAINT CO. LTD."/>
        <s v="SUNWORTHY WALLCOVERINGS (DIV. OF BORDEN CO)"/>
        <s v="BELDEN CDT CANADA INC."/>
        <s v="ONTARIO POWER GENERATION"/>
        <s v="GRAPHIC PACKAGING CANADA CORPORATION"/>
        <s v="Rio Alto Exploration Ltd."/>
        <s v="Arborite,division de Premark Canada inc."/>
        <s v="Toxco Waste Management Ltd. d/b/a/ Retriev Technologies"/>
        <s v="RB &amp; W"/>
        <s v="General Cable Company"/>
        <s v="Meridian Technologies Inc."/>
        <s v="Resolute FP Canada Inc. - Laurentide"/>
        <s v="ALDEX CHEMICAL CO. LTD."/>
        <s v="Fused Metals Inc."/>
        <s v="Suncor Energy Products Partnership "/>
        <s v="DAVIS WIRE INDUSTRIES LTD"/>
        <s v="DEVON CANADA CORPORATION"/>
        <s v="GENERAL MOTORS OF CANADA"/>
        <s v="EGS Easy Heat Limited"/>
        <s v="LES EMBALLAGES KNOWLTON INC."/>
        <s v="PACKALL PACKAGING INC."/>
        <s v="HENKEL CANADA CORPORATION CONSUMER ADHESIVES"/>
        <s v="CITY OF WINDSOR"/>
        <s v="Lincoln Electric Co. of Canada LP"/>
        <s v="Goodyear Canada Inc."/>
        <s v="Aimco Solrec Ltd."/>
        <s v="TORAL CAST"/>
        <s v="General Motors of Canada Company"/>
        <s v="NB Power Nuclear Corporation"/>
        <s v="Canusa-CPS"/>
        <s v="WALLCROWN LIMITED"/>
        <s v="IPEX INC."/>
        <s v="Allcolour Paint Limited"/>
        <s v="Regional Municipality of Durham"/>
        <s v="BELDEN CDT (CANADA)"/>
        <s v="Heroux-Devtek Inc."/>
        <s v="Safety-Kleen Canada Inc. [principal]"/>
        <s v="Brenntag Canada Inc."/>
        <s v="HONDA OF CANADA MFG., A DIV. OF HONDA CANADA INC."/>
        <s v="M. STANTON ELECTROPLATING LTD."/>
        <s v="CONTINENTAL AUTOMOTIVE CANADA INC."/>
        <s v="Union Drawn Steel II LP"/>
        <s v="Bombardier Inc., Canadair"/>
        <s v="BIOVECTRA INC"/>
        <s v="Kaiser Aluminum &amp; Chemical of Canada Ltd."/>
        <s v="Nova Scotia Power Incorporated"/>
        <s v="Warren Industries Ltd."/>
        <s v="Kraft Canada Inc."/>
        <s v="Canadian Natural Resources Limited"/>
        <s v="Groupe Canam inc."/>
        <s v="Siemens Energie Canada Limitée"/>
        <s v="RICHARDSON OILSEED LIMITED"/>
        <s v="CORETEC"/>
        <s v="Husky Oil Operations Limited"/>
        <s v="HIDDEN HITCH OF CANADA"/>
        <s v="NutriAg Ltd."/>
        <s v="TRANSALTA GENERATION PARTNERSHIP"/>
        <s v="Papiers de publication Kruger inc."/>
        <s v="CITY OF TORONTO"/>
        <s v="Vision Dominion Extrusions Limited"/>
        <s v="Cloverdale Paint Inc."/>
        <s v="Magna Exteriors Inc."/>
        <s v="BON L CANADA INC."/>
        <s v="BOWATER INC."/>
        <s v="ATS AUTOMATION TOOLING SYSTEMS"/>
        <s v="Capsules Amcor Flexibles Canada inc"/>
        <s v="TRENCH LIMITED"/>
        <s v="Peregrine Oshawa Inc."/>
        <s v="A.P. Plasman Corporation"/>
        <s v="CLEAN HARBORS INC."/>
        <s v="Nalco/Exxon Energy Chemicals Canada Inc."/>
        <s v="DUPONT CANADA INC."/>
        <s v="FCA Canada Inc."/>
        <s v="Glencore Canada Corporation"/>
        <s v="Ovintiv Canada ULC"/>
        <s v="Agrium Inc."/>
        <s v="Halltech Inc."/>
        <s v="RIO TINTO ALCAN"/>
        <s v="Criterion Catalysts &amp; Technologies Canada Inc."/>
        <s v="ALGONQUIN POWER"/>
        <s v="Olympic Coaters Ltd."/>
        <s v="Weatherford Engineered Chemistry Canada Ltd."/>
        <s v="AUTOLIV ELECTRONICS CANADA"/>
        <s v="GE Water &amp; Process Technologies Canada"/>
        <s v="LePage Division of Henkel Canada Corp"/>
        <s v="Tidewater Midstream and Infrastructure Ltd."/>
        <s v="MOOSE JAW REFINERY INC."/>
        <s v="VENTRA GROUP CO"/>
        <s v="Linamar Corp."/>
        <s v="Ultramar Canada Inc."/>
        <s v="PHILIP SERVICES INC."/>
        <s v="Fort Hills Energy L.P."/>
        <s v="Magna International Inc."/>
        <s v="Continuous Colour Coat Limited"/>
        <s v="Norbec Architectural inc"/>
        <s v="INSCAPE LTD"/>
        <s v="AT PLASTICS INC."/>
        <s v="USINE DE FABRICATION DE TRAIN D'ATTERISSAGE"/>
        <s v="F &amp; P MFG., INC."/>
        <s v="BECKER ACROMA INC."/>
        <s v="Scepter Aluminium Saguenay"/>
        <s v="Etratech Inc."/>
        <s v="CHRYSLER CANADA, LTD."/>
        <s v="BECKER ACROMA"/>
        <s v="Hobart Food Equipment Group Canada Ltd."/>
        <s v="Peintures ICI (Canada) Inc."/>
        <s v="MULTY INDUSTRIES INC."/>
        <s v="ArcelorMittal Canada MP Inc. and ArcelorMittal Canada Inc. partners in ArcelorMittal Dofasco G.P."/>
        <s v="Dow Chemical Canada Inc."/>
        <s v="L'Oréal Canada Inc."/>
        <s v="CHRYSLER CANADA CORPORATION"/>
        <s v="ARCELORMITTAL MONTRÉAL INC."/>
        <s v="COLGATE-PALMOLIVE CANADA"/>
        <s v="Walters Inc."/>
        <s v="Nexen Energy ULC."/>
        <s v="Suncor Energy Products Inc."/>
        <s v="GE Canada"/>
        <s v="Suncor Energy Products Partnership"/>
        <s v="Royal Canadian Mint"/>
        <s v="The Butcher Engineering Enterprises Ltd."/>
        <s v="Aevitas Inc"/>
        <s v="Rad Technologies inc."/>
        <s v="STEDFAST"/>
        <s v="Oregon Tool Canada Ltd."/>
        <s v="BARRICK ENERGY INC."/>
        <s v="POLISSAGE ET PLACAGE GG"/>
        <s v="Faurecia Emissions Control Technologies Ltd."/>
        <s v="Sapa Canada, Inc."/>
        <s v="ARVIN MERITOR"/>
        <s v="OSRAM SYLVANIA"/>
        <s v="MAPLE STAMPING"/>
        <s v="DANA"/>
        <s v="Ruetgers Canada Inc."/>
        <s v="DOMINION COLOUR"/>
        <s v="Jefferson Elora Corp."/>
        <s v="Kawneer Company Canada Ltd."/>
        <s v="CONSUMERS' CO-OPERATIVE REFINERIES LIMITED"/>
        <s v="AIR CANADA"/>
        <s v="Kruger inc."/>
        <s v="Hammond Manufacturing Co Ltd."/>
        <s v="Honda of Canada Mfg., A Div. of Honda    Canada Inc."/>
        <s v="Siltech Corporation"/>
        <s v="Philip Enterprises Inc."/>
        <s v="Celanese Canada Inc."/>
        <s v="Fuchs Lubricants Canada Ltd., Century Oils Division"/>
        <s v="INTERTEC SYSTEMS"/>
        <s v="Imperial Oil Resources Limited"/>
        <s v="Spectra Energy Transmission"/>
        <s v="MANITOBA HYDRO"/>
        <s v="Baker Petrolite Corporation"/>
        <s v="Envirosort Inc."/>
        <s v="ORLICK INDUSTRIES"/>
        <s v="ACIERS ATLAS INC."/>
        <s v="Canam Steel Works"/>
        <s v="MAGOTTEAUX"/>
        <s v="ADM Agri-Industies Company"/>
        <s v="GE ELANO CANADA"/>
        <s v="ANDROCK CO."/>
        <s v="Eacom Timber Corporation"/>
        <s v="CANFOR PULP LIMITED PARTNERSHIP"/>
        <s v="Cascades Canada ULC."/>
        <s v="Orano Canada Inc."/>
        <s v="Holcim (Canada) inc."/>
        <s v="BRUCE POWER INC"/>
        <s v="Aluminerie Alouette inc."/>
        <s v="Tamarack Acquisition Corp."/>
        <s v="Potash Corporation of Saskatchewan Inc."/>
        <s v="Bradken Canada Manufactured Products Ltd."/>
        <s v="Massilly North America Inc."/>
        <s v="Ville de Saint-Jerome"/>
        <s v="ARC RESOURCES"/>
        <s v="THOMPSON CREEK METALS COMPANY INC. "/>
        <s v="NVI MINING LTD."/>
        <s v="ENCANA CORPORATION"/>
        <s v="ULTRAMAR"/>
        <s v="Corporation of the City of London"/>
        <s v="IMPERIAL TOBACCO CANADA LIMITED"/>
        <s v="VALE CANADA LIMITED"/>
        <s v="Strath Resources Ltd"/>
        <s v="Canadian Forest Products Ltd."/>
        <s v="Sluyter Company Ltd."/>
        <s v="SemCams ULC"/>
        <s v="AECOM CANADA LTD."/>
        <s v="Algoma Steel Inc"/>
        <s v="WEYERHAEUSER SASKATCHEWAN LTD"/>
        <s v="GKN Sinter Metals - St Thomas Ltd."/>
        <s v="Northstone Power Corp"/>
        <s v="Viterra Inc."/>
        <s v="Canlin Energy Corporation"/>
        <s v="Edson Forest Products"/>
        <s v="Northern Pulp Nova Scotia Corporation"/>
        <s v="International Paper Company"/>
        <s v="DUFFERIN AGGREGATES, A DIVISION OF HOLCIM (CANADA) INC."/>
        <s v="Polissage et Placage G.G. Inc."/>
        <s v="SELECTONE PAINTS LIMITED"/>
        <s v="Shell Chemicals Canada Ltd."/>
        <s v="AMERICAN STANDARD"/>
        <s v="PETROGAS PROCESSING LTD."/>
        <s v="Suncor Energy Oil Sands Limited Partnership "/>
        <s v="CONNACHER OIL AND GAS LIMITED"/>
        <s v="ALUMINERIE DE BÉCANCOUR INC."/>
        <s v="Regional Municipality of Niagara"/>
        <s v="TERRA ENERGY"/>
        <s v="Paramount Resources Ltd."/>
        <s v="Bitumar Inc."/>
        <s v="OK Paving Company"/>
        <s v="Lafleche Environmental Inc"/>
        <s v="CONOCO PHILLIPS CANADA"/>
        <s v="Suncor Energy Oil Sands Limited Partnership"/>
        <s v="MCCAIN FOODS (CANADA)"/>
        <s v="BOWATER"/>
        <s v="SUNCOR ENERGY OIL AND GAS PARTNERSHIP"/>
        <s v="Bellatrix Exploration Ltd."/>
        <s v="VERMILION ENERGY TRUST"/>
        <s v="HUSKY OIL LIMITED"/>
        <s v="Lafarge Canada Inc. - EAST"/>
        <s v="PROVIDENT ENERGY TRUST"/>
        <s v="DOMINION EXPLORATION CANADA"/>
        <s v="Corporation of the District of North Cowichan"/>
        <s v="CHEMFIL CANADA LTD"/>
        <s v="Reichhold Limited"/>
        <s v="YARA BELLE PLAINE INC."/>
        <s v="Cie d'Arrimage de Québec Ltée"/>
        <s v="Kruger Wayagamack inc."/>
        <s v="Obsidian Energy Ltd."/>
        <s v="Ensyn Technologies Inc."/>
        <s v="SEC Mine de Fer du Lac Bloom"/>
        <s v="SMUCKER FOODS OF CANADA CO."/>
        <s v="SWORD ENERGY INC."/>
        <s v="Pengrowth Energy Corporation"/>
        <s v="Ball Packaging Products Canada, Inc. Baie d'Urfe"/>
        <s v="Triple M Metal LP"/>
        <s v="Pembina Pipeline Corporation"/>
        <s v="KIRKLAND LAKE GOLD"/>
        <s v="Produits forestiers Résolu"/>
        <s v="TransCanada PipeLines Limited"/>
        <s v="Brigus Gold"/>
        <s v="Valspar Inc."/>
        <s v="SPEC FURNITURE INC."/>
        <s v="Mancuso Chemicals Ltd."/>
        <s v="Pine Cliff Energy Ltd."/>
        <s v="SMURFIT STONE CONTAINER"/>
        <s v="Fabricated Plastics Ltd."/>
        <s v="Keyera Corp"/>
        <s v="TORC Oil &amp; Gas Ltd."/>
        <s v="Surge Energy Inc."/>
        <s v="CCL CONTAINER INC"/>
        <s v="Evonik Canada Inc."/>
        <s v="GOLDCORP CANADA LTD"/>
        <s v="Milner Power Limited Partnership by its GP Milner Power Inc."/>
        <s v="HAUER BROS. LUMBER LTD"/>
        <s v="Kemira Water Solutions Canada Inc."/>
        <s v="FLINT HILLS RESOURCES"/>
        <s v="MOBIL OIL CANADA"/>
        <s v="Kruger Products Inc"/>
        <s v="Pine Falls Paper Company"/>
        <s v="SemCams Midstream ULC"/>
        <s v="Hydro-Québec"/>
        <s v="Tolko Industries Ltd."/>
        <s v="Michelin North America (Canada)"/>
        <s v="AGRIUM"/>
        <s v="PotashCorp"/>
        <s v="NorthRiver Midstream Inc."/>
        <s v="Nanaimo Forest Products Ltd."/>
        <s v="NEW BRUNSWICK POWER GENERATION CORPORATION"/>
        <s v="MINAS BASIN PULP AND POWER"/>
        <s v="CHEVRON CANADA RESOURCES"/>
        <s v="Cenovus Energy Inc."/>
        <s v="PetroBakken Energy Ltd."/>
        <s v="Coveright Surfaces Canada Inc."/>
        <s v="COMPAGNIE ABITIBI-CONSOLIDATED DU CANADA"/>
        <s v="MARSULEX INC."/>
        <s v="TAQA North Ltd."/>
        <s v="K + S Windsor Salt Ltd."/>
        <s v="DAAM GALVANIZING INC."/>
        <s v="WEBCOM"/>
        <s v="ConocoPhillips Surmont Partnership"/>
        <s v="Alamos Gold Incorporated"/>
        <s v="PETRONAS Energy Canada Ltd."/>
        <s v="Gibraltar Mines Ltd."/>
        <s v="TRUE ENERGY"/>
        <s v="NESTE RESINS CANADA"/>
        <s v="ENCANA"/>
        <s v="Molten Metallurgy Inc."/>
        <s v="Lafarge North America"/>
        <s v="Greenfield Ethanol Inc."/>
        <s v="Imperial Oil Resources"/>
        <s v="The International Group Inc."/>
        <s v="CANADA BREAD"/>
        <s v="Harte Gold Corp"/>
        <s v="Petro-Canada Lubricants Inc."/>
        <s v="BONAVISTA PETROLEUM"/>
        <s v="Tourmaline Oil Corp"/>
        <s v="CITY OF LONDON"/>
        <s v="Canadian Nuclear Laboratories"/>
        <s v="Whitecap Resources Inc."/>
        <s v="Dow Chemical Canada Incorporated"/>
        <s v="Cargill Limited"/>
        <s v="Bunge Canada Holdings I ULC"/>
        <s v="HOUSTON FOREST PRODUCTS LTD."/>
        <s v="Corporation ID Biomédical du Québec f.a.s. GSK Biologicals"/>
        <s v="Centre hospitalier de l'Université de Montréal"/>
        <s v="Mainland Sand &amp; Gravel"/>
        <s v="RIO TINTO ALCAN PRIMARY METAL - BRITISH COLUMBIA"/>
        <s v="Wartsila Canada Inc."/>
        <s v="RECOCHEM INC"/>
        <s v="Stepan Canada"/>
        <s v="WALKER AGGREGATES INC"/>
        <s v="EVRAZ INC. NA CANADA"/>
        <s v="PEI ENERGY SYSTEMS"/>
        <s v="MITTAL CANADA HAMILTON INC."/>
        <s v="IPC Canada Ltd."/>
        <s v="Bunge Canada "/>
        <s v="Nutreco Canada Inc."/>
        <s v="Iroquois Falls Power Corp."/>
        <s v="WOODBRIDGE FOAM"/>
        <s v="GREENFIELD ETHANOL INC"/>
        <s v="TOWN OF CLARENVILLE"/>
        <s v="Arkema Canada Inc."/>
        <s v="Trans Mountain Canada Inc."/>
        <s v="OXYCHEM DUREZ CANADA"/>
        <s v="CHINOOK GROUP LIMITED"/>
        <s v="Axalta Coating Systems Canada Company"/>
        <s v="Dyno Nobel Nitrogen Inc."/>
        <s v="Sulzer Metco (Canada) Inc."/>
        <s v="LANDMARK FEEDS"/>
        <s v="Elf Atochem Canada"/>
        <s v="Beaver Plastics Ltd."/>
        <s v="ENBRIDGE PIPELINES"/>
        <s v="Mosaic Energy Ltd."/>
        <s v="BP CANADA"/>
        <s v="BRAMPTON BRICK"/>
        <s v="POLAR STAR"/>
        <s v="Société Coopérative Agricole de St-Damase"/>
        <s v="BLUE NOTE CARIBOU MINES"/>
        <s v="Orica Canada Inc."/>
        <s v="LA COMPAGNIE ABITIBI-CONSOLIDATED DU CANADA"/>
        <s v="OCEAN CONSTRUCTION SUPPLIES LIMITED"/>
        <s v="REGION OF PEEL"/>
        <s v="Baytex Energy Ltd"/>
        <s v="TransCanada Energy Ltd."/>
        <s v="Anegada Oil Corp."/>
        <s v="PGI Processing ULC"/>
        <s v="Crescent Point Energy Corp."/>
        <s v="TALISMAN ENERGY"/>
        <s v="St Barbara Limited"/>
        <s v="Produits Chimiques Sterling"/>
        <s v="NATIONAL GYPSUM CANADA LTD."/>
        <s v="SHELL CANADA"/>
        <s v="Maple Leaf Agri-Farms Inc."/>
        <s v="Weston Bakeries"/>
        <s v="TOROMONT ENERGY"/>
        <s v="VULCAN CONTAINERS"/>
        <s v="Parrish &amp; Heimbecker Ltd."/>
        <s v="Teine Energy Ltd."/>
        <s v="GOLDCORP CANADA LTD."/>
        <s v="Lafarge Canada inc."/>
        <s v="BERTRAND CONSTRUCTION L'ORIGNAL"/>
        <s v="Tembec"/>
        <s v="EMBALLAGES SMURFIT-STONE CANADA INC."/>
        <s v="Resourceful Petroleum Canada Limited"/>
        <s v="CAMECO"/>
        <s v="Long Run Exploration Ltd"/>
        <s v="Crescent Point Resources Partnership"/>
        <s v="Liberty Mines Inc"/>
        <s v="Border Chemical Co Ltd."/>
        <s v="VERNON PAVING"/>
        <s v="Univar Canada Ltd."/>
        <s v="TEMBEC INC., GROUPE DES PRODUITS FORESTIERS"/>
        <s v="Progress Energy Canada Ltd."/>
        <s v="Columbia Forest Products Ltd."/>
        <s v="Tall Pine Timber Co. Ltd."/>
        <s v="Magna Exteriors and Interiors Corp."/>
        <s v="ATCO Energy Solutions Ltd."/>
        <s v="Masonite International Corporation"/>
        <s v="CARPENTER CANADA"/>
        <s v="REGION OF WATERLOO"/>
        <s v="Teck Coal Limited"/>
        <s v="Terra Inernational (Canada) Inc."/>
        <s v="Enbridge Pipelines Inc."/>
        <s v="Border Paving Ltd."/>
        <s v="AINSWORTH LUMBER CO. LTD."/>
        <s v="SOCIETE EN COMMANDITE"/>
        <s v="Wastech Services LTD."/>
        <s v="MINES ET EXPLORATION NORANDA INC"/>
        <s v="BHP BILLITON CANADA INC."/>
        <s v="Norbord inc (West Fraser)"/>
        <s v="Ontario Redimix"/>
        <s v="Richardson Pioneer Ltd."/>
        <s v="Baffinland Iron Mines Corporation"/>
        <s v="SOUND ENERGY TRUST"/>
        <s v="TRANSCANADA PIPELINES"/>
        <s v="Walker Aggregates Inc."/>
        <s v="Ville d'Alma"/>
        <s v="Quadra Chemicals Ltd."/>
        <s v="CANADIAN NATURAL RESOURCES"/>
        <s v="Knoll North America Corp."/>
        <s v="PCS INC., LANIGAN DIVISION"/>
        <s v="PENN WEST PETROLEUM"/>
        <s v="DEXTRAN PRODUCTS LIMITED"/>
        <s v="ARCELORMITTAL-DOFASCO INC."/>
        <s v="Bois d'ingénierie Abitibi-LPII inc."/>
        <s v="TTM Technologies Toronto, Inc"/>
        <s v="Enercapita Energy Ltd."/>
        <s v="Predator Oil BC Ltd."/>
        <s v="PROGRESSIVE ANODIZERS"/>
        <s v="PENN WEST PETROLEUM LTD"/>
        <s v="Torxen Energy Ltd."/>
        <s v="MILNER POWER INC."/>
        <s v="U.S. STEEL CANADA"/>
        <s v="Weyerhaeuser Company Limited"/>
        <s v="SGL CARBON GROUP"/>
        <s v="KWH PIPE (CANADA) LTD."/>
        <s v="Bonavista Energy Corporation"/>
        <s v="CANADA BUILDING MATERIALS"/>
        <s v="VILLE DE SEPT-ÎLES"/>
        <s v="E.QU.I.P. INTERNATIONAL INC."/>
        <s v="Pepsico"/>
        <s v="CELTIC EXPLORATION LTD."/>
        <s v="New Gold Inc."/>
        <s v="PLASTI-FAB LTD."/>
        <s v="KML WINDOWS INC."/>
        <s v="Terminal Forest Products Ltd."/>
        <s v="O-I Canada Corp."/>
        <s v="Chembond Ltd."/>
        <s v="Diavik Diamond Mines Inc."/>
        <s v="Millar Western Forest Products Ltd."/>
        <s v="Agris Co-Operative Ltd."/>
        <s v="MAAX Bath Inc."/>
        <s v="BLOUNT CANADA"/>
        <s v="FORMICA CANADA"/>
        <s v="Hostmann-Steinberg Ltd."/>
        <s v="SHELL CHEMICALS CANADA"/>
        <s v="Canadian Natural Upgrading Ltd"/>
        <s v="SHELL CANADA ENERGY"/>
        <s v="i3 Energy Canada Ltd."/>
        <s v="ST. MARYS CEMENT"/>
        <s v="City of Abbotsford"/>
        <s v="DUFFERIN CONCRETE"/>
        <s v="XSTRATA CANADA CORPORATION"/>
        <s v="Elmwood Kitchens"/>
        <s v="ABIBOW CANADA INC."/>
        <s v="VAN-ROB INC."/>
        <s v="Alberta Plywood Ltd."/>
        <s v="ST MARYS CEMENT"/>
        <s v="TRILOGY ENERGY LP"/>
        <s v="INDUSTRIES NORBORD"/>
        <s v="MAXIM POWER"/>
        <s v="Sanimax ACI"/>
        <s v="PERSIST OIL &amp; GAS INC."/>
        <s v="Veresen Energy Infrasture Inc."/>
        <s v="Black Swan Energy"/>
        <s v="HUSKY ENERGY"/>
        <s v="STELCO INC."/>
        <s v="Insignia Energy Ltd."/>
        <s v="CROSSLEY CARPET MILLS"/>
        <s v="ST. ANDREW GOLDFIELDS LTD."/>
        <s v="KILDAIR SERVICE LIMITÉE"/>
        <s v="ARCLIN CANADA"/>
        <s v="West Fraser Mills Ltd."/>
        <s v="Aecon Transportation West"/>
        <s v="NEXEN INC."/>
        <s v="STRADA AGGREGATES"/>
        <s v="Matcor Metal Fabrication Inc."/>
        <s v="Graymont (QC) Inc."/>
        <s v="Hanson Pressure Pipe Inc."/>
        <s v="Uniroyal Chemical Company"/>
        <s v="Statoil Canada Ltd."/>
        <s v="City of Vancouver"/>
        <s v="Axiom Oil and Gas Inc."/>
        <s v="Newfoundland and Labrador Hydro"/>
        <s v="RÉGIE D'ASSSAINISSEMENT SAINTE-THÉRÈSE-BLAINVILLE"/>
        <s v="Greenfield Global Inc."/>
        <s v="Irving Paper Limited"/>
        <s v="TransAlta Cogeneration L.P."/>
        <s v="City of Medicine Hat"/>
        <s v="DOFASCO"/>
        <s v="Baker Hughes Canada"/>
        <s v="FortisBC Inc."/>
        <s v="Agrium Products Inc."/>
        <s v="Tervita Corp."/>
        <s v="SPRUCE FALLS INC. / DIVISION TEMBEC MATANE"/>
        <s v="WESGAR INDUSTRIES LTD."/>
        <s v="WESTERN PULP LIMITED PARTNERSHIP"/>
        <s v="ALIMENT JBS CANADA ULC/ JBS FOOD CANADA ULC"/>
        <s v="Fraser Inc."/>
        <s v="BOEING CANADA OPERATIONS LTD."/>
        <s v="TransCanada Midstream"/>
        <s v="AV CELL INC"/>
        <s v="MITCHELL'S GOURMET FOODS"/>
        <s v="MINERAI DE FER QUÉBEC INC."/>
        <s v="Tacora Resources Inc."/>
        <s v="Kruger Inc"/>
        <s v="Mines Agnico Eagle Limitée"/>
        <s v="BLASTECH CORPORATION"/>
        <s v="CANADIAN GENERAL-TOWER LIMITED"/>
        <s v="ICI Canada inc"/>
        <s v="3IO CORP"/>
        <s v="North Atlantic Refining LP"/>
        <s v="CATALYST PAPER"/>
        <s v="THERM-O-DISC CANADA"/>
        <s v="DUNKLEY LUMBER LTD."/>
        <s v="Novozymes Canada"/>
        <s v="Prairie Mines &amp; Royalty ULC"/>
        <s v="Fibrek S.E.N.C."/>
        <s v="nyrstar"/>
        <s v="Eaglebrook inc. du Canada"/>
        <s v="Bridgestone  Canada inc."/>
        <s v="City of Kamloops"/>
        <s v="Blount Canada Ltd."/>
        <s v="AbibowCanada Inc."/>
        <s v="Island Gold Mines (a subsidiary company of Alamos Gold Incorporated)"/>
        <s v="Cinram Ltd."/>
        <s v="Nestle Canada Inc."/>
        <s v="ALBERTA PACIFIC FOREST INDUSTRIES"/>
        <s v="HÉROUX-DEVTEK"/>
        <s v="Iamgold Corporation"/>
        <s v="MAAX SPAS (ONTARIO) INC."/>
        <s v="HARVEST OPERATIONS CORP."/>
        <s v="Ville de Montréal"/>
        <s v="North American Tungsten Corporation Ltd"/>
        <s v="Abitibi Consolidated Du Canada"/>
        <s v="GRIFFIN CANADA"/>
        <s v="VILLE DE VAL-D'OR"/>
        <s v="Twin Rivers Paper Company Inc."/>
        <s v="CANADIAN FOREST PRODUCTS LTD"/>
        <s v="Goldcorp Canada Limited - Red Lake Gold Mines"/>
        <s v="KLEEN-FLO TUMBLER INDUSTRIES"/>
        <s v="NW ENERGY (WILLIAMS LAKE) CORP."/>
        <s v="U.S. Steel Canada Inc."/>
        <s v="The Canadian Salt Co. Ltd. Regina"/>
        <s v="Slave Lake Pulp - A Division of West Fraser Mills"/>
        <s v="Regional Municipality of Halton"/>
        <s v="SEASTAR CHEMICALS ULC"/>
        <s v="DEPARTMENT OF NATIONAL DEFENCE"/>
        <s v="Parkland Refining (B.C.) Ltd."/>
        <s v="ARC Resins Corporation"/>
        <s v="MONTUPET LTÉE"/>
        <s v="AV Terrace Bay Inc."/>
        <s v="Osum Production Corp."/>
        <s v="Waterville TG"/>
        <s v="Moose Jaw Refinery Partnership"/>
        <s v="RUETGERS CANADA INC"/>
        <s v="S&amp;C Electric Canada Ltd."/>
        <s v="CONSUMERS GLASS (SCOUDOUC)"/>
        <s v="Secure Energy Services Inc."/>
        <s v="Northern Wood Preservers"/>
        <s v="Decker Lake Forest Products Ltd"/>
        <s v="BABINE FOREST PRODUCTS LTD."/>
        <s v="Shell Canada Products Limited"/>
        <s v="Grande Cache Coal Corporation"/>
        <s v="MARTINREA INTERNATIONAL INC"/>
        <s v="GENERAL MOTORS OF CANADA LIMITED, STE-THERESE PLANT"/>
        <s v="Sivaco Ontario"/>
        <s v="Myra Falls Mine Ltd"/>
        <s v="Waste Management of Canada Corporation"/>
        <s v="Novagas Canada Limited Partnership"/>
        <s v="IRVING PULP &amp; PAPER LIMITED / IRVING TISSUE COMPANY"/>
        <s v="KINDER MORGAN CANADA INC."/>
        <s v="BROOKLYN POWER"/>
        <s v="SYNCRUDE CANADA"/>
        <s v="Régie d'asssainissement Terrebonne-Mascouche"/>
        <s v="IMTT-Québec Inc."/>
        <s v="Syncrude Canada Ltd."/>
        <s v="LOXCREEN CANADA LIMITED"/>
        <s v="IPSCO Inc."/>
        <s v="EXXONMOBIL CANADA"/>
        <s v="ConocoPhillips Canada Operations Ltd."/>
        <s v="Norcen Energy Resources Ltd."/>
        <s v="FTG CORPORATION"/>
        <s v="Domtar Inc."/>
        <s v="DaimlerChrysler Canada, Inc."/>
        <s v="Hamilton Specialty Bar Corporation"/>
        <s v="QIT-FER ET TITANE- P84"/>
        <s v="SFK PÂTE S.E.N.C."/>
        <s v="De Beers Group"/>
        <s v="Alberta-Pacific Forest Industries Inc."/>
        <s v="Vale Newfoundland and Labrador Limited"/>
        <s v="Brisco Wood Preservers Co."/>
        <s v="City of Prince Albert"/>
        <s v="Neelon Casting Ltd."/>
        <s v="Weatherford Canada"/>
        <s v="Slater Steels Inc."/>
        <s v="Apache Canada Ltd."/>
        <s v="VALE INCO"/>
        <s v="Bay Mills Limited, Brampton Division"/>
        <s v="CITY OF CALGARY WASTEWATER"/>
        <s v="Williams Operating Corporation"/>
        <s v="Les Mines Agnico Eagle Limitée"/>
        <s v="Sollio Groupe Coopératif"/>
        <s v="Wedlock Paper Converters Ltd."/>
        <s v="Essex-Windsor Solid Waste Authority"/>
        <s v="AIR LIQUIDE CANADA INC."/>
        <s v="Nutrien (Canada) Holdings ULC."/>
        <s v="EMBALLAGES SMURFIT-STONE CANADA"/>
        <s v="Capital Power Generation Services Inc."/>
        <s v="NIAGARA MACHINE PRODUCTS"/>
        <s v="THOMPSON CREEK MINING LTD."/>
        <s v="Circo Craft Granby"/>
        <s v="Municipality of the County of Colchester"/>
        <s v="Zalev Brothers Co."/>
        <s v="Roche Vitamins Canada Inc."/>
        <s v="METOKOTE CORPORATION"/>
        <s v="VILLE DE COWANSVILLE"/>
        <s v="Bellatrix Exploration Ltd"/>
        <s v="PRODUITS AMERICAN BILTRITE LTEE."/>
        <s v="Tonolli Canada"/>
        <s v="Huckleberry Mines Ltd."/>
        <s v="Polywheels Manufacturing Ltd"/>
        <s v="FRANKE KINDRED CANADA LIMITED"/>
        <s v="Cabot Canada Limited"/>
        <s v="PURE METAL GALVANIZING"/>
        <s v="PENN WEST PETROLEUM LTD."/>
        <s v="KRUGER"/>
        <s v="Coeur Silvertip Holdings Ltd."/>
        <s v="Hudson Bay Mining and Smelting Co., Limited"/>
        <s v="NOVA Chemicals Corporation (OBPS)"/>
        <s v="Pickering Nuclear Division"/>
        <s v="General Scrap Partnership"/>
        <s v="Standard Products (Canada) Limited"/>
        <s v="SOCIÉTÉ PCI CHIMIE CANADA"/>
        <s v="WESTERN STEEL LIMITED"/>
        <s v="Agnico Eagle Mines Limited (MAIN)"/>
        <s v="Ford Electronics, Markham Plant"/>
        <s v="BIGORAY SOUR GAS PLANT"/>
        <s v="ContiTech Canada Inc."/>
        <s v="M&amp;M PLATING INC."/>
        <s v="Panabrasive Inc."/>
        <s v="Agnico-Eagle Meadowbank"/>
        <s v="SATISFIED BRAKE PRODUCTS"/>
        <s v="City of Portage la Prairie"/>
        <s v="Mines d'Or Wesdome limitée"/>
        <s v="Solutia Canada inc."/>
        <s v="SOUVENIR AVANTI"/>
        <s v="Detour Gold Corporation"/>
        <s v="LAKEHEAD SCRAP METALS"/>
        <s v="Circo Craft Pointe-Claire"/>
        <s v="Compagnie WestRock du Canada Corp."/>
        <s v="AMERADA HESS -BOUNDARY LAKE SOUR GAS PLANT"/>
        <s v="SUNCOR ENERGY INC."/>
        <s v="ACCEL Energy Canada Ltd."/>
        <s v="GLOBAL-GIX  CANADA  INC.  ( HARBISON WALKER REFRACTORIES )"/>
        <s v="FENNER DUNLOP (BRACEBRIDGE) INC."/>
        <s v="Kingston Marketing Limited"/>
        <s v="BP Canada Energy Company"/>
        <s v="SHELBURNE WOOD PROCESSING"/>
        <s v="Viking Air Ltd."/>
        <s v="GATES CANADA - BELT MANUFACTURING"/>
        <s v="BFI USINE DE TRIAGE LACHENAIE"/>
        <s v="SGO Mining Inc."/>
        <s v="Prospec Chemicals"/>
        <s v="Novelis Inc."/>
        <s v="Petrobank Energy and Resources Ltd."/>
        <s v="CAMCO"/>
        <s v="HARRIS STEEL"/>
        <s v="NATIONAL GLASS LTD."/>
        <s v="Clean Harbors Canada, Inc. [principal]"/>
        <s v="AINSWORTH ENGINEERED"/>
        <s v="DIAGNOSTIC CHEMICALS LTD."/>
        <s v="The Regional Municipality of Halton"/>
        <s v="General Electric Canada Co."/>
        <s v="Baron Colour Concentrates Limited"/>
        <s v="DOMTAR PULP AND PAPER PRODUCTS INC."/>
        <s v="VILLE DE SAGUENAY"/>
        <s v="ABITIBI CONSOLIDATED OF CANADA"/>
        <s v="Tembec Inc"/>
        <s v="CITY OF RED DEER"/>
        <s v="Chromaflo Technologies Canada Inc"/>
        <s v="NALCO Canada Co. (An Ecolab company)"/>
        <s v="CAPITAL POWER GENERATING SERVICES INC."/>
        <s v="PRODUITS SHELL CANADA"/>
        <s v="SCAPA NORTH AMERICA"/>
        <s v="NAVAJO METALS"/>
        <s v="ExxonMobil Canada Ltd."/>
        <s v="Riverside Brass &amp; Aluminum Foundry Ltd."/>
        <s v="Owens Corning Insulating Systems Canada LP"/>
        <s v="Gibson Energy Ltd."/>
        <s v="Viking Energy Acquisitions Ltd."/>
        <s v="Inco Limited Port Colborne Refinery"/>
        <s v="Metra Aluminum Inc."/>
        <s v="NEWALTA  CORPORATION"/>
        <s v="Keyera Corp."/>
        <s v="Copper Mountain Mine (BC) Ltd."/>
        <s v="City of Winnipeg, Water &amp; Waste Department"/>
        <s v="MINES AURIZON"/>
        <s v="Catalyst Paper Corporation"/>
        <s v="Norampac Inc."/>
        <s v="ZALEV BROTHERS"/>
        <s v="ANADARKO CANADA CORPORATION"/>
        <s v="Prodigy Gold Inc."/>
        <s v="POPE &amp; TALBOT LTD"/>
        <s v="TITAN STEEL &amp; WIRE CO. LTD."/>
        <s v="Stadacona WB S.E.C."/>
        <s v="BAKER PETROLITE"/>
        <s v="Flint Group Canada Ltd."/>
        <s v="Oxy Durez Holding Company Inc"/>
        <s v="BAYER CROPSCIENCE"/>
        <s v="Northern Courier Pipeline Limited Partnership"/>
        <s v="Lake Shore Gold Corp."/>
        <s v="PASTWAY PLANING LIMITED"/>
      </sharedItems>
    </cacheField>
    <cacheField name="Facility_Name / Installation" numFmtId="0">
      <sharedItems containsBlank="1" count="1064">
        <m/>
        <s v="KP Bronze Plant"/>
        <s v="Alliston"/>
        <s v="Walker Exhausts"/>
        <s v="Cranbrook"/>
        <s v="USINE DE FABRICATION D'EMBALLAGES FLEXIBLES"/>
        <s v="RBW Waste Management Ltd."/>
        <s v="BURNABY REFINERY"/>
        <s v="VEOLIA ES CANADA SERVICES INDUSTRIELS INC.- SITE MONTRÉAL-ES"/>
        <s v="TEMPO AEROSPACE INC."/>
        <s v="LES FORGES DE SOREL CIE - ST-JOSEPH-DE-SOREL"/>
        <s v="WINDSOR FACILITY"/>
        <s v="Lougheed Terminal"/>
        <s v="Wabamun Thermal Generating Plant"/>
        <s v="SCHWARTZ CHEMICAL COROPORATION"/>
        <s v="Pine Creek Wastewater Treatment Plant"/>
        <s v="LP Swan Valley OSB"/>
        <s v="ST.CATHARINES PLANT"/>
        <s v="Arborite-LaSalle"/>
        <s v="Kingston Site"/>
        <s v="Nanaimo"/>
        <s v="ArcelorMittal Woodstock"/>
        <s v="Toxco Waste Management Ltd."/>
        <s v="LONDON"/>
        <s v="Strathcona Refinery"/>
        <s v="Battle River Generating Station"/>
        <s v="Revolution Environmental Solutions Acquisition GP Inc."/>
        <s v="Thunder Bay Generating Station"/>
        <s v="Lulu Island Wastewater Treatment Plant"/>
        <s v="Windsor Site"/>
        <s v="APOTEX PHARMACHEM INC"/>
        <s v="Delom Services,Montreal"/>
        <s v="Raffinerie Jean-Gaulin"/>
        <s v="DURA-CHROME"/>
        <s v="Townsend Gas Plant"/>
        <s v="OLYMPIC COATERS INC."/>
        <s v="Key Lake Operation"/>
        <s v="Moore Site"/>
        <s v="Fonderie Générale du Canada, XStrata Zinc Canada"/>
        <s v="Brampton Assembly Plant"/>
        <s v="MANITOU CASEGOODS"/>
        <s v="Raffinerie de Montreal"/>
        <s v="Toyota Motor Manufacturing Canada (Woodstock)"/>
        <s v="ROLLS-ROYCE CANADA - LACHINE"/>
        <s v="Central Wire Perth"/>
        <s v="GRIFFIN CANADA - WINNIPEG"/>
        <s v="DECOR CABINETS"/>
        <s v="LABORATOIRES CHOISY LTÉE - LOUISEVILLE"/>
        <s v="CR3X Inc."/>
        <s v="Coatings Plant, Mississauga"/>
        <s v="MORTON-PARKER"/>
        <s v="Distribution Services"/>
        <s v="Centrale de Senneterre"/>
        <s v="North Vancouver Process Facility"/>
        <s v="Usine de Saint-Raymond"/>
        <s v="FINCH TERMINAL"/>
        <s v="Brampton"/>
        <s v="Scotford Upgrader and Upgrader Cogeneration"/>
        <s v="TC INDUSTRIES OF CANADA (WEST)"/>
        <s v="PRINCE GEORGE PLANT"/>
        <s v="Clean Harbors Québec, Inc."/>
        <s v="St. Thomas Assembly Plant"/>
        <s v="Hay River Terminal"/>
        <s v="Ryley Facility"/>
        <s v="Goodrich Landing Gear"/>
        <s v="BRAMALEA ASSEMBLY PLANT"/>
        <s v="ANNACIS ISLAND WASTEWATER TREATMENT PLANT"/>
        <s v="TITAN ROAD (OS52)"/>
        <s v="Sims Recycling Solutions-Brampton"/>
        <s v="Water Pollution Control Centre"/>
        <s v="St. AMBROISE (QS65)"/>
        <s v="A.G.Simpson Co. Ltd.-Oakville"/>
        <s v="RIMBEY GAS PLANT"/>
        <s v="BRAMPTON WAREHOUSE"/>
        <s v="Kidd Metallurgical Site"/>
        <s v="Sarnia Chemical Plant"/>
        <s v="PRODUITS AMERICAN BILTRITE LTEE. - SHERBROOKE"/>
        <s v="EDMONTON INTERNATIONAL AIRPORT"/>
        <s v="OSHAWA PLANT"/>
        <s v="COCHRANE"/>
        <s v="SICO #4 PRILCO"/>
        <s v="Sarnia Refinery Plant"/>
        <s v="Downsview"/>
        <s v="AEROSPACE COMPONENTS"/>
        <s v="Mississauga - Distribution"/>
        <s v="Parkland Gas Plant 03-09"/>
        <s v="Abbott Point of Care Canada Limited - Ottawa"/>
        <s v="Shand Power Station"/>
        <s v="Bonnybrook Wastewater Treatment Plant"/>
        <s v="Sarnia Manufacturing Centre"/>
        <s v="FORMERLY WOLVERINE TUBE (CANADA) INC."/>
        <s v="CHEMREC"/>
        <s v="Mauser Canada Limited - Burlington"/>
        <s v="LES INDUSTRIES CAPITOL INC."/>
        <s v="Ventra Plastics - Peterborough"/>
        <s v="DOFASCO HAMILTON"/>
        <s v="ANACHEM LTEE/LTD"/>
        <s v="Stratford Mixing - Erie"/>
        <s v="Edmonton Terminal"/>
        <s v="SASKOIL PLOVER LAKE 09-09 TRUCK TERMINAL"/>
        <s v="Winnipeg Terminal"/>
        <s v="KLEEN-FLO TUMBLER INDUSTRIES LTD."/>
        <s v="SCARBOROUGH FACILITY"/>
        <s v="Lantic Inc. - Vancouver Refinery"/>
        <s v="TRAXLE MANUFACTURING"/>
        <s v="Regina"/>
        <s v="BAKER PERFORMANCE CHEMICALS,INC.(Calgary)"/>
        <s v="Stouffville Plant"/>
        <s v="PHILLIPS $ TEMRO INDUSTRIES LTD."/>
        <s v="FIELDING CHEMICAL TECHNOLOGIES INC."/>
        <s v="South Service Centre"/>
        <s v="ROCTEL MANUFACTURING"/>
        <s v="AJAX TEXTILE DYERS AND FINISHERS"/>
        <s v="Calgary Service Centre"/>
        <s v="Usine St-Laurent"/>
        <s v="141 STAFFERN DR."/>
        <s v="Finch Distribution Terminal"/>
        <s v="KUNTZ ELECTROPLATING INC."/>
        <s v="DAAM GALVANIZING - EDMONTON"/>
        <s v="BIOX Biodiesel Plant 01 - Hamilton"/>
        <s v="Kirkland"/>
        <s v="BALZAC GAS PLANT"/>
        <s v="WINDSOR CASTING PLANT"/>
        <s v="Colgate-Palmolive Canada Mississauga Facility"/>
        <s v="CORNWALL BUSINESS UNIT"/>
        <s v="Gerdau Ameristeel Corporation, Cambridge Mill"/>
        <s v="GOLD BAR WASTEWATER TREATMENT PLANT"/>
        <s v="Kaybob Gas Plant"/>
        <s v="Leaside facility"/>
        <s v="USINE DE CORECELL"/>
        <s v="Nisku Branch"/>
        <s v="Guelph Plant"/>
        <s v="Imperial Oil, Strathcona Refinery"/>
        <s v="CENTRE DE TRANSFERT DE THURSO"/>
        <s v="BROCKVILLE"/>
        <s v="AV Nackawic"/>
        <s v="Rhone-Poulenc Specialty Chemicals"/>
        <s v="SHRADER CANADA"/>
        <s v="Musashi Auto Parts Canada Inc. (MAP-C)"/>
        <s v="Division Trains d'atterrissage, Longueuil"/>
        <s v="AP&amp;C Boisbriand"/>
        <s v="WEST PEMBINA GAS PLANT"/>
        <s v="Nanticoke Refinery"/>
        <s v="Weyburn Plant"/>
        <s v="Newalta Corporation Barrie"/>
        <s v="Durapaint Brampton"/>
        <s v="Windsor Assembly Plant"/>
        <s v="GALVCAST PLANTS"/>
        <s v="West Hill Facility"/>
        <s v="USINE DE DELSON"/>
        <s v="NORTH HURON CASTING"/>
        <s v="Hanson St-Eustache"/>
        <s v="Centre de recyclage et succursale Chambly"/>
        <s v="Montreal plant"/>
        <s v="USINE DE VALLEYFIELD"/>
        <s v="ARC Resins Corp., Longueuil"/>
        <s v="Usine de Bécancour"/>
        <s v="Irving Pulp &amp; Paper, Limited"/>
        <s v="North Vancouver"/>
        <s v="MULTITUBE INC."/>
        <s v="PROGRESSIVE"/>
        <s v="PPG PHILLIPS INDUSTRIAL COATINGS - WINNIPEG"/>
        <s v="Fort Erie Plant"/>
        <s v="FINCH  DISTRIBUTION TERMINAL"/>
        <s v="GE AVIATION"/>
        <s v="M &amp; P TOOL PRODUCTS INC."/>
        <s v="AKZO NOBEL COATINGS"/>
        <s v="SANDVIK MINING AND CONSTRUCTION NORTH BAY"/>
        <s v="WINDSOR ALUMINUM PLANT"/>
        <s v="CASCADES EAST ANGUS INC."/>
        <s v="Lethbridge"/>
        <s v="Cannon Automotive"/>
        <s v="Windsor Engine Plant"/>
        <s v="Winnipeg South"/>
        <s v="PERTH"/>
        <s v="Gordondale East Gas Plant"/>
        <s v="Guelph Facility"/>
        <s v="W.M.E.M.C."/>
        <s v="EMIRFI SHIELD PLATING INC."/>
        <s v="Marieville"/>
        <s v="Owen Sound Plant"/>
        <s v="Ball Packaging Products Canada, Inc. Richmond"/>
        <s v="SHELL SCOTFORD REFINERY"/>
        <s v="IOL Strathcona Refinery"/>
        <s v="Orangeville Water Pollution Control Plant"/>
        <s v="Tooga Gas Plant"/>
        <s v="Brampton facility"/>
        <s v="P&amp;F TOOL AND DIE II"/>
        <s v="Envirotec Services Incorporated"/>
        <s v="DURO-KOTE"/>
        <s v="Kaiser Aluminum Canada Limited"/>
        <s v="NANTICOKE GENERATING STATION"/>
        <s v="Iona Island Wastewater Treatment Plant"/>
        <s v="Durez Canada Company Ltd."/>
        <s v="SCOTFORD UPGRADER"/>
        <s v="Loewen Windows"/>
        <s v="BURLINGTON"/>
        <s v="North Bay"/>
        <s v="Fort Saskatchewan Storage and Fractionation"/>
        <s v="LAMBTON CONVEYOR LIMITED FLORENCE"/>
        <s v="Ajax Facility"/>
        <s v="Ball Packaging Products Canada, Inc. Hamilton"/>
        <s v="SUPERFINISH CO. LTD."/>
        <s v="CCD"/>
        <s v="TRURO PLANT"/>
        <s v="St. Catharines Engine - Glendale Plant"/>
        <s v="ASHLAND DISTRIBUTION - EDMONTON"/>
        <s v="Sept-Iles"/>
        <s v="BOHLER UDDEHOLM"/>
        <s v="Hanlan Robb Gas Plant"/>
        <s v="Wastewater Facility"/>
        <s v="DAYMOND ALUMINUM"/>
        <s v="WILSON CREEK"/>
        <s v="Orenda"/>
        <s v="Sherwin-Williams Brantford Plant"/>
        <s v="BELDEN/CDT - POINTE-CLAIRE"/>
        <s v="PICKERING NUCLEAR"/>
        <s v="Delta Recycle Center"/>
        <s v="TORONTO FACILITY"/>
        <s v="Gold Creek Gas Plant"/>
        <s v="Oakville Assembly Plant"/>
        <s v="Toxco Waste Management Ltd. d/b/a/ Retriev Technologies"/>
        <s v="RB &amp; W CORPORATION OF CANADA"/>
        <s v="La Malbaie Plant"/>
        <s v="Meridian Lightweight Technologies Inc"/>
        <s v="Usine Laurentide"/>
        <s v="Gerdau Ameristeel Corporation, Whitby Mill"/>
        <s v="P&amp;F TOOL AND DIE - Citation"/>
        <s v="DAVIS WIRE INDUSTRIES - DELTA"/>
        <s v="WAPITI DEEP-CUT GAS PLANT"/>
        <s v="OSHAWA CAR ASSEMBLY PLANT"/>
        <s v="Packall"/>
        <s v="NEW WESTMINSTER PLANT"/>
        <s v="HENKEL CONSUMER ADHESIVES"/>
        <s v="Lou Romano Water Reclamation Plant"/>
        <s v="LINCOLN ELECTRIC COMPANY OF CANADA"/>
        <s v="Goodyear Valleyfield"/>
        <s v="Etobicoke Casting Plant"/>
        <s v="AIMCO SOLREC"/>
        <s v="TORAL CAST LIGHT METAL TECHNOLOGIES"/>
        <s v="Oshawa Assembly Plant"/>
        <s v="Montreal Terminal"/>
        <s v="Coleson Cove Generating Station"/>
        <s v="Huntsville"/>
        <s v="WALLCROWN"/>
        <s v="Flexible Products Division"/>
        <s v="ALLCOLOUR PAINT LTD"/>
        <s v="Courtice WPCP"/>
        <s v="COBOURG"/>
        <s v="SYDNEY TERMINAL"/>
        <s v="Brampton Service Center"/>
        <s v="Leduc Production (AS75)"/>
        <s v="ALLISTON PLANT 1"/>
        <s v="M. STANTON ELECTROPLATING LTD."/>
        <s v="ACTUATORS, MOTOR DRIVES &amp; FUEL SUPPLY, POWERTRAIN DIVISION"/>
        <s v="Union Drawn Steel"/>
        <s v="REGIS AND JOAN DUFFY BIOPHARMACEUTICAL CENTRE"/>
        <s v="Kaiser London"/>
        <s v="Trenton Generating Station"/>
        <s v="INVISTA (Canada) Company"/>
        <s v="Warren Industries Ltd. 220 Spinnaker Way"/>
        <s v="Ingleside Plant"/>
        <s v="Québec"/>
        <s v="Opérations de Drummondville"/>
        <s v="ELLESMERE FACILITY"/>
        <s v="WCB - WESCAST CASTING BRANTFORD"/>
        <s v="Edam West Thermal 11-19-048-20W3"/>
        <s v="HIDDEN HITCH OF CANADA-CEQUENT TOWING PRODUCTS HUNTSVILLE"/>
        <s v="CORNWALL"/>
        <s v="NutriAg Ltd."/>
        <s v="WABAMUN THERMAL ELECTRIC POWER GENERATING PLANT"/>
        <s v="Usine de Brompton, Sherbrooke"/>
        <s v="SURREY SPECIAL WASTE SHORT TERM STORAGE FACILITY"/>
        <s v="ASHBRIDGES BAY TREATMENT PLANT"/>
        <s v="DARTMOUTH REFINERY"/>
        <s v="Vision Dominion Extrusions Limited  - Woodbridge"/>
        <s v="Rollstamp - 90 Snidercroft Rd."/>
        <s v="USINE SAINTE-THÉRÈSE"/>
        <s v="PAPETERIE DE DONNACONA"/>
        <s v="CAMBRIDGE SYSTEMS BUSINESS UNIT"/>
        <s v="Capsules Amcor Flexibles Canada inc"/>
        <s v="Brantford Branch"/>
        <s v="Trench Limited CPD"/>
        <s v="St-Gédéon"/>
        <s v="AP Plasman Tecumseh"/>
        <s v="CLEANHARBORS QUÉBEC, INC."/>
        <s v="Lakeview GS"/>
        <s v="Nisku Blend Plant"/>
        <s v="Ajax Performance Coatings Division"/>
        <s v="Wapiti Gas Plant"/>
        <s v="Bracemac-McLeod"/>
        <s v="Saturn Gas Plant 15-27"/>
        <s v="Fort Saskatchewan Nitrogen Operations"/>
        <s v="OSHAWA BRANCH"/>
        <s v="HALLTECH INC."/>
        <s v="CLEAN HARBORS CANADA, INC."/>
        <s v="USINE GRANDE-BAIE"/>
        <s v="CC&amp;T CI"/>
        <s v="Honda of Canada Mfg."/>
        <s v="ALGONQUIN POWER  ENERGY FROM WASTE INC."/>
        <s v="OLYMPIC COATERS LTD."/>
        <s v="ICTC BLEND FACILITY AND WAREHOUSE"/>
        <s v="AUTOLIV ELECTRONICS CANADA"/>
        <s v="GE Water &amp; Process Technologies Canada - EDMONTON"/>
        <s v="LePage"/>
        <s v="Prince George Refinery"/>
        <s v="MOOSE JAW REFINERY"/>
        <s v="FLEX-N-GATE, SEEBURN"/>
        <s v="Comtech Mfg."/>
        <s v="Calgary Terminal"/>
        <s v="Delta Facility"/>
        <s v="Fort Hills Oil Sands"/>
        <s v="KARMAX HEAVY STAMPING - MILTON"/>
        <s v="Metal Koting Continuous Colour Coat Ltd."/>
        <s v="Norbec Architectural inc, usine norex/noroc"/>
        <s v="Sarnia Terminal"/>
        <s v="HOLLAND LANDING"/>
        <s v="Tucker Thermal"/>
        <s v="Chelmsford Branch"/>
        <s v="EDMONTON SITE"/>
        <s v="MESSIER-DOWTY"/>
        <s v="Toyota Motor Manufacturing Canada Inc. (Cambridge)"/>
        <s v="Scepter Aluminium Saguenay"/>
        <s v="Toyota Motor Manufacturing Canada Inc. (Woodstock)"/>
        <s v="ETRATECH INC."/>
        <s v="BECKER ACROMA"/>
        <s v="Prince George"/>
        <s v="Hobart Food Equipment Group Canada Ltd."/>
        <s v="Usine de Boucherville"/>
        <s v="ECO-TREND IND., FENMAR"/>
        <s v="Regina Terminal"/>
        <s v="ArcelorMittal Dofasco"/>
        <s v="Dow Chemical Canada Inc. - Sarnia"/>
        <s v="COLD LAKE HEAVY OIL PLANTS"/>
        <s v="CCR refinery"/>
        <s v="USINE DE DÉCHIQUETAGE - ARCELORMITTAL CONTRECOEUR"/>
        <s v="MISSISSAUGA"/>
        <s v="Princeton Plant"/>
        <s v="Long Lake Project"/>
        <s v="Sarnia Refinery"/>
        <s v="GE Moteurs d'avions"/>
        <s v="Winnipeg Plant"/>
        <s v="Kirkland Lake"/>
        <s v="Rad Technologies inc."/>
        <s v="EDMONTON HAZARDOUS WASTE PROCESS FACILITY"/>
        <s v="STEDFAST"/>
        <s v="Oregon Tool Canada"/>
        <s v="STURGEON LAKE SOUTH GAS PLANT"/>
        <s v="POLISSAGE ET PLACAGE GG"/>
        <s v="Faurecia Emissions Control Technologies Ltd."/>
        <s v="Sapa - Guelph"/>
        <s v="ARVINMERITOR RIDE CONTROL PRODUCTS"/>
        <s v="OSRAM SYLVANIA - DRUMMONDVILLE"/>
        <s v="Cloverdale Paint Inc. - Mississauga"/>
        <s v="Dartmouth Marine Terminal"/>
        <s v="DANA CANADA - THERMAL PRODUCTS"/>
        <s v="Ruetgers Canada Inc"/>
        <s v="Ajax Plant"/>
        <s v="JEFFERSON ELORA CORPORATION"/>
        <s v="CO-OP REFINERY COMPLEX"/>
        <s v="Quebec International Airport"/>
        <s v="Kruger Brompton S.E.C."/>
        <s v="Edinburgh Road"/>
        <s v="Mississauga Plant"/>
        <s v="Barrie Facility"/>
        <s v="Edmonton Facility"/>
        <s v="St. Marys Facility"/>
        <s v="Kearl Oil Sands Processing Plant and Mine_x000a_"/>
        <s v="Atikokan Generating Station"/>
        <s v="CS No. 6B, Lone Butte"/>
        <s v="DORSEY CONVERTER STATION"/>
        <s v="Baker Petrolite Corporation - Eastfield"/>
        <s v="Redwater Fertilizer Operations"/>
        <s v="Red Deer"/>
        <s v="500 SEAMAN"/>
        <s v="ACIERS INOXYDABLES ATLAS"/>
        <s v="Veolia ES Canada Services Industriels Inc."/>
        <s v="OTTAWA DISRIBUTION TERMINAL"/>
        <s v="MAGOTTEAUX LTÉE"/>
        <s v="ADM AGRI-INDUSTRIES - ADM Candiac"/>
        <s v="GE ELANO CANADA"/>
        <s v="Kearl Oil Sands Processing Plant and Mine"/>
        <s v="ANDROCK CO."/>
        <s v="Nairn Centre Sawmill"/>
        <s v="NORTHWOOD PULP MILL"/>
        <s v="NORAMPAC CABANO UNE DIVISION DE CASCADES CANADA inc"/>
        <s v="McClean Lake Operations"/>
        <s v="Usine de Joliette"/>
        <s v="BRUCE POWER"/>
        <s v="HANLAN-ROBB GAS PLANT"/>
        <s v="Aluminerie Alouette inc."/>
        <s v="ABBT0148129"/>
        <s v="Glencore Canada Corporation, Kidd Mine Site"/>
        <s v="POTASH CORP - LANIGAN DIVISION"/>
        <s v="Bradken Foundry"/>
        <s v="MASSILLY NORTH AMERICA INC. CAP PLANT"/>
        <s v="STATION DÉPURATION DES EAUX USÉES"/>
        <s v="ANTE CREEK OIL BATTERY 10-07"/>
        <s v="Endako Mine"/>
        <s v="MYRA FALLS OPERATIONS"/>
        <s v="HIGH LEVEL NORTH COMP STN 11-32"/>
        <s v="Greenway Pollution Control Centre"/>
        <s v="COPPER CLIFF NICKEL REFINERY"/>
        <s v="Minnehick Oil Battery 04-14-044-05W5"/>
        <s v="Jayar 14-29"/>
        <s v="PANEL AND FIBRE DIVISION"/>
        <s v="Sluyter Company Ltd"/>
        <s v="Pine Creek 3-3"/>
        <s v="SWAN HILLS TREATMENT CENTER"/>
        <s v="Algoma Steel Main Works"/>
        <s v="CARROT RIVER SAWMILL OPERATIONS"/>
        <s v="same"/>
        <s v="Elmworth Generating Station"/>
        <s v="Toyota Motor Manufacturing Canada (Cambridge)"/>
        <s v="Pacific Elevators Limited Viterra"/>
        <s v="Drowning Ford 14-26"/>
        <s v="Sundance Forest Industries Ltd."/>
        <s v="Northern Pulp Nova Scotia Corporation"/>
        <s v="Grande Prairie Operations"/>
        <s v="Aberfoyle Pit 1"/>
        <s v="Scotford Chemical Plant"/>
        <s v="Redcliff Gas Battery 08-23-012-07W4"/>
        <s v="CUTBANK Compressor Station A-038-I/093-P-01 (F7314)"/>
        <s v="AMERICAN STANDARD  (CAMBRIDGE)"/>
        <s v="LP Dawson Creek OSB"/>
        <s v="Suncor Energy Inc. Oil Sands"/>
        <s v="POD ONE"/>
        <s v="Horizon Oil Sands Processing Plant and Mine"/>
        <s v="ALUMINERIE DE BÉCANCOUR INC."/>
        <s v="Mistahae Compressor Station 10-32-077-02W5"/>
        <s v="Welland Wastewater Treatment Plant"/>
        <s v="RED CREEK COMPRESSOR STATION/OIL BATTERY 03-10-085-21W6"/>
        <s v="Kaybob Compressor Station 05-12-062-20W5"/>
        <s v="Bitumar Hamilton"/>
        <s v="ABBT0052094"/>
        <s v="MARTEN CREEK SOUR GAS PLANT 10-02"/>
        <s v="Plant # 6"/>
        <s v="Eastern Ontario Landfill"/>
        <s v="NORMAN WELLS CRUDE PRODUCTION FACIL."/>
        <s v="DARTMOUTH TERMINAL"/>
        <s v="CESSFORD SWEET GAS PLANT"/>
        <s v="MCCAIN FOODS (CANADA) - PEI"/>
        <s v="USINE DE GATINEAU"/>
        <s v="6-01-47-17 W5M"/>
        <s v="Alder Flats Gas Plant 10-09"/>
        <s v="LS JCT 3 Compressor"/>
        <s v="MIKWAN GAS PLANT"/>
        <s v="LLOYDMINSTER UPGRADER"/>
        <s v="Property No. 20 (Mosport) AGG Site"/>
        <s v="SAMSON RAINBOW"/>
        <s v="FIREWEED D-075-A"/>
        <s v="Maple Bay STP"/>
        <s v="MIKWAN SWEET GAS PLANT 05-22"/>
        <s v="Port Moody Plant"/>
        <s v="Yara Belle Plaine Inc."/>
        <s v="Arrimage du St-Laurent"/>
        <s v="Granada Compressor Station 02-18"/>
        <s v="Ensyn Renfrew"/>
        <s v="Mine du Lac Bloom"/>
        <s v="Joffre Site; Cogeneration"/>
        <s v="Matziwin Compressor Station 01-32-024-14W4"/>
        <s v="FENN BIG VALLEY GAS PLANT 08-27"/>
        <s v="Coaldale Comp Stn 08-02"/>
        <s v="Ball Packaging Products Canada, Inc. Baie d'Urfe"/>
        <s v="CANADIAN DILUENT HUB"/>
        <s v="Macassa Mine"/>
        <s v="Scierie Roberval"/>
        <s v="Labrador City Terminal"/>
        <s v="GOODFISH COMP STN"/>
        <s v="Brigus Black Fox Mine"/>
        <s v="LINGAN GENERATING STATION"/>
        <s v="Kaybob South #3 Gas Plant"/>
        <s v="CORNWALL FACILITY"/>
        <s v="PANNY GAS PLANT 12-06"/>
        <s v="CITY VIEW DRIVE"/>
        <s v="Twining Comp Stn 14-19"/>
        <s v="BATHURST MILL"/>
        <s v="FABRICATED PLASTICS LIMITED"/>
        <s v="Flagstone Macoun Oil Battery 16-30-004-08W2"/>
        <s v="FIRE SKY VIEWHILL 1-18-4-8"/>
        <s v="CCL CONTAINER - AEROSOL DIVISION PENETANGUISHENE"/>
        <s v="Nevis Gas Plant"/>
        <s v="Maitland Site"/>
        <s v="Porcupine Gold Mines"/>
        <s v="H.R.Milner Generating Station"/>
        <s v="HAUER BROS."/>
        <s v="Brantford Operations"/>
        <s v="Masson-Angers"/>
        <s v="Centre de finition Montréal"/>
        <s v="HARDISTY TERMINAL"/>
        <s v="Carson Creek Cycling Plant"/>
        <s v="Kruger Products Inc"/>
        <s v="RIMBEY PLANT"/>
        <s v="Pine Falls"/>
        <s v="Kaybob Amalgamated Sour Gas Plant"/>
        <s v="Usine de Clermont"/>
        <s v="Centrale d'Obedjiwan"/>
        <s v="High Prairie OSB Division"/>
        <s v="Pictou County Plant"/>
        <s v="CARSELAND NITROGEN OPERATIONS"/>
        <s v="Patience Lake Division"/>
        <s v="Louisiana Pacific Canada Ltd, DIVISION QUÉBEC MANIWAKI"/>
        <s v="Nanticoke Terminal"/>
        <s v="Booster Station 1 - Taylor"/>
        <s v="Harmac Pacific Operations"/>
        <s v="Millbank Generating Station"/>
        <s v="Lashburn MWB 01-18-047-24W3"/>
        <s v="MINAS BASIN PULP AND POWER - HANTSPORT"/>
        <s v="MITSUE GAS PLANT"/>
        <s v="Pelican Oil MWB 14-14-078-25W4"/>
        <s v="TRISTAR STAR VALLEY 5-4"/>
        <s v="COVERIGHT SURFACES CANADA"/>
        <s v="USINE NORMANDIN"/>
        <s v="CUSTOMER SERVICE CENTRE"/>
        <s v="Cascade Valhalla"/>
        <s v="Potash Corp - Allan Division"/>
        <s v="Belle Plaine Facility"/>
        <s v="WEBCOM LIMITED"/>
        <s v="Surmont SAGD Commercial Battery"/>
        <s v="Island Gold Mine"/>
        <s v="Lily A-29-J Gas Plant"/>
        <s v="Gibraltar Mine (SFO)"/>
        <s v="WILLISDEN GREEN COMP STATION 08-04"/>
        <s v="Karr Creek Compressor Station 12-35-063-02W6"/>
        <s v="Resines Neste Canada - Ste Therese"/>
        <s v="WILSON CREEK COMP STN 15-13"/>
        <s v="Lafarge Canada, Inc., GVA A&amp;P, Mitchell Is., CB Asphalt Plan"/>
        <s v="Musselwhite Mine"/>
        <s v="Chatham Plant"/>
        <s v="Everdell Gas Plant"/>
        <s v="Agincourt Plant"/>
        <s v="CENTRAL BAKERY"/>
        <s v="Harte Gold Corporation - Sugar Zone Project"/>
        <s v="Mississauga Lubricants Centre"/>
        <s v="MACKAY RIVER 14-21"/>
        <s v="Mulligan Fourth Creek 15-13"/>
        <s v="ADELAIDE POLLUTION CONTROL PLANT"/>
        <s v="Whiteshell Laboratories"/>
        <s v="CS NO. N2, PROPHET RIVER"/>
        <s v="Wild River 12-36-055-23-W5"/>
        <s v="Boundary 06-06"/>
        <s v="Sea Rose FPSO"/>
        <s v="Western Canada Operations"/>
        <s v="Entice System 2 Gas Battery 03-22"/>
        <s v="ASHLAND CANADA - MISSISSAUGA"/>
        <s v="Point Tupper Generating Station"/>
        <s v="Cargill AgHorizons, Sarnia Terminal, ON"/>
        <s v="Thunderhill Compressor Station 04-15-014-27W3"/>
        <s v="BUNGE DU CANADA - QUÉBEC CITY PLANT"/>
        <s v="HOUSTON SAWMILL"/>
        <s v="Corporation ID Biomédical du Québec f.a.s. GSK Biologicals"/>
        <s v="Hôpital Saint-Luc"/>
        <s v="Jamieson Quarry"/>
        <s v="KITIMAT WORKS"/>
        <s v="Wartsila Richmond"/>
        <s v="ST LAURENT"/>
        <s v="Longford Mills Plant"/>
        <s v="Duntroon Quarry and Asphalt Plant"/>
        <s v="REGINA PLANT SITE"/>
        <s v="Energy From Waste Plant"/>
        <s v="ARCELORMITTAL HAMILTON EAST"/>
        <s v="Suffield K (Koomati) Gas Battery 04-04"/>
        <s v="BUNGE CANADA - HARROWBY PLANT"/>
        <s v="Smoky Sweet Gas Plant 07-36-058-03W6"/>
        <s v="Shur-Gain St. Marys"/>
        <s v="Iroquois Falls G.S."/>
        <s v="Suffield Koomati River Booster 12-24"/>
        <s v="Scierie Senneterre"/>
        <s v="TILBURY PLANT"/>
        <s v="CHATHAM FACILITY"/>
        <s v="INCINERATOR"/>
        <s v="SKBTB4L3775 (Anderson Oil Battery 05-24-005-04W2)"/>
        <s v="Burnaby Terminal"/>
        <s v="Carden Quarry"/>
        <s v="POUNDER EMULSIONS - SASKATOON"/>
        <s v="Sombra Operations"/>
        <s v="Maitland"/>
        <s v="Sulzer Metco (Canada) Inc. - Fort Saskatchewan Operations"/>
        <s v="Ingoldsby 16-21-003-32W1 MWB"/>
        <s v="Rosenort"/>
        <s v="Niton Sweet Gas Plant"/>
        <s v="Usine de production de peroxyde d'hydrogène"/>
        <s v="VULSAY INDUSTRIES LTD."/>
        <s v="BEAVER PLASTICS"/>
        <s v="CROMER TERMINAL"/>
        <s v="Corner Brook Terminal"/>
        <s v="Nestow 16-26-060-24W4"/>
        <s v="STEELMAN GAS PLANT"/>
        <s v="BRAMPTON BRICK"/>
        <s v="GAGE BATTERY 13-18-082-03W6"/>
        <s v="Meunerie"/>
        <s v="RESTIGOUCHE MINE"/>
        <s v="Orica Brownsburg"/>
        <s v="BAIE-COMEAU"/>
        <s v="MITCHELL ISLAND PLANT"/>
        <s v="BRITANNIA LANDFILL"/>
        <s v="Seal 05-32-084-18W5"/>
        <s v="Elk Point"/>
        <s v="Bécancour Power Plant"/>
        <s v="Anegada Valhalla 06-21-074-09w6"/>
        <s v="Souris Flat Oil MWB 03-03"/>
        <s v="PLACID COMP STATION 11-15"/>
        <s v="Touquoy Mine"/>
        <s v="Texada Quarrying Ltd., Texada Quarry"/>
        <s v="Buckingham plant"/>
        <s v="Milford Mine Site"/>
        <s v="Feed Plant, Landmark"/>
        <s v="SHELL CAROLINE COMPLEX"/>
        <s v="Weston Cobourg"/>
        <s v="Cargill AgHorizons, North Battleford, SK"/>
        <s v="SDEC HOSPITAL PLANT"/>
        <s v="Thornbury East Sweet Gas Plant 15-12"/>
        <s v="Steel Pails &amp; Metal Decorating Ltd"/>
        <s v="PARRISH &amp; HEIMBECKER, LIMITED - CENTRALIA FACILITY"/>
        <s v="Plato Bty 5-33-25-17W3"/>
        <s v="DOME MINE"/>
        <s v="STEAD DAY AGG SITE"/>
        <s v="PARKMAN 16-08"/>
        <s v="L'ORIGNAL QUARRY"/>
        <s v="Kapuskasing Operations"/>
        <s v="Usine Chaleurs"/>
        <s v="Crystal RPCL 1-22-46-3W5"/>
        <s v="RABBIT LAKE OPERATION"/>
        <s v="Puskwaskau 03-26"/>
        <s v="WESTFIRE HZ REDWATER 06-01-058-23W4"/>
        <s v="Hoffer Oil Battery 01-21"/>
        <s v="Redstone Mine"/>
        <s v="BORDER CHEMICAL COMPANY LIMITED"/>
        <s v="VERNON ASPHALT PLANT"/>
        <s v="Cimenterie de Saint-Constant"/>
        <s v="DYNO NOBEL NITROGEN INC.-MAITLAND SITE"/>
        <s v="Valleyfield"/>
        <s v="WILLINGDON 10-21"/>
        <s v="PLATEAU DIVISION"/>
        <s v="PINE FALLS OPERATIONS"/>
        <s v="Hiding Creek Comp Stn D-052-F"/>
        <s v="Gundy D-004-H/094-B-16"/>
        <s v="Gordondale Oil Battery 08-30-078-09W6"/>
        <s v="PADDLE NORTH COMP STN 01-06"/>
        <s v="Aluminerie Arvida - Centre technologique AP60"/>
        <s v="Contre-Plaque Saint-Casimir Inc."/>
        <s v="TALL PINE TIMBER - LODGEPOLE"/>
        <s v="Polybrite"/>
        <s v="Wild River 11-16-055-24-W5"/>
        <s v="Gold Creek Compressor Station 05-11-068-06W6"/>
        <s v="Carbon"/>
        <s v="NRK North Ferrier 5-10-42-9-W5 ABBT0081372"/>
        <s v="Megantic Veneer (Plywood Plant)"/>
        <s v="Torc Pembina Compressor Station 01-36-050-13W5"/>
        <s v="NOVA Chemicals (Canada) Ltd. Sarnia Site"/>
        <s v="CARPENTER CANADA CO."/>
        <s v="WATERLOO LANDFILL SITE"/>
        <s v="Greenhills Operations"/>
        <s v="CF Industries Courtright Nitrogen Complex"/>
        <s v="RIO TINTO ALCAN-MÉTAL PRIMAIRE-USINE DE BEAUHARNOIS"/>
        <s v="Portable Plant 020002"/>
        <s v="LILLOOET VENEER DIVISION"/>
        <s v="ACUFIL (SOCIETE EN COMMANDITE)"/>
        <s v="Cache Creek Landfill"/>
        <s v="DIVISION MINES GASPÉ"/>
        <s v="NOVA Chemicals Corporation (Joffre)"/>
        <s v="EKATI DIAMOND MINE"/>
        <s v="Division La Sarre"/>
        <s v="FORT ST. JOHN"/>
        <s v="Gainsborough Oil Battery 14-26-002-30W1"/>
        <s v="Etobicoke Plant"/>
        <s v="Starbuck"/>
        <s v="Creighton Mine"/>
        <s v="ARL HELMET B-11-K/94-P-2"/>
        <s v="Mary River Mine Site"/>
        <s v="RAINBOW 13-06-111-6W6"/>
        <s v="STATION 52 - VERMILION BAY"/>
        <s v="RIDGEMOUNT QUARRIES - RIDGEWAY"/>
        <s v="Étangs Nord"/>
        <s v="Cargill AgHorizons, Rosetown, SK"/>
        <s v="Goodfish Compressor Station 13-24-092-10W5"/>
        <s v="Quadra Chemicals Ltd. - Edmonton (North)"/>
        <s v="TWEEDIE 01-19"/>
        <s v="Main Plant"/>
        <s v="Cutbank Comp Stn c-029-A"/>
        <s v="Nanaimo Terminal"/>
        <s v="KEYSTONE GAS PLANT 05-35-048-04W5"/>
        <s v="Kakwa 05-25-063-04W6"/>
        <s v="Saddle Lake Compressor Station 09-09-058-11W4"/>
        <s v="Bois d'ingénierie Abitibi LP2 (St-Prime)"/>
        <s v="Joffre Site"/>
        <s v="Sheppard Facility"/>
        <s v="Pembina Gas Battery 01-32-048-09W5"/>
        <s v="PC LOUISE 12-08"/>
        <s v="Stoddart Compressor Station 06-11"/>
        <s v="PROGRESSIVE ANODIZERS INC."/>
        <s v="COURT 1-19-33-27W3"/>
        <s v="Alderson West Sour Gas Plant 06-02-016-15W4"/>
        <s v="Muskrat Comp Stn 14-12"/>
        <s v="HAMILTON WORKS"/>
        <s v="Weyerhaeuser Princeton Sawmill"/>
        <s v="Sudbury Integrated Nickel Operations Smelter"/>
        <s v="Steelman Single Well Battery 09-36-004-06W2"/>
        <s v="Clean Harbors Canada, Inc"/>
        <s v="LADYFERN C-082-G"/>
        <s v="SGL Canada Inc"/>
        <s v="Devon Coleman 4-13"/>
        <s v="Pancdn Ferrybank"/>
        <s v="Wildcat Hills Gas Plant"/>
        <s v="REXDALE PLANT"/>
        <s v="TRI LINK STAR VALLEY 5-4"/>
        <s v="MANITOBA KRAFT PAPERS DIVISION"/>
        <s v="Revolution ORS Acquisition GP Inc. "/>
        <s v="BASSIN D'ÉPURATION"/>
        <s v="Cambridge Manufacturing"/>
        <s v="SWAN HILLS 02-02"/>
        <s v="New Afton"/>
        <s v="HUSSAR 08-23"/>
        <s v="Val-d'Or sawmill"/>
        <s v="Plasti-Fab Polymer Plant &amp; Plasti-Fab Crossfield"/>
        <s v="Weston Plant"/>
        <s v="STRATHROY"/>
        <s v="Terminal Forest Products Sawmill &amp; Planer"/>
        <s v="Plant #34 Montreal"/>
        <s v="Huxley Comp Station 08-32"/>
        <s v="CDNOXY PEMBINA H BATTERY 6-22"/>
        <s v="DIAVIK DIAMOND MINES INC - LAC DE GRAS"/>
        <s v="Fox Creek Division"/>
        <s v="Brigden Facility"/>
        <s v="Usine Fibre de Verre Moderne #4 (Utile)"/>
        <s v="BLOUNT GUELPH"/>
        <s v="IDEM"/>
        <s v="Ferrier Gas Plant"/>
        <s v="Brockville Lubricants Plant"/>
        <s v="Weyburn Oil Battery"/>
        <s v="Canadian Natural Upgrading Limited Muskeg River Mine and Jackpine Mine"/>
        <s v="SHELL ALBIAN SANDS MUSKEG RIVER MINE"/>
        <s v="Gilby Gas Battery 08-16"/>
        <s v="BUNGE CANADA - HAMILTON"/>
        <s v="ST. MARY'S CEMENT PLANT"/>
        <s v="JAMES Pollution Control Center"/>
        <s v="Elkview Operations"/>
        <s v="DUFFERIN CONCRETE, BRADFORD PLANT"/>
        <s v="SUDBURY OPERATIONS MINES/MILL - ONAPING AREA"/>
        <s v="Elmwood Kitchens"/>
        <s v="USINE KÉNOGAMI"/>
        <s v="Bantry Compressor Station 02-23-019-14W4"/>
        <s v="AURORA 2"/>
        <s v="Alberta Plywood, Slave Lake Veneer"/>
        <s v="BOWMANVILLE"/>
        <s v="SUMMIT TWO CREEK 07-04"/>
        <s v="MISSISSAUGA CEMENT PLANT"/>
        <s v="PROGRESS GAS PLANT"/>
        <s v="LA SARRE DIVISION PANNEAUX"/>
        <s v="HARTLAND"/>
        <s v="Sanimax ACI"/>
        <s v="Kaybob 15-28"/>
        <s v="Manitok Stolberg 6-21-42-15 Group"/>
        <s v="Gutah 3 Comp Stn a-054-K"/>
        <s v="PEI Energy Systems"/>
        <s v="Commissioners Street Transfer Station"/>
        <s v="Jedney Comp Stn C-007-H"/>
        <s v="RAM RIVER"/>
        <s v="Judy Creek Production Complex"/>
        <s v="HILTON WORKS"/>
        <s v="TRILOGY HZ KNOPCIK 16-35-074-10W6"/>
        <s v="CROSSLEY CARPET MILLS LIMITED"/>
        <s v="Holloway Mine"/>
        <s v="TERMINAL SOREL-TRACY"/>
        <s v="ARCLIN CANADA LTD - THUNDER BAY"/>
        <s v="Chetwynd Forest Industries, a Division of West Fraser Mills Ltd."/>
        <s v="P-12"/>
        <s v="Flat Lake 02-29-002-11W2 (101/02-20) SWB"/>
        <s v="BLOCK VALVE #2"/>
        <s v="STRADA 051"/>
        <s v="Matcor -  Bramalea"/>
        <s v="Kapuskasing Phosphate Operations"/>
        <s v="Stoufville Pressure Facility"/>
        <s v="JOFFRE SITE;  OLEFINS AND POLYETHYLENE MANUFACTURING"/>
        <s v="Bonanza Compressor Station 11-25-081-11W6"/>
        <s v="Leismer SAGD Bitumen Battery"/>
        <s v="City of Vancouver -Kent Yard Asphalt Batch Plant"/>
        <s v="AltaGas Services 13-31-045-13W4M (ABCS0022912)"/>
        <s v="Holyrood Combustion Turbine"/>
        <s v="Kerrobert 16-28-033-24W3 (101/13-28) SWB"/>
        <s v="Station d'épuration Sainte-Thérèse-Blainville"/>
        <s v="Chatham"/>
        <s v="Irving Paper"/>
        <s v="Shell Canada Energy Muskeg River Mine and Jackpine Mine"/>
        <s v="Ottawa Health Sciences Centre (OHSC) Cogeneration Facility"/>
        <s v="Cousins 1-22"/>
        <s v="KIPLING PLANT"/>
        <s v="Baker Petrolite Corporation - Leduc"/>
        <s v="Brilliant Dam and Generation Station"/>
        <s v="Lindbergh Cavern"/>
        <s v="Clean Harbors Corunna"/>
        <s v="WESGAR"/>
        <s v="WESTERN PULP - SQUAMISH OPERATION"/>
        <s v="AFFINERIE CCR"/>
        <s v="Parkdale Avenue Facility"/>
        <s v="JBS Foods Canada Inc."/>
        <s v="Edmundston operations"/>
        <s v="BOEING CANADA OPERATIONS LTD."/>
        <s v="Harmattan Gas Plant"/>
        <s v="11TH STREET PLANT"/>
        <s v="Wabush Mines - Scully"/>
        <s v="Emballages Krupack Place Turcot"/>
        <s v="Hinton Pulp"/>
        <s v="Division Laronde"/>
        <s v="57 OLD ONONDAGA RD. W., BRANTFORD"/>
        <s v="ICI Explosifs"/>
        <s v="TROIS-PISTOLES"/>
        <s v="North Atlantic Refinery"/>
        <s v="ELK FALLS"/>
        <s v="LAMBTON GENERATING STATION"/>
        <s v="THERM-O-DISC (CANADA) LTD"/>
        <s v="Sudbury Nickel Smelter Complex"/>
        <s v="DUNKLEY LUMBER - PRINCE GEORGE"/>
        <s v="Novozymes Canada"/>
        <s v="Coal Valley Mine"/>
        <s v="Fibrek SENC"/>
        <s v="mine langlois"/>
        <s v="Wastewater Treatment Centre"/>
        <s v="East Crossfield Gas Plant 9-14-28-1W5"/>
        <s v="Fording River Operations"/>
        <s v="MILLER ENVIRONMENTAL - ST.JEAN BAPTISTE, R.M OF MONTCALM"/>
        <s v="PLANT 1"/>
        <s v="Bistcho Lake Plant"/>
        <s v="Lennox Generating Station"/>
        <s v="Nestle London (401)"/>
        <s v="ALBERTA PACIFIC FOREST INDUSTRIES"/>
        <s v="Jackfish 1 SAGD Plant"/>
        <s v="LA MINE NIOBEC"/>
        <s v="CARIBOO PULP AND PAPER COMPANY"/>
        <s v="Beamsville Plant"/>
        <s v="XSTRATA NICKEL - MINE RAGLAN"/>
        <s v="BlackGold SAGD Sec14-76-07W4"/>
        <s v="Station d'épuration des eaux usées Jean-R.-Marcotte"/>
        <s v="Cantung Mine"/>
        <s v="DIVISION LAURENTIDE"/>
        <s v="Usine d'épuration"/>
        <s v="Edmundston Pulp Mill"/>
        <s v="Kamloops Mill (SFO)"/>
        <s v="Shellburn Terminal"/>
        <s v="PG Wood"/>
        <s v="Pouce Coupe Gas Plant"/>
        <s v="Red Lake Gold Mines"/>
        <s v="WILLIAMS LAKE POWER PLANT"/>
        <s v="PRINCE GEORGE PULP AND PAPER MILLS"/>
        <s v="VAVENBY"/>
        <s v="SLAVE LAKE PULP - SLAVE LAKE"/>
        <s v="SUDBURY  TERMINAL"/>
        <s v="Georgetown Waste Water Treatment Plant"/>
        <s v="SEASTAR CHEMICALS - SIDNEY"/>
        <s v="CANADIAN FORCES BASE/ AREA SUPPORT UNIT KINGSTON"/>
        <s v="Thunder Bay Operations"/>
        <s v="Longueuil Plant"/>
        <s v="MONTUPET LTÉE - RIVIÈRE-BEAUDETTE"/>
        <s v="Mine Raglan"/>
        <s v="AV Terrace Bay"/>
        <s v="Coleman Gas Plant"/>
        <s v="Orion Facilities"/>
        <s v="Waterville TG WATERVILLE"/>
        <s v="Beartrap Custom Treating Facility"/>
        <s v="Prince George Pulp and Paper and Intercontinental Pulp Mills"/>
        <s v="Young-Davidson"/>
        <s v="Musreau Gas Plant"/>
        <s v="52 Imperial St."/>
        <s v="South Wapiti"/>
        <s v="Alberta Diluent / Crude Terminal (ADT/ACT)"/>
        <s v="Consumers Glass (Scoudouc)"/>
        <s v="Sierra Gas Plant"/>
        <s v="Resolute Forest Products - Thunder Bay Operations"/>
        <s v="Watson Terminal"/>
        <s v="BABINE SAWMILL"/>
        <s v="Calgary Plant"/>
        <s v="Grande Cache Coal Corporation"/>
        <s v="Alfield Industries Ltd"/>
        <s v="Ste Therese Assembly Plant"/>
        <s v="Weyerhaeuser Dryden Mill Operations"/>
        <s v="Myra Falls Mine Ltd"/>
        <s v="Twin Creeks Landfill (formerly Warwick Landfill)"/>
        <s v="Northwest Langley Wastewater Treatment Plant"/>
        <s v="Revolution Environmental Solutions Acquisition GP Inc"/>
        <s v="Brooklyn Energy Centre"/>
        <s v="MILDRED LAKE PLANT SITE"/>
        <s v="Cold Lake"/>
        <s v="Manatokan Custom Treating Facility 9-14"/>
        <s v="Station d'épuration Terrebonne-Mascouche"/>
        <s v="IMTT QUÉBEC - QUÉBEC"/>
        <s v="Port Colborne Refinery"/>
        <s v="Nickel Rim South Mine"/>
        <s v="Dee Valley Thermal"/>
        <s v="BENGARD MANUFACTURING"/>
        <s v="IPSCO Saskatchewan Inc."/>
        <s v="DUFFIN CREEK WPCP"/>
        <s v="RAINBOW GAS PLANT AND BATTERY 10"/>
        <s v="Delta Service Centre"/>
        <s v="Elmworth Gas Plant"/>
        <s v="NORCEN PROGRESS GAS PLANT"/>
        <s v="FTG Circuits"/>
        <s v="Domtar Usine de Windsor"/>
        <s v="PILLETTE ROAD TRUCK ASSEMBLY PLANT"/>
        <s v="Burmount Terminal"/>
        <s v="Hamilton Specialty Bar"/>
        <s v="Chalk River Laboratories"/>
        <s v="QIT FER ET TITANE P84"/>
        <s v="SFK PÂTE, USINE DE PÂTE KRAFT"/>
        <s v="Silverdale FST"/>
        <s v="Gahcho Kue Mine"/>
        <s v="Papeterie de Dolbeau"/>
        <s v="Kingston Terminal"/>
        <s v="Fort Saskatchewan 04-24-055-22W4"/>
        <s v="WAWA OSB"/>
        <s v="Alberta-Pacific Forest Industries Inc."/>
        <s v="Long Harbour Operations"/>
        <s v="BRISCO WOOD PRESERVERS - BRISCO"/>
        <s v="JW Oliver Waste Water Plant"/>
        <s v="Weatherford Completion and Oilfield Services McAllister"/>
        <s v="Pikes Peak South Thermal 05-07-049-23W3"/>
        <s v="Hamilton Specialty Bar Division"/>
        <s v="Ricinus Gas Plant"/>
        <s v="THOMPSON OPERATIONS"/>
        <s v="SHEPARD LAGOONS - CALGRO"/>
        <s v="Williams Mine"/>
        <s v="London Operations"/>
        <s v="Meunerie de Joliette"/>
        <s v="Peace River Complex"/>
        <s v="WEDLOCK PAPER CONVERTERS LIMITED"/>
        <s v="EDMONTON REFINERY"/>
        <s v="Waterville Plant"/>
        <s v="Essex-Windsor Regional Landfill"/>
        <s v="Trefilerie et UMS (Usine de materiel de soudage)"/>
        <s v="USINE PONTIAC"/>
        <s v="Harmattan Gas Processing Plant"/>
        <s v="Genesee Thermal Generating Station"/>
        <s v="NIAGARA MACHINE PRODUCTS"/>
        <s v="Coal Mountain Operations"/>
        <s v="Circo Craft Granby"/>
        <s v="Central Colchester Wastewater Treatment Facility"/>
        <s v="Zalev Brothers"/>
        <s v="Cambridge Premix"/>
        <s v="METOKOTE CORPORATION PLANT 72"/>
        <s v="TONOLLI CANADA LIMITED"/>
        <s v="Huckleberry Mines Ltd."/>
        <s v="Oakville Plant"/>
        <s v="WINFIELD SERVICE CENTRE"/>
        <s v="FRANKE KINDRED CANADA LIMITED"/>
        <s v="FRENCH FRY PLANT"/>
        <s v="Bare Point Terminal"/>
        <s v="Cabot Canada Limited"/>
        <s v="REXDALE"/>
        <s v="HYTHE BRAINARD SOUR GAS PLANT"/>
        <s v="MINNEHIK-BUCK LAKE GAS PLANT"/>
        <s v="Spruce Lake Central Thermal"/>
        <s v="Silvertip Mine"/>
        <s v="Sturgeon Lake South Gas Plant 02-02"/>
        <s v="HBMS Trout Lake Mine"/>
        <s v="Corunna Site"/>
        <s v="Pickering Nuclear Division"/>
        <s v="Clean Harbors Canada Inc. "/>
        <s v="Navajo Metals"/>
        <s v="Rubber Plant #2"/>
        <s v="Winfield"/>
        <s v="DOMTAR INC, USINE DE LEBEL-SUR-QUÉVILLON"/>
        <s v="Mine Canadian Malartic"/>
        <s v="Markham Plant"/>
        <s v="Bigoray Sour Gas Plant"/>
        <s v="HBMS SNOW LAKE MILL"/>
        <s v="Saturn Deepcut Gas Plant 12-36"/>
        <s v="SKYWAY WASTE WATER TREATMENT PLANT"/>
        <s v="Usine Granford"/>
        <s v="Bigoray Gas Plant"/>
        <s v="LASHBURN SWB 02-02-049-24W3"/>
        <s v="Panabrasive Inc."/>
        <s v="Division Meadowbank"/>
        <s v="SATISFIED BRAKE PRODUCTS INC."/>
        <s v="City of Portage la Prairie Water Pollution Control Facility"/>
        <s v="Co-op Carseland Terminal"/>
        <s v="Complexe minier Kiena"/>
        <s v="Produits chimiques"/>
        <s v="SOUVENIR AVANTI   POINTE CLAIRE"/>
        <s v="Detour Lake Project"/>
        <s v="LAKEHEAD SCRAP METALS"/>
        <s v="USINE DE POINTE-CLAIRE"/>
        <s v="CENTRALE DE DOLBEAU"/>
        <s v="Sexsmith Sour Gas Plant"/>
        <s v="Usine de La Tuque"/>
        <s v="West Stoddart Gas Processing Plant"/>
        <s v="Boundary Lake Gas Plant"/>
        <s v="SMITHVILLE PLANT"/>
        <s v="Coronation FST"/>
        <s v="Voisey's Bay Mine Site"/>
        <s v="Bracebridge plant"/>
        <s v="Virden Truck Terminal"/>
        <s v="West Whitecourt Plant"/>
        <s v="VIKING AIR - SIDNEY"/>
        <s v="Belt Manufacturing"/>
        <s v="KAMLOOPS CELLULOSE FIBERS"/>
        <s v="IOCO TERMINAL"/>
        <s v="USINE DE WINDSOR"/>
        <s v="North Tangleflags Facility"/>
        <s v="USINE DE TRIAGE LACHENAIE"/>
        <s v="Seabee"/>
        <s v="Fort Saskatchewan"/>
        <s v="Norealis Terminal"/>
        <s v="Judy Creek FST"/>
        <s v="Kingston Works"/>
        <s v="WHITESANDS PROJECT"/>
        <s v="USINE DE MONTRÉAL"/>
        <s v="LEDUC PLANT"/>
        <s v="NATIONAL GLASS - LANGLEY"/>
        <s v="Clean Harbors Canada Inc. [Corunna] "/>
        <s v="AINSWORTH ENGINEERED"/>
        <s v="Burlington Skyway Wastewater Treatment Plant"/>
        <s v="KEEPHILLS THERMAL ELECTRIC POWER GENERATING PLANT"/>
        <s v="Peterborough"/>
        <s v="Kitchener Plant"/>
        <s v="DRYDEN MILL"/>
        <s v="Drayton Valley"/>
        <s v="USINE ÉPURATION JONQUIÈRE"/>
        <s v="ABITIBI CONSOLIDATED DU CANADA, DIVISION LAURENTIDE"/>
        <s v="MIRAMICHI MARINE TERMINAL"/>
        <s v="SITE DE TÉMISCAMING"/>
        <s v="WASTE MANAGEMENT FACILITY"/>
        <s v="Brampton Site"/>
        <s v="Wapiti Sour Gas Processing Plant"/>
        <s v="Carlyle (Champ Tech)"/>
        <s v="RAFFINERIE DE MONTRÉAL-EST"/>
        <s v="SCAPA NORTH AMERICA"/>
        <s v="Fox Creek Terminal"/>
        <s v="Lone Pine Creek Gas Plant"/>
        <s v="CARDINAL RIVER OPERATIONS"/>
        <s v="Riverside Brass - Hamilton Road"/>
        <s v="Edmonton Plant"/>
        <s v="Edmonton South Terminal"/>
        <s v="XSTRATA COPPER CANADA DIVISION, KIDD METALLURGICAL SITE"/>
        <s v="Bellshill Lake Plant"/>
        <s v="West Pembina Sour Gas Plant"/>
        <s v="METRA ALUMINIUM INC."/>
        <s v="Newalta Corporation"/>
        <s v="Copper Mountain Mine"/>
        <s v="North End Water Pollution Control Centre (NEWPCC)"/>
        <s v="CASA BERARDI"/>
        <s v="Mituse Gas Plant"/>
        <s v="Redwater Process"/>
        <s v="Septimus 08-22 Gas Plant"/>
        <s v="Niton Junction"/>
        <s v="Crofton Division"/>
        <s v="Red Rock Division"/>
        <s v="ZALEV BROTHERS CO."/>
        <s v="DUNVEGAN SOUR GAS PLANT"/>
        <s v="Magino Mine"/>
        <s v="HARMAC PULP OPERATIONS"/>
        <s v="Lakehead Scrap Metal"/>
        <s v="WINDSOR TRANSMISSION PLANT"/>
        <s v="Usine de Québec"/>
        <s v="MID-HALTON WASTE WATER TREATMENT PLANT"/>
        <s v="Le Groupe Flint"/>
        <s v="OxyChem Durez Canada"/>
        <s v="CARSTAIRS-CROSSFIELD GAS PLANT"/>
        <s v="BRUNSWICK MINE"/>
        <s v="FORMULATION PLANT"/>
        <s v="TransCanada Northern Courier Fort Hills Tank Terminal"/>
        <s v="Régie Intermunicipale Argenteuil Deux-Montagnes (RIADM)"/>
        <s v="St. John's International Airport"/>
        <s v="Bell Creek Complex"/>
        <s v="COMBERMERE TREATING PLANT"/>
        <s v="Jansen Project"/>
      </sharedItems>
    </cacheField>
    <cacheField name="NAICS / Code_SCIAN" numFmtId="0">
      <sharedItems containsSemiMixedTypes="0" containsString="0" containsNumber="1" containsInteger="1" minValue="111190" maxValue="913910"/>
    </cacheField>
    <cacheField name="NAICS Title EN / Titre Code SCIAN EN" numFmtId="0">
      <sharedItems/>
    </cacheField>
    <cacheField name="NAICS Title FR / Titre Code SCIAN FR" numFmtId="0">
      <sharedItems/>
    </cacheField>
    <cacheField name="PROVINCE" numFmtId="0">
      <sharedItems count="12">
        <s v="ON"/>
        <s v="MB"/>
        <s v="BC"/>
        <s v="QC"/>
        <s v="AB"/>
        <s v="SK"/>
        <s v="NT"/>
        <s v="NS"/>
        <s v="NB"/>
        <s v="PE"/>
        <s v="NL"/>
        <s v="NU"/>
      </sharedItems>
    </cacheField>
    <cacheField name="CAS_Number / No_CAS" numFmtId="0">
      <sharedItems/>
    </cacheField>
    <cacheField name="Substance Name (English) / Nom de substance (Anglais)" numFmtId="0">
      <sharedItems count="123">
        <s v="Methyl ethyl ketone"/>
        <s v="Lead (and its compounds)"/>
        <s v="N-Methyl-2-pyrrolidone"/>
        <s v="Methanol"/>
        <s v="Nickel (and its compounds)"/>
        <s v="Toluene"/>
        <s v="Isopropyl alcohol"/>
        <s v="Hydrochloric acid"/>
        <s v="Phosphorus (total)"/>
        <s v="Mercury (and its compounds)"/>
        <s v="Aluminum (fume or dust only)"/>
        <s v="Ethylbenzene"/>
        <s v="Manganese (and its compounds)"/>
        <s v="Zinc (and its compounds)"/>
        <s v="Biphenyl"/>
        <s v="Copper (and its compounds)"/>
        <s v="Cobalt (and its compounds)"/>
        <s v="Formaldehyde"/>
        <s v="Benzo[k]fluoranthene"/>
        <s v="Chromium (and its compounds)"/>
        <s v="n,n-Dimethylformamide"/>
        <s v="Arsenic (and its compounds)"/>
        <s v="Silver (and its compounds)"/>
        <s v="i-Butyl alcohol"/>
        <s v="Xylene (all isomers)"/>
        <s v="Nitric acid"/>
        <s v="Cyanides (ionic)"/>
        <s v="Tetrachloroethylene"/>
        <s v="Cadmium (and its compounds)"/>
        <s v="Ethylene glycol"/>
        <s v="Sulphuric acid"/>
        <s v="Benzene"/>
        <s v="Benz[a]anthracene"/>
        <s v="Dibutyl phthalate"/>
        <s v="Xylene (mixed isomers)"/>
        <s v="Benzo[b]fluoranthene"/>
        <s v="Nitrate ion in solution at pH &gt;= 6.0"/>
        <s v="Bis(2-ethylhexyl) phthalate"/>
        <s v="CFC-11"/>
        <s v="Acenaphthene"/>
        <s v="1,2,4-Trimethylbenzene"/>
        <s v="Dichloromethane"/>
        <s v="Benzo[e]pyrene"/>
        <s v="Hexavalent chromium (and its compounds)"/>
        <s v="Benzo[ghi]perylene"/>
        <s v="Trichloroethylene"/>
        <s v="Diethanolamine (and its salts)"/>
        <s v="n-Hexane"/>
        <s v="Selenium (and its compounds)"/>
        <s v="Ammonia (total)"/>
        <s v="n-Butyl alcohol"/>
        <s v="Vanadium (except when in an alloy) and its compounds"/>
        <s v="2-Mercaptobenzothiazole"/>
        <s v="Perylene"/>
        <s v="Phenanthrene"/>
        <s v="Sodium fluoride"/>
        <s v="Benzo[j]fluoranthene"/>
        <s v="Dioxins and furans - total"/>
        <s v="Phenol (and its salts)"/>
        <s v="2-Butoxyethanol"/>
        <s v="Antimony (and its compounds)"/>
        <s v="Cresol (mixed isomers, and their salts)"/>
        <s v="Chloroform"/>
        <s v="Methyl isobutyl ketone"/>
        <s v="Acenaphthylene"/>
        <s v="Quinoline"/>
        <s v="Chrysene"/>
        <s v="Naphthalene"/>
        <s v="Fluoranthene"/>
        <s v="Hexachlorobenzene"/>
        <s v="Asbestos (friable form only)"/>
        <s v="Cyclohexane"/>
        <s v="Thallium (and its compounds)"/>
        <s v="Pyrene"/>
        <s v="Vinyl acetate"/>
        <s v="Cresol (all isomers, and their salts)"/>
        <s v="Aluminum oxide (fibrous forms only)"/>
        <s v="o-Xylene"/>
        <s v="Anthracene"/>
        <s v="Polymeric diphenylmethane diisocyanate"/>
        <s v="Benzo[a]pyrene"/>
        <s v="Vanadium (and its compounds)"/>
        <s v="2-Ethoxyethanol"/>
        <s v="PM10 - Particulate Matter &lt;= 10 Micrometers"/>
        <s v="Carbonyl sulphide"/>
        <s v="Sulphur dioxide"/>
        <s v="PM2.5 - Particulate Matter &lt;= 2.5 Micrometers"/>
        <s v="Carbon monoxide"/>
        <s v="Volatile Organic Compounds (VOCs)"/>
        <s v="Total particulate matter"/>
        <s v="Ethylene oxide"/>
        <s v="Ethylene"/>
        <s v="Nitrogen oxides (expressed as nitrogen dioxide)"/>
        <s v="Hydrogen sulphide"/>
        <s v="Toluenediisocyanate (mixed isomers)"/>
        <s v="PAHs, total unspeciated"/>
        <s v="Volatile Organic Compounds (Total)"/>
        <s v="Total reduced sulphur (expressed as hydrogen sulphide)"/>
        <s v="Acetaldehyde"/>
        <s v="Methylenebis(phenylisocyanate)"/>
        <s v="Hydrogen fluoride"/>
        <s v="Indeno[1,2,3-cd]pyrene"/>
        <s v="Chlorine"/>
        <s v="Chlorine dioxide"/>
        <s v="Propylene"/>
        <s v="1,3-Butadiene"/>
        <s v="Bisphenol A"/>
        <s v="Styrene"/>
        <s v="Dibenzo[a,i]pyrene"/>
        <s v="Toluene-2,6-diisocyanate"/>
        <s v="Formic acid"/>
        <s v="Acetone"/>
        <s v="Dibenz[a,h]anthracene"/>
        <s v="Dibenz[a,j]acridine"/>
        <s v="Fluorene"/>
        <s v="Phosphorus (yellow or white only)"/>
        <s v="Phthalic anhydride"/>
        <s v="2,6-Di-t-butyl-4-methylphenol"/>
        <s v="Bis(2-ethylhexyl) adipate"/>
        <s v="Di-n-octyl phthalate"/>
        <s v="Calcium fluoride"/>
        <s v="Cumene"/>
        <s v="2-Methoxyethanol"/>
      </sharedItems>
    </cacheField>
    <cacheField name="Substance Name (French) / Nom de substance (Français)" numFmtId="0">
      <sharedItems count="123">
        <s v="Méthyléthylcétone"/>
        <s v="Plomb (et ses composés)"/>
        <s v="N-Méthyl-2-pyrrolidone"/>
        <s v="Méthanol"/>
        <s v="Nickel (et ses composés)"/>
        <s v="Toluène"/>
        <s v="Alcool isopropylique"/>
        <s v="Acide chlorhydrique"/>
        <s v="Phosphore (total)"/>
        <s v="Mercure (et ses composés)"/>
        <s v="Aluminium (fumée ou poussière seulement)"/>
        <s v="Éthylbenzène"/>
        <s v="Manganèse (et ses composés)"/>
        <s v="Zinc (et ses composés)"/>
        <s v="Biphényle"/>
        <s v="Cuivre (et ses composés)"/>
        <s v="Cobalt (et ses composés)"/>
        <s v="Formaldéhyde"/>
        <s v="Benzo[k]fluoranthène"/>
        <s v="Chrome (et ses composés)"/>
        <s v="n,n-Diméthylformamide"/>
        <s v="Arsenic (et ses composés)"/>
        <s v="Argent (et ses composés)"/>
        <s v="2-Méthylpropan-1-ol"/>
        <s v="Xylène (tous les isomères)"/>
        <s v="Acide nitrique"/>
        <s v="Cyanures (ioniques)"/>
        <s v="Tétrachloroéthylène"/>
        <s v="Cadmium (et ses composés)"/>
        <s v="Éthylène glycol"/>
        <s v="Acide sulfurique"/>
        <s v="Benzène"/>
        <s v="Benz[a]anthracène"/>
        <s v="Phtalate de dibutyle"/>
        <s v="Xylène (mélanges d'isomères)"/>
        <s v="Benzo[b]fluoranthène"/>
        <s v="Nitrate (ion en sol. à un pH de &gt;= 6.0)"/>
        <s v="Phtalate de bis(2-éthylhexyle)"/>
        <s v="CFC-11"/>
        <s v="Acénaphtène"/>
        <s v="1,2,4-Triméthylbenzène"/>
        <s v="Dichlorométhane"/>
        <s v="Benzo[e]pyrène"/>
        <s v="Chrome hexavalent (et ses composés)"/>
        <s v="Benzo[ghi]pérylène"/>
        <s v="Trichloroéthylène"/>
        <s v="Diéthanolamine (et ses sels)"/>
        <s v="n-Hexane"/>
        <s v="Sélénium (et ses composés)"/>
        <s v="Ammoniac (total)"/>
        <s v="Butan-1-ol"/>
        <s v="Vanadium (sauf lorsqu'il est dans un alliage) et ses composés"/>
        <s v="2-Mercaptobenzothiazole"/>
        <s v="Pérylène"/>
        <s v="Phénanthrène"/>
        <s v="Fluorure de sodium"/>
        <s v="Benzo[j]fluoranthène"/>
        <s v="Dioxines et furannes - totales"/>
        <s v="Phénol (et ses sels)"/>
        <s v="2-Butoxyéthanol"/>
        <s v="Antimoine (et ses composés)"/>
        <s v="Crésol (mélange d'isomères et leurs sels)"/>
        <s v="Chloroforme"/>
        <s v="Méthylisobutylcétone"/>
        <s v="Acénaphtylène"/>
        <s v="Quinoléine"/>
        <s v="Chrysène"/>
        <s v="Naphtalène"/>
        <s v="Fluoranthène"/>
        <s v="Hexachlorobenzène"/>
        <s v="Amiante (forme friable seulement)"/>
        <s v="Cyclohexane"/>
        <s v="Thallium (et ses composés)"/>
        <s v="Pyrène"/>
        <s v="Acétate de vinyle"/>
        <s v="Crésol (tous les isomères et leurs sels)"/>
        <s v="Oxyde daluminium (formes fibreuses seulement)"/>
        <s v="o-Xylène"/>
        <s v="Anthracène"/>
        <s v="Diisocyanate de diphénylméthane (polymérisé)"/>
        <s v="Benzo[a]pyrène"/>
        <s v="Vanadium (et ses composés)"/>
        <s v="2-Éthoxyéthanol"/>
        <s v="PM10 - Matière particulaire &lt;= 10 micromètres"/>
        <s v="Sulfure de carbonyle"/>
        <s v="Dioxyde de soufre"/>
        <s v="PM2,5 - Matière particulaire &lt;= 2,5 micromètres"/>
        <s v="Monoxyde de carbone"/>
        <s v="Composés organiques volatils (COV)"/>
        <s v="Matière particulaire totale"/>
        <s v="Oxyde d'éthylène"/>
        <s v="Éthylène"/>
        <s v="Oxydes d'azote (exprimés en dioxyde d'azote)"/>
        <s v="Sulfure d'hydrogène"/>
        <s v="Toluènediisocyanate (mélange d'isomères)"/>
        <s v="HAP, non différenciés"/>
        <s v="Composés organiques volatils (total)"/>
        <s v="Soufre réduit total (exprimé sous forme de sulfure dhydrogène)"/>
        <s v="Acétaldéhyde"/>
        <s v="Méthylènebis(phénylisocyanate)"/>
        <s v="Fluorure d'hydrogène"/>
        <s v="Indeno[1,2,3-cd] pyrène"/>
        <s v="Chlore"/>
        <s v="Dioxyde de chlore"/>
        <s v="Propylène"/>
        <s v="Buta-1,3-diène"/>
        <s v="Bisphénol A"/>
        <s v="Styrène"/>
        <s v="Dibenzo[a,i]pyrène"/>
        <s v="Toluène-2,6-diisocyanate"/>
        <s v="Acide formique"/>
        <s v="Acétone"/>
        <s v="Dibenz[a,h]anthracène"/>
        <s v="Dibenz[a,j]acridine"/>
        <s v="Fluorène"/>
        <s v="Phosphore (jaune ou blanc seulement)"/>
        <s v="Anhydride phtalique"/>
        <s v="2,6-Di-t-butyl-4-méthylphénol"/>
        <s v="Adipate de bis(2-éthylhexyle)"/>
        <s v="Phtalate de di-n-octyle"/>
        <s v="Fluorure de calcium"/>
        <s v="Cumène"/>
        <s v="2-Méthoxyéthanol"/>
      </sharedItems>
    </cacheField>
    <cacheField name="Group (English) / Groupe (Anglais)" numFmtId="0">
      <sharedItems count="8">
        <s v="Off-site Transfers for Recycling"/>
        <s v="Off-site Transfers for Treatment Prior to Final Disposal"/>
        <s v="Sum of release to all media (&lt;1tonne)"/>
        <s v="Releases to Air"/>
        <s v="Releases to Water Bodies"/>
        <s v="Releases to Land"/>
        <s v="Off-site Disposal"/>
        <s v="On-site Disposal"/>
      </sharedItems>
    </cacheField>
    <cacheField name="Group (French) / Groupe (Français)" numFmtId="0">
      <sharedItems/>
    </cacheField>
    <cacheField name="Category (English) / Catégorie (Anglais)" numFmtId="0">
      <sharedItems/>
    </cacheField>
    <cacheField name="Category (French) / Catégorie (Français)" numFmtId="0">
      <sharedItems/>
    </cacheField>
    <cacheField name="Quantity / Quantité" numFmtId="0">
      <sharedItems containsSemiMixedTypes="0" containsString="0" containsNumber="1" minValue="0" maxValue="700490.60030000005"/>
    </cacheField>
    <cacheField name="Units / Unités" numFmtId="0">
      <sharedItems count="4">
        <s v="tonnes"/>
        <s v="kg"/>
        <s v="g TEQ"/>
        <s v="grams"/>
      </sharedItems>
    </cacheField>
    <cacheField name="Estimation_Method / Méthode_destimation" numFmtId="0">
      <sharedItems containsBlank="1"/>
    </cacheField>
    <cacheField name="From_Table" numFmtId="0">
      <sharedItems count="3">
        <s v="transfers"/>
        <s v="releases"/>
        <s v="disposals"/>
      </sharedItems>
    </cacheField>
  </cacheFields>
  <extLst>
    <ext xmlns:x14="http://schemas.microsoft.com/office/spreadsheetml/2009/9/main" uri="{725AE2AE-9491-48be-B2B4-4EB974FC3084}">
      <x14:pivotCacheDefinition pivotCacheId="1708295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2521"/>
    <x v="0"/>
    <x v="0"/>
    <n v="326193"/>
    <s v="Motor Vehicle Plastic Parts Manufacturing"/>
    <s v="Fabrication de pièces en plastique pour véhicules automobiles"/>
    <x v="0"/>
    <s v="78-93-3"/>
    <x v="0"/>
    <x v="0"/>
    <x v="0"/>
    <s v="Transferts hors site pour recyclage"/>
    <s v="Recovery of Solvents"/>
    <s v="Récupération de solvants"/>
    <n v="127.22"/>
    <x v="0"/>
    <s v="O - Engineering Estimates"/>
    <x v="0"/>
  </r>
  <r>
    <x v="1"/>
    <n v="4748"/>
    <x v="1"/>
    <x v="1"/>
    <n v="331523"/>
    <s v="Non-ferrous die-casting foundries"/>
    <s v="Fonderies de métaux non ferreux, moulage sous pression"/>
    <x v="0"/>
    <s v="NA - 08"/>
    <x v="1"/>
    <x v="1"/>
    <x v="0"/>
    <s v="Transferts hors site pour recyclage"/>
    <s v="Recovery of Metals and Metal Compounds"/>
    <s v="Récupération de métaux et leurs composés"/>
    <n v="2528.6999999999998"/>
    <x v="1"/>
    <s v="O - Engineering Estimates"/>
    <x v="0"/>
  </r>
  <r>
    <x v="2"/>
    <n v="397"/>
    <x v="2"/>
    <x v="2"/>
    <n v="336110"/>
    <s v="Automobile and light-duty motor vehicle manufacturing"/>
    <s v="Fabrication de voitures et de véhicules automobiles légers"/>
    <x v="0"/>
    <s v="872-50-4"/>
    <x v="2"/>
    <x v="2"/>
    <x v="0"/>
    <s v="Transferts hors site pour recyclage"/>
    <s v="Energy Recovery"/>
    <s v="Récupération d'énergie"/>
    <n v="6.3019999999999996"/>
    <x v="0"/>
    <s v="C - Mass Balance"/>
    <x v="0"/>
  </r>
  <r>
    <x v="3"/>
    <n v="5392"/>
    <x v="3"/>
    <x v="0"/>
    <n v="562210"/>
    <s v="Waste Treatment and Disposal"/>
    <s v="Traitement et élimination des déchets"/>
    <x v="1"/>
    <s v="67-56-1"/>
    <x v="3"/>
    <x v="3"/>
    <x v="0"/>
    <s v="Transferts hors site pour recyclage"/>
    <s v="Energy Recovery"/>
    <s v="Récupération d'énergie"/>
    <n v="14.43"/>
    <x v="0"/>
    <s v="O - Engineering Estimates"/>
    <x v="0"/>
  </r>
  <r>
    <x v="4"/>
    <n v="5672"/>
    <x v="4"/>
    <x v="3"/>
    <n v="336390"/>
    <s v="Other Motor Vehicle Parts Manufacturing"/>
    <s v="Fabrication d'autres pièces pour véhicules automobiles"/>
    <x v="0"/>
    <s v="NA - 11"/>
    <x v="4"/>
    <x v="4"/>
    <x v="0"/>
    <s v="Transferts hors site pour recyclage"/>
    <s v="Recovery of Metals and Metal Compounds"/>
    <s v="Récupération de métaux et leurs composés"/>
    <n v="143"/>
    <x v="0"/>
    <s v="O - Engineering Estimates"/>
    <x v="0"/>
  </r>
  <r>
    <x v="5"/>
    <n v="21585"/>
    <x v="5"/>
    <x v="4"/>
    <n v="562110"/>
    <s v="Waste Collection"/>
    <s v="Collecte des déchets"/>
    <x v="2"/>
    <s v="108-88-3"/>
    <x v="5"/>
    <x v="5"/>
    <x v="0"/>
    <s v="Transferts hors site pour recyclage"/>
    <s v="Refining or Re-use of Used Oil"/>
    <s v="Raffinage ou réutilisation d'huiles usées"/>
    <n v="25.236000000000001"/>
    <x v="0"/>
    <s v="C - Mass Balance"/>
    <x v="0"/>
  </r>
  <r>
    <x v="6"/>
    <n v="1263"/>
    <x v="6"/>
    <x v="5"/>
    <n v="326111"/>
    <s v="Plastics Bag Manufacturing"/>
    <s v="Fabrication de sacs en plastique"/>
    <x v="3"/>
    <s v="67-63-0"/>
    <x v="6"/>
    <x v="6"/>
    <x v="0"/>
    <s v="Transferts hors site pour recyclage"/>
    <s v="Recovery of Solvents"/>
    <s v="Récupération de solvants"/>
    <n v="0.59"/>
    <x v="0"/>
    <s v="C - Mass Balance"/>
    <x v="0"/>
  </r>
  <r>
    <x v="7"/>
    <n v="19114"/>
    <x v="7"/>
    <x v="6"/>
    <n v="562210"/>
    <s v="Waste Treatment and Disposal"/>
    <s v="Traitement et élimination des déchets"/>
    <x v="4"/>
    <s v="7647-01-0"/>
    <x v="7"/>
    <x v="7"/>
    <x v="1"/>
    <s v="Transferts hors site pour traitement avant élimination final"/>
    <s v="Chemical Treatment"/>
    <s v="Traitement chimique"/>
    <n v="1.369"/>
    <x v="0"/>
    <s v="C - Mass Balance"/>
    <x v="0"/>
  </r>
  <r>
    <x v="6"/>
    <n v="2776"/>
    <x v="8"/>
    <x v="7"/>
    <n v="324110"/>
    <s v="Petroleum Refineries"/>
    <s v="Raffineries de pétrole"/>
    <x v="2"/>
    <s v="NA - 22"/>
    <x v="8"/>
    <x v="8"/>
    <x v="1"/>
    <s v="Transferts hors site pour traitement avant élimination final"/>
    <s v="Municipal Sewage Treatment Plant"/>
    <s v="Usine municipale d'épuration des eaux usées"/>
    <n v="0.84799999999999998"/>
    <x v="0"/>
    <s v="O - Engineering Estimates"/>
    <x v="0"/>
  </r>
  <r>
    <x v="8"/>
    <n v="8661"/>
    <x v="9"/>
    <x v="8"/>
    <n v="562990"/>
    <s v="All Other Waste Management Services"/>
    <s v="Tous les autres services de gestion des déchets"/>
    <x v="3"/>
    <s v="NA - 10"/>
    <x v="9"/>
    <x v="9"/>
    <x v="0"/>
    <s v="Transferts hors site pour recyclage"/>
    <s v="Recovery of Metals and Metal Compounds"/>
    <s v="Récupération de métaux et leurs composés"/>
    <n v="0"/>
    <x v="1"/>
    <s v="O - Engineering Estimates"/>
    <x v="0"/>
  </r>
  <r>
    <x v="9"/>
    <n v="10082"/>
    <x v="10"/>
    <x v="9"/>
    <n v="325510"/>
    <s v="Paint and coating manufacturing"/>
    <s v="Fabrication de peintures et de revêtements"/>
    <x v="0"/>
    <s v="78-93-3"/>
    <x v="0"/>
    <x v="0"/>
    <x v="0"/>
    <s v="Transferts hors site pour recyclage"/>
    <s v="Recovery of Solvents"/>
    <s v="Récupération de solvants"/>
    <n v="2.2963"/>
    <x v="0"/>
    <s v="C - Mass Balance"/>
    <x v="0"/>
  </r>
  <r>
    <x v="2"/>
    <n v="4797"/>
    <x v="11"/>
    <x v="10"/>
    <n v="332113"/>
    <s v="Forging"/>
    <s v="Forgeage"/>
    <x v="3"/>
    <s v="7429-90-5"/>
    <x v="10"/>
    <x v="10"/>
    <x v="1"/>
    <s v="Transferts hors site pour traitement avant élimination final"/>
    <s v="Physical Treatment"/>
    <s v="Traitement physique"/>
    <n v="3.31"/>
    <x v="0"/>
    <s v="O - Engineering Estimates"/>
    <x v="0"/>
  </r>
  <r>
    <x v="8"/>
    <n v="4627"/>
    <x v="5"/>
    <x v="11"/>
    <n v="562210"/>
    <s v="Waste Treatment and Disposal"/>
    <s v="Traitement et élimination des déchets"/>
    <x v="0"/>
    <s v="108-88-3"/>
    <x v="5"/>
    <x v="5"/>
    <x v="1"/>
    <s v="Transferts hors site pour traitement avant élimination final"/>
    <s v="Chemical Treatment"/>
    <s v="Traitement chimique"/>
    <n v="1.95"/>
    <x v="0"/>
    <s v="M3 - Source Testing"/>
    <x v="0"/>
  </r>
  <r>
    <x v="2"/>
    <n v="10238"/>
    <x v="12"/>
    <x v="12"/>
    <n v="412110"/>
    <s v="Petroleum and petroleum products merchant wholesalers"/>
    <s v="Grossistes-marchands de pétrole et de produits pétroliers"/>
    <x v="2"/>
    <s v="100-41-4"/>
    <x v="11"/>
    <x v="11"/>
    <x v="1"/>
    <s v="Transferts hors site pour traitement avant élimination final"/>
    <s v="Physical Treatment"/>
    <s v="Traitement physique"/>
    <n v="4.1000000000000003E-3"/>
    <x v="0"/>
    <s v="O - Engineering Estimates"/>
    <x v="0"/>
  </r>
  <r>
    <x v="10"/>
    <n v="2282"/>
    <x v="13"/>
    <x v="13"/>
    <n v="221112"/>
    <s v="Fossil-Fuel Electric Power Generation"/>
    <s v="Production d'électricité à partir de combustibles fossiles"/>
    <x v="4"/>
    <s v="NA - 09"/>
    <x v="12"/>
    <x v="12"/>
    <x v="0"/>
    <s v="Transferts hors site pour recyclage"/>
    <s v="Recovery of Pollution Abatement Residues"/>
    <s v="Récupération de résidus de dépollution"/>
    <n v="45.404000000000003"/>
    <x v="0"/>
    <s v="O - Engineering Estimates"/>
    <x v="0"/>
  </r>
  <r>
    <x v="8"/>
    <n v="814"/>
    <x v="14"/>
    <x v="14"/>
    <n v="325510"/>
    <s v="Paint and coating manufacturing"/>
    <s v="Fabrication de peintures et de revêtements"/>
    <x v="0"/>
    <s v="78-93-3"/>
    <x v="0"/>
    <x v="0"/>
    <x v="1"/>
    <s v="Transferts hors site pour traitement avant élimination final"/>
    <s v="Physical Treatment"/>
    <s v="Traitement physique"/>
    <n v="2"/>
    <x v="0"/>
    <s v="C - Mass Balance"/>
    <x v="0"/>
  </r>
  <r>
    <x v="11"/>
    <n v="22740"/>
    <x v="15"/>
    <x v="15"/>
    <n v="221320"/>
    <s v="Sewage treatment facilities"/>
    <s v="Installations d'épuration des eaux usées"/>
    <x v="4"/>
    <s v="NA - 08"/>
    <x v="1"/>
    <x v="1"/>
    <x v="1"/>
    <s v="Transferts hors site pour traitement avant élimination final"/>
    <s v="Physical Treatment"/>
    <s v="Traitement physique"/>
    <n v="125.84399999999999"/>
    <x v="1"/>
    <s v="M3 - Source Testing"/>
    <x v="0"/>
  </r>
  <r>
    <x v="12"/>
    <n v="4881"/>
    <x v="16"/>
    <x v="16"/>
    <n v="321217"/>
    <s v="Waferboard mills"/>
    <s v="Usines de panneaux de copeaux"/>
    <x v="1"/>
    <s v="NA - 14"/>
    <x v="13"/>
    <x v="13"/>
    <x v="0"/>
    <s v="Transferts hors site pour recyclage"/>
    <s v="Other"/>
    <s v="Autres"/>
    <n v="2.5739999999999998"/>
    <x v="0"/>
    <s v="E1 - Site Specific Emission Factors"/>
    <x v="0"/>
  </r>
  <r>
    <x v="6"/>
    <n v="5812"/>
    <x v="17"/>
    <x v="17"/>
    <n v="331511"/>
    <s v="Iron Foundries"/>
    <s v="Fonderies de fer"/>
    <x v="0"/>
    <s v="NA - 09"/>
    <x v="12"/>
    <x v="12"/>
    <x v="0"/>
    <s v="Transferts hors site pour recyclage"/>
    <s v="Recovery of Metals and Metal Compounds"/>
    <s v="Récupération de métaux et leurs composés"/>
    <n v="0.59599999999999997"/>
    <x v="0"/>
    <s v="C - Mass Balance"/>
    <x v="0"/>
  </r>
  <r>
    <x v="13"/>
    <n v="4407"/>
    <x v="18"/>
    <x v="18"/>
    <n v="326130"/>
    <s v="Laminated Plastics Plate, Sheet (except Packaging), and Shape Manufacturing"/>
    <s v="Fabrication de plaques, de feuilles (sauf d'emballage) et de formes stratifiées en plastique"/>
    <x v="3"/>
    <s v="67-56-1"/>
    <x v="3"/>
    <x v="3"/>
    <x v="1"/>
    <s v="Transferts hors site pour traitement avant élimination final"/>
    <s v="Incineration / Thermal"/>
    <s v="Incinération / thermique"/>
    <n v="0.14399999999999999"/>
    <x v="0"/>
    <s v="O - Engineering Estimates"/>
    <x v="0"/>
  </r>
  <r>
    <x v="14"/>
    <n v="3422"/>
    <x v="19"/>
    <x v="19"/>
    <n v="325220"/>
    <s v="Artificial and synthetic fibres and filaments manufacturing"/>
    <s v="Fabrication de fibres et de filaments artificiels et synthétiques"/>
    <x v="0"/>
    <s v="92-52-4"/>
    <x v="14"/>
    <x v="14"/>
    <x v="1"/>
    <s v="Transferts hors site pour traitement avant élimination final"/>
    <s v="Incineration / Thermal"/>
    <s v="Incinération / thermique"/>
    <n v="0.75885000000000002"/>
    <x v="0"/>
    <s v="O - Engineering Estimates"/>
    <x v="0"/>
  </r>
  <r>
    <x v="2"/>
    <n v="26445"/>
    <x v="20"/>
    <x v="20"/>
    <n v="562210"/>
    <s v="Waste Treatment and Disposal"/>
    <s v="Traitement et élimination des déchets"/>
    <x v="2"/>
    <s v="NA - 06"/>
    <x v="15"/>
    <x v="15"/>
    <x v="0"/>
    <s v="Transferts hors site pour recyclage"/>
    <s v="Refining or Re-use of Used Oil"/>
    <s v="Raffinage ou réutilisation d'huiles usées"/>
    <n v="11.141"/>
    <x v="0"/>
    <s v="C - Mass Balance"/>
    <x v="0"/>
  </r>
  <r>
    <x v="15"/>
    <n v="29458"/>
    <x v="21"/>
    <x v="21"/>
    <n v="336390"/>
    <s v="Other Motor Vehicle Parts Manufacturing"/>
    <s v="Fabrication d'autres pièces pour véhicules automobiles"/>
    <x v="0"/>
    <s v="NA - 09"/>
    <x v="12"/>
    <x v="12"/>
    <x v="0"/>
    <s v="Transferts hors site pour recyclage"/>
    <s v="Recovery of Metals and Metal Compounds"/>
    <s v="Récupération de métaux et leurs composés"/>
    <n v="4.4699999999999997E-2"/>
    <x v="0"/>
    <s v="C - Mass Balance"/>
    <x v="0"/>
  </r>
  <r>
    <x v="2"/>
    <n v="5135"/>
    <x v="22"/>
    <x v="22"/>
    <n v="562210"/>
    <s v="Waste Treatment and Disposal"/>
    <s v="Traitement et élimination des déchets"/>
    <x v="2"/>
    <s v="NA - 05"/>
    <x v="16"/>
    <x v="16"/>
    <x v="0"/>
    <s v="Transferts hors site pour recyclage"/>
    <s v="Recovery of Metals and Metal Compounds"/>
    <s v="Récupération de métaux et leurs composés"/>
    <n v="37666.384899999997"/>
    <x v="1"/>
    <s v="O - Engineering Estimates"/>
    <x v="0"/>
  </r>
  <r>
    <x v="16"/>
    <n v="3198"/>
    <x v="23"/>
    <x v="23"/>
    <n v="322220"/>
    <s v="Paper Bag and Coated and Treated Paper Manufacturing"/>
    <s v="Fabrication de sacs en papier et de papier couché et traité"/>
    <x v="0"/>
    <s v="50-00-0"/>
    <x v="17"/>
    <x v="17"/>
    <x v="1"/>
    <s v="Transferts hors site pour traitement avant élimination final"/>
    <s v="Chemical Treatment"/>
    <s v="Traitement chimique"/>
    <n v="4.806"/>
    <x v="0"/>
    <s v="O - Engineering Estimates"/>
    <x v="0"/>
  </r>
  <r>
    <x v="1"/>
    <n v="3707"/>
    <x v="12"/>
    <x v="24"/>
    <n v="324110"/>
    <s v="Petroleum Refineries"/>
    <s v="Raffineries de pétrole"/>
    <x v="4"/>
    <s v="207-08-9"/>
    <x v="18"/>
    <x v="18"/>
    <x v="0"/>
    <s v="Transferts hors site pour recyclage"/>
    <s v="Recovery of Catalysts"/>
    <s v="Récupération de catalyseurs"/>
    <n v="3.0000000000000001E-3"/>
    <x v="1"/>
    <s v="O - Engineering Estimates"/>
    <x v="0"/>
  </r>
  <r>
    <x v="0"/>
    <n v="1033"/>
    <x v="24"/>
    <x v="25"/>
    <n v="221112"/>
    <s v="Fossil-Fuel Electric Power Generation"/>
    <s v="Production d'électricité à partir de combustibles fossiles"/>
    <x v="4"/>
    <s v="NA - 11"/>
    <x v="4"/>
    <x v="4"/>
    <x v="0"/>
    <s v="Transferts hors site pour recyclage"/>
    <s v="Other"/>
    <s v="Autres"/>
    <n v="2.8660000000000001"/>
    <x v="0"/>
    <s v="E - Emission Factor"/>
    <x v="0"/>
  </r>
  <r>
    <x v="17"/>
    <n v="5647"/>
    <x v="25"/>
    <x v="26"/>
    <n v="562210"/>
    <s v="Waste Treatment and Disposal"/>
    <s v="Traitement et élimination des déchets"/>
    <x v="0"/>
    <s v="NA - 14"/>
    <x v="13"/>
    <x v="13"/>
    <x v="1"/>
    <s v="Transferts hors site pour traitement avant élimination final"/>
    <s v="Physical Treatment"/>
    <s v="Traitement physique"/>
    <n v="0.34"/>
    <x v="0"/>
    <s v="C - Mass Balance"/>
    <x v="0"/>
  </r>
  <r>
    <x v="0"/>
    <n v="3048"/>
    <x v="26"/>
    <x v="27"/>
    <n v="221112"/>
    <s v="Fossil-Fuel Electric Power Generation"/>
    <s v="Production d'électricité à partir de combustibles fossiles"/>
    <x v="0"/>
    <s v="NA - 04"/>
    <x v="19"/>
    <x v="19"/>
    <x v="0"/>
    <s v="Transferts hors site pour recyclage"/>
    <s v="Other"/>
    <s v="Autres"/>
    <n v="5.76"/>
    <x v="0"/>
    <s v="E - Emission Factor"/>
    <x v="0"/>
  </r>
  <r>
    <x v="15"/>
    <n v="1340"/>
    <x v="27"/>
    <x v="28"/>
    <n v="221320"/>
    <s v="Sewage treatment facilities"/>
    <s v="Installations d'épuration des eaux usées"/>
    <x v="2"/>
    <s v="NA - 22"/>
    <x v="8"/>
    <x v="8"/>
    <x v="1"/>
    <s v="Transferts hors site pour traitement avant élimination final"/>
    <s v="Incineration / Thermal"/>
    <s v="Incinération / thermique"/>
    <n v="1.0945"/>
    <x v="0"/>
    <s v="M3 - Source Testing"/>
    <x v="0"/>
  </r>
  <r>
    <x v="18"/>
    <n v="31"/>
    <x v="28"/>
    <x v="29"/>
    <n v="325510"/>
    <s v="Paint and coating manufacturing"/>
    <s v="Fabrication de peintures et de revêtements"/>
    <x v="0"/>
    <s v="67-63-0"/>
    <x v="6"/>
    <x v="6"/>
    <x v="1"/>
    <s v="Transferts hors site pour traitement avant élimination final"/>
    <s v="Incineration / Thermal"/>
    <s v="Incinération / thermique"/>
    <n v="0.57999999999999996"/>
    <x v="0"/>
    <s v="O - Engineering Estimates"/>
    <x v="0"/>
  </r>
  <r>
    <x v="6"/>
    <n v="5965"/>
    <x v="29"/>
    <x v="30"/>
    <n v="325410"/>
    <s v="Pharmaceutical and Medicine Manufacturing"/>
    <s v="Fabrication de produits pharmaceutiques et de médicaments"/>
    <x v="0"/>
    <s v="68-12-2"/>
    <x v="20"/>
    <x v="20"/>
    <x v="1"/>
    <s v="Transferts hors site pour traitement avant élimination final"/>
    <s v="Incineration / Thermal"/>
    <s v="Incinération / thermique"/>
    <n v="10.8"/>
    <x v="0"/>
    <s v="C - Mass Balance"/>
    <x v="0"/>
  </r>
  <r>
    <x v="7"/>
    <n v="30961"/>
    <x v="30"/>
    <x v="31"/>
    <n v="335312"/>
    <s v="Motor and generator manufacturing"/>
    <s v="Fabrication de moteurs et de générateurs"/>
    <x v="3"/>
    <s v="NA - 06"/>
    <x v="15"/>
    <x v="15"/>
    <x v="0"/>
    <s v="Transferts hors site pour recyclage"/>
    <s v="Recovery of Metals and Metal Compounds"/>
    <s v="Récupération de métaux et leurs composés"/>
    <n v="10.6"/>
    <x v="0"/>
    <s v="C - Mass Balance"/>
    <x v="0"/>
  </r>
  <r>
    <x v="14"/>
    <n v="3928"/>
    <x v="31"/>
    <x v="32"/>
    <n v="324110"/>
    <s v="Petroleum Refineries"/>
    <s v="Raffineries de pétrole"/>
    <x v="3"/>
    <s v="NA - 05"/>
    <x v="16"/>
    <x v="16"/>
    <x v="0"/>
    <s v="Transferts hors site pour recyclage"/>
    <s v="Recovery of Catalysts"/>
    <s v="Récupération de catalyseurs"/>
    <n v="145.15600000000001"/>
    <x v="1"/>
    <s v="M3 - Source Testing"/>
    <x v="0"/>
  </r>
  <r>
    <x v="19"/>
    <n v="4598"/>
    <x v="32"/>
    <x v="33"/>
    <n v="336390"/>
    <s v="Other Motor Vehicle Parts Manufacturing"/>
    <s v="Fabrication d'autres pièces pour véhicules automobiles"/>
    <x v="0"/>
    <s v="NA - 11"/>
    <x v="4"/>
    <x v="4"/>
    <x v="0"/>
    <s v="Transferts hors site pour recyclage"/>
    <s v="Recovery of Metals and Metal Compounds"/>
    <s v="Récupération de métaux et leurs composés"/>
    <n v="25.7"/>
    <x v="0"/>
    <s v="M3 - Source Testing"/>
    <x v="0"/>
  </r>
  <r>
    <x v="17"/>
    <n v="29399"/>
    <x v="33"/>
    <x v="34"/>
    <n v="211110"/>
    <s v="Oil and gas extraction (except oil sands)"/>
    <s v="Extraction de pétrole et de gaz (à l'exception des sables bitumineux)"/>
    <x v="2"/>
    <s v="108-88-3"/>
    <x v="5"/>
    <x v="5"/>
    <x v="1"/>
    <s v="Transferts hors site pour traitement avant élimination final"/>
    <s v="Chemical Treatment"/>
    <s v="Traitement chimique"/>
    <n v="0.24628900000000001"/>
    <x v="0"/>
    <s v="O - Engineering Estimates"/>
    <x v="0"/>
  </r>
  <r>
    <x v="8"/>
    <n v="5712"/>
    <x v="34"/>
    <x v="35"/>
    <n v="332810"/>
    <s v="Coating, Engraving, Heat Treating and Allied Activities"/>
    <s v="Revêtement, gravure, traitement thermique et activités analogues"/>
    <x v="0"/>
    <s v="NA - 11"/>
    <x v="4"/>
    <x v="4"/>
    <x v="1"/>
    <s v="Transferts hors site pour traitement avant élimination final"/>
    <s v="Municipal Sewage Treatment Plant"/>
    <s v="Usine municipale d'épuration des eaux usées"/>
    <n v="2.7E-2"/>
    <x v="0"/>
    <s v="C - Mass Balance"/>
    <x v="0"/>
  </r>
  <r>
    <x v="17"/>
    <n v="1148"/>
    <x v="35"/>
    <x v="36"/>
    <n v="212291"/>
    <s v="Uranium ore mining"/>
    <s v="Extraction de minerais d'uranium"/>
    <x v="5"/>
    <s v="NA - 02"/>
    <x v="21"/>
    <x v="21"/>
    <x v="0"/>
    <s v="Transferts hors site pour recyclage"/>
    <s v="Refining or Re-use of Used Oil"/>
    <s v="Raffinage ou réutilisation d'huiles usées"/>
    <n v="556.24"/>
    <x v="1"/>
    <s v="C - Mass Balance"/>
    <x v="0"/>
  </r>
  <r>
    <x v="4"/>
    <n v="1788"/>
    <x v="36"/>
    <x v="37"/>
    <n v="326198"/>
    <s v="All Other Plastic Product Manufacturing"/>
    <s v="Fabrication de tous les autres produits en plastique"/>
    <x v="0"/>
    <s v="67-63-0"/>
    <x v="6"/>
    <x v="6"/>
    <x v="1"/>
    <s v="Transferts hors site pour traitement avant élimination final"/>
    <s v="Incineration / Thermal"/>
    <s v="Incinération / thermique"/>
    <n v="79.248000000000005"/>
    <x v="0"/>
    <s v="O - Engineering Estimates"/>
    <x v="0"/>
  </r>
  <r>
    <x v="18"/>
    <n v="188"/>
    <x v="37"/>
    <x v="38"/>
    <n v="331490"/>
    <s v="Non-ferrous metal (except copper and aluminum) rolling, drawing, extruding and alloying"/>
    <s v="Laminage, étirage, extrusion et alliage de métaux non ferreux (sauf le cuivre et l'aluminium)"/>
    <x v="3"/>
    <s v="NA - 13"/>
    <x v="22"/>
    <x v="22"/>
    <x v="0"/>
    <s v="Transferts hors site pour recyclage"/>
    <s v="Recovery of Metals and Metal Compounds"/>
    <s v="Récupération de métaux et leurs composés"/>
    <n v="2"/>
    <x v="0"/>
    <s v="M1 - Continuous Emission Monitoring"/>
    <x v="0"/>
  </r>
  <r>
    <x v="10"/>
    <n v="862"/>
    <x v="38"/>
    <x v="0"/>
    <n v="336410"/>
    <s v="Aerospace Product and Parts Manufacturing"/>
    <s v="Fabrication de produits aérospatiaux et de leurs pièces"/>
    <x v="0"/>
    <s v="NA - 04"/>
    <x v="19"/>
    <x v="19"/>
    <x v="1"/>
    <s v="Transferts hors site pour traitement avant élimination final"/>
    <s v="Municipal Sewage Treatment Plant"/>
    <s v="Usine municipale d'épuration des eaux usées"/>
    <n v="4.7E-2"/>
    <x v="0"/>
    <s v="O - Engineering Estimates"/>
    <x v="0"/>
  </r>
  <r>
    <x v="11"/>
    <n v="4173"/>
    <x v="39"/>
    <x v="39"/>
    <n v="336110"/>
    <s v="Automobile and light-duty motor vehicle manufacturing"/>
    <s v="Fabrication de voitures et de véhicules automobiles légers"/>
    <x v="0"/>
    <s v="78-83-1"/>
    <x v="23"/>
    <x v="23"/>
    <x v="1"/>
    <s v="Transferts hors site pour traitement avant élimination final"/>
    <s v="Municipal Sewage Treatment Plant"/>
    <s v="Usine municipale d'épuration des eaux usées"/>
    <n v="0"/>
    <x v="0"/>
    <s v="O - Engineering Estimates"/>
    <x v="0"/>
  </r>
  <r>
    <x v="20"/>
    <n v="5881"/>
    <x v="40"/>
    <x v="40"/>
    <n v="337213"/>
    <s v="Wood Office Furniture, including Custom Architectural Woodwork, Manufacturing"/>
    <s v="Fabrication de meubles de bureau en bois, y compris les boiseries architecturales faites sur commande"/>
    <x v="0"/>
    <s v="1330-20-7"/>
    <x v="24"/>
    <x v="24"/>
    <x v="1"/>
    <s v="Transferts hors site pour traitement avant élimination final"/>
    <s v="Incineration / Thermal"/>
    <s v="Incinération / thermique"/>
    <n v="1.0449999999999999"/>
    <x v="0"/>
    <s v="C - Mass Balance"/>
    <x v="0"/>
  </r>
  <r>
    <x v="7"/>
    <n v="3897"/>
    <x v="41"/>
    <x v="41"/>
    <n v="324110"/>
    <s v="Petroleum Refineries"/>
    <s v="Raffineries de pétrole"/>
    <x v="3"/>
    <s v="67-56-1"/>
    <x v="3"/>
    <x v="3"/>
    <x v="1"/>
    <s v="Transferts hors site pour traitement avant élimination final"/>
    <s v="Physical Treatment"/>
    <s v="Traitement physique"/>
    <n v="8.5000000000000006E-5"/>
    <x v="0"/>
    <s v="O - Engineering Estimates"/>
    <x v="0"/>
  </r>
  <r>
    <x v="2"/>
    <n v="11576"/>
    <x v="42"/>
    <x v="42"/>
    <n v="336110"/>
    <s v="Automobile and light-duty motor vehicle manufacturing"/>
    <s v="Fabrication de voitures et de véhicules automobiles légers"/>
    <x v="0"/>
    <s v="NA - 22"/>
    <x v="8"/>
    <x v="8"/>
    <x v="1"/>
    <s v="Transferts hors site pour traitement avant élimination final"/>
    <s v="Incineration / Thermal"/>
    <s v="Incinération / thermique"/>
    <n v="1E-3"/>
    <x v="0"/>
    <s v="O - Engineering Estimates"/>
    <x v="0"/>
  </r>
  <r>
    <x v="14"/>
    <n v="4383"/>
    <x v="43"/>
    <x v="43"/>
    <n v="336410"/>
    <s v="Aerospace Product and Parts Manufacturing"/>
    <s v="Fabrication de produits aérospatiaux et de leurs pièces"/>
    <x v="3"/>
    <s v="7697-37-2"/>
    <x v="25"/>
    <x v="25"/>
    <x v="1"/>
    <s v="Transferts hors site pour traitement avant élimination final"/>
    <s v="Chemical Treatment"/>
    <s v="Traitement chimique"/>
    <n v="5.0640000000000001"/>
    <x v="0"/>
    <s v="C - Mass Balance"/>
    <x v="0"/>
  </r>
  <r>
    <x v="18"/>
    <n v="4642"/>
    <x v="44"/>
    <x v="44"/>
    <n v="331222"/>
    <s v="Steel wire drawing"/>
    <s v="Étirage de fils d'acier"/>
    <x v="0"/>
    <s v="NA - 04"/>
    <x v="19"/>
    <x v="19"/>
    <x v="0"/>
    <s v="Transferts hors site pour recyclage"/>
    <s v="Recovery of Inorganic Materials (not metals)"/>
    <s v="Récupération de matières inorganiques (pas les métaux)"/>
    <n v="17.62"/>
    <x v="0"/>
    <s v="O - Engineering Estimates"/>
    <x v="0"/>
  </r>
  <r>
    <x v="21"/>
    <n v="1344"/>
    <x v="45"/>
    <x v="45"/>
    <n v="331514"/>
    <s v="Steel foundries"/>
    <s v="Fonderies d'acier"/>
    <x v="1"/>
    <s v="NA - 08"/>
    <x v="1"/>
    <x v="1"/>
    <x v="0"/>
    <s v="Transferts hors site pour recyclage"/>
    <s v="Recovery of Metals and Metal Compounds"/>
    <s v="Récupération de métaux et leurs composés"/>
    <n v="37329"/>
    <x v="1"/>
    <s v="O - Engineering Estimates"/>
    <x v="0"/>
  </r>
  <r>
    <x v="14"/>
    <n v="5310"/>
    <x v="46"/>
    <x v="46"/>
    <n v="321999"/>
    <s v="All other miscellaneous wood product manufacturing"/>
    <s v="Fabrication de tous les autres produits divers en bois"/>
    <x v="1"/>
    <s v="78-83-1"/>
    <x v="23"/>
    <x v="23"/>
    <x v="0"/>
    <s v="Transferts hors site pour recyclage"/>
    <s v="Recovery of Solvents"/>
    <s v="Récupération de solvants"/>
    <n v="15.65"/>
    <x v="0"/>
    <s v="O - Engineering Estimates"/>
    <x v="0"/>
  </r>
  <r>
    <x v="7"/>
    <n v="1565"/>
    <x v="47"/>
    <x v="47"/>
    <n v="325610"/>
    <s v="Soap and cleaning compound manufacturing"/>
    <s v="Fabrication de savons et d'autres produits nettoyants"/>
    <x v="3"/>
    <s v="67-63-0"/>
    <x v="6"/>
    <x v="6"/>
    <x v="1"/>
    <s v="Transferts hors site pour traitement avant élimination final"/>
    <s v="Municipal Sewage Treatment Plant"/>
    <s v="Usine municipale d'épuration des eaux usées"/>
    <n v="0.44"/>
    <x v="0"/>
    <s v="O - Engineering Estimates"/>
    <x v="0"/>
  </r>
  <r>
    <x v="12"/>
    <n v="8526"/>
    <x v="48"/>
    <x v="48"/>
    <n v="332999"/>
    <s v="All other miscellaneous fabricated metal product manufacturing"/>
    <s v="Fabrication de tous les autres produits métalliques divers"/>
    <x v="3"/>
    <s v="NA - 04"/>
    <x v="19"/>
    <x v="19"/>
    <x v="1"/>
    <s v="Transferts hors site pour traitement avant élimination final"/>
    <s v="Physical Treatment"/>
    <s v="Traitement physique"/>
    <n v="20.440000000000001"/>
    <x v="0"/>
    <s v="O - Engineering Estimates"/>
    <x v="0"/>
  </r>
  <r>
    <x v="22"/>
    <n v="1953"/>
    <x v="49"/>
    <x v="49"/>
    <n v="325510"/>
    <s v="Paint and Coating Manufacturing"/>
    <s v="Fabrication de peintures et de revêtements"/>
    <x v="0"/>
    <s v="78-83-1"/>
    <x v="23"/>
    <x v="23"/>
    <x v="0"/>
    <s v="Transferts hors site pour recyclage"/>
    <s v="Energy Recovery"/>
    <s v="Récupération d'énergie"/>
    <n v="1E-3"/>
    <x v="0"/>
    <s v="O - Engineering Estimates"/>
    <x v="0"/>
  </r>
  <r>
    <x v="4"/>
    <n v="3361"/>
    <x v="50"/>
    <x v="50"/>
    <n v="332999"/>
    <s v="All Other Miscellaneous Fabricated Metal Product Manufacturing"/>
    <s v="Fabrication de tous les autres produits métalliques divers"/>
    <x v="0"/>
    <s v="NA - 07"/>
    <x v="26"/>
    <x v="26"/>
    <x v="0"/>
    <s v="Transferts hors site pour recyclage"/>
    <s v="Recovery of Metals and Metal Compounds"/>
    <s v="Récupération de métaux et leurs composés"/>
    <n v="0.35"/>
    <x v="0"/>
    <s v="O - Engineering Estimates"/>
    <x v="0"/>
  </r>
  <r>
    <x v="23"/>
    <n v="1096"/>
    <x v="51"/>
    <x v="51"/>
    <n v="418410"/>
    <s v="Chemical (except Agricultural) and Allied Product Wholesaler-Distributors"/>
    <s v="Grossistes-distributeurs de produits chimiques et de produits analogues, sauf les produits chimiques agricoles"/>
    <x v="0"/>
    <s v="127-18-4"/>
    <x v="27"/>
    <x v="27"/>
    <x v="0"/>
    <s v="Transferts hors site pour recyclage"/>
    <s v="Energy Recovery"/>
    <s v="Récupération d'énergie"/>
    <n v="0.61199999999999999"/>
    <x v="0"/>
    <s v="O - Engineering Estimates"/>
    <x v="0"/>
  </r>
  <r>
    <x v="14"/>
    <n v="6444"/>
    <x v="52"/>
    <x v="52"/>
    <n v="221119"/>
    <s v="Other electric power generation"/>
    <s v="Autres activités de production d'électricité"/>
    <x v="3"/>
    <s v="NA - 03"/>
    <x v="28"/>
    <x v="28"/>
    <x v="0"/>
    <s v="Transferts hors site pour recyclage"/>
    <s v="Recovery of Metals and Metal Compounds"/>
    <s v="Récupération de métaux et leurs composés"/>
    <n v="32.9"/>
    <x v="1"/>
    <s v="M3 - Source Testing"/>
    <x v="0"/>
  </r>
  <r>
    <x v="12"/>
    <n v="6792"/>
    <x v="53"/>
    <x v="53"/>
    <n v="562920"/>
    <s v="Material recovery facilities"/>
    <s v="Installations de récupération de matériaux"/>
    <x v="2"/>
    <s v="107-21-1"/>
    <x v="29"/>
    <x v="29"/>
    <x v="0"/>
    <s v="Transferts hors site pour recyclage"/>
    <s v="Recovery of Solvents"/>
    <s v="Récupération de solvants"/>
    <n v="63.963999999999999"/>
    <x v="0"/>
    <s v="C - Mass Balance"/>
    <x v="0"/>
  </r>
  <r>
    <x v="23"/>
    <n v="3713"/>
    <x v="54"/>
    <x v="0"/>
    <n v="331110"/>
    <s v="Iron and Steel Mills and Ferro-Alloy Manufacturing"/>
    <s v="Sidérurgie"/>
    <x v="0"/>
    <s v="7664-93-9"/>
    <x v="30"/>
    <x v="30"/>
    <x v="1"/>
    <s v="Transferts hors site pour traitement avant élimination final"/>
    <s v="Municipal Sewage Treatment Plant"/>
    <s v="Usine municipale d'épuration des eaux usées"/>
    <n v="0.01"/>
    <x v="0"/>
    <s v="O - Engineering Estimates"/>
    <x v="0"/>
  </r>
  <r>
    <x v="18"/>
    <n v="6400"/>
    <x v="55"/>
    <x v="54"/>
    <n v="311515"/>
    <s v="Butter, cheese, and dry and condensed dairy product manufacturing"/>
    <s v="Fabrication de beurre, de fromage et de produits laitiers secs et concentrés"/>
    <x v="3"/>
    <s v="7697-37-2"/>
    <x v="25"/>
    <x v="25"/>
    <x v="1"/>
    <s v="Transferts hors site pour traitement avant élimination final"/>
    <s v="Municipal Sewage Treatment Plant"/>
    <s v="Usine municipale d'épuration des eaux usées"/>
    <n v="0"/>
    <x v="0"/>
    <s v="O - Engineering Estimates"/>
    <x v="0"/>
  </r>
  <r>
    <x v="10"/>
    <n v="10219"/>
    <x v="56"/>
    <x v="55"/>
    <n v="412110"/>
    <s v="Petroleum Product Wholesaler-Distributors"/>
    <s v="Grossistes-distributeurs de produits pétroliers"/>
    <x v="0"/>
    <s v="71-43-2"/>
    <x v="31"/>
    <x v="31"/>
    <x v="1"/>
    <s v="Transferts hors site pour traitement avant élimination final"/>
    <s v="Incineration / Thermal"/>
    <s v="Incinération / thermique"/>
    <n v="3.1E-2"/>
    <x v="0"/>
    <s v="E - Emission Factor"/>
    <x v="0"/>
  </r>
  <r>
    <x v="24"/>
    <n v="4833"/>
    <x v="57"/>
    <x v="56"/>
    <n v="323120"/>
    <s v="Support Activities for Printing"/>
    <s v="Activités de soutien à l'impression"/>
    <x v="0"/>
    <s v="67-56-1"/>
    <x v="3"/>
    <x v="3"/>
    <x v="0"/>
    <s v="Transferts hors site pour recyclage"/>
    <s v="Energy Recovery"/>
    <s v="Récupération d'énergie"/>
    <n v="4.7389999999999999"/>
    <x v="0"/>
    <s v="O - Engineering Estimates"/>
    <x v="0"/>
  </r>
  <r>
    <x v="14"/>
    <n v="6546"/>
    <x v="58"/>
    <x v="57"/>
    <n v="211142"/>
    <s v="Mined oil sands extraction"/>
    <s v="Extraction minière de sables bitumineux"/>
    <x v="4"/>
    <s v="NA - 03"/>
    <x v="28"/>
    <x v="28"/>
    <x v="0"/>
    <s v="Transferts hors site pour recyclage"/>
    <s v="Recovery of Catalysts"/>
    <s v="Récupération de catalyseurs"/>
    <n v="60.524999999999999"/>
    <x v="1"/>
    <s v="C - Mass Balance"/>
    <x v="0"/>
  </r>
  <r>
    <x v="15"/>
    <n v="7631"/>
    <x v="59"/>
    <x v="58"/>
    <n v="332810"/>
    <s v="Coating, engraving, cold and heat treating and allied activities"/>
    <s v="Revêtement, gravure, traitement thermique et par le froid, et activités analogues"/>
    <x v="1"/>
    <s v="NA - 06"/>
    <x v="15"/>
    <x v="15"/>
    <x v="0"/>
    <s v="Transferts hors site pour recyclage"/>
    <s v="Recovery of Metals and Metal Compounds"/>
    <s v="Récupération de métaux et leurs composés"/>
    <n v="1.71"/>
    <x v="0"/>
    <s v="O - Engineering Estimates"/>
    <x v="0"/>
  </r>
  <r>
    <x v="8"/>
    <n v="2912"/>
    <x v="60"/>
    <x v="59"/>
    <n v="321114"/>
    <s v="Wood Preservation"/>
    <s v="Préservation du bois"/>
    <x v="2"/>
    <s v="56-55-3"/>
    <x v="32"/>
    <x v="32"/>
    <x v="1"/>
    <s v="Transferts hors site pour traitement avant élimination final"/>
    <s v="Incineration / Thermal"/>
    <s v="Incinération / thermique"/>
    <n v="0.51300000000000001"/>
    <x v="1"/>
    <s v="M3 - Source Testing"/>
    <x v="0"/>
  </r>
  <r>
    <x v="5"/>
    <n v="5455"/>
    <x v="61"/>
    <x v="60"/>
    <n v="562990"/>
    <s v="All Other Waste Management Services"/>
    <s v="Tous les autres services de gestion des déchets"/>
    <x v="3"/>
    <s v="84-74-2"/>
    <x v="33"/>
    <x v="33"/>
    <x v="1"/>
    <s v="Transferts hors site pour traitement avant élimination final"/>
    <s v="Incineration / Thermal"/>
    <s v="Incinération / thermique"/>
    <n v="9.1829999999999998"/>
    <x v="0"/>
    <s v="C - Mass Balance"/>
    <x v="0"/>
  </r>
  <r>
    <x v="13"/>
    <n v="3883"/>
    <x v="62"/>
    <x v="61"/>
    <n v="336110"/>
    <s v="Automobile and Light-Duty Motor Vehicle Manufacturing"/>
    <s v="Fabrication de voitures et de véhicules automobiles légers"/>
    <x v="0"/>
    <s v="78-83-1"/>
    <x v="23"/>
    <x v="23"/>
    <x v="0"/>
    <s v="Transferts hors site pour recyclage"/>
    <s v="Recovery of Solvents"/>
    <s v="Récupération de solvants"/>
    <n v="4.9470000000000001"/>
    <x v="0"/>
    <s v="O - Engineering Estimates"/>
    <x v="0"/>
  </r>
  <r>
    <x v="2"/>
    <n v="10225"/>
    <x v="12"/>
    <x v="62"/>
    <n v="412110"/>
    <s v="Petroleum and petroleum products merchant wholesalers"/>
    <s v="Grossistes-marchands de pétrole et de produits pétroliers"/>
    <x v="6"/>
    <s v="108-88-3"/>
    <x v="5"/>
    <x v="5"/>
    <x v="0"/>
    <s v="Transferts hors site pour recyclage"/>
    <s v="Recovery of Organic Substances (not solvents)"/>
    <s v="Récupération de substances organiques (pas les solvants)"/>
    <n v="1.5659000000000001"/>
    <x v="0"/>
    <s v="O - Engineering Estimates"/>
    <x v="0"/>
  </r>
  <r>
    <x v="7"/>
    <n v="4871"/>
    <x v="61"/>
    <x v="63"/>
    <n v="562210"/>
    <s v="Waste treatment and disposal"/>
    <s v="Traitement et élimination des déchets"/>
    <x v="4"/>
    <s v="NA - 11"/>
    <x v="4"/>
    <x v="4"/>
    <x v="1"/>
    <s v="Transferts hors site pour traitement avant élimination final"/>
    <s v="Incineration / Thermal"/>
    <s v="Incinération / thermique"/>
    <n v="3.6145999999999998E-2"/>
    <x v="0"/>
    <s v="C - Mass Balance"/>
    <x v="0"/>
  </r>
  <r>
    <x v="5"/>
    <n v="4526"/>
    <x v="63"/>
    <x v="64"/>
    <n v="336410"/>
    <s v="Aerospace Product and Parts Manufacturing"/>
    <s v="Fabrication de produits aérospatiaux et de leurs pièces"/>
    <x v="0"/>
    <s v="NA - 08"/>
    <x v="1"/>
    <x v="1"/>
    <x v="1"/>
    <s v="Transferts hors site pour traitement avant élimination final"/>
    <s v="Physical Treatment"/>
    <s v="Traitement physique"/>
    <n v="2078.5500000000002"/>
    <x v="1"/>
    <s v="C - Mass Balance"/>
    <x v="0"/>
  </r>
  <r>
    <x v="25"/>
    <n v="4173"/>
    <x v="64"/>
    <x v="65"/>
    <n v="336110"/>
    <s v="Automobile and Light-Duty Motor Vehicle Manufacturing"/>
    <s v="Fabrication de voitures et de véhicules automobiles légers"/>
    <x v="0"/>
    <s v="1330-20-7"/>
    <x v="34"/>
    <x v="34"/>
    <x v="1"/>
    <s v="Transferts hors site pour traitement avant élimination final"/>
    <s v="Incineration / Thermal"/>
    <s v="Incinération / thermique"/>
    <n v="4.88"/>
    <x v="0"/>
    <s v="O - Engineering Estimates"/>
    <x v="0"/>
  </r>
  <r>
    <x v="26"/>
    <n v="1338"/>
    <x v="27"/>
    <x v="66"/>
    <n v="221320"/>
    <s v="Sewage Treatment Facilities"/>
    <s v="Installations d'épuration des eaux usées"/>
    <x v="2"/>
    <s v="205-99-2"/>
    <x v="35"/>
    <x v="35"/>
    <x v="1"/>
    <s v="Transferts hors site pour traitement avant élimination final"/>
    <s v="Incineration / Thermal"/>
    <s v="Incinération / thermique"/>
    <n v="3.1E-2"/>
    <x v="1"/>
    <s v="M3 - Source Testing"/>
    <x v="0"/>
  </r>
  <r>
    <x v="8"/>
    <n v="2189"/>
    <x v="65"/>
    <x v="67"/>
    <n v="325999"/>
    <s v="All Other Miscellaneous Chemical Product Manufacturing"/>
    <s v="Fabrication de tous les autres produits chimiques divers"/>
    <x v="0"/>
    <s v="78-93-3"/>
    <x v="0"/>
    <x v="0"/>
    <x v="1"/>
    <s v="Transferts hors site pour traitement avant élimination final"/>
    <s v="Physical Treatment"/>
    <s v="Traitement physique"/>
    <n v="4.6920000000000002"/>
    <x v="0"/>
    <s v="O - Engineering Estimates"/>
    <x v="0"/>
  </r>
  <r>
    <x v="18"/>
    <n v="11138"/>
    <x v="66"/>
    <x v="68"/>
    <n v="562920"/>
    <s v="Material recovery facilities"/>
    <s v="Installations de récupération de matériaux"/>
    <x v="0"/>
    <s v="NA - 06"/>
    <x v="15"/>
    <x v="15"/>
    <x v="0"/>
    <s v="Transferts hors site pour recyclage"/>
    <s v="Recovery of Metals and Metal Compounds"/>
    <s v="Récupération de métaux et leurs composés"/>
    <n v="32.729999999999997"/>
    <x v="0"/>
    <s v="C - Mass Balance"/>
    <x v="0"/>
  </r>
  <r>
    <x v="21"/>
    <n v="7413"/>
    <x v="67"/>
    <x v="69"/>
    <n v="221320"/>
    <s v="Sewage treatment facilities"/>
    <s v="Installations d'épuration des eaux usées"/>
    <x v="0"/>
    <s v="NA - 17"/>
    <x v="36"/>
    <x v="36"/>
    <x v="0"/>
    <s v="Transferts hors site pour recyclage"/>
    <s v="Recovery of Organic Substances (not solvents)"/>
    <s v="Récupération de substances organiques (pas les solvants)"/>
    <n v="1E-3"/>
    <x v="0"/>
    <s v="M3 - Source Testing"/>
    <x v="0"/>
  </r>
  <r>
    <x v="22"/>
    <n v="2195"/>
    <x v="68"/>
    <x v="70"/>
    <n v="325999"/>
    <s v="All Other Miscellaneous Chemical Product Manufacturing"/>
    <s v="Fabrication de tous les autres produits chimiques divers"/>
    <x v="3"/>
    <s v="117-81-7"/>
    <x v="37"/>
    <x v="37"/>
    <x v="1"/>
    <s v="Transferts hors site pour traitement avant élimination final"/>
    <s v="Chemical Treatment"/>
    <s v="Traitement chimique"/>
    <n v="6.2E-2"/>
    <x v="0"/>
    <s v="O - Engineering Estimates"/>
    <x v="0"/>
  </r>
  <r>
    <x v="10"/>
    <n v="1260"/>
    <x v="69"/>
    <x v="0"/>
    <n v="325999"/>
    <s v="All Other Miscellaneous Chemical Product Manufacturing"/>
    <s v="Fabrication de tous les autres produits chimiques divers"/>
    <x v="0"/>
    <s v="75-69-4"/>
    <x v="38"/>
    <x v="38"/>
    <x v="1"/>
    <s v="Transferts hors site pour traitement avant élimination final"/>
    <s v="Incineration / Thermal"/>
    <s v="Incinération / thermique"/>
    <n v="11.114000000000001"/>
    <x v="0"/>
    <s v="O - Engineering Estimates"/>
    <x v="0"/>
  </r>
  <r>
    <x v="2"/>
    <n v="1788"/>
    <x v="70"/>
    <x v="37"/>
    <n v="325210"/>
    <s v="Resin and synthetic rubber manufacturing"/>
    <s v="Fabrication de résines et de caoutchouc synthétique"/>
    <x v="0"/>
    <s v="67-63-0"/>
    <x v="6"/>
    <x v="6"/>
    <x v="1"/>
    <s v="Transferts hors site pour traitement avant élimination final"/>
    <s v="Incineration / Thermal"/>
    <s v="Incinération / thermique"/>
    <n v="769.26"/>
    <x v="0"/>
    <s v="O - Engineering Estimates"/>
    <x v="0"/>
  </r>
  <r>
    <x v="24"/>
    <n v="4424"/>
    <x v="71"/>
    <x v="71"/>
    <n v="331221"/>
    <s v="Cold-Rolled Steel Shape Manufacturing"/>
    <s v="Fabrication de formes en acier laminé à froid"/>
    <x v="0"/>
    <s v="NA - 11"/>
    <x v="4"/>
    <x v="4"/>
    <x v="1"/>
    <s v="Transferts hors site pour traitement avant élimination final"/>
    <s v="Municipal Sewage Treatment Plant"/>
    <s v="Usine municipale d'épuration des eaux usées"/>
    <n v="2.0000000000000001E-4"/>
    <x v="0"/>
    <s v="O - Engineering Estimates"/>
    <x v="0"/>
  </r>
  <r>
    <x v="27"/>
    <n v="3707"/>
    <x v="12"/>
    <x v="24"/>
    <n v="324110"/>
    <s v="Petroleum Refineries"/>
    <s v="Raffineries de pétrole"/>
    <x v="4"/>
    <s v="83-32-9"/>
    <x v="39"/>
    <x v="39"/>
    <x v="0"/>
    <s v="Transferts hors site pour recyclage"/>
    <s v="Refining or Re-use of Used Oil"/>
    <s v="Raffinage ou réutilisation d'huiles usées"/>
    <n v="8"/>
    <x v="1"/>
    <s v="O - Engineering Estimates"/>
    <x v="0"/>
  </r>
  <r>
    <x v="8"/>
    <n v="1372"/>
    <x v="72"/>
    <x v="72"/>
    <n v="211113"/>
    <s v="Conventional Oil and Gas Extraction"/>
    <s v="Extraction de pétrole et de gaz par des méthodes classiques"/>
    <x v="4"/>
    <s v="95-63-6"/>
    <x v="40"/>
    <x v="40"/>
    <x v="0"/>
    <s v="Transferts hors site pour recyclage"/>
    <s v="Recovery of Organic Substances (not solvents)"/>
    <s v="Récupération de substances organiques (pas les solvants)"/>
    <n v="0.626"/>
    <x v="0"/>
    <s v="E2 - Published Emission Factors"/>
    <x v="0"/>
  </r>
  <r>
    <x v="2"/>
    <n v="1154"/>
    <x v="73"/>
    <x v="73"/>
    <n v="418410"/>
    <s v="Chemical (except agricultural) and allied product merchant wholesalers"/>
    <s v="Grossistes-marchands de produits chimiques et de produits analogues (sauf agricoles)"/>
    <x v="0"/>
    <s v="75-09-2"/>
    <x v="41"/>
    <x v="41"/>
    <x v="1"/>
    <s v="Transferts hors site pour traitement avant élimination final"/>
    <s v="Incineration / Thermal"/>
    <s v="Incinération / thermique"/>
    <n v="7.2999999999999995E-2"/>
    <x v="0"/>
    <s v="O - Engineering Estimates"/>
    <x v="0"/>
  </r>
  <r>
    <x v="22"/>
    <n v="2815"/>
    <x v="74"/>
    <x v="74"/>
    <n v="212233"/>
    <s v="Copper-Zinc Ore Mining"/>
    <s v="Extraction de minerais de cuivre-zinc"/>
    <x v="0"/>
    <s v="NA - 14"/>
    <x v="13"/>
    <x v="13"/>
    <x v="0"/>
    <s v="Transferts hors site pour recyclage"/>
    <s v="Recovery of Metals and Metal Compounds"/>
    <s v="Récupération de métaux et leurs composés"/>
    <n v="8.9"/>
    <x v="0"/>
    <s v="M - Monitoring or Direct Measurement"/>
    <x v="0"/>
  </r>
  <r>
    <x v="12"/>
    <n v="1464"/>
    <x v="12"/>
    <x v="75"/>
    <n v="325110"/>
    <s v="Petrochemical manufacturing"/>
    <s v="Fabrication de produits pétrochimiques"/>
    <x v="0"/>
    <s v="192-97-2"/>
    <x v="42"/>
    <x v="42"/>
    <x v="0"/>
    <s v="Transferts hors site pour recyclage"/>
    <s v="Refining or Re-use of Used Oil"/>
    <s v="Raffinage ou réutilisation d'huiles usées"/>
    <n v="320.89999999999998"/>
    <x v="1"/>
    <s v="M3 - Source Testing"/>
    <x v="0"/>
  </r>
  <r>
    <x v="5"/>
    <n v="1083"/>
    <x v="75"/>
    <x v="76"/>
    <n v="326290"/>
    <s v="Other Rubber Product Manufacturing"/>
    <s v="Fabrication d'autres produits en caoutchouc"/>
    <x v="3"/>
    <s v="117-81-7"/>
    <x v="37"/>
    <x v="37"/>
    <x v="0"/>
    <s v="Transferts hors site pour recyclage"/>
    <s v="Other"/>
    <s v="Autres"/>
    <n v="12.81"/>
    <x v="0"/>
    <s v="C - Mass Balance"/>
    <x v="0"/>
  </r>
  <r>
    <x v="22"/>
    <n v="3832"/>
    <x v="76"/>
    <x v="77"/>
    <n v="481110"/>
    <s v="Scheduled Air Transportation"/>
    <s v="Transport aérien régulier"/>
    <x v="4"/>
    <s v="107-21-1"/>
    <x v="29"/>
    <x v="29"/>
    <x v="1"/>
    <s v="Transferts hors site pour traitement avant élimination final"/>
    <s v="Municipal Sewage Treatment Plant"/>
    <s v="Usine municipale d'épuration des eaux usées"/>
    <n v="55.335000000000001"/>
    <x v="0"/>
    <s v="M - Monitoring or Direct Measurement"/>
    <x v="0"/>
  </r>
  <r>
    <x v="5"/>
    <n v="3120"/>
    <x v="77"/>
    <x v="78"/>
    <n v="332118"/>
    <s v="Stamping"/>
    <s v="Estampage"/>
    <x v="0"/>
    <s v="NA - 19"/>
    <x v="43"/>
    <x v="43"/>
    <x v="1"/>
    <s v="Transferts hors site pour traitement avant élimination final"/>
    <s v="Chemical Treatment"/>
    <s v="Traitement chimique"/>
    <n v="13.91"/>
    <x v="1"/>
    <s v="M3 - Source Testing"/>
    <x v="0"/>
  </r>
  <r>
    <x v="26"/>
    <n v="2517"/>
    <x v="78"/>
    <x v="79"/>
    <n v="321114"/>
    <s v="Wood Preservation"/>
    <s v="Préservation du bois"/>
    <x v="4"/>
    <s v="NA - 06"/>
    <x v="15"/>
    <x v="15"/>
    <x v="1"/>
    <s v="Transferts hors site pour traitement avant élimination final"/>
    <s v="Municipal Sewage Treatment Plant"/>
    <s v="Usine municipale d'épuration des eaux usées"/>
    <n v="0"/>
    <x v="0"/>
    <s v="M3 - Source Testing"/>
    <x v="0"/>
  </r>
  <r>
    <x v="0"/>
    <n v="3458"/>
    <x v="79"/>
    <x v="80"/>
    <n v="325510"/>
    <s v="Paint and Coating Manufacturing"/>
    <s v="Fabrication de peintures et de revêtements"/>
    <x v="0"/>
    <s v="95-63-6"/>
    <x v="40"/>
    <x v="40"/>
    <x v="1"/>
    <s v="Transferts hors site pour traitement avant élimination final"/>
    <s v="Incineration / Thermal"/>
    <s v="Incinération / thermique"/>
    <n v="8.1359999999999992"/>
    <x v="0"/>
    <s v="O - Engineering Estimates"/>
    <x v="0"/>
  </r>
  <r>
    <x v="15"/>
    <n v="3704"/>
    <x v="12"/>
    <x v="81"/>
    <n v="324110"/>
    <s v="Petroleum refineries"/>
    <s v="Raffineries de pétrole"/>
    <x v="0"/>
    <s v="191-24-2"/>
    <x v="44"/>
    <x v="44"/>
    <x v="1"/>
    <s v="Transferts hors site pour traitement avant élimination final"/>
    <s v="Biological Treatment"/>
    <s v="Traitement biologique"/>
    <n v="1.7500000000000002E-2"/>
    <x v="1"/>
    <s v="M3 - Source Testing"/>
    <x v="0"/>
  </r>
  <r>
    <x v="0"/>
    <n v="2346"/>
    <x v="80"/>
    <x v="82"/>
    <n v="419120"/>
    <s v="Petroleum Product Agents and Brokers"/>
    <s v="Agents et courtiers -- produits pétroliers"/>
    <x v="0"/>
    <s v="79-01-6"/>
    <x v="45"/>
    <x v="45"/>
    <x v="1"/>
    <s v="Transferts hors site pour traitement avant élimination final"/>
    <s v="Incineration / Thermal"/>
    <s v="Incinération / thermique"/>
    <n v="0.502"/>
    <x v="0"/>
    <s v="M - Monitoring or Direct Measurement"/>
    <x v="0"/>
  </r>
  <r>
    <x v="20"/>
    <n v="4840"/>
    <x v="81"/>
    <x v="83"/>
    <n v="332999"/>
    <s v="All Other Miscellaneous Fabricated Metal Product Manufacturing"/>
    <s v="Fabrication de tous les autres produits métalliques divers"/>
    <x v="7"/>
    <s v="NA - 19"/>
    <x v="43"/>
    <x v="43"/>
    <x v="1"/>
    <s v="Transferts hors site pour traitement avant élimination final"/>
    <s v="Chemical Treatment"/>
    <s v="Traitement chimique"/>
    <n v="533"/>
    <x v="1"/>
    <s v="C - Mass Balance"/>
    <x v="0"/>
  </r>
  <r>
    <x v="11"/>
    <n v="1096"/>
    <x v="82"/>
    <x v="84"/>
    <n v="418410"/>
    <s v="Chemical (except agricultural) and allied product merchant wholesalers"/>
    <s v="Grossistes-marchands de produits chimiques et de produits analogues (sauf agricoles)"/>
    <x v="0"/>
    <s v="111-42-2"/>
    <x v="46"/>
    <x v="46"/>
    <x v="1"/>
    <s v="Transferts hors site pour traitement avant élimination final"/>
    <s v="Incineration / Thermal"/>
    <s v="Incinération / thermique"/>
    <n v="0.2"/>
    <x v="0"/>
    <s v="O - Engineering Estimates"/>
    <x v="0"/>
  </r>
  <r>
    <x v="17"/>
    <n v="23752"/>
    <x v="83"/>
    <x v="85"/>
    <n v="211110"/>
    <s v="Oil and gas extraction (except oil sands)"/>
    <s v="Extraction de pétrole et de gaz (à l'exception des sables bitumineux)"/>
    <x v="2"/>
    <s v="110-54-3"/>
    <x v="47"/>
    <x v="47"/>
    <x v="0"/>
    <s v="Transferts hors site pour recyclage"/>
    <s v="Refining or Re-use of Used Oil"/>
    <s v="Raffinage ou réutilisation d'huiles usées"/>
    <n v="9.5343999999999998E-2"/>
    <x v="0"/>
    <s v="O - Engineering Estimates"/>
    <x v="0"/>
  </r>
  <r>
    <x v="7"/>
    <n v="5936"/>
    <x v="84"/>
    <x v="86"/>
    <n v="339110"/>
    <s v="Medical equipment and supplies manufacturing"/>
    <s v="Fabrication de fournitures et de matériel médicaux"/>
    <x v="0"/>
    <s v="872-50-4"/>
    <x v="2"/>
    <x v="2"/>
    <x v="1"/>
    <s v="Transferts hors site pour traitement avant élimination final"/>
    <s v="Physical Treatment"/>
    <s v="Traitement physique"/>
    <n v="0"/>
    <x v="0"/>
    <s v="O - Engineering Estimates"/>
    <x v="0"/>
  </r>
  <r>
    <x v="14"/>
    <n v="2083"/>
    <x v="85"/>
    <x v="87"/>
    <n v="221112"/>
    <s v="Fossil-fuel electric power generation"/>
    <s v="Production d'électricité à partir de combustibles fossiles"/>
    <x v="5"/>
    <s v="NA - 12"/>
    <x v="48"/>
    <x v="48"/>
    <x v="0"/>
    <s v="Transferts hors site pour recyclage"/>
    <s v="Other"/>
    <s v="Autres"/>
    <n v="371.22199999999998"/>
    <x v="1"/>
    <s v="M3 - Source Testing"/>
    <x v="0"/>
  </r>
  <r>
    <x v="11"/>
    <n v="5308"/>
    <x v="15"/>
    <x v="88"/>
    <n v="221320"/>
    <s v="Sewage treatment facilities"/>
    <s v="Installations d'épuration des eaux usées"/>
    <x v="4"/>
    <s v="NA - 16"/>
    <x v="49"/>
    <x v="49"/>
    <x v="1"/>
    <s v="Transferts hors site pour traitement avant élimination final"/>
    <s v="Physical Treatment"/>
    <s v="Traitement physique"/>
    <n v="862.11800000000005"/>
    <x v="0"/>
    <s v="M3 - Source Testing"/>
    <x v="0"/>
  </r>
  <r>
    <x v="11"/>
    <n v="3962"/>
    <x v="86"/>
    <x v="89"/>
    <n v="324110"/>
    <s v="Petroleum refineries"/>
    <s v="Raffineries de pétrole"/>
    <x v="0"/>
    <s v="NA - 10"/>
    <x v="9"/>
    <x v="9"/>
    <x v="1"/>
    <s v="Transferts hors site pour traitement avant élimination final"/>
    <s v="Incineration / Thermal"/>
    <s v="Incinération / thermique"/>
    <n v="1.1088"/>
    <x v="1"/>
    <s v="C - Mass Balance"/>
    <x v="0"/>
  </r>
  <r>
    <x v="9"/>
    <n v="3704"/>
    <x v="12"/>
    <x v="81"/>
    <n v="324110"/>
    <s v="Petroleum refineries"/>
    <s v="Raffineries de pétrole"/>
    <x v="0"/>
    <s v="95-63-6"/>
    <x v="40"/>
    <x v="40"/>
    <x v="1"/>
    <s v="Transferts hors site pour traitement avant élimination final"/>
    <s v="Incineration / Thermal"/>
    <s v="Incinération / thermique"/>
    <n v="1.3602000000000001"/>
    <x v="0"/>
    <s v="M3 - Source Testing"/>
    <x v="0"/>
  </r>
  <r>
    <x v="16"/>
    <n v="2396"/>
    <x v="87"/>
    <x v="90"/>
    <n v="331420"/>
    <s v="Copper Rolling, Drawing, Extruding and Alloying"/>
    <s v="Laminage, étirage, extrusion et alliage du cuivre"/>
    <x v="0"/>
    <s v="NA - 06"/>
    <x v="15"/>
    <x v="15"/>
    <x v="0"/>
    <s v="Transferts hors site pour recyclage"/>
    <s v="Recovery of Metals and Metal Compounds"/>
    <s v="Récupération de métaux et leurs composés"/>
    <n v="71.563999999999993"/>
    <x v="0"/>
    <s v="E2 - Published Emission Factors"/>
    <x v="0"/>
  </r>
  <r>
    <x v="23"/>
    <n v="2413"/>
    <x v="88"/>
    <x v="91"/>
    <n v="325999"/>
    <s v="All Other Miscellaneous Chemical Product Manufacturing"/>
    <s v="Fabrication de tous les autres produits chimiques divers"/>
    <x v="3"/>
    <s v="75-09-2"/>
    <x v="41"/>
    <x v="41"/>
    <x v="1"/>
    <s v="Transferts hors site pour traitement avant élimination final"/>
    <s v="Incineration / Thermal"/>
    <s v="Incinération / thermique"/>
    <n v="73.8"/>
    <x v="0"/>
    <s v="O - Engineering Estimates"/>
    <x v="0"/>
  </r>
  <r>
    <x v="26"/>
    <n v="10568"/>
    <x v="89"/>
    <x v="92"/>
    <n v="331221"/>
    <s v="Cold-Rolled Steel Shape Manufacturing"/>
    <s v="Fabrication de formes en acier laminé à froid"/>
    <x v="0"/>
    <s v="1330-20-7"/>
    <x v="24"/>
    <x v="24"/>
    <x v="0"/>
    <s v="Transferts hors site pour recyclage"/>
    <s v="Recovery of Solvents"/>
    <s v="Récupération de solvants"/>
    <n v="2.6"/>
    <x v="0"/>
    <s v="C - Mass Balance"/>
    <x v="0"/>
  </r>
  <r>
    <x v="6"/>
    <n v="4377"/>
    <x v="90"/>
    <x v="93"/>
    <n v="332999"/>
    <s v="All Other Miscellaneous Fabricated Metal Product Manufacturing"/>
    <s v="Fabrication de tous les autres produits métalliques divers"/>
    <x v="3"/>
    <s v="NA - 06"/>
    <x v="15"/>
    <x v="15"/>
    <x v="0"/>
    <s v="Transferts hors site pour recyclage"/>
    <s v="Recovery of Inorganic Materials (not metals)"/>
    <s v="Récupération de matières inorganiques (pas les métaux)"/>
    <n v="0"/>
    <x v="0"/>
    <s v="C - Mass Balance"/>
    <x v="0"/>
  </r>
  <r>
    <x v="21"/>
    <n v="2656"/>
    <x v="91"/>
    <x v="94"/>
    <n v="336390"/>
    <s v="Other motor vehicle parts manufacturing"/>
    <s v="Fabrication d'autres pièces pour véhicules automobiles"/>
    <x v="0"/>
    <s v="71-36-3"/>
    <x v="50"/>
    <x v="50"/>
    <x v="0"/>
    <s v="Transferts hors site pour recyclage"/>
    <s v="Recovery of Solvents"/>
    <s v="Récupération de solvants"/>
    <n v="11.714"/>
    <x v="0"/>
    <s v="C - Mass Balance"/>
    <x v="0"/>
  </r>
  <r>
    <x v="27"/>
    <n v="3713"/>
    <x v="92"/>
    <x v="95"/>
    <n v="331110"/>
    <s v="Iron and Steel Mills and Ferro-Alloy Manufacturing"/>
    <s v="Sidérurgie"/>
    <x v="0"/>
    <s v="7440-62-2"/>
    <x v="51"/>
    <x v="51"/>
    <x v="0"/>
    <s v="Transferts hors site pour recyclage"/>
    <s v="Recovery of Metals and Metal Compounds"/>
    <s v="Récupération de métaux et leurs composés"/>
    <n v="2.5206"/>
    <x v="0"/>
    <s v="C - Mass Balance"/>
    <x v="0"/>
  </r>
  <r>
    <x v="15"/>
    <n v="3564"/>
    <x v="93"/>
    <x v="96"/>
    <n v="562920"/>
    <s v="Material recovery facilities"/>
    <s v="Installations de récupération de matériaux"/>
    <x v="3"/>
    <s v="1330-20-7"/>
    <x v="24"/>
    <x v="24"/>
    <x v="0"/>
    <s v="Transferts hors site pour recyclage"/>
    <s v="Energy Recovery"/>
    <s v="Récupération d'énergie"/>
    <n v="123"/>
    <x v="0"/>
    <s v="M1 - Continuous Emission Monitoring"/>
    <x v="0"/>
  </r>
  <r>
    <x v="7"/>
    <n v="4410"/>
    <x v="94"/>
    <x v="97"/>
    <n v="325210"/>
    <s v="Resin and synthetic rubber manufacturing"/>
    <s v="Fabrication de résines et de caoutchouc synthétique"/>
    <x v="0"/>
    <s v="149-30-4"/>
    <x v="52"/>
    <x v="52"/>
    <x v="0"/>
    <s v="Transferts hors site pour recyclage"/>
    <s v="Other"/>
    <s v="Autres"/>
    <n v="0"/>
    <x v="0"/>
    <s v="O - Engineering Estimates"/>
    <x v="0"/>
  </r>
  <r>
    <x v="15"/>
    <n v="10218"/>
    <x v="12"/>
    <x v="98"/>
    <n v="412110"/>
    <s v="Petroleum and petroleum products merchant wholesalers"/>
    <s v="Grossistes-marchands de pétrole et de produits pétroliers"/>
    <x v="4"/>
    <s v="198-55-0"/>
    <x v="53"/>
    <x v="53"/>
    <x v="0"/>
    <s v="Transferts hors site pour recyclage"/>
    <s v="Other"/>
    <s v="Autres"/>
    <n v="2.5999999999999999E-2"/>
    <x v="1"/>
    <s v="O - Engineering Estimates"/>
    <x v="0"/>
  </r>
  <r>
    <x v="6"/>
    <n v="17331"/>
    <x v="95"/>
    <x v="99"/>
    <n v="486110"/>
    <s v="Pipeline Transportation of Crude Oil"/>
    <s v="Transport du pétrole brut par oléoduc"/>
    <x v="5"/>
    <s v="110-54-3"/>
    <x v="47"/>
    <x v="47"/>
    <x v="0"/>
    <s v="Transferts hors site pour recyclage"/>
    <s v="Recovery of Organic Substances (not solvents)"/>
    <s v="Récupération de substances organiques (pas les solvants)"/>
    <n v="1.8140000000000001"/>
    <x v="0"/>
    <m/>
    <x v="0"/>
  </r>
  <r>
    <x v="12"/>
    <n v="10237"/>
    <x v="12"/>
    <x v="100"/>
    <n v="412110"/>
    <s v="Petroleum and petroleum products merchant wholesalers"/>
    <s v="Grossistes-marchands de pétrole et de produits pétroliers"/>
    <x v="1"/>
    <s v="85-01-8"/>
    <x v="54"/>
    <x v="54"/>
    <x v="1"/>
    <s v="Transferts hors site pour traitement avant élimination final"/>
    <s v="Incineration / Thermal"/>
    <s v="Incinération / thermique"/>
    <n v="3.7805"/>
    <x v="1"/>
    <s v="O - Engineering Estimates"/>
    <x v="0"/>
  </r>
  <r>
    <x v="11"/>
    <n v="477"/>
    <x v="96"/>
    <x v="101"/>
    <n v="325999"/>
    <s v="All other miscellaneous chemical product manufacturing"/>
    <s v="Fabrication de tous les autres produits chimiques divers"/>
    <x v="0"/>
    <s v="67-63-0"/>
    <x v="6"/>
    <x v="6"/>
    <x v="1"/>
    <s v="Transferts hors site pour traitement avant élimination final"/>
    <s v="Incineration / Thermal"/>
    <s v="Incinération / thermique"/>
    <n v="3.125"/>
    <x v="0"/>
    <s v="C - Mass Balance"/>
    <x v="0"/>
  </r>
  <r>
    <x v="8"/>
    <n v="10455"/>
    <x v="97"/>
    <x v="102"/>
    <n v="332999"/>
    <s v="All Other Miscellaneous Fabricated Metal Product Manufacturing"/>
    <s v="Fabrication de tous les autres produits métalliques divers"/>
    <x v="0"/>
    <s v="NA - 03"/>
    <x v="28"/>
    <x v="28"/>
    <x v="0"/>
    <s v="Transferts hors site pour recyclage"/>
    <s v="Recovery of Metals and Metal Compounds"/>
    <s v="Récupération de métaux et leurs composés"/>
    <n v="62"/>
    <x v="1"/>
    <s v="C - Mass Balance"/>
    <x v="0"/>
  </r>
  <r>
    <x v="18"/>
    <n v="941"/>
    <x v="98"/>
    <x v="103"/>
    <n v="311310"/>
    <s v="Sugar manufacturing"/>
    <s v="Fabrication de sucre"/>
    <x v="2"/>
    <s v="NA - 22"/>
    <x v="8"/>
    <x v="8"/>
    <x v="1"/>
    <s v="Transferts hors site pour traitement avant élimination final"/>
    <s v="Municipal Sewage Treatment Plant"/>
    <s v="Usine municipale d'épuration des eaux usées"/>
    <n v="10.029999999999999"/>
    <x v="0"/>
    <s v="O - Engineering Estimates"/>
    <x v="0"/>
  </r>
  <r>
    <x v="15"/>
    <n v="3165"/>
    <x v="99"/>
    <x v="104"/>
    <n v="332710"/>
    <s v="Machine shops"/>
    <s v="Ateliers d'usinage"/>
    <x v="0"/>
    <s v="NA - 06"/>
    <x v="15"/>
    <x v="15"/>
    <x v="0"/>
    <s v="Transferts hors site pour recyclage"/>
    <s v="Recovery of Metals and Metal Compounds"/>
    <s v="Récupération de métaux et leurs composés"/>
    <n v="6.83"/>
    <x v="0"/>
    <s v="C - Mass Balance"/>
    <x v="0"/>
  </r>
  <r>
    <x v="21"/>
    <n v="5680"/>
    <x v="100"/>
    <x v="105"/>
    <n v="416210"/>
    <s v="Metal service centres"/>
    <s v="Grossistes-distributeurs de métaux et de produits métalliques"/>
    <x v="5"/>
    <s v="NA - 09"/>
    <x v="12"/>
    <x v="12"/>
    <x v="0"/>
    <s v="Transferts hors site pour recyclage"/>
    <s v="Recovery of Metals and Metal Compounds"/>
    <s v="Récupération de métaux et leurs composés"/>
    <n v="5.1420000000000003"/>
    <x v="0"/>
    <s v="O - Engineering Estimates"/>
    <x v="0"/>
  </r>
  <r>
    <x v="28"/>
    <n v="2533"/>
    <x v="101"/>
    <x v="106"/>
    <n v="211113"/>
    <s v="Conventional Oil and Gas Extraction"/>
    <s v="Extraction de pétrole et de gaz par des méthodes classiques"/>
    <x v="4"/>
    <s v="67-63-0"/>
    <x v="6"/>
    <x v="6"/>
    <x v="0"/>
    <s v="Transferts hors site pour recyclage"/>
    <s v="Energy Recovery"/>
    <s v="Récupération d'énergie"/>
    <n v="40"/>
    <x v="0"/>
    <s v="O - Engineering Estimates"/>
    <x v="0"/>
  </r>
  <r>
    <x v="20"/>
    <n v="2700"/>
    <x v="102"/>
    <x v="107"/>
    <n v="335920"/>
    <s v="Communication and Energy Wire and Cable Manufacturing"/>
    <s v="Fabrication de fils et de câbles électriques et de communication"/>
    <x v="0"/>
    <s v="NA - 08"/>
    <x v="1"/>
    <x v="1"/>
    <x v="0"/>
    <s v="Transferts hors site pour recyclage"/>
    <s v="Other"/>
    <s v="Autres"/>
    <n v="2626.98"/>
    <x v="1"/>
    <s v="C - Mass Balance"/>
    <x v="0"/>
  </r>
  <r>
    <x v="19"/>
    <n v="4589"/>
    <x v="103"/>
    <x v="108"/>
    <n v="332999"/>
    <s v="All Other Miscellaneous Fabricated Metal Product Manufacturing"/>
    <s v="Fabrication de tous les autres produits métalliques divers"/>
    <x v="1"/>
    <s v="NA - 06"/>
    <x v="15"/>
    <x v="15"/>
    <x v="1"/>
    <s v="Transferts hors site pour traitement avant élimination final"/>
    <s v="Municipal Sewage Treatment Plant"/>
    <s v="Usine municipale d'épuration des eaux usées"/>
    <n v="5.0000000000000001E-3"/>
    <x v="0"/>
    <s v="M3 - Source Testing"/>
    <x v="0"/>
  </r>
  <r>
    <x v="29"/>
    <n v="1260"/>
    <x v="69"/>
    <x v="109"/>
    <n v="562210"/>
    <s v="Waste treatment and disposal"/>
    <s v="Traitement et élimination des déchets"/>
    <x v="0"/>
    <s v="127-18-4"/>
    <x v="27"/>
    <x v="27"/>
    <x v="1"/>
    <s v="Transferts hors site pour traitement avant élimination final"/>
    <s v="Incineration / Thermal"/>
    <s v="Incinération / thermique"/>
    <n v="3.5259900000000002"/>
    <x v="0"/>
    <s v="O - Engineering Estimates"/>
    <x v="0"/>
  </r>
  <r>
    <x v="21"/>
    <n v="27816"/>
    <x v="104"/>
    <x v="110"/>
    <n v="221122"/>
    <s v="Electric power distribution"/>
    <s v="Distribution d'électricité"/>
    <x v="4"/>
    <s v="NA - 08"/>
    <x v="1"/>
    <x v="1"/>
    <x v="0"/>
    <s v="Transferts hors site pour recyclage"/>
    <s v="Recovery of Metals and Metal Compounds"/>
    <s v="Récupération de métaux et leurs composés"/>
    <n v="27429.200000000001"/>
    <x v="1"/>
    <s v="C - Mass Balance"/>
    <x v="0"/>
  </r>
  <r>
    <x v="6"/>
    <n v="7407"/>
    <x v="105"/>
    <x v="111"/>
    <n v="336110"/>
    <s v="Automobile and Light-Duty Motor Vehicle Manufacturing"/>
    <s v="Fabrication de voitures et de véhicules automobiles légers"/>
    <x v="0"/>
    <s v="NA - 04"/>
    <x v="19"/>
    <x v="19"/>
    <x v="0"/>
    <s v="Transferts hors site pour recyclage"/>
    <s v="Recovery of Metals and Metal Compounds"/>
    <s v="Récupération de métaux et leurs composés"/>
    <n v="21.571000000000002"/>
    <x v="0"/>
    <s v="C - Mass Balance"/>
    <x v="0"/>
  </r>
  <r>
    <x v="19"/>
    <n v="10412"/>
    <x v="106"/>
    <x v="112"/>
    <n v="313310"/>
    <s v="Textile and Fabric Finishing"/>
    <s v="Finissage de textiles et de tissus"/>
    <x v="0"/>
    <s v="7664-93-9"/>
    <x v="30"/>
    <x v="30"/>
    <x v="1"/>
    <s v="Transferts hors site pour traitement avant élimination final"/>
    <s v="Municipal Sewage Treatment Plant"/>
    <s v="Usine municipale d'épuration des eaux usées"/>
    <n v="0"/>
    <x v="0"/>
    <s v="O - Engineering Estimates"/>
    <x v="0"/>
  </r>
  <r>
    <x v="11"/>
    <n v="6797"/>
    <x v="5"/>
    <x v="113"/>
    <n v="562990"/>
    <s v="All other waste management services"/>
    <s v="Tous les autres services de gestion des déchets"/>
    <x v="4"/>
    <s v="7429-90-5"/>
    <x v="10"/>
    <x v="10"/>
    <x v="0"/>
    <s v="Transferts hors site pour recyclage"/>
    <s v="Recovery of Metals and Metal Compounds"/>
    <s v="Récupération de métaux et leurs composés"/>
    <n v="24.856000000000002"/>
    <x v="0"/>
    <s v="M3 - Source Testing"/>
    <x v="0"/>
  </r>
  <r>
    <x v="27"/>
    <n v="1136"/>
    <x v="107"/>
    <x v="114"/>
    <n v="336410"/>
    <s v="Aerospace Product and Parts Manufacturing"/>
    <s v="Fabrication de produits aérospatiaux et de leurs pièces"/>
    <x v="3"/>
    <s v="NA - 04"/>
    <x v="19"/>
    <x v="19"/>
    <x v="1"/>
    <s v="Transferts hors site pour traitement avant élimination final"/>
    <s v="Chemical Treatment"/>
    <s v="Traitement chimique"/>
    <n v="8.8439999999999994"/>
    <x v="0"/>
    <s v="C - Mass Balance"/>
    <x v="0"/>
  </r>
  <r>
    <x v="27"/>
    <n v="2578"/>
    <x v="108"/>
    <x v="115"/>
    <n v="336370"/>
    <s v="Motor Vehicle Metal Stamping"/>
    <s v="Emboutissage de pièces en métal pour véhicules automobiles"/>
    <x v="0"/>
    <s v="NA - 04"/>
    <x v="19"/>
    <x v="19"/>
    <x v="0"/>
    <s v="Transferts hors site pour recyclage"/>
    <s v="Recovery of Inorganic Materials (not metals)"/>
    <s v="Récupération de matières inorganiques (pas les métaux)"/>
    <n v="0"/>
    <x v="0"/>
    <s v="C - Mass Balance"/>
    <x v="0"/>
  </r>
  <r>
    <x v="17"/>
    <n v="10219"/>
    <x v="12"/>
    <x v="116"/>
    <n v="412110"/>
    <s v="Petroleum, petroleum products, and other hydrocarbons merchant wholesalers"/>
    <s v="Grossistes-marchands de pétrole, de produits pétroliers, et d'autres hydrocarbures"/>
    <x v="0"/>
    <s v="95-63-6"/>
    <x v="40"/>
    <x v="40"/>
    <x v="1"/>
    <s v="Transferts hors site pour traitement avant élimination final"/>
    <s v="Chemical Treatment"/>
    <s v="Traitement chimique"/>
    <n v="1.61151"/>
    <x v="0"/>
    <s v="O - Engineering Estimates"/>
    <x v="0"/>
  </r>
  <r>
    <x v="7"/>
    <n v="3111"/>
    <x v="109"/>
    <x v="117"/>
    <n v="332810"/>
    <s v="Coating, engraving, cold and heat treating and allied activities"/>
    <s v="Revêtement, gravure, traitement thermique et par le froid, et activités analogues"/>
    <x v="0"/>
    <s v="NA - 06"/>
    <x v="15"/>
    <x v="15"/>
    <x v="1"/>
    <s v="Transferts hors site pour traitement avant élimination final"/>
    <s v="Municipal Sewage Treatment Plant"/>
    <s v="Usine municipale d'épuration des eaux usées"/>
    <n v="0.04"/>
    <x v="0"/>
    <s v="O - Engineering Estimates"/>
    <x v="0"/>
  </r>
  <r>
    <x v="1"/>
    <n v="3424"/>
    <x v="110"/>
    <x v="118"/>
    <n v="332810"/>
    <s v="Coating, engraving, cold and heat treating and allied activities"/>
    <s v="Revêtement, gravure, traitement thermique et par le froid, et activités analogues"/>
    <x v="4"/>
    <s v="7647-01-0"/>
    <x v="7"/>
    <x v="7"/>
    <x v="0"/>
    <s v="Transferts hors site pour recyclage"/>
    <s v="Recovery of Acids and Bases"/>
    <s v="Récupération d'acides ou de bases"/>
    <n v="3.5979999999999999"/>
    <x v="0"/>
    <s v="O - Engineering Estimates"/>
    <x v="0"/>
  </r>
  <r>
    <x v="17"/>
    <n v="1338"/>
    <x v="27"/>
    <x v="66"/>
    <n v="221320"/>
    <s v="Sewage treatment facilities"/>
    <s v="Installations d'épuration des eaux usées"/>
    <x v="2"/>
    <s v="83-32-9"/>
    <x v="39"/>
    <x v="39"/>
    <x v="0"/>
    <s v="Transferts hors site pour recyclage"/>
    <s v="Recovery of Pollution Abatement Residues"/>
    <s v="Récupération de résidus de dépollution"/>
    <n v="0.65400000000000003"/>
    <x v="1"/>
    <s v="M3 - Source Testing"/>
    <x v="0"/>
  </r>
  <r>
    <x v="9"/>
    <n v="11700"/>
    <x v="111"/>
    <x v="119"/>
    <n v="325190"/>
    <s v="Other basic organic chemical manufacturing"/>
    <s v="Fabrication d'autres produits chimiques organiques de base"/>
    <x v="0"/>
    <s v="67-56-1"/>
    <x v="3"/>
    <x v="3"/>
    <x v="1"/>
    <s v="Transferts hors site pour traitement avant élimination final"/>
    <s v="Municipal Sewage Treatment Plant"/>
    <s v="Usine municipale d'épuration des eaux usées"/>
    <n v="3.89"/>
    <x v="0"/>
    <s v="M3 - Source Testing"/>
    <x v="0"/>
  </r>
  <r>
    <x v="4"/>
    <n v="3125"/>
    <x v="112"/>
    <x v="120"/>
    <n v="334410"/>
    <s v="Semiconductor and Other Electronic Component Manufacturing"/>
    <s v="Fabrication de semi-conducteurs et d'autres composants électroniques"/>
    <x v="3"/>
    <s v="NA - 17"/>
    <x v="36"/>
    <x v="36"/>
    <x v="1"/>
    <s v="Transferts hors site pour traitement avant élimination final"/>
    <s v="Municipal Sewage Treatment Plant"/>
    <s v="Usine municipale d'épuration des eaux usées"/>
    <n v="14.941000000000001"/>
    <x v="0"/>
    <s v="O - Engineering Estimates"/>
    <x v="0"/>
  </r>
  <r>
    <x v="28"/>
    <n v="1902"/>
    <x v="113"/>
    <x v="121"/>
    <n v="211113"/>
    <s v="Conventional Oil and Gas Extraction"/>
    <s v="Extraction de pétrole et de gaz par des méthodes classiques"/>
    <x v="4"/>
    <s v="100-41-4"/>
    <x v="11"/>
    <x v="11"/>
    <x v="1"/>
    <s v="Transferts hors site pour traitement avant élimination final"/>
    <s v="Incineration / Thermal"/>
    <s v="Incinération / thermique"/>
    <n v="1E-3"/>
    <x v="0"/>
    <s v="O - Engineering Estimates"/>
    <x v="0"/>
  </r>
  <r>
    <x v="19"/>
    <n v="3416"/>
    <x v="114"/>
    <x v="122"/>
    <n v="331511"/>
    <s v="Iron Foundries"/>
    <s v="Fonderies de fer"/>
    <x v="0"/>
    <s v="NA - 02"/>
    <x v="21"/>
    <x v="21"/>
    <x v="0"/>
    <s v="Transferts hors site pour recyclage"/>
    <s v="Other"/>
    <s v="Autres"/>
    <n v="3"/>
    <x v="1"/>
    <s v="O - Engineering Estimates"/>
    <x v="0"/>
  </r>
  <r>
    <x v="27"/>
    <n v="5810"/>
    <x v="115"/>
    <x v="123"/>
    <n v="325610"/>
    <s v="Soap and Cleaning Compound Manufacturing"/>
    <s v="Fabrication de savons et de détachants"/>
    <x v="0"/>
    <s v="7681-49-4"/>
    <x v="55"/>
    <x v="55"/>
    <x v="1"/>
    <s v="Transferts hors site pour traitement avant élimination final"/>
    <s v="Chemical Treatment"/>
    <s v="Traitement chimique"/>
    <n v="1.5E-3"/>
    <x v="0"/>
    <s v="C - Mass Balance"/>
    <x v="0"/>
  </r>
  <r>
    <x v="2"/>
    <n v="2703"/>
    <x v="116"/>
    <x v="56"/>
    <n v="418410"/>
    <s v="Chemical (except agricultural) and allied product merchant wholesalers"/>
    <s v="Grossistes-marchands de produits chimiques et de produits analogues (sauf agricoles)"/>
    <x v="0"/>
    <s v="108-88-3"/>
    <x v="5"/>
    <x v="5"/>
    <x v="0"/>
    <s v="Transferts hors site pour recyclage"/>
    <s v="Energy Recovery"/>
    <s v="Récupération d'énergie"/>
    <n v="1.2"/>
    <x v="0"/>
    <s v="O - Engineering Estimates"/>
    <x v="0"/>
  </r>
  <r>
    <x v="3"/>
    <n v="1197"/>
    <x v="117"/>
    <x v="124"/>
    <n v="322112"/>
    <s v="Chemical Pulp Mills"/>
    <s v="Usines de pâte chimique"/>
    <x v="0"/>
    <s v="205-82-3"/>
    <x v="56"/>
    <x v="56"/>
    <x v="0"/>
    <s v="Transferts hors site pour recyclage"/>
    <s v="Other"/>
    <s v="Autres"/>
    <n v="1.502"/>
    <x v="1"/>
    <s v="M - Monitoring or Direct Measurement"/>
    <x v="0"/>
  </r>
  <r>
    <x v="11"/>
    <n v="4169"/>
    <x v="118"/>
    <x v="125"/>
    <n v="331110"/>
    <s v="Iron and steel mills and ferro-alloy manufacturing"/>
    <s v="Sidérurgie"/>
    <x v="0"/>
    <s v="NA - D/F"/>
    <x v="57"/>
    <x v="57"/>
    <x v="0"/>
    <s v="Transferts hors site pour recyclage"/>
    <s v="Recovery of Metals and Metal Compounds"/>
    <s v="Récupération de métaux et leurs composés"/>
    <n v="6.4226999999999999"/>
    <x v="2"/>
    <s v="O - Engineering Estimates"/>
    <x v="0"/>
  </r>
  <r>
    <x v="27"/>
    <n v="5390"/>
    <x v="119"/>
    <x v="126"/>
    <n v="221320"/>
    <s v="Sewage Treatment Facilities"/>
    <s v="Installations d'épuration des eaux usées"/>
    <x v="4"/>
    <s v="NA - 06"/>
    <x v="15"/>
    <x v="15"/>
    <x v="0"/>
    <s v="Transferts hors site pour recyclage"/>
    <s v="Other"/>
    <s v="Autres"/>
    <n v="7.1619999999999999"/>
    <x v="0"/>
    <s v="M3 - Source Testing"/>
    <x v="0"/>
  </r>
  <r>
    <x v="22"/>
    <n v="3754"/>
    <x v="120"/>
    <x v="127"/>
    <n v="211113"/>
    <s v="Conventional Oil and Gas Extraction"/>
    <s v="Extraction de pétrole et de gaz par des méthodes classiques"/>
    <x v="4"/>
    <s v="95-63-6"/>
    <x v="40"/>
    <x v="40"/>
    <x v="0"/>
    <s v="Transferts hors site pour recyclage"/>
    <s v="Recovery of Organic Substances (not solvents)"/>
    <s v="Récupération de substances organiques (pas les solvants)"/>
    <n v="8.9999999999999993E-3"/>
    <x v="0"/>
    <m/>
    <x v="0"/>
  </r>
  <r>
    <x v="30"/>
    <n v="3433"/>
    <x v="121"/>
    <x v="128"/>
    <n v="325510"/>
    <s v="Paint and Coating Manufacturing"/>
    <s v="Fabrication de peintures et de revêtements"/>
    <x v="0"/>
    <s v="NA - 09"/>
    <x v="12"/>
    <x v="12"/>
    <x v="1"/>
    <s v="Transferts hors site pour traitement avant élimination final"/>
    <s v="Municipal Sewage Treatment Plant"/>
    <s v="Usine municipale d'épuration des eaux usées"/>
    <n v="1.2E-2"/>
    <x v="0"/>
    <m/>
    <x v="0"/>
  </r>
  <r>
    <x v="6"/>
    <n v="6409"/>
    <x v="122"/>
    <x v="129"/>
    <n v="326150"/>
    <s v="Urethane and Other Foam Product (except Polystyrene) Manufacturing"/>
    <s v="Fabrication de produits en mousse d'uréthane et en d'autres mousses plastiques (sauf de polystyrène)"/>
    <x v="3"/>
    <s v="110-54-3"/>
    <x v="47"/>
    <x v="47"/>
    <x v="1"/>
    <s v="Transferts hors site pour traitement avant élimination final"/>
    <s v="Chemical Treatment"/>
    <s v="Traitement chimique"/>
    <n v="5.7000000000000002E-2"/>
    <x v="0"/>
    <s v="O - Engineering Estimates"/>
    <x v="0"/>
  </r>
  <r>
    <x v="7"/>
    <n v="29514"/>
    <x v="123"/>
    <x v="130"/>
    <n v="562110"/>
    <s v="Waste collection"/>
    <s v="Collecte de déchets"/>
    <x v="4"/>
    <s v="107-21-1"/>
    <x v="29"/>
    <x v="29"/>
    <x v="1"/>
    <s v="Transferts hors site pour traitement avant élimination final"/>
    <s v="Chemical Treatment"/>
    <s v="Traitement chimique"/>
    <n v="3.7317999999999998"/>
    <x v="0"/>
    <s v="C - Mass Balance"/>
    <x v="0"/>
  </r>
  <r>
    <x v="0"/>
    <n v="1436"/>
    <x v="124"/>
    <x v="131"/>
    <n v="325999"/>
    <s v="All Other Miscellaneous Chemical Product Manufacturing"/>
    <s v="Fabrication de tous les autres produits chimiques divers"/>
    <x v="0"/>
    <s v="108-95-2"/>
    <x v="58"/>
    <x v="58"/>
    <x v="1"/>
    <s v="Transferts hors site pour traitement avant élimination final"/>
    <s v="Incineration / Thermal"/>
    <s v="Incinération / thermique"/>
    <n v="15.5"/>
    <x v="0"/>
    <s v="C - Mass Balance"/>
    <x v="0"/>
  </r>
  <r>
    <x v="7"/>
    <n v="3707"/>
    <x v="12"/>
    <x v="132"/>
    <n v="324110"/>
    <s v="Petroleum refineries"/>
    <s v="Raffineries de pétrole"/>
    <x v="4"/>
    <s v="108-88-3"/>
    <x v="5"/>
    <x v="5"/>
    <x v="0"/>
    <s v="Transferts hors site pour recyclage"/>
    <s v="Recovery of Solvents"/>
    <s v="Récupération de solvants"/>
    <n v="3.0899999999999999E-3"/>
    <x v="0"/>
    <s v="O - Engineering Estimates"/>
    <x v="0"/>
  </r>
  <r>
    <x v="20"/>
    <n v="5455"/>
    <x v="125"/>
    <x v="133"/>
    <n v="562990"/>
    <s v="All Other Waste Management Services"/>
    <s v="Tous les autres services de gestion des déchets"/>
    <x v="3"/>
    <s v="108-88-3"/>
    <x v="5"/>
    <x v="5"/>
    <x v="1"/>
    <s v="Transferts hors site pour traitement avant élimination final"/>
    <s v="Incineration / Thermal"/>
    <s v="Incinération / thermique"/>
    <n v="59.3"/>
    <x v="0"/>
    <s v="O - Engineering Estimates"/>
    <x v="0"/>
  </r>
  <r>
    <x v="2"/>
    <n v="4717"/>
    <x v="126"/>
    <x v="134"/>
    <n v="331210"/>
    <s v="Iron and steel pipes and tubes manufacturing from purchased steel"/>
    <s v="Fabrication de tubes et de tuyaux en fer et en acier à partir d'acier acheté"/>
    <x v="0"/>
    <s v="NA - 09"/>
    <x v="12"/>
    <x v="12"/>
    <x v="0"/>
    <s v="Transferts hors site pour recyclage"/>
    <s v="Recovery of Metals and Metal Compounds"/>
    <s v="Récupération de métaux et leurs composés"/>
    <n v="2"/>
    <x v="0"/>
    <s v="C - Mass Balance"/>
    <x v="0"/>
  </r>
  <r>
    <x v="18"/>
    <n v="2181"/>
    <x v="127"/>
    <x v="135"/>
    <n v="322112"/>
    <s v="Chemical pulp mills"/>
    <s v="Usines de pâte chimique"/>
    <x v="8"/>
    <s v="NA - 02"/>
    <x v="21"/>
    <x v="21"/>
    <x v="1"/>
    <s v="Transferts hors site pour traitement avant élimination final"/>
    <s v="Biological Treatment"/>
    <s v="Traitement biologique"/>
    <n v="42.7"/>
    <x v="1"/>
    <s v="E2 - Published Emission Factors"/>
    <x v="0"/>
  </r>
  <r>
    <x v="25"/>
    <n v="800"/>
    <x v="128"/>
    <x v="136"/>
    <n v="325610"/>
    <s v="Soap and Cleaning Compound Manufacturing"/>
    <s v="Fabrication de savons et de détachants"/>
    <x v="0"/>
    <s v="1330-20-7"/>
    <x v="34"/>
    <x v="34"/>
    <x v="0"/>
    <s v="Transferts hors site pour recyclage"/>
    <s v="Energy Recovery"/>
    <s v="Récupération d'énergie"/>
    <n v="65.334999999999994"/>
    <x v="0"/>
    <s v="O - Engineering Estimates"/>
    <x v="0"/>
  </r>
  <r>
    <x v="18"/>
    <n v="2133"/>
    <x v="129"/>
    <x v="137"/>
    <n v="324190"/>
    <s v="Other petroleum and coal product manufacturing"/>
    <s v="Fabrication d'autres produits du pétrole et du charbon"/>
    <x v="0"/>
    <s v="111-76-2"/>
    <x v="59"/>
    <x v="59"/>
    <x v="1"/>
    <s v="Transferts hors site pour traitement avant élimination final"/>
    <s v="Chemical Treatment"/>
    <s v="Traitement chimique"/>
    <n v="6.4000000000000001E-2"/>
    <x v="0"/>
    <s v="O - Engineering Estimates"/>
    <x v="0"/>
  </r>
  <r>
    <x v="3"/>
    <n v="5151"/>
    <x v="130"/>
    <x v="0"/>
    <n v="325510"/>
    <s v="Paint and Coating Manufacturing"/>
    <s v="Fabrication de peintures et de revêtements"/>
    <x v="2"/>
    <s v="NA - 14"/>
    <x v="13"/>
    <x v="13"/>
    <x v="1"/>
    <s v="Transferts hors site pour traitement avant élimination final"/>
    <s v="Incineration / Thermal"/>
    <s v="Incinération / thermique"/>
    <n v="0.1"/>
    <x v="0"/>
    <s v="C - Mass Balance"/>
    <x v="0"/>
  </r>
  <r>
    <x v="15"/>
    <n v="11440"/>
    <x v="131"/>
    <x v="138"/>
    <n v="336330"/>
    <s v="Motor vehicle steering and suspension components (except spring) manufacturing"/>
    <s v="Fabrication de composants de direction et de suspension pour véhicules automobiles (sauf les ressorts)"/>
    <x v="0"/>
    <s v="NA - 06"/>
    <x v="15"/>
    <x v="15"/>
    <x v="0"/>
    <s v="Transferts hors site pour recyclage"/>
    <s v="Recovery of Metals and Metal Compounds"/>
    <s v="Récupération de métaux et leurs composés"/>
    <n v="28.4"/>
    <x v="0"/>
    <s v="C - Mass Balance"/>
    <x v="0"/>
  </r>
  <r>
    <x v="0"/>
    <n v="3111"/>
    <x v="109"/>
    <x v="0"/>
    <n v="332999"/>
    <s v="All Other Miscellaneous Fabricated Metal Product Manufacturing"/>
    <s v="Fabrication de tous les autres produits métalliques divers"/>
    <x v="0"/>
    <s v="NA - 06"/>
    <x v="15"/>
    <x v="15"/>
    <x v="1"/>
    <s v="Transferts hors site pour traitement avant élimination final"/>
    <s v="Municipal Sewage Treatment Plant"/>
    <s v="Usine municipale d'épuration des eaux usées"/>
    <n v="0.92900000000000005"/>
    <x v="0"/>
    <s v="M - Monitoring or Direct Measurement"/>
    <x v="0"/>
  </r>
  <r>
    <x v="7"/>
    <n v="390"/>
    <x v="132"/>
    <x v="139"/>
    <n v="336410"/>
    <s v="Aerospace product and parts manufacturing"/>
    <s v="Fabrication de produits aérospatiaux et de leurs pièces"/>
    <x v="3"/>
    <s v="7664-93-9"/>
    <x v="30"/>
    <x v="30"/>
    <x v="1"/>
    <s v="Transferts hors site pour traitement avant élimination final"/>
    <s v="Chemical Treatment"/>
    <s v="Traitement chimique"/>
    <n v="7.09"/>
    <x v="0"/>
    <s v="C - Mass Balance"/>
    <x v="0"/>
  </r>
  <r>
    <x v="15"/>
    <n v="397"/>
    <x v="2"/>
    <x v="2"/>
    <n v="336110"/>
    <s v="Automobile and light-duty motor vehicle manufacturing"/>
    <s v="Fabrication de voitures et de véhicules automobiles légers"/>
    <x v="0"/>
    <s v="100-41-4"/>
    <x v="11"/>
    <x v="11"/>
    <x v="0"/>
    <s v="Transferts hors site pour recyclage"/>
    <s v="Recovery of Solvents"/>
    <s v="Récupération de solvants"/>
    <n v="78.763000000000005"/>
    <x v="0"/>
    <s v="C - Mass Balance"/>
    <x v="0"/>
  </r>
  <r>
    <x v="7"/>
    <n v="29768"/>
    <x v="133"/>
    <x v="140"/>
    <n v="332999"/>
    <s v="All other miscellaneous fabricated metal product manufacturing"/>
    <s v="Fabrication de tous les autres produits métalliques divers"/>
    <x v="3"/>
    <s v="NA - 05"/>
    <x v="16"/>
    <x v="16"/>
    <x v="1"/>
    <s v="Transferts hors site pour traitement avant élimination final"/>
    <s v="Physical Treatment"/>
    <s v="Traitement physique"/>
    <n v="0.56999999999999995"/>
    <x v="1"/>
    <s v="C - Mass Balance"/>
    <x v="0"/>
  </r>
  <r>
    <x v="27"/>
    <n v="28621"/>
    <x v="12"/>
    <x v="141"/>
    <n v="211113"/>
    <s v="Conventional Oil and Gas Extraction"/>
    <s v="Extraction de pétrole et de gaz par des méthodes classiques"/>
    <x v="4"/>
    <s v="67-56-1"/>
    <x v="3"/>
    <x v="3"/>
    <x v="0"/>
    <s v="Transferts hors site pour recyclage"/>
    <s v="Recovery of Organic Substances (not solvents)"/>
    <s v="Récupération de substances organiques (pas les solvants)"/>
    <n v="2.8820000000000001"/>
    <x v="0"/>
    <m/>
    <x v="0"/>
  </r>
  <r>
    <x v="27"/>
    <n v="3701"/>
    <x v="12"/>
    <x v="142"/>
    <n v="324110"/>
    <s v="Petroleum Refineries"/>
    <s v="Raffineries de pétrole"/>
    <x v="0"/>
    <s v="NA - 01"/>
    <x v="60"/>
    <x v="60"/>
    <x v="1"/>
    <s v="Transferts hors site pour traitement avant élimination final"/>
    <s v="Incineration / Thermal"/>
    <s v="Incinération / thermique"/>
    <n v="4.1999999999999997E-3"/>
    <x v="0"/>
    <s v="M3 - Source Testing"/>
    <x v="0"/>
  </r>
  <r>
    <x v="9"/>
    <n v="3713"/>
    <x v="92"/>
    <x v="95"/>
    <n v="331110"/>
    <s v="Iron and steel mills and ferro-alloy manufacturing"/>
    <s v="Sidérurgie"/>
    <x v="0"/>
    <s v="NA - 12"/>
    <x v="48"/>
    <x v="48"/>
    <x v="0"/>
    <s v="Transferts hors site pour recyclage"/>
    <s v="Recovery of Metals and Metal Compounds"/>
    <s v="Récupération de métaux et leurs composés"/>
    <n v="3178.5272"/>
    <x v="1"/>
    <s v="C - Mass Balance"/>
    <x v="0"/>
  </r>
  <r>
    <x v="0"/>
    <n v="971"/>
    <x v="134"/>
    <x v="143"/>
    <n v="332619"/>
    <s v="Other Fabricated Wire Product Manufacturing"/>
    <s v="Fabrication d'autres produits en fil métallique"/>
    <x v="5"/>
    <s v="NA - 06"/>
    <x v="15"/>
    <x v="15"/>
    <x v="0"/>
    <s v="Transferts hors site pour recyclage"/>
    <s v="Recovery of Metals and Metal Compounds"/>
    <s v="Récupération de métaux et leurs composés"/>
    <n v="119.3"/>
    <x v="0"/>
    <s v="C - Mass Balance"/>
    <x v="0"/>
  </r>
  <r>
    <x v="5"/>
    <n v="5647"/>
    <x v="5"/>
    <x v="144"/>
    <n v="562210"/>
    <s v="Waste Treatment and Disposal"/>
    <s v="Traitement et élimination des déchets"/>
    <x v="0"/>
    <s v="NA - 22"/>
    <x v="8"/>
    <x v="8"/>
    <x v="1"/>
    <s v="Transferts hors site pour traitement avant élimination final"/>
    <s v="Incineration / Thermal"/>
    <s v="Incinération / thermique"/>
    <n v="4.87"/>
    <x v="0"/>
    <s v="E1 - Site Specific Emission Factors"/>
    <x v="0"/>
  </r>
  <r>
    <x v="21"/>
    <n v="31"/>
    <x v="28"/>
    <x v="29"/>
    <n v="325510"/>
    <s v="Paint and coating manufacturing"/>
    <s v="Fabrication de peintures et de revêtements"/>
    <x v="0"/>
    <s v="100-41-4"/>
    <x v="11"/>
    <x v="11"/>
    <x v="1"/>
    <s v="Transferts hors site pour traitement avant élimination final"/>
    <s v="Incineration / Thermal"/>
    <s v="Incinération / thermique"/>
    <n v="0.6"/>
    <x v="0"/>
    <s v="O - Engineering Estimates"/>
    <x v="0"/>
  </r>
  <r>
    <x v="7"/>
    <n v="31257"/>
    <x v="135"/>
    <x v="145"/>
    <n v="332810"/>
    <s v="Coating, engraving, cold and heat treating and allied activities"/>
    <s v="Revêtement, gravure, traitement thermique et par le froid, et activités analogues"/>
    <x v="0"/>
    <s v="1330-20-7"/>
    <x v="24"/>
    <x v="24"/>
    <x v="0"/>
    <s v="Transferts hors site pour recyclage"/>
    <s v="Recovery of Solvents"/>
    <s v="Récupération de solvants"/>
    <n v="4.4690000000000003"/>
    <x v="0"/>
    <s v="C - Mass Balance"/>
    <x v="0"/>
  </r>
  <r>
    <x v="15"/>
    <n v="3476"/>
    <x v="39"/>
    <x v="146"/>
    <n v="336110"/>
    <s v="Automobile and light-duty motor vehicle manufacturing"/>
    <s v="Fabrication de voitures et de véhicules automobiles légers"/>
    <x v="0"/>
    <s v="NA - 22"/>
    <x v="8"/>
    <x v="8"/>
    <x v="1"/>
    <s v="Transferts hors site pour traitement avant élimination final"/>
    <s v="Municipal Sewage Treatment Plant"/>
    <s v="Usine municipale d'épuration des eaux usées"/>
    <n v="5.524"/>
    <x v="0"/>
    <s v="O - Engineering Estimates"/>
    <x v="0"/>
  </r>
  <r>
    <x v="14"/>
    <n v="29768"/>
    <x v="133"/>
    <x v="140"/>
    <n v="332999"/>
    <s v="All other miscellaneous fabricated metal product manufacturing"/>
    <s v="Fabrication de tous les autres produits métalliques divers"/>
    <x v="3"/>
    <s v="NA - 11"/>
    <x v="4"/>
    <x v="4"/>
    <x v="0"/>
    <s v="Transferts hors site pour recyclage"/>
    <s v="Recovery of Metals and Metal Compounds"/>
    <s v="Récupération de métaux et leurs composés"/>
    <n v="7.1599999999999997E-2"/>
    <x v="0"/>
    <s v="C - Mass Balance"/>
    <x v="0"/>
  </r>
  <r>
    <x v="16"/>
    <n v="5626"/>
    <x v="136"/>
    <x v="147"/>
    <n v="332810"/>
    <s v="Coating, Engraving, Heat Treating and Allied Activities"/>
    <s v="Revêtement, gravure, traitement thermique et activités analogues"/>
    <x v="0"/>
    <s v="NA - 14"/>
    <x v="13"/>
    <x v="13"/>
    <x v="0"/>
    <s v="Transferts hors site pour recyclage"/>
    <s v="Recovery of Metals and Metal Compounds"/>
    <s v="Récupération de métaux et leurs composés"/>
    <n v="331.37900000000002"/>
    <x v="0"/>
    <s v="O - Engineering Estimates"/>
    <x v="0"/>
  </r>
  <r>
    <x v="19"/>
    <n v="4571"/>
    <x v="137"/>
    <x v="0"/>
    <n v="325510"/>
    <s v="Paint and Coating Manufacturing"/>
    <s v="Fabrication de peintures et de revêtements"/>
    <x v="3"/>
    <s v="7429-90-5"/>
    <x v="10"/>
    <x v="10"/>
    <x v="1"/>
    <s v="Transferts hors site pour traitement avant élimination final"/>
    <s v="Incineration / Thermal"/>
    <s v="Incinération / thermique"/>
    <n v="12.24"/>
    <x v="0"/>
    <s v="O - Engineering Estimates"/>
    <x v="0"/>
  </r>
  <r>
    <x v="28"/>
    <n v="2331"/>
    <x v="138"/>
    <x v="148"/>
    <n v="325510"/>
    <s v="Paint and Coating Manufacturing"/>
    <s v="Fabrication de peintures et de revêtements"/>
    <x v="0"/>
    <s v="1330-20-7"/>
    <x v="34"/>
    <x v="34"/>
    <x v="0"/>
    <s v="Transferts hors site pour recyclage"/>
    <s v="Energy Recovery"/>
    <s v="Récupération d'énergie"/>
    <n v="4.2530000000000001"/>
    <x v="0"/>
    <s v="O - Engineering Estimates"/>
    <x v="0"/>
  </r>
  <r>
    <x v="26"/>
    <n v="2909"/>
    <x v="60"/>
    <x v="149"/>
    <n v="321114"/>
    <s v="Wood Preservation"/>
    <s v="Préservation du bois"/>
    <x v="3"/>
    <s v="NA - 04"/>
    <x v="19"/>
    <x v="19"/>
    <x v="1"/>
    <s v="Transferts hors site pour traitement avant élimination final"/>
    <s v="Incineration / Thermal"/>
    <s v="Incinération / thermique"/>
    <n v="0.115"/>
    <x v="0"/>
    <s v="M3 - Source Testing"/>
    <x v="0"/>
  </r>
  <r>
    <x v="24"/>
    <n v="2070"/>
    <x v="139"/>
    <x v="0"/>
    <n v="324190"/>
    <s v="Other Petroleum and Coal Products Manufacturing"/>
    <s v="Fabrication d'autres produits du pétrole et du charbon"/>
    <x v="0"/>
    <s v="1319-77-3"/>
    <x v="61"/>
    <x v="61"/>
    <x v="1"/>
    <s v="Transferts hors site pour traitement avant élimination final"/>
    <s v="Municipal Sewage Treatment Plant"/>
    <s v="Usine municipale d'épuration des eaux usées"/>
    <n v="0.05"/>
    <x v="0"/>
    <s v="O - Engineering Estimates"/>
    <x v="0"/>
  </r>
  <r>
    <x v="20"/>
    <n v="7040"/>
    <x v="140"/>
    <x v="150"/>
    <n v="331511"/>
    <s v="Iron Foundries"/>
    <s v="Fonderies de fer"/>
    <x v="0"/>
    <s v="NA - 09"/>
    <x v="12"/>
    <x v="12"/>
    <x v="0"/>
    <s v="Transferts hors site pour recyclage"/>
    <s v="Other"/>
    <s v="Autres"/>
    <n v="17.992000000000001"/>
    <x v="0"/>
    <s v="M3 - Source Testing"/>
    <x v="0"/>
  </r>
  <r>
    <x v="11"/>
    <n v="8727"/>
    <x v="141"/>
    <x v="151"/>
    <n v="327330"/>
    <s v="Concrete pipe, brick and block manufacturing"/>
    <s v="Fabrication de tuyaux, briques et blocs en béton"/>
    <x v="3"/>
    <s v="NA - 09"/>
    <x v="12"/>
    <x v="12"/>
    <x v="0"/>
    <s v="Transferts hors site pour recyclage"/>
    <s v="Recovery of Metals and Metal Compounds"/>
    <s v="Récupération de métaux et leurs composés"/>
    <n v="4.2149999999999999"/>
    <x v="0"/>
    <s v="C - Mass Balance"/>
    <x v="0"/>
  </r>
  <r>
    <x v="15"/>
    <n v="8645"/>
    <x v="123"/>
    <x v="152"/>
    <n v="562110"/>
    <s v="Waste collection"/>
    <s v="Collecte de déchets"/>
    <x v="3"/>
    <s v="71-36-3"/>
    <x v="50"/>
    <x v="50"/>
    <x v="1"/>
    <s v="Transferts hors site pour traitement avant élimination final"/>
    <s v="Incineration / Thermal"/>
    <s v="Incinération / thermique"/>
    <n v="17.946400000000001"/>
    <x v="0"/>
    <s v="C - Mass Balance"/>
    <x v="0"/>
  </r>
  <r>
    <x v="18"/>
    <n v="4399"/>
    <x v="142"/>
    <x v="153"/>
    <n v="322299"/>
    <s v="All other converted paper product manufacturing"/>
    <s v="Fabrication de tous les autres produits en papier transformé"/>
    <x v="3"/>
    <s v="108-88-3"/>
    <x v="5"/>
    <x v="5"/>
    <x v="1"/>
    <s v="Transferts hors site pour traitement avant élimination final"/>
    <s v="Incineration / Thermal"/>
    <s v="Incinération / thermique"/>
    <n v="2.3340000000000001"/>
    <x v="0"/>
    <s v="C - Mass Balance"/>
    <x v="0"/>
  </r>
  <r>
    <x v="20"/>
    <n v="447"/>
    <x v="143"/>
    <x v="154"/>
    <n v="312140"/>
    <s v="Distilleries"/>
    <s v="Distilleries"/>
    <x v="3"/>
    <s v="7664-93-9"/>
    <x v="30"/>
    <x v="30"/>
    <x v="1"/>
    <s v="Transferts hors site pour traitement avant élimination final"/>
    <s v="Municipal Sewage Treatment Plant"/>
    <s v="Usine municipale d'épuration des eaux usées"/>
    <n v="17.593"/>
    <x v="0"/>
    <s v="C - Mass Balance"/>
    <x v="0"/>
  </r>
  <r>
    <x v="27"/>
    <n v="2578"/>
    <x v="108"/>
    <x v="115"/>
    <n v="336370"/>
    <s v="Motor Vehicle Metal Stamping"/>
    <s v="Emboutissage de pièces en métal pour véhicules automobiles"/>
    <x v="0"/>
    <s v="NA - 14"/>
    <x v="13"/>
    <x v="13"/>
    <x v="0"/>
    <s v="Transferts hors site pour recyclage"/>
    <s v="Energy Recovery"/>
    <s v="Récupération d'énergie"/>
    <n v="0"/>
    <x v="0"/>
    <s v="C - Mass Balance"/>
    <x v="0"/>
  </r>
  <r>
    <x v="17"/>
    <n v="1845"/>
    <x v="144"/>
    <x v="56"/>
    <n v="311511"/>
    <s v="Fluid milk manufacturing"/>
    <s v="Fabrication de lait de consommation"/>
    <x v="0"/>
    <s v="NA - 17"/>
    <x v="36"/>
    <x v="36"/>
    <x v="1"/>
    <s v="Transferts hors site pour traitement avant élimination final"/>
    <s v="Municipal Sewage Treatment Plant"/>
    <s v="Usine municipale d'épuration des eaux usées"/>
    <n v="62.27"/>
    <x v="0"/>
    <s v="O - Engineering Estimates"/>
    <x v="0"/>
  </r>
  <r>
    <x v="6"/>
    <n v="5429"/>
    <x v="145"/>
    <x v="155"/>
    <n v="325999"/>
    <s v="All Other Miscellaneous Chemical Product Manufacturing"/>
    <s v="Fabrication de tous les autres produits chimiques divers"/>
    <x v="3"/>
    <s v="108-95-2"/>
    <x v="58"/>
    <x v="58"/>
    <x v="1"/>
    <s v="Transferts hors site pour traitement avant élimination final"/>
    <s v="Municipal Sewage Treatment Plant"/>
    <s v="Usine municipale d'épuration des eaux usées"/>
    <n v="0"/>
    <x v="0"/>
    <s v="M2 - Predictive Emission Monitoring"/>
    <x v="0"/>
  </r>
  <r>
    <x v="11"/>
    <n v="2855"/>
    <x v="146"/>
    <x v="156"/>
    <n v="325181"/>
    <s v="Alkali and chlorine manufacturing"/>
    <s v="Fabrication d'alcalis et de chlore"/>
    <x v="3"/>
    <s v="67-66-3"/>
    <x v="62"/>
    <x v="62"/>
    <x v="1"/>
    <s v="Transferts hors site pour traitement avant élimination final"/>
    <s v="Incineration / Thermal"/>
    <s v="Incinération / thermique"/>
    <n v="10.231999999999999"/>
    <x v="0"/>
    <s v="O - Engineering Estimates"/>
    <x v="0"/>
  </r>
  <r>
    <x v="17"/>
    <n v="2604"/>
    <x v="147"/>
    <x v="157"/>
    <n v="322112"/>
    <s v="Chemical pulp mills"/>
    <s v="Usines de pâte chimique"/>
    <x v="8"/>
    <s v="56-55-3"/>
    <x v="32"/>
    <x v="32"/>
    <x v="0"/>
    <s v="Transferts hors site pour recyclage"/>
    <s v="Recovery of Pollution Abatement Residues"/>
    <s v="Récupération de résidus de dépollution"/>
    <n v="0.54828399999999999"/>
    <x v="1"/>
    <s v="E2 - Published Emission Factors"/>
    <x v="0"/>
  </r>
  <r>
    <x v="5"/>
    <n v="6792"/>
    <x v="5"/>
    <x v="158"/>
    <n v="562920"/>
    <s v="Material Recovery Facilities"/>
    <s v="Installations de récupération de matériaux"/>
    <x v="2"/>
    <s v="67-56-1"/>
    <x v="3"/>
    <x v="3"/>
    <x v="1"/>
    <s v="Transferts hors site pour traitement avant élimination final"/>
    <s v="Incineration / Thermal"/>
    <s v="Incinération / thermique"/>
    <n v="1.387"/>
    <x v="0"/>
    <s v="C - Mass Balance"/>
    <x v="0"/>
  </r>
  <r>
    <x v="4"/>
    <n v="5606"/>
    <x v="148"/>
    <x v="159"/>
    <n v="337214"/>
    <s v="Office Furniture (except Wood) Manufacturing"/>
    <s v="Fabrication de meubles de bureau, sauf les meubles en bois"/>
    <x v="0"/>
    <s v="NA - 04"/>
    <x v="19"/>
    <x v="19"/>
    <x v="0"/>
    <s v="Transferts hors site pour recyclage"/>
    <s v="Recovery of Metals and Metal Compounds"/>
    <s v="Récupération de métaux et leurs composés"/>
    <n v="12.5"/>
    <x v="0"/>
    <s v="M - Monitoring or Direct Measurement"/>
    <x v="0"/>
  </r>
  <r>
    <x v="12"/>
    <n v="5927"/>
    <x v="149"/>
    <x v="160"/>
    <n v="332999"/>
    <s v="All other miscellaneous fabricated metal product manufacturing"/>
    <s v="Fabrication de tous les autres produits métalliques divers"/>
    <x v="0"/>
    <s v="NA - 22"/>
    <x v="8"/>
    <x v="8"/>
    <x v="0"/>
    <s v="Transferts hors site pour recyclage"/>
    <s v="Recovery of Inorganic Materials (not metals)"/>
    <s v="Récupération de matières inorganiques (pas les métaux)"/>
    <n v="6.92"/>
    <x v="0"/>
    <s v="O - Engineering Estimates"/>
    <x v="0"/>
  </r>
  <r>
    <x v="12"/>
    <n v="762"/>
    <x v="150"/>
    <x v="161"/>
    <n v="325510"/>
    <s v="Paint and coating manufacturing"/>
    <s v="Fabrication de peintures et de revêtements"/>
    <x v="1"/>
    <s v="67-63-0"/>
    <x v="6"/>
    <x v="6"/>
    <x v="1"/>
    <s v="Transferts hors site pour traitement avant élimination final"/>
    <s v="Incineration / Thermal"/>
    <s v="Incinération / thermique"/>
    <n v="0.13700000000000001"/>
    <x v="0"/>
    <s v="O - Engineering Estimates"/>
    <x v="0"/>
  </r>
  <r>
    <x v="29"/>
    <n v="1931"/>
    <x v="151"/>
    <x v="162"/>
    <n v="325510"/>
    <s v="Paint and coating manufacturing"/>
    <s v="Fabrication de peintures et de revêtements"/>
    <x v="0"/>
    <s v="95-63-6"/>
    <x v="40"/>
    <x v="40"/>
    <x v="0"/>
    <s v="Transferts hors site pour recyclage"/>
    <s v="Recovery of Solvents"/>
    <s v="Récupération de solvants"/>
    <n v="0.06"/>
    <x v="0"/>
    <s v="O - Engineering Estimates"/>
    <x v="0"/>
  </r>
  <r>
    <x v="1"/>
    <n v="10219"/>
    <x v="12"/>
    <x v="163"/>
    <n v="412110"/>
    <s v="Petroleum and petroleum products merchant wholesalers"/>
    <s v="Grossistes-marchands de pétrole et de produits pétroliers"/>
    <x v="0"/>
    <s v="56-55-3"/>
    <x v="32"/>
    <x v="32"/>
    <x v="0"/>
    <s v="Transferts hors site pour recyclage"/>
    <s v="Other"/>
    <s v="Autres"/>
    <n v="0.56030000000000002"/>
    <x v="1"/>
    <s v="O - Engineering Estimates"/>
    <x v="0"/>
  </r>
  <r>
    <x v="6"/>
    <n v="3254"/>
    <x v="152"/>
    <x v="164"/>
    <n v="336410"/>
    <s v="Aerospace Product and Parts Manufacturing"/>
    <s v="Fabrication de produits aérospatiaux et de leurs pièces"/>
    <x v="3"/>
    <s v="NA - 04"/>
    <x v="19"/>
    <x v="19"/>
    <x v="1"/>
    <s v="Transferts hors site pour traitement avant élimination final"/>
    <s v="Municipal Sewage Treatment Plant"/>
    <s v="Usine municipale d'épuration des eaux usées"/>
    <n v="1E-3"/>
    <x v="0"/>
    <s v="C - Mass Balance"/>
    <x v="0"/>
  </r>
  <r>
    <x v="15"/>
    <n v="7128"/>
    <x v="153"/>
    <x v="165"/>
    <n v="332118"/>
    <s v="Stamping"/>
    <s v="Estampage"/>
    <x v="0"/>
    <s v="NA - 11"/>
    <x v="4"/>
    <x v="4"/>
    <x v="0"/>
    <s v="Transferts hors site pour recyclage"/>
    <s v="Recovery of Metals and Metal Compounds"/>
    <s v="Récupération de métaux et leurs composés"/>
    <n v="4.6900000000000004"/>
    <x v="0"/>
    <s v="C - Mass Balance"/>
    <x v="0"/>
  </r>
  <r>
    <x v="6"/>
    <n v="4369"/>
    <x v="154"/>
    <x v="166"/>
    <n v="325510"/>
    <s v="Paint and Coating Manufacturing"/>
    <s v="Fabrication de peintures et de revêtements"/>
    <x v="3"/>
    <s v="100-41-4"/>
    <x v="11"/>
    <x v="11"/>
    <x v="1"/>
    <s v="Transferts hors site pour traitement avant élimination final"/>
    <s v="Incineration / Thermal"/>
    <s v="Incinération / thermique"/>
    <n v="0.11600000000000001"/>
    <x v="0"/>
    <s v="O - Engineering Estimates"/>
    <x v="0"/>
  </r>
  <r>
    <x v="26"/>
    <n v="11655"/>
    <x v="155"/>
    <x v="167"/>
    <n v="332710"/>
    <s v="Machine Shops"/>
    <s v="Ateliers d'usinage"/>
    <x v="0"/>
    <s v="7429-90-5"/>
    <x v="10"/>
    <x v="10"/>
    <x v="0"/>
    <s v="Transferts hors site pour recyclage"/>
    <s v="Recovery of Metals and Metal Compounds"/>
    <s v="Récupération de métaux et leurs composés"/>
    <n v="0.13800000000000001"/>
    <x v="0"/>
    <s v="M1 - Continuous Emission Monitoring"/>
    <x v="0"/>
  </r>
  <r>
    <x v="16"/>
    <n v="3111"/>
    <x v="156"/>
    <x v="117"/>
    <n v="332999"/>
    <s v="All Other Miscellaneous Fabricated Metal Product Manufacturing"/>
    <s v="Fabrication de tous les autres produits métalliques divers"/>
    <x v="0"/>
    <s v="NA - 19"/>
    <x v="43"/>
    <x v="43"/>
    <x v="1"/>
    <s v="Transferts hors site pour traitement avant élimination final"/>
    <s v="Municipal Sewage Treatment Plant"/>
    <s v="Usine municipale d'épuration des eaux usées"/>
    <n v="73"/>
    <x v="1"/>
    <s v="O - Engineering Estimates"/>
    <x v="0"/>
  </r>
  <r>
    <x v="9"/>
    <n v="1931"/>
    <x v="116"/>
    <x v="162"/>
    <n v="325510"/>
    <s v="Paint and coating manufacturing"/>
    <s v="Fabrication de peintures et de revêtements"/>
    <x v="0"/>
    <s v="67-63-0"/>
    <x v="6"/>
    <x v="6"/>
    <x v="1"/>
    <s v="Transferts hors site pour traitement avant élimination final"/>
    <s v="Biological Treatment"/>
    <s v="Traitement biologique"/>
    <n v="0"/>
    <x v="0"/>
    <s v="O - Engineering Estimates"/>
    <x v="0"/>
  </r>
  <r>
    <x v="22"/>
    <n v="3430"/>
    <x v="157"/>
    <x v="56"/>
    <n v="325510"/>
    <s v="Paint and Coating Manufacturing"/>
    <s v="Fabrication de peintures et de revêtements"/>
    <x v="0"/>
    <s v="78-83-1"/>
    <x v="23"/>
    <x v="23"/>
    <x v="1"/>
    <s v="Transferts hors site pour traitement avant élimination final"/>
    <s v="Municipal Sewage Treatment Plant"/>
    <s v="Usine municipale d'épuration des eaux usées"/>
    <n v="2E-3"/>
    <x v="0"/>
    <s v="C - Mass Balance"/>
    <x v="0"/>
  </r>
  <r>
    <x v="4"/>
    <n v="4887"/>
    <x v="158"/>
    <x v="0"/>
    <n v="562110"/>
    <s v="Waste Collection"/>
    <s v="Collecte des déchets"/>
    <x v="0"/>
    <s v="107-21-1"/>
    <x v="29"/>
    <x v="29"/>
    <x v="1"/>
    <s v="Transferts hors site pour traitement avant élimination final"/>
    <s v="Physical Treatment"/>
    <s v="Traitement physique"/>
    <n v="39.799999999999997"/>
    <x v="0"/>
    <s v="M - Monitoring or Direct Measurement"/>
    <x v="0"/>
  </r>
  <r>
    <x v="4"/>
    <n v="4416"/>
    <x v="159"/>
    <x v="168"/>
    <n v="331529"/>
    <s v="Non-Ferrous Foundries (except Die-Casting)"/>
    <s v="Fonderies de métaux non ferreux (sauf moulage sous pression)"/>
    <x v="0"/>
    <s v="7664-93-9"/>
    <x v="30"/>
    <x v="30"/>
    <x v="1"/>
    <s v="Transferts hors site pour traitement avant élimination final"/>
    <s v="Incineration / Thermal"/>
    <s v="Incinération / thermique"/>
    <n v="2.38"/>
    <x v="0"/>
    <s v="O - Engineering Estimates"/>
    <x v="0"/>
  </r>
  <r>
    <x v="10"/>
    <n v="3875"/>
    <x v="160"/>
    <x v="169"/>
    <n v="322121"/>
    <s v="Paper (except Newsprint) Mills"/>
    <s v="Usines de papier (sauf le papier journal)"/>
    <x v="3"/>
    <s v="NA - 19"/>
    <x v="43"/>
    <x v="43"/>
    <x v="0"/>
    <s v="Transferts hors site pour recyclage"/>
    <s v="Other"/>
    <s v="Autres"/>
    <n v="7.97"/>
    <x v="1"/>
    <s v="E - Emission Factor"/>
    <x v="0"/>
  </r>
  <r>
    <x v="2"/>
    <n v="1541"/>
    <x v="161"/>
    <x v="170"/>
    <n v="331317"/>
    <s v="Aluminum rolling, drawing, extruding and alloying"/>
    <s v="Laminage, étirage, extrusion et alliage de l'aluminium"/>
    <x v="4"/>
    <s v="NA - 14"/>
    <x v="13"/>
    <x v="13"/>
    <x v="1"/>
    <s v="Transferts hors site pour traitement avant élimination final"/>
    <s v="Incineration / Thermal"/>
    <s v="Incinération / thermique"/>
    <n v="3.0000000000000001E-3"/>
    <x v="0"/>
    <s v="C - Mass Balance"/>
    <x v="0"/>
  </r>
  <r>
    <x v="21"/>
    <n v="30726"/>
    <x v="162"/>
    <x v="171"/>
    <n v="332319"/>
    <s v="Other plate work and fabricated structural product manufacturing"/>
    <s v="Fabrication d'autres tôles fortes et éléments de charpentes"/>
    <x v="0"/>
    <s v="NA - 04"/>
    <x v="19"/>
    <x v="19"/>
    <x v="0"/>
    <s v="Transferts hors site pour recyclage"/>
    <s v="Recovery of Metals and Metal Compounds"/>
    <s v="Récupération de métaux et leurs composés"/>
    <n v="354.464"/>
    <x v="0"/>
    <s v="O - Engineering Estimates"/>
    <x v="0"/>
  </r>
  <r>
    <x v="13"/>
    <n v="4781"/>
    <x v="62"/>
    <x v="172"/>
    <n v="336310"/>
    <s v="Motor Vehicle Gasoline Engine and Engine Parts Manufacturing"/>
    <s v="Fabrication de moteurs et de pièces de moteurs à essence pour véhicules automobiles"/>
    <x v="0"/>
    <s v="NA - 09"/>
    <x v="12"/>
    <x v="12"/>
    <x v="0"/>
    <s v="Transferts hors site pour recyclage"/>
    <s v="Recovery of Metals and Metal Compounds"/>
    <s v="Récupération de métaux et leurs composés"/>
    <n v="185.56700000000001"/>
    <x v="0"/>
    <s v="C - Mass Balance"/>
    <x v="0"/>
  </r>
  <r>
    <x v="1"/>
    <n v="5686"/>
    <x v="100"/>
    <x v="173"/>
    <n v="416210"/>
    <s v="Metal service centres"/>
    <s v="Grossistes-distributeurs de métaux et de produits métalliques"/>
    <x v="1"/>
    <s v="NA - 11"/>
    <x v="4"/>
    <x v="4"/>
    <x v="0"/>
    <s v="Transferts hors site pour recyclage"/>
    <s v="Recovery of Metals and Metal Compounds"/>
    <s v="Récupération de métaux et leurs composés"/>
    <n v="4.1500000000000004"/>
    <x v="0"/>
    <s v="O - Engineering Estimates"/>
    <x v="0"/>
  </r>
  <r>
    <x v="1"/>
    <n v="11576"/>
    <x v="42"/>
    <x v="42"/>
    <n v="336110"/>
    <s v="Automobile and light-duty motor vehicle manufacturing"/>
    <s v="Fabrication de voitures et de véhicules automobiles légers"/>
    <x v="0"/>
    <s v="108-10-1"/>
    <x v="63"/>
    <x v="63"/>
    <x v="1"/>
    <s v="Transferts hors site pour traitement avant élimination final"/>
    <s v="Incineration / Thermal"/>
    <s v="Incinération / thermique"/>
    <n v="2.3E-2"/>
    <x v="0"/>
    <s v="O - Engineering Estimates"/>
    <x v="0"/>
  </r>
  <r>
    <x v="9"/>
    <n v="3201"/>
    <x v="163"/>
    <x v="174"/>
    <n v="322220"/>
    <s v="Paper bag and coated and treated paper manufacturing"/>
    <s v="Fabrication de sacs en papier et de papier couché et traité"/>
    <x v="0"/>
    <s v="67-63-0"/>
    <x v="6"/>
    <x v="6"/>
    <x v="0"/>
    <s v="Transferts hors site pour recyclage"/>
    <s v="Recovery of Solvents"/>
    <s v="Récupération de solvants"/>
    <n v="8.3219999999999992"/>
    <x v="0"/>
    <s v="O - Engineering Estimates"/>
    <x v="0"/>
  </r>
  <r>
    <x v="2"/>
    <n v="5247"/>
    <x v="164"/>
    <x v="175"/>
    <n v="211113"/>
    <s v="Conventional oil and gas extraction"/>
    <s v="Extraction de pétrole et de gaz par des méthodes classiques"/>
    <x v="4"/>
    <s v="67-56-1"/>
    <x v="3"/>
    <x v="3"/>
    <x v="0"/>
    <s v="Transferts hors site pour recyclage"/>
    <s v="Other"/>
    <s v="Autres"/>
    <n v="5.2089999999999996"/>
    <x v="0"/>
    <s v="C - Mass Balance"/>
    <x v="0"/>
  </r>
  <r>
    <x v="14"/>
    <n v="29526"/>
    <x v="165"/>
    <x v="176"/>
    <n v="336212"/>
    <s v="Truck trailer manufacturing"/>
    <s v="Fabrication de remorques de camions"/>
    <x v="0"/>
    <s v="NA - 09"/>
    <x v="12"/>
    <x v="12"/>
    <x v="0"/>
    <s v="Transferts hors site pour recyclage"/>
    <s v="Recovery of Metals and Metal Compounds"/>
    <s v="Récupération de métaux et leurs composés"/>
    <n v="1.6319999999999999"/>
    <x v="0"/>
    <s v="C - Mass Balance"/>
    <x v="0"/>
  </r>
  <r>
    <x v="28"/>
    <n v="2704"/>
    <x v="166"/>
    <x v="177"/>
    <n v="327910"/>
    <s v="Abrasive Product Manufacturing"/>
    <s v="Fabrication de produits abrasifs"/>
    <x v="0"/>
    <s v="NA - 04"/>
    <x v="19"/>
    <x v="19"/>
    <x v="1"/>
    <s v="Transferts hors site pour traitement avant élimination final"/>
    <s v="Chemical Treatment"/>
    <s v="Traitement chimique"/>
    <n v="0.22"/>
    <x v="0"/>
    <s v="O - Engineering Estimates"/>
    <x v="0"/>
  </r>
  <r>
    <x v="20"/>
    <n v="5964"/>
    <x v="167"/>
    <x v="178"/>
    <n v="332810"/>
    <s v="Coating, Engraving, Heat Treating and Allied Activities"/>
    <s v="Revêtement, gravure, traitement thermique et activités analogues"/>
    <x v="0"/>
    <s v="7664-93-9"/>
    <x v="30"/>
    <x v="30"/>
    <x v="1"/>
    <s v="Transferts hors site pour traitement avant élimination final"/>
    <s v="Chemical Treatment"/>
    <s v="Traitement chimique"/>
    <n v="15.82"/>
    <x v="0"/>
    <s v="C - Mass Balance"/>
    <x v="0"/>
  </r>
  <r>
    <x v="16"/>
    <n v="10497"/>
    <x v="168"/>
    <x v="179"/>
    <n v="311515"/>
    <s v="Butter, Cheese, and Dry and Condensed Dairy Product Manufacturing"/>
    <s v="Fabrication de beurre, de fromage et de produits laitiers secs et concentrés"/>
    <x v="3"/>
    <s v="7697-37-2"/>
    <x v="25"/>
    <x v="25"/>
    <x v="1"/>
    <s v="Transferts hors site pour traitement avant élimination final"/>
    <s v="Municipal Sewage Treatment Plant"/>
    <s v="Usine municipale d'épuration des eaux usées"/>
    <n v="0"/>
    <x v="0"/>
    <s v="O - Engineering Estimates"/>
    <x v="0"/>
  </r>
  <r>
    <x v="13"/>
    <n v="1310"/>
    <x v="169"/>
    <x v="180"/>
    <n v="326220"/>
    <s v="Rubber and Plastic Hose and Belting Manufacturing"/>
    <s v="Fabrication de tuyaux souples et de courroies en caoutchouc et en plastique"/>
    <x v="0"/>
    <s v="NA - 14"/>
    <x v="13"/>
    <x v="13"/>
    <x v="0"/>
    <s v="Transferts hors site pour recyclage"/>
    <s v="Other"/>
    <s v="Autres"/>
    <n v="4.9619999999999997"/>
    <x v="0"/>
    <s v="C - Mass Balance"/>
    <x v="0"/>
  </r>
  <r>
    <x v="22"/>
    <n v="3118"/>
    <x v="170"/>
    <x v="181"/>
    <n v="332999"/>
    <s v="All Other Miscellaneous Fabricated Metal Product Manufacturing"/>
    <s v="Fabrication de tous les autres produits métalliques divers"/>
    <x v="2"/>
    <s v="NA - 09"/>
    <x v="12"/>
    <x v="12"/>
    <x v="0"/>
    <s v="Transferts hors site pour recyclage"/>
    <s v="Recovery of Metals and Metal Compounds"/>
    <s v="Récupération de métaux et leurs composés"/>
    <n v="38.673000000000002"/>
    <x v="0"/>
    <s v="C - Mass Balance"/>
    <x v="0"/>
  </r>
  <r>
    <x v="10"/>
    <n v="2960"/>
    <x v="171"/>
    <x v="182"/>
    <n v="324190"/>
    <s v="Other Petroleum and Coal Products Manufacturing"/>
    <s v="Fabrication d'autres produits du pétrole et du charbon"/>
    <x v="4"/>
    <s v="205-99-2"/>
    <x v="35"/>
    <x v="35"/>
    <x v="0"/>
    <s v="Transferts hors site pour recyclage"/>
    <s v="Recovery of Organic Substances (not solvents)"/>
    <s v="Récupération de substances organiques (pas les solvants)"/>
    <n v="1.4139999999999999"/>
    <x v="1"/>
    <m/>
    <x v="0"/>
  </r>
  <r>
    <x v="4"/>
    <n v="3707"/>
    <x v="12"/>
    <x v="183"/>
    <n v="324110"/>
    <s v="Petroleum Refineries"/>
    <s v="Raffineries de pétrole"/>
    <x v="4"/>
    <s v="1330-20-7"/>
    <x v="34"/>
    <x v="34"/>
    <x v="1"/>
    <s v="Transferts hors site pour traitement avant élimination final"/>
    <s v="Incineration / Thermal"/>
    <s v="Incinération / thermique"/>
    <n v="0.40400000000000003"/>
    <x v="0"/>
    <s v="O - Engineering Estimates"/>
    <x v="0"/>
  </r>
  <r>
    <x v="21"/>
    <n v="10884"/>
    <x v="172"/>
    <x v="184"/>
    <n v="221320"/>
    <s v="Sewage treatment facilities"/>
    <s v="Installations d'épuration des eaux usées"/>
    <x v="0"/>
    <s v="NA - 16"/>
    <x v="49"/>
    <x v="49"/>
    <x v="1"/>
    <s v="Transferts hors site pour traitement avant élimination final"/>
    <s v="Biological Treatment"/>
    <s v="Traitement biologique"/>
    <n v="8.9458870000000008"/>
    <x v="0"/>
    <s v="O - Engineering Estimates"/>
    <x v="0"/>
  </r>
  <r>
    <x v="11"/>
    <n v="3701"/>
    <x v="12"/>
    <x v="142"/>
    <n v="324110"/>
    <s v="Petroleum refineries"/>
    <s v="Raffineries de pétrole"/>
    <x v="0"/>
    <s v="208-96-8"/>
    <x v="64"/>
    <x v="64"/>
    <x v="1"/>
    <s v="Transferts hors site pour traitement avant élimination final"/>
    <s v="Incineration / Thermal"/>
    <s v="Incinération / thermique"/>
    <n v="0.02"/>
    <x v="1"/>
    <s v="M3 - Source Testing"/>
    <x v="0"/>
  </r>
  <r>
    <x v="1"/>
    <n v="16483"/>
    <x v="164"/>
    <x v="185"/>
    <n v="211113"/>
    <s v="Conventional oil and gas extraction"/>
    <s v="Extraction de pétrole et de gaz par des méthodes classiques"/>
    <x v="2"/>
    <s v="71-43-2"/>
    <x v="31"/>
    <x v="31"/>
    <x v="0"/>
    <s v="Transferts hors site pour recyclage"/>
    <s v="Other"/>
    <s v="Autres"/>
    <n v="5.4859999999999998"/>
    <x v="0"/>
    <s v="C - Mass Balance"/>
    <x v="0"/>
  </r>
  <r>
    <x v="24"/>
    <n v="3430"/>
    <x v="121"/>
    <x v="186"/>
    <n v="325510"/>
    <s v="Paint and Coating Manufacturing"/>
    <s v="Fabrication de peintures et de revêtements"/>
    <x v="0"/>
    <s v="NA - 08"/>
    <x v="1"/>
    <x v="1"/>
    <x v="1"/>
    <s v="Transferts hors site pour traitement avant élimination final"/>
    <s v="Physical Treatment"/>
    <s v="Traitement physique"/>
    <n v="0.90683999999999998"/>
    <x v="0"/>
    <s v="O - Engineering Estimates"/>
    <x v="0"/>
  </r>
  <r>
    <x v="16"/>
    <n v="5724"/>
    <x v="173"/>
    <x v="187"/>
    <n v="336370"/>
    <s v="Motor Vehicle Metal Stamping"/>
    <s v="Emboutissage de pièces en métal pour véhicules automobiles"/>
    <x v="0"/>
    <s v="NA - 14"/>
    <x v="13"/>
    <x v="13"/>
    <x v="1"/>
    <s v="Transferts hors site pour traitement avant élimination final"/>
    <s v="Municipal Sewage Treatment Plant"/>
    <s v="Usine municipale d'épuration des eaux usées"/>
    <n v="0"/>
    <x v="0"/>
    <s v="O - Engineering Estimates"/>
    <x v="0"/>
  </r>
  <r>
    <x v="2"/>
    <n v="3754"/>
    <x v="174"/>
    <x v="127"/>
    <n v="211113"/>
    <s v="Conventional oil and gas extraction"/>
    <s v="Extraction de pétrole et de gaz par des méthodes classiques"/>
    <x v="4"/>
    <s v="71-43-2"/>
    <x v="31"/>
    <x v="31"/>
    <x v="0"/>
    <s v="Transferts hors site pour recyclage"/>
    <s v="Recovery of Organic Substances (not solvents)"/>
    <s v="Récupération de substances organiques (pas les solvants)"/>
    <n v="0.3115"/>
    <x v="0"/>
    <s v="O - Engineering Estimates"/>
    <x v="0"/>
  </r>
  <r>
    <x v="2"/>
    <n v="29160"/>
    <x v="175"/>
    <x v="188"/>
    <n v="562110"/>
    <s v="Waste collection"/>
    <s v="Collecte de déchets"/>
    <x v="5"/>
    <s v="108-88-3"/>
    <x v="5"/>
    <x v="5"/>
    <x v="1"/>
    <s v="Transferts hors site pour traitement avant élimination final"/>
    <s v="Physical Treatment"/>
    <s v="Traitement physique"/>
    <n v="6.3"/>
    <x v="0"/>
    <s v="O - Engineering Estimates"/>
    <x v="0"/>
  </r>
  <r>
    <x v="20"/>
    <n v="253"/>
    <x v="176"/>
    <x v="189"/>
    <n v="325510"/>
    <s v="Paint and Coating Manufacturing"/>
    <s v="Fabrication de peintures et de revêtements"/>
    <x v="3"/>
    <s v="108-10-1"/>
    <x v="63"/>
    <x v="63"/>
    <x v="0"/>
    <s v="Transferts hors site pour recyclage"/>
    <s v="Recovery of Solvents"/>
    <s v="Récupération de solvants"/>
    <n v="0.36899999999999999"/>
    <x v="0"/>
    <s v="C - Mass Balance"/>
    <x v="0"/>
  </r>
  <r>
    <x v="7"/>
    <n v="5649"/>
    <x v="177"/>
    <x v="190"/>
    <n v="331317"/>
    <s v="Aluminum rolling, drawing, extruding and alloying"/>
    <s v="Laminage, étirage, extrusion et alliage de l'aluminium"/>
    <x v="0"/>
    <s v="NA - 14"/>
    <x v="13"/>
    <x v="13"/>
    <x v="0"/>
    <s v="Transferts hors site pour recyclage"/>
    <s v="Recovery of Metals and Metal Compounds"/>
    <s v="Récupération de métaux et leurs composés"/>
    <n v="32.036000000000001"/>
    <x v="0"/>
    <s v="O - Engineering Estimates"/>
    <x v="0"/>
  </r>
  <r>
    <x v="3"/>
    <n v="3564"/>
    <x v="178"/>
    <x v="0"/>
    <n v="562920"/>
    <s v="Material Recovery Facilities"/>
    <s v="Installations de récupération de matériaux"/>
    <x v="3"/>
    <s v="67-63-0"/>
    <x v="6"/>
    <x v="6"/>
    <x v="0"/>
    <s v="Transferts hors site pour recyclage"/>
    <s v="Energy Recovery"/>
    <s v="Récupération d'énergie"/>
    <n v="29.552"/>
    <x v="0"/>
    <s v="O - Engineering Estimates"/>
    <x v="0"/>
  </r>
  <r>
    <x v="15"/>
    <n v="2703"/>
    <x v="116"/>
    <x v="56"/>
    <n v="418410"/>
    <s v="Chemical (except agricultural) and allied product merchant wholesalers"/>
    <s v="Grossistes-marchands de produits chimiques et de produits analogues (sauf agricoles)"/>
    <x v="0"/>
    <s v="1330-20-7"/>
    <x v="24"/>
    <x v="24"/>
    <x v="0"/>
    <s v="Transferts hors site pour recyclage"/>
    <s v="Energy Recovery"/>
    <s v="Récupération d'énergie"/>
    <n v="2.6"/>
    <x v="0"/>
    <s v="O - Engineering Estimates"/>
    <x v="0"/>
  </r>
  <r>
    <x v="3"/>
    <n v="1861"/>
    <x v="179"/>
    <x v="191"/>
    <n v="221112"/>
    <s v="Fossil-Fuel Electric Power Generation"/>
    <s v="Production d'électricité à partir de combustibles fossiles"/>
    <x v="0"/>
    <s v="NA - 14"/>
    <x v="13"/>
    <x v="13"/>
    <x v="0"/>
    <s v="Transferts hors site pour recyclage"/>
    <s v="Other"/>
    <s v="Autres"/>
    <n v="28.959"/>
    <x v="0"/>
    <s v="E - Emission Factor"/>
    <x v="0"/>
  </r>
  <r>
    <x v="18"/>
    <n v="26445"/>
    <x v="5"/>
    <x v="20"/>
    <n v="562210"/>
    <s v="Waste treatment and disposal"/>
    <s v="Traitement et élimination des déchets"/>
    <x v="2"/>
    <s v="95-63-6"/>
    <x v="40"/>
    <x v="40"/>
    <x v="0"/>
    <s v="Transferts hors site pour recyclage"/>
    <s v="Recovery of Organic Substances (not solvents)"/>
    <s v="Récupération de substances organiques (pas les solvants)"/>
    <n v="0.63670000000000004"/>
    <x v="0"/>
    <s v="C - Mass Balance"/>
    <x v="0"/>
  </r>
  <r>
    <x v="17"/>
    <n v="5189"/>
    <x v="27"/>
    <x v="192"/>
    <n v="221320"/>
    <s v="Sewage treatment facilities"/>
    <s v="Installations d'épuration des eaux usées"/>
    <x v="2"/>
    <s v="91-22-5"/>
    <x v="65"/>
    <x v="65"/>
    <x v="1"/>
    <s v="Transferts hors site pour traitement avant élimination final"/>
    <s v="Incineration / Thermal"/>
    <s v="Incinération / thermique"/>
    <n v="1.8599999999999998E-2"/>
    <x v="1"/>
    <s v="M3 - Source Testing"/>
    <x v="0"/>
  </r>
  <r>
    <x v="7"/>
    <n v="656"/>
    <x v="180"/>
    <x v="193"/>
    <n v="325210"/>
    <s v="Resin and synthetic rubber manufacturing"/>
    <s v="Fabrication de résines et de caoutchouc synthétique"/>
    <x v="0"/>
    <s v="50-00-0"/>
    <x v="17"/>
    <x v="17"/>
    <x v="0"/>
    <s v="Transferts hors site pour recyclage"/>
    <s v="Recovery of Organic Substances (not solvents)"/>
    <s v="Récupération de substances organiques (pas les solvants)"/>
    <n v="1.8"/>
    <x v="0"/>
    <s v="C - Mass Balance"/>
    <x v="0"/>
  </r>
  <r>
    <x v="5"/>
    <n v="11700"/>
    <x v="111"/>
    <x v="119"/>
    <n v="325190"/>
    <s v="Other Basic Organic Chemical Manufacturing"/>
    <s v="Fabrication d'autres produits chimiques organiques de base"/>
    <x v="0"/>
    <s v="67-56-1"/>
    <x v="3"/>
    <x v="3"/>
    <x v="1"/>
    <s v="Transferts hors site pour traitement avant élimination final"/>
    <s v="Municipal Sewage Treatment Plant"/>
    <s v="Usine municipale d'épuration des eaux usées"/>
    <n v="2.8999999999999998E-3"/>
    <x v="0"/>
    <s v="C - Mass Balance"/>
    <x v="0"/>
  </r>
  <r>
    <x v="16"/>
    <n v="6546"/>
    <x v="181"/>
    <x v="194"/>
    <n v="211114"/>
    <s v="Non-Conventional Oil Extraction"/>
    <s v="Extraction de pétrole par des méthodes non classiques"/>
    <x v="4"/>
    <s v="218-01-9"/>
    <x v="66"/>
    <x v="66"/>
    <x v="0"/>
    <s v="Transferts hors site pour recyclage"/>
    <s v="Recovery of Organic Substances (not solvents)"/>
    <s v="Récupération de substances organiques (pas les solvants)"/>
    <n v="20.675000000000001"/>
    <x v="1"/>
    <s v="M3 - Source Testing"/>
    <x v="0"/>
  </r>
  <r>
    <x v="22"/>
    <n v="851"/>
    <x v="182"/>
    <x v="195"/>
    <n v="321911"/>
    <s v="Wood Window and Door Manufacturing"/>
    <s v="Fabrication de portes et de fenêtres en bois"/>
    <x v="1"/>
    <s v="NA - 09"/>
    <x v="12"/>
    <x v="12"/>
    <x v="0"/>
    <s v="Transferts hors site pour recyclage"/>
    <s v="Recovery of Metals and Metal Compounds"/>
    <s v="Récupération de métaux et leurs composés"/>
    <n v="0.78"/>
    <x v="0"/>
    <s v="C - Mass Balance"/>
    <x v="0"/>
  </r>
  <r>
    <x v="26"/>
    <n v="2776"/>
    <x v="8"/>
    <x v="7"/>
    <n v="324110"/>
    <s v="Petroleum Refineries"/>
    <s v="Raffineries de pétrole"/>
    <x v="2"/>
    <s v="91-20-3"/>
    <x v="67"/>
    <x v="67"/>
    <x v="0"/>
    <s v="Transferts hors site pour recyclage"/>
    <s v="Recovery of Catalysts"/>
    <s v="Récupération de catalyseurs"/>
    <n v="0"/>
    <x v="0"/>
    <s v="O - Engineering Estimates"/>
    <x v="0"/>
  </r>
  <r>
    <x v="1"/>
    <n v="3704"/>
    <x v="12"/>
    <x v="81"/>
    <n v="324110"/>
    <s v="Petroleum refineries"/>
    <s v="Raffineries de pétrole"/>
    <x v="0"/>
    <s v="206-44-0"/>
    <x v="68"/>
    <x v="68"/>
    <x v="0"/>
    <s v="Transferts hors site pour recyclage"/>
    <s v="Recovery of Organic Substances (not solvents)"/>
    <s v="Récupération de substances organiques (pas les solvants)"/>
    <n v="9.6000000000000002E-2"/>
    <x v="1"/>
    <s v="M3 - Source Testing"/>
    <x v="0"/>
  </r>
  <r>
    <x v="20"/>
    <n v="1668"/>
    <x v="183"/>
    <x v="196"/>
    <n v="325999"/>
    <s v="All Other Miscellaneous Chemical Product Manufacturing"/>
    <s v="Fabrication de tous les autres produits chimiques divers"/>
    <x v="0"/>
    <s v="95-63-6"/>
    <x v="40"/>
    <x v="40"/>
    <x v="1"/>
    <s v="Transferts hors site pour traitement avant élimination final"/>
    <s v="Incineration / Thermal"/>
    <s v="Incinération / thermique"/>
    <n v="0"/>
    <x v="0"/>
    <s v="O - Engineering Estimates"/>
    <x v="0"/>
  </r>
  <r>
    <x v="11"/>
    <n v="319"/>
    <x v="184"/>
    <x v="197"/>
    <n v="325920"/>
    <s v="Explosives manufacturing"/>
    <s v="Fabrication d'explosifs"/>
    <x v="0"/>
    <s v="NA - 16"/>
    <x v="49"/>
    <x v="49"/>
    <x v="1"/>
    <s v="Transferts hors site pour traitement avant élimination final"/>
    <s v="Physical Treatment"/>
    <s v="Traitement physique"/>
    <n v="0.51300000000000001"/>
    <x v="0"/>
    <s v="M3 - Source Testing"/>
    <x v="0"/>
  </r>
  <r>
    <x v="15"/>
    <n v="4781"/>
    <x v="185"/>
    <x v="172"/>
    <n v="336310"/>
    <s v="Motor vehicle gasoline engine and engine parts manufacturing"/>
    <s v="Fabrication de moteurs et de pièces de moteurs à essence pour véhicules automobiles"/>
    <x v="0"/>
    <s v="NA - 11"/>
    <x v="4"/>
    <x v="4"/>
    <x v="0"/>
    <s v="Transferts hors site pour recyclage"/>
    <s v="Recovery of Metals and Metal Compounds"/>
    <s v="Récupération de métaux et leurs composés"/>
    <n v="8.6620000000000008"/>
    <x v="0"/>
    <s v="O - Engineering Estimates"/>
    <x v="0"/>
  </r>
  <r>
    <x v="18"/>
    <n v="4142"/>
    <x v="186"/>
    <x v="198"/>
    <n v="211113"/>
    <s v="Conventional oil and gas extraction"/>
    <s v="Extraction de pétrole et de gaz par des méthodes classiques"/>
    <x v="4"/>
    <s v="110-54-3"/>
    <x v="47"/>
    <x v="47"/>
    <x v="1"/>
    <s v="Transferts hors site pour traitement avant élimination final"/>
    <s v="Chemical Treatment"/>
    <s v="Traitement chimique"/>
    <n v="1.2915000000000001"/>
    <x v="0"/>
    <s v="O - Engineering Estimates"/>
    <x v="0"/>
  </r>
  <r>
    <x v="27"/>
    <n v="11834"/>
    <x v="187"/>
    <x v="199"/>
    <n v="333920"/>
    <s v="Material Handling Equipment Manufacturing"/>
    <s v="Fabrication de matériel de manutention"/>
    <x v="0"/>
    <s v="NA - 14"/>
    <x v="13"/>
    <x v="13"/>
    <x v="0"/>
    <s v="Transferts hors site pour recyclage"/>
    <s v="Recovery of Metals and Metal Compounds"/>
    <s v="Récupération de métaux et leurs composés"/>
    <n v="1.496"/>
    <x v="0"/>
    <s v="C - Mass Balance"/>
    <x v="0"/>
  </r>
  <r>
    <x v="28"/>
    <n v="3971"/>
    <x v="188"/>
    <x v="200"/>
    <n v="325510"/>
    <s v="Paint and Coating Manufacturing"/>
    <s v="Fabrication de peintures et de revêtements"/>
    <x v="0"/>
    <s v="78-93-3"/>
    <x v="0"/>
    <x v="0"/>
    <x v="1"/>
    <s v="Transferts hors site pour traitement avant élimination final"/>
    <s v="Incineration / Thermal"/>
    <s v="Incinération / thermique"/>
    <n v="59.76"/>
    <x v="0"/>
    <s v="O - Engineering Estimates"/>
    <x v="0"/>
  </r>
  <r>
    <x v="17"/>
    <n v="1931"/>
    <x v="151"/>
    <x v="162"/>
    <n v="325510"/>
    <s v="Paint and coating manufacturing"/>
    <s v="Fabrication de peintures et de revêtements"/>
    <x v="0"/>
    <s v="1330-20-7"/>
    <x v="24"/>
    <x v="24"/>
    <x v="1"/>
    <s v="Transferts hors site pour traitement avant élimination final"/>
    <s v="Incineration / Thermal"/>
    <s v="Incinération / thermique"/>
    <n v="0.16"/>
    <x v="0"/>
    <s v="O - Engineering Estimates"/>
    <x v="0"/>
  </r>
  <r>
    <x v="22"/>
    <n v="3115"/>
    <x v="170"/>
    <x v="201"/>
    <n v="332810"/>
    <s v="Coating, Engraving, Heat Treating and Allied Activities"/>
    <s v="Revêtement, gravure, traitement thermique et activités analogues"/>
    <x v="0"/>
    <s v="71-36-3"/>
    <x v="50"/>
    <x v="50"/>
    <x v="1"/>
    <s v="Transferts hors site pour traitement avant élimination final"/>
    <s v="Incineration / Thermal"/>
    <s v="Incinération / thermique"/>
    <n v="1.68"/>
    <x v="0"/>
    <s v="C - Mass Balance"/>
    <x v="0"/>
  </r>
  <r>
    <x v="26"/>
    <n v="10996"/>
    <x v="189"/>
    <x v="202"/>
    <n v="332810"/>
    <s v="Coating, Engraving, Heat Treating and Allied Activities"/>
    <s v="Revêtement, gravure, traitement thermique et activités analogues"/>
    <x v="0"/>
    <s v="NA - 14"/>
    <x v="13"/>
    <x v="13"/>
    <x v="1"/>
    <s v="Transferts hors site pour traitement avant élimination final"/>
    <s v="Municipal Sewage Treatment Plant"/>
    <s v="Usine municipale d'épuration des eaux usées"/>
    <n v="3.9E-2"/>
    <x v="0"/>
    <s v="C - Mass Balance"/>
    <x v="0"/>
  </r>
  <r>
    <x v="19"/>
    <n v="2044"/>
    <x v="190"/>
    <x v="203"/>
    <n v="339990"/>
    <s v="All Other Miscellaneous Manufacturing"/>
    <s v="Toutes les autres activités diverses de fabrication"/>
    <x v="0"/>
    <s v="111-76-2"/>
    <x v="59"/>
    <x v="59"/>
    <x v="0"/>
    <s v="Transferts hors site pour recyclage"/>
    <s v="Other"/>
    <s v="Autres"/>
    <n v="0.97"/>
    <x v="0"/>
    <s v="O - Engineering Estimates"/>
    <x v="0"/>
  </r>
  <r>
    <x v="10"/>
    <n v="2399"/>
    <x v="191"/>
    <x v="0"/>
    <n v="332810"/>
    <s v="Coating, Engraving, Heat Treating and Allied Activities"/>
    <s v="Revêtement, gravure, traitement thermique et activités analogues"/>
    <x v="0"/>
    <s v="NA - 08"/>
    <x v="1"/>
    <x v="1"/>
    <x v="1"/>
    <s v="Transferts hors site pour traitement avant élimination final"/>
    <s v="Physical Treatment"/>
    <s v="Traitement physique"/>
    <n v="4.9000000000000002E-2"/>
    <x v="1"/>
    <s v="M - Monitoring or Direct Measurement"/>
    <x v="0"/>
  </r>
  <r>
    <x v="3"/>
    <n v="3599"/>
    <x v="192"/>
    <x v="0"/>
    <n v="325999"/>
    <s v="All Other Miscellaneous Chemical Product Manufacturing"/>
    <s v="Fabrication de tous les autres produits chimiques divers"/>
    <x v="0"/>
    <s v="107-21-1"/>
    <x v="29"/>
    <x v="29"/>
    <x v="0"/>
    <s v="Transferts hors site pour recyclage"/>
    <s v="Refining or Re-use of Used Oil"/>
    <s v="Raffinage ou réutilisation d'huiles usées"/>
    <n v="0.55200000000000005"/>
    <x v="0"/>
    <s v="M - Monitoring or Direct Measurement"/>
    <x v="0"/>
  </r>
  <r>
    <x v="22"/>
    <n v="3824"/>
    <x v="193"/>
    <x v="0"/>
    <n v="331110"/>
    <s v="Iron and Steel Mills and Ferro-Alloy Manufacturing"/>
    <s v="Sidérurgie"/>
    <x v="0"/>
    <s v="NA - 06"/>
    <x v="15"/>
    <x v="15"/>
    <x v="0"/>
    <s v="Transferts hors site pour recyclage"/>
    <s v="Recovery of Metals and Metal Compounds"/>
    <s v="Récupération de métaux et leurs composés"/>
    <n v="56.390999999999998"/>
    <x v="0"/>
    <s v="M - Monitoring or Direct Measurement"/>
    <x v="0"/>
  </r>
  <r>
    <x v="16"/>
    <n v="4609"/>
    <x v="60"/>
    <x v="204"/>
    <n v="321114"/>
    <s v="Wood Preservation"/>
    <s v="Préservation du bois"/>
    <x v="7"/>
    <s v="118-74-1"/>
    <x v="69"/>
    <x v="69"/>
    <x v="1"/>
    <s v="Transferts hors site pour traitement avant élimination final"/>
    <s v="Incineration / Thermal"/>
    <s v="Incinération / thermique"/>
    <n v="0.151"/>
    <x v="3"/>
    <s v="E2 - Published Emission Factors"/>
    <x v="0"/>
  </r>
  <r>
    <x v="23"/>
    <n v="3231"/>
    <x v="194"/>
    <x v="205"/>
    <n v="336110"/>
    <s v="Automobile and Light-Duty Motor Vehicle Manufacturing"/>
    <s v="Fabrication de voitures et de véhicules automobiles légers"/>
    <x v="0"/>
    <s v="NA - 11"/>
    <x v="4"/>
    <x v="4"/>
    <x v="0"/>
    <s v="Transferts hors site pour recyclage"/>
    <s v="Recovery of Metals and Metal Compounds"/>
    <s v="Récupération de métaux et leurs composés"/>
    <n v="4.5789999999999997"/>
    <x v="0"/>
    <s v="O - Engineering Estimates"/>
    <x v="0"/>
  </r>
  <r>
    <x v="13"/>
    <n v="1671"/>
    <x v="195"/>
    <x v="206"/>
    <n v="418410"/>
    <s v="Chemical (except Agricultural) and Allied Product Wholesaler-Distributors"/>
    <s v="Grossistes-distributeurs de produits chimiques et de produits analogues (sauf agricoles)"/>
    <x v="4"/>
    <s v="107-21-1"/>
    <x v="29"/>
    <x v="29"/>
    <x v="0"/>
    <s v="Transferts hors site pour recyclage"/>
    <s v="Energy Recovery"/>
    <s v="Récupération d'énergie"/>
    <n v="3.59"/>
    <x v="0"/>
    <s v="C - Mass Balance"/>
    <x v="0"/>
  </r>
  <r>
    <x v="11"/>
    <n v="6028"/>
    <x v="196"/>
    <x v="207"/>
    <n v="212210"/>
    <s v="Iron ore mining"/>
    <s v="Extraction de minerais de fer"/>
    <x v="3"/>
    <s v="NA - 08"/>
    <x v="1"/>
    <x v="1"/>
    <x v="0"/>
    <s v="Transferts hors site pour recyclage"/>
    <s v="Recovery of Metals and Metal Compounds"/>
    <s v="Récupération de métaux et leurs composés"/>
    <n v="1451"/>
    <x v="1"/>
    <s v="C - Mass Balance"/>
    <x v="0"/>
  </r>
  <r>
    <x v="2"/>
    <n v="11190"/>
    <x v="197"/>
    <x v="208"/>
    <n v="416210"/>
    <s v="Metal service centres"/>
    <s v="Grossistes-distributeurs de métaux et de produits métalliques"/>
    <x v="0"/>
    <s v="NA - 09"/>
    <x v="12"/>
    <x v="12"/>
    <x v="0"/>
    <s v="Transferts hors site pour recyclage"/>
    <s v="Recovery of Metals and Metal Compounds"/>
    <s v="Récupération de métaux et leurs composés"/>
    <n v="12.32"/>
    <x v="0"/>
    <s v="C - Mass Balance"/>
    <x v="0"/>
  </r>
  <r>
    <x v="1"/>
    <n v="3758"/>
    <x v="198"/>
    <x v="209"/>
    <n v="211113"/>
    <s v="Conventional oil and gas extraction"/>
    <s v="Extraction de pétrole et de gaz par des méthodes classiques"/>
    <x v="4"/>
    <s v="110-54-3"/>
    <x v="47"/>
    <x v="47"/>
    <x v="0"/>
    <s v="Transferts hors site pour recyclage"/>
    <s v="Recovery of Organic Substances (not solvents)"/>
    <s v="Récupération de substances organiques (pas les solvants)"/>
    <n v="2.0199999999999999E-2"/>
    <x v="0"/>
    <s v="O - Engineering Estimates"/>
    <x v="0"/>
  </r>
  <r>
    <x v="27"/>
    <n v="11576"/>
    <x v="42"/>
    <x v="42"/>
    <n v="336110"/>
    <s v="Automobile and Light-Duty Motor Vehicle Manufacturing"/>
    <s v="Fabrication de voitures et de véhicules automobiles légers"/>
    <x v="0"/>
    <s v="NA - 22"/>
    <x v="8"/>
    <x v="8"/>
    <x v="1"/>
    <s v="Transferts hors site pour traitement avant élimination final"/>
    <s v="Incineration / Thermal"/>
    <s v="Incinération / thermique"/>
    <n v="1.0999999999999999E-2"/>
    <x v="0"/>
    <s v="O - Engineering Estimates"/>
    <x v="0"/>
  </r>
  <r>
    <x v="11"/>
    <n v="2638"/>
    <x v="199"/>
    <x v="210"/>
    <n v="221320"/>
    <s v="Sewage treatment facilities"/>
    <s v="Installations d'épuration des eaux usées"/>
    <x v="5"/>
    <s v="NA - 17"/>
    <x v="36"/>
    <x v="36"/>
    <x v="1"/>
    <s v="Transferts hors site pour traitement avant élimination final"/>
    <s v="Biological Treatment"/>
    <s v="Traitement biologique"/>
    <n v="2E-3"/>
    <x v="0"/>
    <s v="M3 - Source Testing"/>
    <x v="0"/>
  </r>
  <r>
    <x v="13"/>
    <n v="225"/>
    <x v="200"/>
    <x v="211"/>
    <n v="331317"/>
    <s v="Aluminum Rolling, Drawing, Extruding and Alloying"/>
    <s v="Laminage, étirage, extrusion et alliage de l'aluminium"/>
    <x v="0"/>
    <s v="NA - 22"/>
    <x v="8"/>
    <x v="8"/>
    <x v="0"/>
    <s v="Transferts hors site pour recyclage"/>
    <s v="Recovery of Acids and Bases"/>
    <s v="Récupération d'acides ou de bases"/>
    <n v="92.933999999999997"/>
    <x v="0"/>
    <s v="O - Engineering Estimates"/>
    <x v="0"/>
  </r>
  <r>
    <x v="20"/>
    <n v="6562"/>
    <x v="120"/>
    <x v="212"/>
    <n v="211113"/>
    <s v="Conventional Oil and Gas Extraction"/>
    <s v="Extraction de pétrole et de gaz par des méthodes classiques"/>
    <x v="4"/>
    <s v="110-54-3"/>
    <x v="47"/>
    <x v="47"/>
    <x v="1"/>
    <s v="Transferts hors site pour traitement avant élimination final"/>
    <s v="Incineration / Thermal"/>
    <s v="Incinération / thermique"/>
    <n v="2.008"/>
    <x v="0"/>
    <s v="O - Engineering Estimates"/>
    <x v="0"/>
  </r>
  <r>
    <x v="26"/>
    <n v="139"/>
    <x v="201"/>
    <x v="213"/>
    <n v="332810"/>
    <s v="Coating, Engraving, Heat Treating and Allied Activities"/>
    <s v="Revêtement, gravure, traitement thermique et activités analogues"/>
    <x v="0"/>
    <s v="78-93-3"/>
    <x v="0"/>
    <x v="0"/>
    <x v="0"/>
    <s v="Transferts hors site pour recyclage"/>
    <s v="Recovery of Solvents"/>
    <s v="Récupération de solvants"/>
    <n v="8.3960000000000008"/>
    <x v="0"/>
    <s v="C - Mass Balance"/>
    <x v="0"/>
  </r>
  <r>
    <x v="14"/>
    <n v="1562"/>
    <x v="151"/>
    <x v="214"/>
    <n v="325510"/>
    <s v="Paint and coating manufacturing"/>
    <s v="Fabrication de peintures et de revêtements"/>
    <x v="0"/>
    <s v="100-41-4"/>
    <x v="11"/>
    <x v="11"/>
    <x v="0"/>
    <s v="Transferts hors site pour recyclage"/>
    <s v="Energy Recovery"/>
    <s v="Récupération d'énergie"/>
    <n v="2.19"/>
    <x v="0"/>
    <s v="O - Engineering Estimates"/>
    <x v="0"/>
  </r>
  <r>
    <x v="25"/>
    <n v="722"/>
    <x v="202"/>
    <x v="0"/>
    <n v="325510"/>
    <s v="Paint and Coating Manufacturing"/>
    <s v="Fabrication de peintures et de revêtements"/>
    <x v="0"/>
    <s v="108-88-3"/>
    <x v="5"/>
    <x v="5"/>
    <x v="1"/>
    <s v="Transferts hors site pour traitement avant élimination final"/>
    <s v="Incineration / Thermal"/>
    <s v="Incinération / thermique"/>
    <n v="0.89"/>
    <x v="0"/>
    <s v="O - Engineering Estimates"/>
    <x v="0"/>
  </r>
  <r>
    <x v="30"/>
    <n v="2263"/>
    <x v="203"/>
    <x v="0"/>
    <n v="322299"/>
    <s v="All Other Converted Paper Product Manufacturing"/>
    <s v="Fabrication de tous les autres produits en papier transformé"/>
    <x v="0"/>
    <s v="71-36-3"/>
    <x v="50"/>
    <x v="50"/>
    <x v="1"/>
    <s v="Transferts hors site pour traitement avant élimination final"/>
    <s v="Municipal Sewage Treatment Plant"/>
    <s v="Usine municipale d'épuration des eaux usées"/>
    <n v="11"/>
    <x v="0"/>
    <m/>
    <x v="0"/>
  </r>
  <r>
    <x v="20"/>
    <n v="6395"/>
    <x v="204"/>
    <x v="215"/>
    <n v="335920"/>
    <s v="Communication and Energy Wire and Cable Manufacturing"/>
    <s v="Fabrication de fils et de câbles électriques et de communication"/>
    <x v="3"/>
    <s v="NA - 06"/>
    <x v="15"/>
    <x v="15"/>
    <x v="0"/>
    <s v="Transferts hors site pour recyclage"/>
    <s v="Recovery of Metals and Metal Compounds"/>
    <s v="Récupération de métaux et leurs composés"/>
    <n v="589"/>
    <x v="0"/>
    <s v="C - Mass Balance"/>
    <x v="0"/>
  </r>
  <r>
    <x v="13"/>
    <n v="3161"/>
    <x v="205"/>
    <x v="216"/>
    <n v="221113"/>
    <s v="Nuclear Electric Power Generation"/>
    <s v="Production d'électricité d'origine nucléaire"/>
    <x v="0"/>
    <s v="1332-21-4"/>
    <x v="70"/>
    <x v="70"/>
    <x v="1"/>
    <s v="Transferts hors site pour traitement avant élimination final"/>
    <s v="Chemical Treatment"/>
    <s v="Traitement chimique"/>
    <n v="0"/>
    <x v="0"/>
    <s v="C - Mass Balance"/>
    <x v="0"/>
  </r>
  <r>
    <x v="9"/>
    <n v="7797"/>
    <x v="123"/>
    <x v="217"/>
    <n v="562210"/>
    <s v="Waste treatment and disposal"/>
    <s v="Traitement et élimination des déchets"/>
    <x v="2"/>
    <s v="107-21-1"/>
    <x v="29"/>
    <x v="29"/>
    <x v="0"/>
    <s v="Transferts hors site pour recyclage"/>
    <s v="Recovery of Organic Substances (not solvents)"/>
    <s v="Récupération de substances organiques (pas les solvants)"/>
    <n v="154.3545"/>
    <x v="0"/>
    <s v="C - Mass Balance"/>
    <x v="0"/>
  </r>
  <r>
    <x v="28"/>
    <n v="4311"/>
    <x v="206"/>
    <x v="218"/>
    <n v="323119"/>
    <s v="Other Printing"/>
    <s v="Autres activités d'impression"/>
    <x v="0"/>
    <s v="67-56-1"/>
    <x v="3"/>
    <x v="3"/>
    <x v="1"/>
    <s v="Transferts hors site pour traitement avant élimination final"/>
    <s v="Incineration / Thermal"/>
    <s v="Incinération / thermique"/>
    <n v="4.4000000000000004"/>
    <x v="0"/>
    <s v="O - Engineering Estimates"/>
    <x v="0"/>
  </r>
  <r>
    <x v="4"/>
    <n v="3753"/>
    <x v="207"/>
    <x v="219"/>
    <n v="211113"/>
    <s v="Conventional Oil and Gas Extraction"/>
    <s v="Extraction de pétrole et de gaz par des méthodes classiques"/>
    <x v="4"/>
    <s v="110-82-7"/>
    <x v="71"/>
    <x v="71"/>
    <x v="1"/>
    <s v="Transferts hors site pour traitement avant élimination final"/>
    <s v="Incineration / Thermal"/>
    <s v="Incinération / thermique"/>
    <n v="4.1000000000000002E-2"/>
    <x v="0"/>
    <s v="O - Engineering Estimates"/>
    <x v="0"/>
  </r>
  <r>
    <x v="22"/>
    <n v="4407"/>
    <x v="208"/>
    <x v="18"/>
    <n v="325999"/>
    <s v="All Other Miscellaneous Chemical Product Manufacturing"/>
    <s v="Fabrication de tous les autres produits chimiques divers"/>
    <x v="3"/>
    <s v="108-95-2"/>
    <x v="58"/>
    <x v="58"/>
    <x v="1"/>
    <s v="Transferts hors site pour traitement avant élimination final"/>
    <s v="Incineration / Thermal"/>
    <s v="Incinération / thermique"/>
    <n v="27.138999999999999"/>
    <x v="0"/>
    <s v="O - Engineering Estimates"/>
    <x v="0"/>
  </r>
  <r>
    <x v="2"/>
    <n v="3419"/>
    <x v="185"/>
    <x v="220"/>
    <n v="336110"/>
    <s v="Automobile and light-duty motor vehicle manufacturing"/>
    <s v="Fabrication de voitures et de véhicules automobiles légers"/>
    <x v="0"/>
    <s v="117-81-7"/>
    <x v="37"/>
    <x v="37"/>
    <x v="1"/>
    <s v="Transferts hors site pour traitement avant élimination final"/>
    <s v="Incineration / Thermal"/>
    <s v="Incinération / thermique"/>
    <n v="0.23699999999999999"/>
    <x v="0"/>
    <s v="O - Engineering Estimates"/>
    <x v="0"/>
  </r>
  <r>
    <x v="9"/>
    <n v="5135"/>
    <x v="209"/>
    <x v="221"/>
    <n v="562210"/>
    <s v="Waste treatment and disposal"/>
    <s v="Traitement et élimination des déchets"/>
    <x v="2"/>
    <s v="NA - 03"/>
    <x v="28"/>
    <x v="28"/>
    <x v="0"/>
    <s v="Transferts hors site pour recyclage"/>
    <s v="Recovery of Metals and Metal Compounds"/>
    <s v="Récupération de métaux et leurs composés"/>
    <n v="12.814500000000001"/>
    <x v="1"/>
    <s v="O - Engineering Estimates"/>
    <x v="0"/>
  </r>
  <r>
    <x v="6"/>
    <n v="7180"/>
    <x v="210"/>
    <x v="222"/>
    <n v="332720"/>
    <s v="Turned Product and Screw, Nut and Bolt Manufacturing"/>
    <s v="Fabrication de produits tournés, de vis, d'écrous et de boulons"/>
    <x v="0"/>
    <s v="NA - 14"/>
    <x v="13"/>
    <x v="13"/>
    <x v="0"/>
    <s v="Transferts hors site pour recyclage"/>
    <s v="Recovery of Metals and Metal Compounds"/>
    <s v="Récupération de métaux et leurs composés"/>
    <n v="11.565"/>
    <x v="0"/>
    <s v="C - Mass Balance"/>
    <x v="0"/>
  </r>
  <r>
    <x v="14"/>
    <n v="1338"/>
    <x v="27"/>
    <x v="66"/>
    <n v="221320"/>
    <s v="Sewage treatment facilities"/>
    <s v="Installations d'épuration des eaux usées"/>
    <x v="2"/>
    <s v="NA - 10"/>
    <x v="9"/>
    <x v="9"/>
    <x v="0"/>
    <s v="Transferts hors site pour recyclage"/>
    <s v="Recovery of Pollution Abatement Residues"/>
    <s v="Récupération de résidus de dépollution"/>
    <n v="4.7302"/>
    <x v="1"/>
    <s v="M3 - Source Testing"/>
    <x v="0"/>
  </r>
  <r>
    <x v="22"/>
    <n v="4905"/>
    <x v="211"/>
    <x v="223"/>
    <n v="335920"/>
    <s v="Communication and Energy Wire and Cable Manufacturing"/>
    <s v="Fabrication de fils et de câbles électriques et de communication"/>
    <x v="3"/>
    <s v="NA - 06"/>
    <x v="15"/>
    <x v="15"/>
    <x v="0"/>
    <s v="Transferts hors site pour recyclage"/>
    <s v="Recovery of Metals and Metal Compounds"/>
    <s v="Récupération de métaux et leurs composés"/>
    <n v="6.47"/>
    <x v="0"/>
    <s v="M - Monitoring or Direct Measurement"/>
    <x v="0"/>
  </r>
  <r>
    <x v="9"/>
    <n v="7674"/>
    <x v="212"/>
    <x v="224"/>
    <n v="331523"/>
    <s v="Non-ferrous die-casting foundries"/>
    <s v="Fonderies de métaux non ferreux, moulage sous pression"/>
    <x v="0"/>
    <s v="NA - 14"/>
    <x v="13"/>
    <x v="13"/>
    <x v="0"/>
    <s v="Transferts hors site pour recyclage"/>
    <s v="Recovery of Metals and Metal Compounds"/>
    <s v="Récupération de métaux et leurs composés"/>
    <n v="22.591999999999999"/>
    <x v="0"/>
    <s v="C - Mass Balance"/>
    <x v="0"/>
  </r>
  <r>
    <x v="18"/>
    <n v="2587"/>
    <x v="213"/>
    <x v="225"/>
    <n v="322121"/>
    <s v="Paper (except newsprint) mills"/>
    <s v="Usines de papier (sauf le papier journal)"/>
    <x v="3"/>
    <s v="NA - 10"/>
    <x v="9"/>
    <x v="9"/>
    <x v="1"/>
    <s v="Transferts hors site pour traitement avant élimination final"/>
    <s v="Physical Treatment"/>
    <s v="Traitement physique"/>
    <n v="2.5000000000000001E-2"/>
    <x v="1"/>
    <s v="C - Mass Balance"/>
    <x v="0"/>
  </r>
  <r>
    <x v="21"/>
    <n v="3824"/>
    <x v="118"/>
    <x v="226"/>
    <n v="331110"/>
    <s v="Iron and steel mills and ferro-alloy manufacturing"/>
    <s v="Sidérurgie"/>
    <x v="0"/>
    <s v="NA - 11"/>
    <x v="4"/>
    <x v="4"/>
    <x v="1"/>
    <s v="Transferts hors site pour traitement avant élimination final"/>
    <s v="Chemical Treatment"/>
    <s v="Traitement chimique"/>
    <n v="0.13089999999999999"/>
    <x v="0"/>
    <s v="M3 - Source Testing"/>
    <x v="0"/>
  </r>
  <r>
    <x v="19"/>
    <n v="105"/>
    <x v="214"/>
    <x v="0"/>
    <n v="339990"/>
    <s v="All Other Miscellaneous Manufacturing"/>
    <s v="Toutes les autres activités diverses de fabrication"/>
    <x v="3"/>
    <s v="7664-93-9"/>
    <x v="30"/>
    <x v="30"/>
    <x v="0"/>
    <s v="Transferts hors site pour recyclage"/>
    <s v="Other"/>
    <s v="Autres"/>
    <n v="1089.6310000000001"/>
    <x v="0"/>
    <s v="C - Mass Balance"/>
    <x v="0"/>
  </r>
  <r>
    <x v="27"/>
    <n v="2677"/>
    <x v="173"/>
    <x v="227"/>
    <n v="336370"/>
    <s v="Motor Vehicle Metal Stamping"/>
    <s v="Emboutissage de pièces en métal pour véhicules automobiles"/>
    <x v="0"/>
    <s v="NA - 06"/>
    <x v="15"/>
    <x v="15"/>
    <x v="1"/>
    <s v="Transferts hors site pour traitement avant élimination final"/>
    <s v="Municipal Sewage Treatment Plant"/>
    <s v="Usine municipale d'épuration des eaux usées"/>
    <n v="2.0000000000000001E-4"/>
    <x v="0"/>
    <s v="C - Mass Balance"/>
    <x v="0"/>
  </r>
  <r>
    <x v="3"/>
    <n v="4626"/>
    <x v="215"/>
    <x v="0"/>
    <n v="332810"/>
    <s v="Coating, Engraving, Heat Treating and Allied Activities"/>
    <s v="Revêtement, gravure, traitement thermique et activités analogues"/>
    <x v="0"/>
    <s v="7647-01-0"/>
    <x v="7"/>
    <x v="7"/>
    <x v="1"/>
    <s v="Transferts hors site pour traitement avant élimination final"/>
    <s v="Chemical Treatment"/>
    <s v="Traitement chimique"/>
    <n v="2.27"/>
    <x v="0"/>
    <s v="M - Monitoring or Direct Measurement"/>
    <x v="0"/>
  </r>
  <r>
    <x v="14"/>
    <n v="3897"/>
    <x v="216"/>
    <x v="41"/>
    <n v="324110"/>
    <s v="Petroleum refineries"/>
    <s v="Raffineries de pétrole"/>
    <x v="3"/>
    <s v="NA - 10"/>
    <x v="9"/>
    <x v="9"/>
    <x v="1"/>
    <s v="Transferts hors site pour traitement avant élimination final"/>
    <s v="Chemical Treatment"/>
    <s v="Traitement chimique"/>
    <n v="2.8167000000000001E-2"/>
    <x v="1"/>
    <s v="O - Engineering Estimates"/>
    <x v="0"/>
  </r>
  <r>
    <x v="8"/>
    <n v="7977"/>
    <x v="217"/>
    <x v="228"/>
    <n v="331222"/>
    <s v="Steel Wire Drawing"/>
    <s v="Étirage de fils d'acier"/>
    <x v="2"/>
    <s v="NA - 14"/>
    <x v="13"/>
    <x v="13"/>
    <x v="0"/>
    <s v="Transferts hors site pour recyclage"/>
    <s v="Recovery of Metals and Metal Compounds"/>
    <s v="Récupération de métaux et leurs composés"/>
    <n v="26.38"/>
    <x v="0"/>
    <s v="M3 - Source Testing"/>
    <x v="0"/>
  </r>
  <r>
    <x v="19"/>
    <n v="432"/>
    <x v="218"/>
    <x v="229"/>
    <n v="211113"/>
    <s v="Conventional Oil and Gas Extraction"/>
    <s v="Extraction de pétrole et de gaz par des méthodes classiques"/>
    <x v="4"/>
    <s v="110-82-7"/>
    <x v="71"/>
    <x v="71"/>
    <x v="1"/>
    <s v="Transferts hors site pour traitement avant élimination final"/>
    <s v="Incineration / Thermal"/>
    <s v="Incinération / thermique"/>
    <n v="4.9000000000000002E-2"/>
    <x v="0"/>
    <s v="O - Engineering Estimates"/>
    <x v="0"/>
  </r>
  <r>
    <x v="6"/>
    <n v="3893"/>
    <x v="219"/>
    <x v="230"/>
    <n v="336110"/>
    <s v="Automobile and Light-Duty Motor Vehicle Manufacturing"/>
    <s v="Fabrication de voitures et de véhicules automobiles légers"/>
    <x v="0"/>
    <s v="111-76-2"/>
    <x v="59"/>
    <x v="59"/>
    <x v="1"/>
    <s v="Transferts hors site pour traitement avant élimination final"/>
    <s v="Incineration / Thermal"/>
    <s v="Incinération / thermique"/>
    <n v="0.316"/>
    <x v="0"/>
    <s v="O - Engineering Estimates"/>
    <x v="0"/>
  </r>
  <r>
    <x v="3"/>
    <n v="4509"/>
    <x v="220"/>
    <x v="0"/>
    <n v="332999"/>
    <s v="All Other Miscellaneous Fabricated Metal Product Manufacturing"/>
    <s v="Fabrication de tous les autres produits métalliques divers"/>
    <x v="0"/>
    <s v="NA - 06"/>
    <x v="15"/>
    <x v="15"/>
    <x v="0"/>
    <s v="Transferts hors site pour recyclage"/>
    <s v="Recovery of Metals and Metal Compounds"/>
    <s v="Récupération de métaux et leurs composés"/>
    <n v="24.14"/>
    <x v="0"/>
    <s v="M - Monitoring or Direct Measurement"/>
    <x v="0"/>
  </r>
  <r>
    <x v="11"/>
    <n v="3704"/>
    <x v="12"/>
    <x v="81"/>
    <n v="324110"/>
    <s v="Petroleum refineries"/>
    <s v="Raffineries de pétrole"/>
    <x v="0"/>
    <s v="108-95-2"/>
    <x v="58"/>
    <x v="58"/>
    <x v="0"/>
    <s v="Transferts hors site pour recyclage"/>
    <s v="Other"/>
    <s v="Autres"/>
    <n v="5.0000000000000001E-3"/>
    <x v="0"/>
    <s v="M3 - Source Testing"/>
    <x v="0"/>
  </r>
  <r>
    <x v="28"/>
    <n v="4575"/>
    <x v="221"/>
    <x v="0"/>
    <n v="325610"/>
    <s v="Soap and Cleaning Compound Manufacturing"/>
    <s v="Fabrication de savons et de détachants"/>
    <x v="3"/>
    <s v="67-63-0"/>
    <x v="6"/>
    <x v="6"/>
    <x v="1"/>
    <s v="Transferts hors site pour traitement avant élimination final"/>
    <s v="Incineration / Thermal"/>
    <s v="Incinération / thermique"/>
    <n v="3.5"/>
    <x v="0"/>
    <s v="O - Engineering Estimates"/>
    <x v="0"/>
  </r>
  <r>
    <x v="22"/>
    <n v="1863"/>
    <x v="222"/>
    <x v="231"/>
    <n v="323119"/>
    <s v="Other Printing"/>
    <s v="Autres activités d'impression"/>
    <x v="0"/>
    <s v="67-56-1"/>
    <x v="3"/>
    <x v="3"/>
    <x v="1"/>
    <s v="Transferts hors site pour traitement avant élimination final"/>
    <s v="Physical Treatment"/>
    <s v="Traitement physique"/>
    <n v="0.38200000000000001"/>
    <x v="0"/>
    <s v="O - Engineering Estimates"/>
    <x v="0"/>
  </r>
  <r>
    <x v="6"/>
    <n v="4610"/>
    <x v="60"/>
    <x v="232"/>
    <n v="321114"/>
    <s v="Wood Preservation"/>
    <s v="Préservation du bois"/>
    <x v="2"/>
    <s v="91-20-3"/>
    <x v="67"/>
    <x v="67"/>
    <x v="1"/>
    <s v="Transferts hors site pour traitement avant élimination final"/>
    <s v="Incineration / Thermal"/>
    <s v="Incinération / thermique"/>
    <n v="0.16700000000000001"/>
    <x v="0"/>
    <s v="O - Engineering Estimates"/>
    <x v="0"/>
  </r>
  <r>
    <x v="13"/>
    <n v="3161"/>
    <x v="205"/>
    <x v="216"/>
    <n v="221113"/>
    <s v="Nuclear Electric Power Generation"/>
    <s v="Production d'électricité d'origine nucléaire"/>
    <x v="0"/>
    <s v="NA - 06"/>
    <x v="15"/>
    <x v="15"/>
    <x v="0"/>
    <s v="Transferts hors site pour recyclage"/>
    <s v="Recovery of Pollution Abatement Residues"/>
    <s v="Récupération de résidus de dépollution"/>
    <n v="0"/>
    <x v="0"/>
    <s v="C - Mass Balance"/>
    <x v="0"/>
  </r>
  <r>
    <x v="11"/>
    <n v="6546"/>
    <x v="58"/>
    <x v="57"/>
    <n v="211114"/>
    <s v="Non-conventional oil extraction"/>
    <s v="Extraction de pétrole par des méthodes non classiques"/>
    <x v="4"/>
    <s v="NA - 11"/>
    <x v="4"/>
    <x v="4"/>
    <x v="0"/>
    <s v="Transferts hors site pour recyclage"/>
    <s v="Recovery of Catalysts"/>
    <s v="Récupération de catalyseurs"/>
    <n v="516.43399999999997"/>
    <x v="0"/>
    <s v="M3 - Source Testing"/>
    <x v="0"/>
  </r>
  <r>
    <x v="19"/>
    <n v="3590"/>
    <x v="223"/>
    <x v="233"/>
    <n v="325999"/>
    <s v="All Other Miscellaneous Chemical Product Manufacturing"/>
    <s v="Fabrication de tous les autres produits chimiques divers"/>
    <x v="0"/>
    <s v="1330-20-7"/>
    <x v="24"/>
    <x v="24"/>
    <x v="0"/>
    <s v="Transferts hors site pour recyclage"/>
    <s v="Energy Recovery"/>
    <s v="Récupération d'énergie"/>
    <n v="0.32200000000000001"/>
    <x v="0"/>
    <s v="C - Mass Balance"/>
    <x v="0"/>
  </r>
  <r>
    <x v="27"/>
    <n v="495"/>
    <x v="224"/>
    <x v="234"/>
    <n v="221320"/>
    <s v="Sewage Treatment Facilities"/>
    <s v="Installations d'épuration des eaux usées"/>
    <x v="0"/>
    <s v="NA - 22"/>
    <x v="8"/>
    <x v="8"/>
    <x v="0"/>
    <s v="Transferts hors site pour recyclage"/>
    <s v="Recovery of Pollution Abatement Residues"/>
    <s v="Récupération de résidus de dépollution"/>
    <n v="143.30000000000001"/>
    <x v="0"/>
    <s v="M3 - Source Testing"/>
    <x v="0"/>
  </r>
  <r>
    <x v="21"/>
    <n v="4521"/>
    <x v="225"/>
    <x v="235"/>
    <n v="333248"/>
    <s v="All other industrial machinery manufacturing"/>
    <s v="Fabrication de toutes les autres machines industrielles"/>
    <x v="0"/>
    <s v="NA - 06"/>
    <x v="15"/>
    <x v="15"/>
    <x v="1"/>
    <s v="Transferts hors site pour traitement avant élimination final"/>
    <s v="Municipal Sewage Treatment Plant"/>
    <s v="Usine municipale d'épuration des eaux usées"/>
    <n v="6.0000000000000001E-3"/>
    <x v="0"/>
    <s v="C - Mass Balance"/>
    <x v="0"/>
  </r>
  <r>
    <x v="3"/>
    <n v="1307"/>
    <x v="226"/>
    <x v="236"/>
    <n v="326210"/>
    <s v="Tire Manufacturing"/>
    <s v="Fabrication de pneus"/>
    <x v="3"/>
    <s v="NA - 14"/>
    <x v="13"/>
    <x v="13"/>
    <x v="0"/>
    <s v="Transferts hors site pour recyclage"/>
    <s v="Energy Recovery"/>
    <s v="Récupération d'énergie"/>
    <n v="15.898999999999999"/>
    <x v="0"/>
    <s v="O - Engineering Estimates"/>
    <x v="0"/>
  </r>
  <r>
    <x v="11"/>
    <n v="199"/>
    <x v="39"/>
    <x v="237"/>
    <n v="331523"/>
    <s v="Non-ferrous die-casting foundries"/>
    <s v="Fonderies de métaux non ferreux, moulage sous pression"/>
    <x v="0"/>
    <s v="NA - 06"/>
    <x v="15"/>
    <x v="15"/>
    <x v="0"/>
    <s v="Transferts hors site pour recyclage"/>
    <s v="Recovery of Metals and Metal Compounds"/>
    <s v="Récupération de métaux et leurs composés"/>
    <n v="34.167000000000002"/>
    <x v="0"/>
    <s v="O - Engineering Estimates"/>
    <x v="0"/>
  </r>
  <r>
    <x v="17"/>
    <n v="4893"/>
    <x v="227"/>
    <x v="238"/>
    <n v="562210"/>
    <s v="Waste treatment and disposal"/>
    <s v="Traitement et élimination des déchets"/>
    <x v="0"/>
    <s v="71-36-3"/>
    <x v="50"/>
    <x v="50"/>
    <x v="1"/>
    <s v="Transferts hors site pour traitement avant élimination final"/>
    <s v="Incineration / Thermal"/>
    <s v="Incinération / thermique"/>
    <n v="51.613"/>
    <x v="0"/>
    <s v="C - Mass Balance"/>
    <x v="0"/>
  </r>
  <r>
    <x v="19"/>
    <n v="2595"/>
    <x v="228"/>
    <x v="239"/>
    <n v="336390"/>
    <s v="Other Motor Vehicle Parts Manufacturing"/>
    <s v="Fabrication d'autres pièces pour véhicules automobiles"/>
    <x v="0"/>
    <s v="NA - 06"/>
    <x v="15"/>
    <x v="15"/>
    <x v="1"/>
    <s v="Transferts hors site pour traitement avant élimination final"/>
    <s v="Physical Treatment"/>
    <s v="Traitement physique"/>
    <n v="6.6000000000000003E-2"/>
    <x v="0"/>
    <s v="O - Engineering Estimates"/>
    <x v="0"/>
  </r>
  <r>
    <x v="17"/>
    <n v="3893"/>
    <x v="229"/>
    <x v="240"/>
    <n v="336110"/>
    <s v="Automobile and light-duty motor vehicle manufacturing"/>
    <s v="Fabrication de voitures et de véhicules automobiles légers"/>
    <x v="0"/>
    <s v="100-41-4"/>
    <x v="11"/>
    <x v="11"/>
    <x v="0"/>
    <s v="Transferts hors site pour recyclage"/>
    <s v="Recovery of Solvents"/>
    <s v="Récupération de solvants"/>
    <n v="14.968999999999999"/>
    <x v="0"/>
    <s v="O - Engineering Estimates"/>
    <x v="0"/>
  </r>
  <r>
    <x v="14"/>
    <n v="6670"/>
    <x v="86"/>
    <x v="241"/>
    <n v="412110"/>
    <s v="Petroleum and petroleum products merchant wholesalers"/>
    <s v="Grossistes-marchands de pétrole et de produits pétroliers"/>
    <x v="3"/>
    <s v="92-52-4"/>
    <x v="14"/>
    <x v="14"/>
    <x v="0"/>
    <s v="Transferts hors site pour recyclage"/>
    <s v="Refining or Re-use of Used Oil"/>
    <s v="Raffinage ou réutilisation d'huiles usées"/>
    <n v="6.5849999999999997E-3"/>
    <x v="0"/>
    <s v="O - Engineering Estimates"/>
    <x v="0"/>
  </r>
  <r>
    <x v="15"/>
    <n v="1696"/>
    <x v="230"/>
    <x v="242"/>
    <n v="221112"/>
    <s v="Fossil-fuel electric power generation"/>
    <s v="Production d'électricité à partir de combustibles fossiles"/>
    <x v="8"/>
    <s v="NA - 11"/>
    <x v="4"/>
    <x v="4"/>
    <x v="0"/>
    <s v="Transferts hors site pour recyclage"/>
    <s v="Recovery of Metals and Metal Compounds"/>
    <s v="Récupération de métaux et leurs composés"/>
    <n v="3.1840000000000002"/>
    <x v="0"/>
    <s v="O - Engineering Estimates"/>
    <x v="0"/>
  </r>
  <r>
    <x v="21"/>
    <n v="818"/>
    <x v="231"/>
    <x v="243"/>
    <n v="326114"/>
    <s v="Plastic film and sheet manufacturing"/>
    <s v="Fabrication de pellicules et de feuilles en plastique"/>
    <x v="0"/>
    <s v="127-18-4"/>
    <x v="27"/>
    <x v="27"/>
    <x v="1"/>
    <s v="Transferts hors site pour traitement avant élimination final"/>
    <s v="Incineration / Thermal"/>
    <s v="Incinération / thermique"/>
    <n v="3.6520000000000001"/>
    <x v="0"/>
    <s v="C - Mass Balance"/>
    <x v="0"/>
  </r>
  <r>
    <x v="15"/>
    <n v="4893"/>
    <x v="227"/>
    <x v="238"/>
    <n v="562210"/>
    <s v="Waste treatment and disposal"/>
    <s v="Traitement et élimination des déchets"/>
    <x v="0"/>
    <s v="108-88-3"/>
    <x v="5"/>
    <x v="5"/>
    <x v="1"/>
    <s v="Transferts hors site pour traitement avant élimination final"/>
    <s v="Incineration / Thermal"/>
    <s v="Incinération / thermique"/>
    <n v="272.84199999999998"/>
    <x v="0"/>
    <s v="M3 - Source Testing"/>
    <x v="0"/>
  </r>
  <r>
    <x v="8"/>
    <n v="7372"/>
    <x v="232"/>
    <x v="244"/>
    <n v="323119"/>
    <s v="Other Printing"/>
    <s v="Autres activités d'impression"/>
    <x v="0"/>
    <s v="108-88-3"/>
    <x v="5"/>
    <x v="5"/>
    <x v="0"/>
    <s v="Transferts hors site pour recyclage"/>
    <s v="Recovery of Solvents"/>
    <s v="Récupération de solvants"/>
    <n v="5.718"/>
    <x v="0"/>
    <s v="O - Engineering Estimates"/>
    <x v="0"/>
  </r>
  <r>
    <x v="23"/>
    <n v="4712"/>
    <x v="233"/>
    <x v="245"/>
    <n v="326198"/>
    <s v="All Other Plastic Product Manufacturing"/>
    <s v="Fabrication de tous les autres produits en plastique"/>
    <x v="0"/>
    <s v="117-81-7"/>
    <x v="37"/>
    <x v="37"/>
    <x v="1"/>
    <s v="Transferts hors site pour traitement avant élimination final"/>
    <s v="Chemical Treatment"/>
    <s v="Traitement chimique"/>
    <n v="0.23"/>
    <x v="0"/>
    <s v="O - Engineering Estimates"/>
    <x v="0"/>
  </r>
  <r>
    <x v="12"/>
    <n v="1485"/>
    <x v="234"/>
    <x v="246"/>
    <n v="325510"/>
    <s v="Paint and coating manufacturing"/>
    <s v="Fabrication de peintures et de revêtements"/>
    <x v="0"/>
    <s v="100-41-4"/>
    <x v="11"/>
    <x v="11"/>
    <x v="0"/>
    <s v="Transferts hors site pour recyclage"/>
    <s v="Recovery of Solvents"/>
    <s v="Récupération de solvants"/>
    <n v="21.696899999999999"/>
    <x v="0"/>
    <s v="C - Mass Balance"/>
    <x v="0"/>
  </r>
  <r>
    <x v="1"/>
    <n v="11690"/>
    <x v="235"/>
    <x v="247"/>
    <n v="221320"/>
    <s v="Sewage treatment facilities"/>
    <s v="Installations d'épuration des eaux usées"/>
    <x v="0"/>
    <s v="NA - 08"/>
    <x v="1"/>
    <x v="1"/>
    <x v="1"/>
    <s v="Transferts hors site pour traitement avant élimination final"/>
    <s v="Municipal Sewage Treatment Plant"/>
    <s v="Usine municipale d'épuration des eaux usées"/>
    <n v="0"/>
    <x v="1"/>
    <s v="M3 - Source Testing"/>
    <x v="0"/>
  </r>
  <r>
    <x v="20"/>
    <n v="2670"/>
    <x v="236"/>
    <x v="248"/>
    <n v="335920"/>
    <s v="Communication and Energy Wire and Cable Manufacturing"/>
    <s v="Fabrication de fils et de câbles électriques et de communication"/>
    <x v="0"/>
    <s v="NA - 06"/>
    <x v="15"/>
    <x v="15"/>
    <x v="1"/>
    <s v="Transferts hors site pour traitement avant élimination final"/>
    <s v="Physical Treatment"/>
    <s v="Traitement physique"/>
    <n v="0"/>
    <x v="0"/>
    <s v="O - Engineering Estimates"/>
    <x v="0"/>
  </r>
  <r>
    <x v="10"/>
    <n v="10234"/>
    <x v="56"/>
    <x v="249"/>
    <n v="412110"/>
    <s v="Petroleum Product Wholesaler-Distributors"/>
    <s v="Grossistes-distributeurs de produits pétroliers"/>
    <x v="7"/>
    <s v="100-41-4"/>
    <x v="11"/>
    <x v="11"/>
    <x v="1"/>
    <s v="Transferts hors site pour traitement avant élimination final"/>
    <s v="Incineration / Thermal"/>
    <s v="Incinération / thermique"/>
    <n v="1.9E-2"/>
    <x v="0"/>
    <s v="E - Emission Factor"/>
    <x v="0"/>
  </r>
  <r>
    <x v="15"/>
    <n v="390"/>
    <x v="237"/>
    <x v="139"/>
    <n v="336410"/>
    <s v="Aerospace product and parts manufacturing"/>
    <s v="Fabrication de produits aérospatiaux et de leurs pièces"/>
    <x v="3"/>
    <s v="NA - 08"/>
    <x v="1"/>
    <x v="1"/>
    <x v="1"/>
    <s v="Transferts hors site pour traitement avant élimination final"/>
    <s v="Chemical Treatment"/>
    <s v="Traitement chimique"/>
    <n v="0"/>
    <x v="1"/>
    <s v="O - Engineering Estimates"/>
    <x v="0"/>
  </r>
  <r>
    <x v="30"/>
    <n v="800"/>
    <x v="128"/>
    <x v="136"/>
    <n v="325610"/>
    <s v="Soap and Cleaning Compound Manufacturing"/>
    <s v="Fabrication de savons et de détachants"/>
    <x v="0"/>
    <s v="108-95-2"/>
    <x v="58"/>
    <x v="58"/>
    <x v="0"/>
    <s v="Transferts hors site pour recyclage"/>
    <s v="Energy Recovery"/>
    <s v="Récupération d'énergie"/>
    <n v="0.92"/>
    <x v="0"/>
    <m/>
    <x v="0"/>
  </r>
  <r>
    <x v="8"/>
    <n v="3161"/>
    <x v="205"/>
    <x v="216"/>
    <n v="221113"/>
    <s v="Nuclear Electric Power Generation"/>
    <s v="Production d'électricité d'origine nucléaire"/>
    <x v="0"/>
    <s v="NA - 06"/>
    <x v="15"/>
    <x v="15"/>
    <x v="0"/>
    <s v="Transferts hors site pour recyclage"/>
    <s v="Refining or Re-use of Used Oil"/>
    <s v="Raffinage ou réutilisation d'huiles usées"/>
    <n v="0"/>
    <x v="0"/>
    <s v="C - Mass Balance"/>
    <x v="0"/>
  </r>
  <r>
    <x v="17"/>
    <n v="5729"/>
    <x v="238"/>
    <x v="250"/>
    <n v="562110"/>
    <s v="Waste collection"/>
    <s v="Collecte de déchets"/>
    <x v="0"/>
    <s v="NA - 11"/>
    <x v="4"/>
    <x v="4"/>
    <x v="1"/>
    <s v="Transferts hors site pour traitement avant élimination final"/>
    <s v="Physical Treatment"/>
    <s v="Traitement physique"/>
    <n v="3.5264000000000002"/>
    <x v="0"/>
    <s v="C - Mass Balance"/>
    <x v="0"/>
  </r>
  <r>
    <x v="21"/>
    <n v="11366"/>
    <x v="239"/>
    <x v="251"/>
    <n v="418410"/>
    <s v="Chemical (except agricultural) and allied product merchant wholesalers"/>
    <s v="Grossistes-marchands de produits chimiques et de produits analogues (sauf agricoles)"/>
    <x v="4"/>
    <s v="7647-01-0"/>
    <x v="7"/>
    <x v="7"/>
    <x v="1"/>
    <s v="Transferts hors site pour traitement avant élimination final"/>
    <s v="Chemical Treatment"/>
    <s v="Traitement chimique"/>
    <n v="0.26800000000000002"/>
    <x v="0"/>
    <s v="C - Mass Balance"/>
    <x v="0"/>
  </r>
  <r>
    <x v="19"/>
    <n v="397"/>
    <x v="240"/>
    <x v="252"/>
    <n v="336110"/>
    <s v="Automobile and Light-Duty Motor Vehicle Manufacturing"/>
    <s v="Fabrication de voitures et de véhicules automobiles légers"/>
    <x v="0"/>
    <s v="100-41-4"/>
    <x v="11"/>
    <x v="11"/>
    <x v="0"/>
    <s v="Transferts hors site pour recyclage"/>
    <s v="Recovery of Solvents"/>
    <s v="Récupération de solvants"/>
    <n v="31.462"/>
    <x v="0"/>
    <s v="M3 - Source Testing"/>
    <x v="0"/>
  </r>
  <r>
    <x v="9"/>
    <n v="6792"/>
    <x v="5"/>
    <x v="158"/>
    <n v="562920"/>
    <s v="Material recovery facilities"/>
    <s v="Installations de récupération de matériaux"/>
    <x v="2"/>
    <s v="NA - 12"/>
    <x v="48"/>
    <x v="48"/>
    <x v="1"/>
    <s v="Transferts hors site pour traitement avant élimination final"/>
    <s v="Chemical Treatment"/>
    <s v="Traitement chimique"/>
    <n v="1.2E-2"/>
    <x v="1"/>
    <s v="C - Mass Balance"/>
    <x v="0"/>
  </r>
  <r>
    <x v="13"/>
    <n v="1662"/>
    <x v="241"/>
    <x v="253"/>
    <n v="332810"/>
    <s v="Coating, Engraving, Heat Treating and Allied Activities"/>
    <s v="Revêtement, gravure, traitement thermique et activités analogues"/>
    <x v="0"/>
    <s v="NA - 19"/>
    <x v="43"/>
    <x v="43"/>
    <x v="1"/>
    <s v="Transferts hors site pour traitement avant élimination final"/>
    <s v="Municipal Sewage Treatment Plant"/>
    <s v="Usine municipale d'épuration des eaux usées"/>
    <n v="8.01"/>
    <x v="1"/>
    <s v="M3 - Source Testing"/>
    <x v="0"/>
  </r>
  <r>
    <x v="8"/>
    <n v="5855"/>
    <x v="242"/>
    <x v="254"/>
    <n v="336350"/>
    <s v="Motor Vehicle Transmission and Power Train Parts Manufacturing"/>
    <s v="Fabrication de pièces de transmission et de groupe motopropulseur pour véhicules automobiles"/>
    <x v="0"/>
    <s v="NA - 08"/>
    <x v="1"/>
    <x v="1"/>
    <x v="0"/>
    <s v="Transferts hors site pour recyclage"/>
    <s v="Recovery of Metals and Metal Compounds"/>
    <s v="Récupération de métaux et leurs composés"/>
    <n v="140"/>
    <x v="1"/>
    <s v="C - Mass Balance"/>
    <x v="0"/>
  </r>
  <r>
    <x v="27"/>
    <n v="6546"/>
    <x v="58"/>
    <x v="57"/>
    <n v="211114"/>
    <s v="Non-Conventional Oil Extraction"/>
    <s v="Extraction de pétrole par des méthodes non classiques"/>
    <x v="4"/>
    <s v="85-01-8"/>
    <x v="54"/>
    <x v="54"/>
    <x v="0"/>
    <s v="Transferts hors site pour recyclage"/>
    <s v="Recovery of Organic Substances (not solvents)"/>
    <s v="Récupération de substances organiques (pas les solvants)"/>
    <n v="0.44400000000000001"/>
    <x v="1"/>
    <s v="M3 - Source Testing"/>
    <x v="0"/>
  </r>
  <r>
    <x v="12"/>
    <n v="27111"/>
    <x v="243"/>
    <x v="255"/>
    <n v="331221"/>
    <s v="Cold-rolled steel shape manufacturing"/>
    <s v="Fabrication de formes en acier laminé à froid"/>
    <x v="0"/>
    <s v="NA - 08"/>
    <x v="1"/>
    <x v="1"/>
    <x v="0"/>
    <s v="Transferts hors site pour recyclage"/>
    <s v="Recovery of Metals and Metal Compounds"/>
    <s v="Récupération de métaux et leurs composés"/>
    <n v="15.632999999999999"/>
    <x v="1"/>
    <s v="C - Mass Balance"/>
    <x v="0"/>
  </r>
  <r>
    <x v="13"/>
    <n v="139"/>
    <x v="201"/>
    <x v="213"/>
    <n v="332810"/>
    <s v="Coating, Engraving, Heat Treating and Allied Activities"/>
    <s v="Revêtement, gravure, traitement thermique et activités analogues"/>
    <x v="0"/>
    <s v="7664-93-9"/>
    <x v="30"/>
    <x v="30"/>
    <x v="1"/>
    <s v="Transferts hors site pour traitement avant élimination final"/>
    <s v="Municipal Sewage Treatment Plant"/>
    <s v="Usine municipale d'épuration des eaux usées"/>
    <n v="0"/>
    <x v="0"/>
    <s v="C - Mass Balance"/>
    <x v="0"/>
  </r>
  <r>
    <x v="28"/>
    <n v="1136"/>
    <x v="244"/>
    <x v="114"/>
    <n v="336410"/>
    <s v="Aerospace Product and Parts Manufacturing"/>
    <s v="Fabrication de produits aérospatiaux et de leurs pièces"/>
    <x v="3"/>
    <s v="NA - 04"/>
    <x v="19"/>
    <x v="19"/>
    <x v="1"/>
    <s v="Transferts hors site pour traitement avant élimination final"/>
    <s v="Municipal Sewage Treatment Plant"/>
    <s v="Usine municipale d'épuration des eaux usées"/>
    <n v="0.60599999999999998"/>
    <x v="0"/>
    <s v="O - Engineering Estimates"/>
    <x v="0"/>
  </r>
  <r>
    <x v="6"/>
    <n v="6097"/>
    <x v="245"/>
    <x v="256"/>
    <n v="325410"/>
    <s v="Pharmaceutical and Medicine Manufacturing"/>
    <s v="Fabrication de produits pharmaceutiques et de médicaments"/>
    <x v="9"/>
    <s v="75-09-2"/>
    <x v="41"/>
    <x v="41"/>
    <x v="1"/>
    <s v="Transferts hors site pour traitement avant élimination final"/>
    <s v="Physical Treatment"/>
    <s v="Traitement physique"/>
    <n v="0"/>
    <x v="0"/>
    <s v="O - Engineering Estimates"/>
    <x v="0"/>
  </r>
  <r>
    <x v="4"/>
    <n v="5649"/>
    <x v="246"/>
    <x v="257"/>
    <n v="331317"/>
    <s v="Aluminum Rolling, Drawing, Extruding and Alloying"/>
    <s v="Laminage, étirage, extrusion et alliage de l'aluminium"/>
    <x v="0"/>
    <s v="NA - 14"/>
    <x v="13"/>
    <x v="13"/>
    <x v="0"/>
    <s v="Transferts hors site pour recyclage"/>
    <s v="Recovery of Metals and Metal Compounds"/>
    <s v="Récupération de métaux et leurs composés"/>
    <n v="13.726000000000001"/>
    <x v="0"/>
    <s v="C - Mass Balance"/>
    <x v="0"/>
  </r>
  <r>
    <x v="19"/>
    <n v="7128"/>
    <x v="153"/>
    <x v="0"/>
    <n v="332118"/>
    <s v="Stamping"/>
    <s v="Estampage"/>
    <x v="0"/>
    <s v="NA - 06"/>
    <x v="15"/>
    <x v="15"/>
    <x v="0"/>
    <s v="Transferts hors site pour recyclage"/>
    <s v="Recovery of Metals and Metal Compounds"/>
    <s v="Récupération de métaux et leurs composés"/>
    <n v="5.47"/>
    <x v="0"/>
    <s v="O - Engineering Estimates"/>
    <x v="0"/>
  </r>
  <r>
    <x v="12"/>
    <n v="3996"/>
    <x v="247"/>
    <x v="258"/>
    <n v="221112"/>
    <s v="Fossil-fuel electric power generation"/>
    <s v="Production d'électricité à partir de combustibles fossiles"/>
    <x v="7"/>
    <s v="NA - 37"/>
    <x v="72"/>
    <x v="72"/>
    <x v="0"/>
    <s v="Transferts hors site pour recyclage"/>
    <s v="Other"/>
    <s v="Autres"/>
    <n v="34"/>
    <x v="1"/>
    <s v="O - Engineering Estimates"/>
    <x v="0"/>
  </r>
  <r>
    <x v="15"/>
    <n v="3422"/>
    <x v="19"/>
    <x v="259"/>
    <n v="325220"/>
    <s v="Artificial and synthetic fibres and filaments manufacturing"/>
    <s v="Fabrication de fibres et de filaments artificiels et synthétiques"/>
    <x v="0"/>
    <s v="92-52-4"/>
    <x v="14"/>
    <x v="14"/>
    <x v="1"/>
    <s v="Transferts hors site pour traitement avant élimination final"/>
    <s v="Incineration / Thermal"/>
    <s v="Incinération / thermique"/>
    <n v="0.58899999999999997"/>
    <x v="0"/>
    <s v="C - Mass Balance"/>
    <x v="0"/>
  </r>
  <r>
    <x v="12"/>
    <n v="3713"/>
    <x v="92"/>
    <x v="95"/>
    <n v="331110"/>
    <s v="Iron and steel mills and ferro-alloy manufacturing"/>
    <s v="Sidérurgie"/>
    <x v="0"/>
    <s v="NA - 03"/>
    <x v="28"/>
    <x v="28"/>
    <x v="0"/>
    <s v="Transferts hors site pour recyclage"/>
    <s v="Recovery of Metals and Metal Compounds"/>
    <s v="Récupération de métaux et leurs composés"/>
    <n v="2323.8694999999998"/>
    <x v="1"/>
    <s v="C - Mass Balance"/>
    <x v="0"/>
  </r>
  <r>
    <x v="29"/>
    <n v="11771"/>
    <x v="248"/>
    <x v="260"/>
    <n v="336370"/>
    <s v="Motor vehicle metal stamping"/>
    <s v="Emboutissage de pièces en métal pour véhicules automobiles"/>
    <x v="0"/>
    <s v="NA - 09"/>
    <x v="12"/>
    <x v="12"/>
    <x v="0"/>
    <s v="Transferts hors site pour recyclage"/>
    <s v="Recovery of Metals and Metal Compounds"/>
    <s v="Récupération de métaux et leurs composés"/>
    <n v="26.120999999999999"/>
    <x v="0"/>
    <s v="C - Mass Balance"/>
    <x v="0"/>
  </r>
  <r>
    <x v="6"/>
    <n v="1845"/>
    <x v="168"/>
    <x v="56"/>
    <n v="311511"/>
    <s v="Fluid Milk Manufacturing"/>
    <s v="Fabrication du lait de consommation"/>
    <x v="0"/>
    <s v="7664-93-9"/>
    <x v="30"/>
    <x v="30"/>
    <x v="1"/>
    <s v="Transferts hors site pour traitement avant élimination final"/>
    <s v="Municipal Sewage Treatment Plant"/>
    <s v="Usine municipale d'épuration des eaux usées"/>
    <n v="0"/>
    <x v="0"/>
    <s v="O - Engineering Estimates"/>
    <x v="0"/>
  </r>
  <r>
    <x v="5"/>
    <n v="4441"/>
    <x v="249"/>
    <x v="261"/>
    <n v="311515"/>
    <s v="Butter, Cheese, and Dry and Condensed Dairy Product Manufacturing"/>
    <s v="Fabrication de beurre, de fromage et de produits laitiers secs et concentrés"/>
    <x v="0"/>
    <s v="NA - 17"/>
    <x v="36"/>
    <x v="36"/>
    <x v="1"/>
    <s v="Transferts hors site pour traitement avant élimination final"/>
    <s v="Municipal Sewage Treatment Plant"/>
    <s v="Usine municipale d'épuration des eaux usées"/>
    <n v="82.031999999999996"/>
    <x v="0"/>
    <s v="M3 - Source Testing"/>
    <x v="0"/>
  </r>
  <r>
    <x v="27"/>
    <n v="3753"/>
    <x v="250"/>
    <x v="219"/>
    <n v="211113"/>
    <s v="Conventional Oil and Gas Extraction"/>
    <s v="Extraction de pétrole et de gaz par des méthodes classiques"/>
    <x v="4"/>
    <s v="108-88-3"/>
    <x v="5"/>
    <x v="5"/>
    <x v="0"/>
    <s v="Transferts hors site pour recyclage"/>
    <s v="Recovery of Organic Substances (not solvents)"/>
    <s v="Récupération de substances organiques (pas les solvants)"/>
    <n v="0.30099999999999999"/>
    <x v="0"/>
    <m/>
    <x v="0"/>
  </r>
  <r>
    <x v="11"/>
    <n v="5413"/>
    <x v="251"/>
    <x v="262"/>
    <n v="331221"/>
    <s v="Cold-rolled steel shape manufacturing"/>
    <s v="Fabrication de formes en acier laminé à froid"/>
    <x v="3"/>
    <s v="NA - 14"/>
    <x v="13"/>
    <x v="13"/>
    <x v="0"/>
    <s v="Transferts hors site pour recyclage"/>
    <s v="Recovery of Metals and Metal Compounds"/>
    <s v="Récupération de métaux et leurs composés"/>
    <n v="30.4"/>
    <x v="0"/>
    <s v="O - Engineering Estimates"/>
    <x v="0"/>
  </r>
  <r>
    <x v="29"/>
    <n v="5489"/>
    <x v="252"/>
    <x v="263"/>
    <n v="335315"/>
    <s v="Switchgear and switchboard, and relay and industrial control apparatus manufacturing"/>
    <s v="Fabrication d'appareillage de connexion, de commutation et de relais et de commandes d'usage industriel"/>
    <x v="3"/>
    <s v="NA - 06"/>
    <x v="15"/>
    <x v="15"/>
    <x v="0"/>
    <s v="Transferts hors site pour recyclage"/>
    <s v="Recovery of Metals and Metal Compounds"/>
    <s v="Récupération de métaux et leurs composés"/>
    <n v="70.61"/>
    <x v="0"/>
    <s v="C - Mass Balance"/>
    <x v="0"/>
  </r>
  <r>
    <x v="26"/>
    <n v="1931"/>
    <x v="116"/>
    <x v="162"/>
    <n v="325510"/>
    <s v="Paint and Coating Manufacturing"/>
    <s v="Fabrication de peintures et de revêtements"/>
    <x v="0"/>
    <s v="1330-20-7"/>
    <x v="24"/>
    <x v="24"/>
    <x v="0"/>
    <s v="Transferts hors site pour recyclage"/>
    <s v="Recovery of Solvents"/>
    <s v="Récupération de solvants"/>
    <n v="3.43"/>
    <x v="0"/>
    <s v="O - Engineering Estimates"/>
    <x v="0"/>
  </r>
  <r>
    <x v="27"/>
    <n v="1931"/>
    <x v="116"/>
    <x v="162"/>
    <n v="325510"/>
    <s v="Paint and Coating Manufacturing"/>
    <s v="Fabrication de peintures et de revêtements"/>
    <x v="0"/>
    <s v="95-63-6"/>
    <x v="40"/>
    <x v="40"/>
    <x v="1"/>
    <s v="Transferts hors site pour traitement avant élimination final"/>
    <s v="Biological Treatment"/>
    <s v="Traitement biologique"/>
    <n v="0.04"/>
    <x v="0"/>
    <s v="O - Engineering Estimates"/>
    <x v="0"/>
  </r>
  <r>
    <x v="19"/>
    <n v="4829"/>
    <x v="253"/>
    <x v="170"/>
    <n v="311990"/>
    <s v="All Other Food Manufacturing"/>
    <s v="Fabrication de tous les autres aliments"/>
    <x v="4"/>
    <s v="NA - 22"/>
    <x v="8"/>
    <x v="8"/>
    <x v="1"/>
    <s v="Transferts hors site pour traitement avant élimination final"/>
    <s v="Municipal Sewage Treatment Plant"/>
    <s v="Usine municipale d'épuration des eaux usées"/>
    <n v="4.49"/>
    <x v="0"/>
    <s v="M3 - Source Testing"/>
    <x v="0"/>
  </r>
  <r>
    <x v="16"/>
    <n v="1993"/>
    <x v="254"/>
    <x v="264"/>
    <n v="334410"/>
    <s v="Semiconductor and Other Electronic Component Manufacturing"/>
    <s v="Fabrication de semi-conducteurs et d'autres composants électroniques"/>
    <x v="0"/>
    <s v="NA - 06"/>
    <x v="15"/>
    <x v="15"/>
    <x v="0"/>
    <s v="Transferts hors site pour recyclage"/>
    <s v="Recovery of Metals and Metal Compounds"/>
    <s v="Récupération de métaux et leurs composés"/>
    <n v="70.576999999999998"/>
    <x v="0"/>
    <s v="C - Mass Balance"/>
    <x v="0"/>
  </r>
  <r>
    <x v="13"/>
    <n v="2381"/>
    <x v="140"/>
    <x v="265"/>
    <n v="331511"/>
    <s v="Iron Foundries"/>
    <s v="Fonderies de fer"/>
    <x v="0"/>
    <s v="NA - 04"/>
    <x v="19"/>
    <x v="19"/>
    <x v="0"/>
    <s v="Transferts hors site pour recyclage"/>
    <s v="Other"/>
    <s v="Autres"/>
    <n v="2.855"/>
    <x v="0"/>
    <s v="M3 - Source Testing"/>
    <x v="0"/>
  </r>
  <r>
    <x v="12"/>
    <n v="29386"/>
    <x v="255"/>
    <x v="266"/>
    <n v="211110"/>
    <s v="Oil and gas extraction (except oil sands)"/>
    <s v="Extraction de pétrole et de gaz (à l'exception des sables bitumineux)"/>
    <x v="5"/>
    <s v="110-54-3"/>
    <x v="47"/>
    <x v="47"/>
    <x v="0"/>
    <s v="Transferts hors site pour recyclage"/>
    <s v="Recovery of Organic Substances (not solvents)"/>
    <s v="Récupération de substances organiques (pas les solvants)"/>
    <n v="0"/>
    <x v="0"/>
    <s v="O - Engineering Estimates"/>
    <x v="0"/>
  </r>
  <r>
    <x v="8"/>
    <n v="5939"/>
    <x v="256"/>
    <x v="267"/>
    <n v="336390"/>
    <s v="Other Motor Vehicle Parts Manufacturing"/>
    <s v="Fabrication d'autres pièces pour véhicules automobiles"/>
    <x v="0"/>
    <s v="NA - 09"/>
    <x v="12"/>
    <x v="12"/>
    <x v="0"/>
    <s v="Transferts hors site pour recyclage"/>
    <s v="Recovery of Metals and Metal Compounds"/>
    <s v="Récupération de métaux et leurs composés"/>
    <n v="25.693999999999999"/>
    <x v="0"/>
    <s v="C - Mass Balance"/>
    <x v="0"/>
  </r>
  <r>
    <x v="3"/>
    <n v="7163"/>
    <x v="126"/>
    <x v="268"/>
    <n v="331210"/>
    <s v="Iron and Steel Pipes and Tubes Manufacturing from Purchased Steel"/>
    <s v="Fabrication de tubes et de tuyaux en fer et en acier à partir d'acier acheté"/>
    <x v="0"/>
    <s v="NA - 04"/>
    <x v="19"/>
    <x v="19"/>
    <x v="0"/>
    <s v="Transferts hors site pour recyclage"/>
    <s v="Recovery of Metals and Metal Compounds"/>
    <s v="Récupération de métaux et leurs composés"/>
    <n v="26.26"/>
    <x v="0"/>
    <s v="M - Monitoring or Direct Measurement"/>
    <x v="0"/>
  </r>
  <r>
    <x v="15"/>
    <n v="1464"/>
    <x v="12"/>
    <x v="75"/>
    <n v="325110"/>
    <s v="Petrochemical manufacturing"/>
    <s v="Fabrication de produits pétrochimiques"/>
    <x v="0"/>
    <s v="129-00-0"/>
    <x v="73"/>
    <x v="73"/>
    <x v="0"/>
    <s v="Transferts hors site pour recyclage"/>
    <s v="Energy Recovery"/>
    <s v="Récupération d'énergie"/>
    <n v="10227.797"/>
    <x v="1"/>
    <s v="M3 - Source Testing"/>
    <x v="0"/>
  </r>
  <r>
    <x v="17"/>
    <n v="32363"/>
    <x v="257"/>
    <x v="269"/>
    <n v="325313"/>
    <s v="Chemical fertilizer (except potash) manufacturing"/>
    <s v="Fabrication d'engrais chimiques (sauf la potasse)"/>
    <x v="0"/>
    <s v="NA - 22"/>
    <x v="8"/>
    <x v="8"/>
    <x v="1"/>
    <s v="Transferts hors site pour traitement avant élimination final"/>
    <s v="Chemical Treatment"/>
    <s v="Traitement chimique"/>
    <n v="0.30599999999999999"/>
    <x v="0"/>
    <s v="O - Engineering Estimates"/>
    <x v="0"/>
  </r>
  <r>
    <x v="13"/>
    <n v="1953"/>
    <x v="49"/>
    <x v="49"/>
    <n v="325510"/>
    <s v="Paint and Coating Manufacturing"/>
    <s v="Fabrication de peintures et de revêtements"/>
    <x v="0"/>
    <s v="67-63-0"/>
    <x v="6"/>
    <x v="6"/>
    <x v="0"/>
    <s v="Transferts hors site pour recyclage"/>
    <s v="Energy Recovery"/>
    <s v="Récupération d'énergie"/>
    <n v="0"/>
    <x v="0"/>
    <s v="O - Engineering Estimates"/>
    <x v="0"/>
  </r>
  <r>
    <x v="6"/>
    <n v="2282"/>
    <x v="258"/>
    <x v="270"/>
    <n v="221112"/>
    <s v="Fossil-Fuel Electric Power Generation"/>
    <s v="Production d'électricité à partir de combustibles fossiles"/>
    <x v="4"/>
    <s v="7440-62-2"/>
    <x v="51"/>
    <x v="51"/>
    <x v="0"/>
    <s v="Transferts hors site pour recyclage"/>
    <s v="Recovery of Pollution Abatement Residues"/>
    <s v="Récupération de résidus de dépollution"/>
    <n v="31.913"/>
    <x v="0"/>
    <s v="O - Engineering Estimates"/>
    <x v="0"/>
  </r>
  <r>
    <x v="12"/>
    <n v="5471"/>
    <x v="259"/>
    <x v="271"/>
    <n v="322122"/>
    <s v="Newsprint mills"/>
    <s v="Usines de papier journal"/>
    <x v="3"/>
    <s v="NA - 09"/>
    <x v="12"/>
    <x v="12"/>
    <x v="0"/>
    <s v="Transferts hors site pour recyclage"/>
    <s v="Other"/>
    <s v="Autres"/>
    <n v="21.73"/>
    <x v="0"/>
    <s v="M3 - Source Testing"/>
    <x v="0"/>
  </r>
  <r>
    <x v="16"/>
    <n v="6793"/>
    <x v="5"/>
    <x v="272"/>
    <n v="562110"/>
    <s v="Waste Collection"/>
    <s v="Collecte des déchets"/>
    <x v="2"/>
    <s v="108-88-3"/>
    <x v="5"/>
    <x v="5"/>
    <x v="0"/>
    <s v="Transferts hors site pour recyclage"/>
    <s v="Refining or Re-use of Used Oil"/>
    <s v="Raffinage ou réutilisation d'huiles usées"/>
    <n v="3.1269999999999998"/>
    <x v="0"/>
    <s v="O - Engineering Estimates"/>
    <x v="0"/>
  </r>
  <r>
    <x v="8"/>
    <n v="2240"/>
    <x v="260"/>
    <x v="273"/>
    <n v="221320"/>
    <s v="Sewage Treatment Facilities"/>
    <s v="Installations d'épuration des eaux usées"/>
    <x v="0"/>
    <s v="NA - 02"/>
    <x v="21"/>
    <x v="21"/>
    <x v="0"/>
    <s v="Transferts hors site pour recyclage"/>
    <s v="Other"/>
    <s v="Autres"/>
    <n v="9.2750000000000004"/>
    <x v="1"/>
    <s v="M3 - Source Testing"/>
    <x v="0"/>
  </r>
  <r>
    <x v="14"/>
    <n v="3897"/>
    <x v="216"/>
    <x v="41"/>
    <n v="324110"/>
    <s v="Petroleum refineries"/>
    <s v="Raffineries de pétrole"/>
    <x v="3"/>
    <s v="127-18-4"/>
    <x v="27"/>
    <x v="27"/>
    <x v="1"/>
    <s v="Transferts hors site pour traitement avant élimination final"/>
    <s v="Biological Treatment"/>
    <s v="Traitement biologique"/>
    <n v="2.3599999999999999E-4"/>
    <x v="0"/>
    <s v="O - Engineering Estimates"/>
    <x v="0"/>
  </r>
  <r>
    <x v="8"/>
    <n v="3698"/>
    <x v="12"/>
    <x v="274"/>
    <n v="324110"/>
    <s v="Petroleum Refineries"/>
    <s v="Raffineries de pétrole"/>
    <x v="7"/>
    <s v="NA - 02"/>
    <x v="21"/>
    <x v="21"/>
    <x v="1"/>
    <s v="Transferts hors site pour traitement avant élimination final"/>
    <s v="Incineration / Thermal"/>
    <s v="Incinération / thermique"/>
    <n v="347.55900000000003"/>
    <x v="1"/>
    <s v="O - Engineering Estimates"/>
    <x v="0"/>
  </r>
  <r>
    <x v="17"/>
    <n v="11849"/>
    <x v="261"/>
    <x v="275"/>
    <n v="326198"/>
    <s v="All other plastic product manufacturing"/>
    <s v="Fabrication de tous les autres produits en plastique"/>
    <x v="0"/>
    <s v="NA - 05"/>
    <x v="16"/>
    <x v="16"/>
    <x v="0"/>
    <s v="Transferts hors site pour recyclage"/>
    <s v="Other"/>
    <s v="Autres"/>
    <n v="16.600000000000001"/>
    <x v="1"/>
    <s v="C - Mass Balance"/>
    <x v="0"/>
  </r>
  <r>
    <x v="4"/>
    <n v="3426"/>
    <x v="262"/>
    <x v="0"/>
    <n v="325510"/>
    <s v="Paint and Coating Manufacturing"/>
    <s v="Fabrication de peintures et de revêtements"/>
    <x v="2"/>
    <s v="67-56-1"/>
    <x v="3"/>
    <x v="3"/>
    <x v="0"/>
    <s v="Transferts hors site pour recyclage"/>
    <s v="Energy Recovery"/>
    <s v="Récupération d'énergie"/>
    <n v="0.13500000000000001"/>
    <x v="0"/>
    <s v="O - Engineering Estimates"/>
    <x v="0"/>
  </r>
  <r>
    <x v="7"/>
    <n v="3019"/>
    <x v="263"/>
    <x v="276"/>
    <n v="336390"/>
    <s v="Other motor vehicle parts manufacturing"/>
    <s v="Fabrication d'autres pièces pour véhicules automobiles"/>
    <x v="0"/>
    <s v="1330-20-7"/>
    <x v="24"/>
    <x v="24"/>
    <x v="1"/>
    <s v="Transferts hors site pour traitement avant élimination final"/>
    <s v="Incineration / Thermal"/>
    <s v="Incinération / thermique"/>
    <n v="0"/>
    <x v="0"/>
    <s v="M3 - Source Testing"/>
    <x v="0"/>
  </r>
  <r>
    <x v="22"/>
    <n v="2033"/>
    <x v="264"/>
    <x v="277"/>
    <n v="331317"/>
    <s v="Aluminum Rolling, Drawing, Extruding and Alloying"/>
    <s v="Laminage, étirage, extrusion et alliage de l'aluminium"/>
    <x v="3"/>
    <s v="1330-20-7"/>
    <x v="24"/>
    <x v="24"/>
    <x v="1"/>
    <s v="Transferts hors site pour traitement avant élimination final"/>
    <s v="Physical Treatment"/>
    <s v="Traitement physique"/>
    <n v="4.0490000000000004"/>
    <x v="0"/>
    <s v="C - Mass Balance"/>
    <x v="0"/>
  </r>
  <r>
    <x v="10"/>
    <n v="5527"/>
    <x v="265"/>
    <x v="278"/>
    <n v="322111"/>
    <s v="Mechanical Pulp Mills"/>
    <s v="Usines de pâte mécanique"/>
    <x v="3"/>
    <s v="NA - 09"/>
    <x v="12"/>
    <x v="12"/>
    <x v="0"/>
    <s v="Transferts hors site pour recyclage"/>
    <s v="Recovery of Pollution Abatement Residues"/>
    <s v="Récupération de résidus de dépollution"/>
    <n v="4.1820000000000004"/>
    <x v="0"/>
    <s v="M - Monitoring or Direct Measurement"/>
    <x v="0"/>
  </r>
  <r>
    <x v="16"/>
    <n v="10768"/>
    <x v="266"/>
    <x v="279"/>
    <n v="333299"/>
    <s v="All Other Industrial Machinery Manufacturing"/>
    <s v="Fabrication de toutes les autres machines industrielles"/>
    <x v="0"/>
    <s v="NA - 06"/>
    <x v="15"/>
    <x v="15"/>
    <x v="0"/>
    <s v="Transferts hors site pour recyclage"/>
    <s v="Recovery of Metals and Metal Compounds"/>
    <s v="Récupération de métaux et leurs composés"/>
    <n v="3.57"/>
    <x v="0"/>
    <s v="O - Engineering Estimates"/>
    <x v="0"/>
  </r>
  <r>
    <x v="5"/>
    <n v="8542"/>
    <x v="267"/>
    <x v="280"/>
    <n v="332431"/>
    <s v="Metal Can Manufacturing"/>
    <s v="Fabrication de canettes"/>
    <x v="3"/>
    <s v="108-88-3"/>
    <x v="5"/>
    <x v="5"/>
    <x v="0"/>
    <s v="Transferts hors site pour recyclage"/>
    <s v="Recovery of Solvents"/>
    <s v="Récupération de solvants"/>
    <n v="8.8000000000000007"/>
    <x v="0"/>
    <s v="C - Mass Balance"/>
    <x v="0"/>
  </r>
  <r>
    <x v="15"/>
    <n v="27763"/>
    <x v="123"/>
    <x v="281"/>
    <n v="562110"/>
    <s v="Waste collection"/>
    <s v="Collecte de déchets"/>
    <x v="0"/>
    <s v="NA - 08"/>
    <x v="1"/>
    <x v="1"/>
    <x v="1"/>
    <s v="Transferts hors site pour traitement avant élimination final"/>
    <s v="Physical Treatment"/>
    <s v="Traitement physique"/>
    <n v="2794.1055999999999"/>
    <x v="1"/>
    <s v="C - Mass Balance"/>
    <x v="0"/>
  </r>
  <r>
    <x v="8"/>
    <n v="11312"/>
    <x v="268"/>
    <x v="282"/>
    <n v="335311"/>
    <s v="Power, Distribution and Specialty Transformers Manufacturing"/>
    <s v="Fabrication de transformateurs de puissance et de distribution et de transformateurs spéciaux"/>
    <x v="0"/>
    <s v="108-10-1"/>
    <x v="63"/>
    <x v="63"/>
    <x v="1"/>
    <s v="Transferts hors site pour traitement avant élimination final"/>
    <s v="Chemical Treatment"/>
    <s v="Traitement chimique"/>
    <n v="0"/>
    <x v="0"/>
    <s v="M3 - Source Testing"/>
    <x v="0"/>
  </r>
  <r>
    <x v="1"/>
    <n v="4796"/>
    <x v="251"/>
    <x v="283"/>
    <n v="332319"/>
    <s v="Other plate work and fabricated structural product manufacturing"/>
    <s v="Fabrication d'autres tôles fortes et éléments de charpentes"/>
    <x v="3"/>
    <s v="NA - 14"/>
    <x v="13"/>
    <x v="13"/>
    <x v="0"/>
    <s v="Transferts hors site pour recyclage"/>
    <s v="Recovery of Metals and Metal Compounds"/>
    <s v="Récupération de métaux et leurs composés"/>
    <n v="33.1"/>
    <x v="0"/>
    <s v="O - Engineering Estimates"/>
    <x v="0"/>
  </r>
  <r>
    <x v="23"/>
    <n v="3764"/>
    <x v="269"/>
    <x v="78"/>
    <n v="336390"/>
    <s v="Other Motor Vehicle Parts Manufacturing"/>
    <s v="Fabrication d'autres pièces pour véhicules automobiles"/>
    <x v="0"/>
    <s v="NA - 14"/>
    <x v="13"/>
    <x v="13"/>
    <x v="0"/>
    <s v="Transferts hors site pour recyclage"/>
    <s v="Recovery of Metals and Metal Compounds"/>
    <s v="Récupération de métaux et leurs composés"/>
    <n v="75.947000000000003"/>
    <x v="0"/>
    <s v="O - Engineering Estimates"/>
    <x v="0"/>
  </r>
  <r>
    <x v="1"/>
    <n v="11209"/>
    <x v="270"/>
    <x v="284"/>
    <n v="336990"/>
    <s v="Other transportation equipment manufacturing"/>
    <s v="Fabrication d'autres types de matériel de transport"/>
    <x v="0"/>
    <s v="1330-20-7"/>
    <x v="24"/>
    <x v="24"/>
    <x v="1"/>
    <s v="Transferts hors site pour traitement avant élimination final"/>
    <s v="Chemical Treatment"/>
    <s v="Traitement chimique"/>
    <n v="4.6651999999999996"/>
    <x v="0"/>
    <s v="O - Engineering Estimates"/>
    <x v="0"/>
  </r>
  <r>
    <x v="11"/>
    <n v="3698"/>
    <x v="12"/>
    <x v="274"/>
    <n v="324110"/>
    <s v="Petroleum refineries"/>
    <s v="Raffineries de pétrole"/>
    <x v="7"/>
    <s v="NA - 10"/>
    <x v="9"/>
    <x v="9"/>
    <x v="1"/>
    <s v="Transferts hors site pour traitement avant élimination final"/>
    <s v="Chemical Treatment"/>
    <s v="Traitement chimique"/>
    <n v="41"/>
    <x v="1"/>
    <s v="O - Engineering Estimates"/>
    <x v="0"/>
  </r>
  <r>
    <x v="8"/>
    <n v="5454"/>
    <x v="271"/>
    <x v="285"/>
    <n v="562990"/>
    <s v="All Other Waste Management Services"/>
    <s v="Tous les autres services de gestion des déchets"/>
    <x v="3"/>
    <s v="78-93-3"/>
    <x v="0"/>
    <x v="0"/>
    <x v="1"/>
    <s v="Transferts hors site pour traitement avant élimination final"/>
    <s v="Incineration / Thermal"/>
    <s v="Incinération / thermique"/>
    <n v="153.13"/>
    <x v="0"/>
    <s v="O - Engineering Estimates"/>
    <x v="0"/>
  </r>
  <r>
    <x v="27"/>
    <n v="2776"/>
    <x v="8"/>
    <x v="7"/>
    <n v="324110"/>
    <s v="Petroleum Refineries"/>
    <s v="Raffineries de pétrole"/>
    <x v="2"/>
    <s v="108-88-3"/>
    <x v="5"/>
    <x v="5"/>
    <x v="0"/>
    <s v="Transferts hors site pour recyclage"/>
    <s v="Refining or Re-use of Used Oil"/>
    <s v="Raffinage ou réutilisation d'huiles usées"/>
    <n v="5.7000000000000002E-2"/>
    <x v="0"/>
    <s v="O - Engineering Estimates"/>
    <x v="0"/>
  </r>
  <r>
    <x v="1"/>
    <n v="10237"/>
    <x v="12"/>
    <x v="100"/>
    <n v="412110"/>
    <s v="Petroleum and petroleum products merchant wholesalers"/>
    <s v="Grossistes-marchands de pétrole et de produits pétroliers"/>
    <x v="1"/>
    <s v="85-01-8"/>
    <x v="54"/>
    <x v="54"/>
    <x v="0"/>
    <s v="Transferts hors site pour recyclage"/>
    <s v="Other"/>
    <s v="Autres"/>
    <n v="14.7819"/>
    <x v="1"/>
    <s v="O - Engineering Estimates"/>
    <x v="0"/>
  </r>
  <r>
    <x v="10"/>
    <n v="2844"/>
    <x v="26"/>
    <x v="286"/>
    <n v="221112"/>
    <s v="Fossil-Fuel Electric Power Generation"/>
    <s v="Production d'électricité à partir de combustibles fossiles"/>
    <x v="0"/>
    <s v="NA - 11"/>
    <x v="4"/>
    <x v="4"/>
    <x v="0"/>
    <s v="Transferts hors site pour recyclage"/>
    <s v="Other"/>
    <s v="Autres"/>
    <n v="5.1100000000000003"/>
    <x v="0"/>
    <s v="E - Emission Factor"/>
    <x v="0"/>
  </r>
  <r>
    <x v="23"/>
    <n v="4567"/>
    <x v="272"/>
    <x v="287"/>
    <n v="325999"/>
    <s v="All Other Miscellaneous Chemical Product Manufacturing"/>
    <s v="Fabrication de tous les autres produits chimiques divers"/>
    <x v="4"/>
    <s v="67-56-1"/>
    <x v="3"/>
    <x v="3"/>
    <x v="1"/>
    <s v="Transferts hors site pour traitement avant élimination final"/>
    <s v="Incineration / Thermal"/>
    <s v="Incinération / thermique"/>
    <n v="1.41"/>
    <x v="0"/>
    <s v="O - Engineering Estimates"/>
    <x v="0"/>
  </r>
  <r>
    <x v="27"/>
    <n v="3476"/>
    <x v="39"/>
    <x v="146"/>
    <n v="336110"/>
    <s v="Automobile and Light-Duty Motor Vehicle Manufacturing"/>
    <s v="Fabrication de voitures et de véhicules automobiles légers"/>
    <x v="0"/>
    <s v="78-93-3"/>
    <x v="0"/>
    <x v="0"/>
    <x v="0"/>
    <s v="Transferts hors site pour recyclage"/>
    <s v="Recovery of Solvents"/>
    <s v="Récupération de solvants"/>
    <n v="6.9509999999999996"/>
    <x v="0"/>
    <s v="O - Engineering Estimates"/>
    <x v="0"/>
  </r>
  <r>
    <x v="22"/>
    <n v="286"/>
    <x v="273"/>
    <x v="288"/>
    <n v="325510"/>
    <s v="Paint and Coating Manufacturing"/>
    <s v="Fabrication de peintures et de revêtements"/>
    <x v="0"/>
    <s v="108-10-1"/>
    <x v="63"/>
    <x v="63"/>
    <x v="1"/>
    <s v="Transferts hors site pour traitement avant élimination final"/>
    <s v="Incineration / Thermal"/>
    <s v="Incinération / thermique"/>
    <n v="2.681"/>
    <x v="0"/>
    <s v="O - Engineering Estimates"/>
    <x v="0"/>
  </r>
  <r>
    <x v="1"/>
    <n v="432"/>
    <x v="250"/>
    <x v="289"/>
    <n v="211113"/>
    <s v="Conventional oil and gas extraction"/>
    <s v="Extraction de pétrole et de gaz par des méthodes classiques"/>
    <x v="4"/>
    <s v="108-88-3"/>
    <x v="5"/>
    <x v="5"/>
    <x v="1"/>
    <s v="Transferts hors site pour traitement avant élimination final"/>
    <s v="Physical Treatment"/>
    <s v="Traitement physique"/>
    <n v="7.9000000000000001E-2"/>
    <x v="0"/>
    <s v="O - Engineering Estimates"/>
    <x v="0"/>
  </r>
  <r>
    <x v="21"/>
    <n v="4173"/>
    <x v="274"/>
    <x v="39"/>
    <n v="336110"/>
    <s v="Automobile and light-duty motor vehicle manufacturing"/>
    <s v="Fabrication de voitures et de véhicules automobiles légers"/>
    <x v="0"/>
    <s v="67-56-1"/>
    <x v="3"/>
    <x v="3"/>
    <x v="0"/>
    <s v="Transferts hors site pour recyclage"/>
    <s v="Recovery of Solvents"/>
    <s v="Récupération de solvants"/>
    <n v="0.35"/>
    <x v="0"/>
    <s v="O - Engineering Estimates"/>
    <x v="0"/>
  </r>
  <r>
    <x v="12"/>
    <n v="8785"/>
    <x v="275"/>
    <x v="290"/>
    <n v="212233"/>
    <s v="Copper-zinc ore mining"/>
    <s v="Extraction de minerais de cuivre-zinc"/>
    <x v="3"/>
    <s v="NA - 08"/>
    <x v="1"/>
    <x v="1"/>
    <x v="1"/>
    <s v="Transferts hors site pour traitement avant élimination final"/>
    <s v="Chemical Treatment"/>
    <s v="Traitement chimique"/>
    <n v="64.489999999999995"/>
    <x v="1"/>
    <s v="M3 - Source Testing"/>
    <x v="0"/>
  </r>
  <r>
    <x v="17"/>
    <n v="29018"/>
    <x v="276"/>
    <x v="291"/>
    <n v="211110"/>
    <s v="Oil and gas extraction (except oil sands)"/>
    <s v="Extraction de pétrole et de gaz (à l'exception des sables bitumineux)"/>
    <x v="2"/>
    <s v="1330-20-7"/>
    <x v="24"/>
    <x v="24"/>
    <x v="1"/>
    <s v="Transferts hors site pour traitement avant élimination final"/>
    <s v="Chemical Treatment"/>
    <s v="Traitement chimique"/>
    <n v="1.78E-2"/>
    <x v="0"/>
    <s v="O - Engineering Estimates"/>
    <x v="0"/>
  </r>
  <r>
    <x v="28"/>
    <n v="3883"/>
    <x v="114"/>
    <x v="61"/>
    <n v="336110"/>
    <s v="Automobile and Light-Duty Motor Vehicle Manufacturing"/>
    <s v="Fabrication de voitures et de véhicules automobiles légers"/>
    <x v="0"/>
    <s v="71-36-3"/>
    <x v="50"/>
    <x v="50"/>
    <x v="1"/>
    <s v="Transferts hors site pour traitement avant élimination final"/>
    <s v="Incineration / Thermal"/>
    <s v="Incinération / thermique"/>
    <n v="0.52"/>
    <x v="0"/>
    <s v="O - Engineering Estimates"/>
    <x v="0"/>
  </r>
  <r>
    <x v="18"/>
    <n v="4874"/>
    <x v="277"/>
    <x v="292"/>
    <n v="325313"/>
    <s v="Chemical fertilizer (except potash) manufacturing"/>
    <s v="Fabrication d'engrais chimiques (sauf la potasse)"/>
    <x v="4"/>
    <s v="NA - 06"/>
    <x v="15"/>
    <x v="15"/>
    <x v="1"/>
    <s v="Transferts hors site pour traitement avant élimination final"/>
    <s v="Municipal Sewage Treatment Plant"/>
    <s v="Usine municipale d'épuration des eaux usées"/>
    <n v="2E-3"/>
    <x v="0"/>
    <s v="M3 - Source Testing"/>
    <x v="0"/>
  </r>
  <r>
    <x v="8"/>
    <n v="5853"/>
    <x v="123"/>
    <x v="293"/>
    <n v="562110"/>
    <s v="Waste Collection"/>
    <s v="Collecte des déchets"/>
    <x v="0"/>
    <s v="NA - 08"/>
    <x v="1"/>
    <x v="1"/>
    <x v="0"/>
    <s v="Transferts hors site pour recyclage"/>
    <s v="Refining or Re-use of Used Oil"/>
    <s v="Raffinage ou réutilisation d'huiles usées"/>
    <n v="228"/>
    <x v="1"/>
    <s v="O - Engineering Estimates"/>
    <x v="0"/>
  </r>
  <r>
    <x v="1"/>
    <n v="374"/>
    <x v="278"/>
    <x v="294"/>
    <n v="325520"/>
    <s v="Adhesive manufacturing"/>
    <s v="Fabrication d'adhésifs"/>
    <x v="0"/>
    <s v="108-05-4"/>
    <x v="74"/>
    <x v="74"/>
    <x v="1"/>
    <s v="Transferts hors site pour traitement avant élimination final"/>
    <s v="Municipal Sewage Treatment Plant"/>
    <s v="Usine municipale d'épuration des eaux usées"/>
    <n v="0.51880000000000004"/>
    <x v="0"/>
    <s v="C - Mass Balance"/>
    <x v="0"/>
  </r>
  <r>
    <x v="18"/>
    <n v="4948"/>
    <x v="61"/>
    <x v="295"/>
    <n v="562210"/>
    <s v="Waste treatment and disposal"/>
    <s v="Traitement et élimination des déchets"/>
    <x v="0"/>
    <s v="1319-77-3"/>
    <x v="75"/>
    <x v="75"/>
    <x v="1"/>
    <s v="Transferts hors site pour traitement avant élimination final"/>
    <s v="Incineration / Thermal"/>
    <s v="Incinération / thermique"/>
    <n v="2.3288000000000002"/>
    <x v="0"/>
    <s v="E1 - Site Specific Emission Factors"/>
    <x v="0"/>
  </r>
  <r>
    <x v="27"/>
    <n v="3062"/>
    <x v="279"/>
    <x v="296"/>
    <n v="331313"/>
    <s v="Primary Production of Alumina and Aluminum"/>
    <s v="Production primaire d'alumine et d'aluminium"/>
    <x v="3"/>
    <s v="NA - 04"/>
    <x v="19"/>
    <x v="19"/>
    <x v="0"/>
    <s v="Transferts hors site pour recyclage"/>
    <s v="Recovery of Metals and Metal Compounds"/>
    <s v="Récupération de métaux et leurs composés"/>
    <n v="0.62"/>
    <x v="0"/>
    <s v="C - Mass Balance"/>
    <x v="0"/>
  </r>
  <r>
    <x v="10"/>
    <n v="4650"/>
    <x v="280"/>
    <x v="297"/>
    <n v="325999"/>
    <s v="All Other Miscellaneous Chemical Product Manufacturing"/>
    <s v="Fabrication de tous les autres produits chimiques divers"/>
    <x v="4"/>
    <s v="NA - 05"/>
    <x v="16"/>
    <x v="16"/>
    <x v="1"/>
    <s v="Transferts hors site pour traitement avant élimination final"/>
    <s v="Municipal Sewage Treatment Plant"/>
    <s v="Usine municipale d'épuration des eaux usées"/>
    <n v="3.1E-2"/>
    <x v="0"/>
    <s v="M - Monitoring or Direct Measurement"/>
    <x v="0"/>
  </r>
  <r>
    <x v="29"/>
    <n v="397"/>
    <x v="2"/>
    <x v="298"/>
    <n v="336110"/>
    <s v="Automobile and light-duty motor vehicle manufacturing"/>
    <s v="Fabrication de voitures et de véhicules automobiles légers"/>
    <x v="0"/>
    <s v="100-41-4"/>
    <x v="11"/>
    <x v="11"/>
    <x v="0"/>
    <s v="Transferts hors site pour recyclage"/>
    <s v="Energy Recovery"/>
    <s v="Récupération d'énergie"/>
    <n v="0.59799999999999998"/>
    <x v="0"/>
    <s v="C - Mass Balance"/>
    <x v="0"/>
  </r>
  <r>
    <x v="20"/>
    <n v="4768"/>
    <x v="281"/>
    <x v="299"/>
    <n v="562210"/>
    <s v="Waste Treatment and Disposal"/>
    <s v="Traitement et élimination des déchets"/>
    <x v="0"/>
    <s v="NA - 14"/>
    <x v="13"/>
    <x v="13"/>
    <x v="1"/>
    <s v="Transferts hors site pour traitement avant élimination final"/>
    <s v="Chemical Treatment"/>
    <s v="Traitement chimique"/>
    <n v="42.290999999999997"/>
    <x v="0"/>
    <s v="O - Engineering Estimates"/>
    <x v="0"/>
  </r>
  <r>
    <x v="11"/>
    <n v="5712"/>
    <x v="282"/>
    <x v="300"/>
    <n v="332810"/>
    <s v="Coating, engraving, cold and heat treating and allied activities"/>
    <s v="Revêtement, gravure, traitement thermique et par le froid, et activités analogues"/>
    <x v="0"/>
    <s v="NA - 11"/>
    <x v="4"/>
    <x v="4"/>
    <x v="0"/>
    <s v="Transferts hors site pour recyclage"/>
    <s v="Recovery of Metals and Metal Compounds"/>
    <s v="Récupération de métaux et leurs composés"/>
    <n v="6.2149999999999999"/>
    <x v="0"/>
    <s v="C - Mass Balance"/>
    <x v="0"/>
  </r>
  <r>
    <x v="27"/>
    <n v="21957"/>
    <x v="283"/>
    <x v="301"/>
    <n v="325999"/>
    <s v="All Other Miscellaneous Chemical Product Manufacturing"/>
    <s v="Fabrication de tous les autres produits chimiques divers"/>
    <x v="4"/>
    <s v="67-56-1"/>
    <x v="3"/>
    <x v="3"/>
    <x v="0"/>
    <s v="Transferts hors site pour recyclage"/>
    <s v="Energy Recovery"/>
    <s v="Récupération d'énergie"/>
    <n v="17.085999999999999"/>
    <x v="0"/>
    <s v="C - Mass Balance"/>
    <x v="0"/>
  </r>
  <r>
    <x v="26"/>
    <n v="3279"/>
    <x v="284"/>
    <x v="302"/>
    <n v="334410"/>
    <s v="Semiconductor and Other Electronic Component Manufacturing"/>
    <s v="Fabrication de semi-conducteurs et d'autres composants électroniques"/>
    <x v="0"/>
    <s v="NA - 08"/>
    <x v="1"/>
    <x v="1"/>
    <x v="0"/>
    <s v="Transferts hors site pour recyclage"/>
    <s v="Recovery of Pollution Abatement Residues"/>
    <s v="Récupération de résidus de dépollution"/>
    <n v="0"/>
    <x v="1"/>
    <s v="O - Engineering Estimates"/>
    <x v="0"/>
  </r>
  <r>
    <x v="21"/>
    <n v="1562"/>
    <x v="151"/>
    <x v="214"/>
    <n v="325510"/>
    <s v="Paint and coating manufacturing"/>
    <s v="Fabrication de peintures et de revêtements"/>
    <x v="0"/>
    <s v="95-63-6"/>
    <x v="40"/>
    <x v="40"/>
    <x v="0"/>
    <s v="Transferts hors site pour recyclage"/>
    <s v="Energy Recovery"/>
    <s v="Récupération d'énergie"/>
    <n v="1.21"/>
    <x v="0"/>
    <s v="O - Engineering Estimates"/>
    <x v="0"/>
  </r>
  <r>
    <x v="5"/>
    <n v="79"/>
    <x v="285"/>
    <x v="303"/>
    <n v="325999"/>
    <s v="All Other Miscellaneous Chemical Product Manufacturing"/>
    <s v="Fabrication de tous les autres produits chimiques divers"/>
    <x v="4"/>
    <s v="NA - 14"/>
    <x v="13"/>
    <x v="13"/>
    <x v="1"/>
    <s v="Transferts hors site pour traitement avant élimination final"/>
    <s v="Incineration / Thermal"/>
    <s v="Incinération / thermique"/>
    <n v="0.11"/>
    <x v="0"/>
    <s v="C - Mass Balance"/>
    <x v="0"/>
  </r>
  <r>
    <x v="9"/>
    <n v="3564"/>
    <x v="93"/>
    <x v="96"/>
    <n v="562920"/>
    <s v="Material recovery facilities"/>
    <s v="Installations de récupération de matériaux"/>
    <x v="3"/>
    <s v="1330-20-7"/>
    <x v="24"/>
    <x v="24"/>
    <x v="0"/>
    <s v="Transferts hors site pour recyclage"/>
    <s v="Energy Recovery"/>
    <s v="Récupération d'énergie"/>
    <n v="85.66"/>
    <x v="0"/>
    <s v="M1 - Continuous Emission Monitoring"/>
    <x v="0"/>
  </r>
  <r>
    <x v="22"/>
    <n v="3590"/>
    <x v="286"/>
    <x v="304"/>
    <n v="325520"/>
    <s v="Adhesive Manufacturing"/>
    <s v="Fabrication d'adhésifs"/>
    <x v="0"/>
    <s v="67-56-1"/>
    <x v="3"/>
    <x v="3"/>
    <x v="1"/>
    <s v="Transferts hors site pour traitement avant élimination final"/>
    <s v="Incineration / Thermal"/>
    <s v="Incinération / thermique"/>
    <n v="0.40500000000000003"/>
    <x v="0"/>
    <s v="C - Mass Balance"/>
    <x v="0"/>
  </r>
  <r>
    <x v="17"/>
    <n v="405"/>
    <x v="287"/>
    <x v="305"/>
    <n v="324110"/>
    <s v="Petroleum refineries"/>
    <s v="Raffineries de pétrole"/>
    <x v="2"/>
    <s v="1344-28-1"/>
    <x v="76"/>
    <x v="76"/>
    <x v="0"/>
    <s v="Transferts hors site pour recyclage"/>
    <s v="Recovery of Catalysts"/>
    <s v="Récupération de catalyseurs"/>
    <n v="64.228499999999997"/>
    <x v="0"/>
    <s v="O - Engineering Estimates"/>
    <x v="0"/>
  </r>
  <r>
    <x v="13"/>
    <n v="2712"/>
    <x v="288"/>
    <x v="306"/>
    <n v="324110"/>
    <s v="Petroleum Refineries"/>
    <s v="Raffineries de pétrole"/>
    <x v="5"/>
    <s v="1330-20-7"/>
    <x v="24"/>
    <x v="24"/>
    <x v="1"/>
    <s v="Transferts hors site pour traitement avant élimination final"/>
    <s v="Municipal Sewage Treatment Plant"/>
    <s v="Usine municipale d'épuration des eaux usées"/>
    <n v="0.121"/>
    <x v="0"/>
    <s v="M3 - Source Testing"/>
    <x v="0"/>
  </r>
  <r>
    <x v="19"/>
    <n v="4625"/>
    <x v="289"/>
    <x v="307"/>
    <n v="336390"/>
    <s v="Other Motor Vehicle Parts Manufacturing"/>
    <s v="Fabrication d'autres pièces pour véhicules automobiles"/>
    <x v="0"/>
    <s v="NA - 04"/>
    <x v="19"/>
    <x v="19"/>
    <x v="0"/>
    <s v="Transferts hors site pour recyclage"/>
    <s v="Recovery of Acids and Bases"/>
    <s v="Récupération d'acides ou de bases"/>
    <n v="0.97199999999999998"/>
    <x v="0"/>
    <s v="C - Mass Balance"/>
    <x v="0"/>
  </r>
  <r>
    <x v="15"/>
    <n v="10105"/>
    <x v="290"/>
    <x v="308"/>
    <n v="336360"/>
    <s v="Motor vehicle seating and interior trim manufacturing"/>
    <s v="Fabrication de sièges et enjolivures intérieures pour véhicules automobiles"/>
    <x v="0"/>
    <s v="NA - 14"/>
    <x v="13"/>
    <x v="13"/>
    <x v="0"/>
    <s v="Transferts hors site pour recyclage"/>
    <s v="Recovery of Metals and Metal Compounds"/>
    <s v="Récupération de métaux et leurs composés"/>
    <n v="8.0500000000000007"/>
    <x v="0"/>
    <s v="C - Mass Balance"/>
    <x v="0"/>
  </r>
  <r>
    <x v="12"/>
    <n v="10215"/>
    <x v="12"/>
    <x v="309"/>
    <n v="412110"/>
    <s v="Petroleum and petroleum products merchant wholesalers"/>
    <s v="Grossistes-marchands de pétrole et de produits pétroliers"/>
    <x v="4"/>
    <s v="108-88-3"/>
    <x v="5"/>
    <x v="5"/>
    <x v="0"/>
    <s v="Transferts hors site pour recyclage"/>
    <s v="Other"/>
    <s v="Autres"/>
    <n v="7.46E-2"/>
    <x v="0"/>
    <s v="O - Engineering Estimates"/>
    <x v="0"/>
  </r>
  <r>
    <x v="30"/>
    <n v="3928"/>
    <x v="291"/>
    <x v="32"/>
    <n v="324110"/>
    <s v="Petroleum Refineries"/>
    <s v="Raffineries de pétrole"/>
    <x v="3"/>
    <s v="95-47-6"/>
    <x v="77"/>
    <x v="77"/>
    <x v="1"/>
    <s v="Transferts hors site pour traitement avant élimination final"/>
    <s v="Incineration / Thermal"/>
    <s v="Incinération / thermique"/>
    <n v="4.0000000000000001E-3"/>
    <x v="0"/>
    <m/>
    <x v="0"/>
  </r>
  <r>
    <x v="26"/>
    <n v="5455"/>
    <x v="125"/>
    <x v="60"/>
    <n v="562990"/>
    <s v="All Other Waste Management Services"/>
    <s v="Tous les autres services de gestion des déchets"/>
    <x v="3"/>
    <s v="107-21-1"/>
    <x v="29"/>
    <x v="29"/>
    <x v="1"/>
    <s v="Transferts hors site pour traitement avant élimination final"/>
    <s v="Incineration / Thermal"/>
    <s v="Incinération / thermique"/>
    <n v="43.448"/>
    <x v="0"/>
    <s v="C - Mass Balance"/>
    <x v="0"/>
  </r>
  <r>
    <x v="22"/>
    <n v="5111"/>
    <x v="292"/>
    <x v="310"/>
    <n v="562210"/>
    <s v="Waste Treatment and Disposal"/>
    <s v="Traitement et élimination des déchets"/>
    <x v="2"/>
    <s v="78-83-1"/>
    <x v="23"/>
    <x v="23"/>
    <x v="1"/>
    <s v="Transferts hors site pour traitement avant élimination final"/>
    <s v="Incineration / Thermal"/>
    <s v="Incinération / thermique"/>
    <n v="5.5270000000000001"/>
    <x v="0"/>
    <s v="M - Monitoring or Direct Measurement"/>
    <x v="0"/>
  </r>
  <r>
    <x v="21"/>
    <n v="26403"/>
    <x v="293"/>
    <x v="311"/>
    <n v="211142"/>
    <s v="Mined oil sands extraction"/>
    <s v="Extraction minière de sables bitumineux"/>
    <x v="4"/>
    <s v="110-82-7"/>
    <x v="71"/>
    <x v="71"/>
    <x v="1"/>
    <s v="Transferts hors site pour traitement avant élimination final"/>
    <s v="Incineration / Thermal"/>
    <s v="Incinération / thermique"/>
    <n v="0.44259999999999999"/>
    <x v="0"/>
    <s v="O - Engineering Estimates"/>
    <x v="0"/>
  </r>
  <r>
    <x v="17"/>
    <n v="3949"/>
    <x v="294"/>
    <x v="312"/>
    <n v="336370"/>
    <s v="Motor vehicle metal stamping"/>
    <s v="Emboutissage de pièces en métal pour véhicules automobiles"/>
    <x v="0"/>
    <s v="NA - 04"/>
    <x v="19"/>
    <x v="19"/>
    <x v="0"/>
    <s v="Transferts hors site pour recyclage"/>
    <s v="Recovery of Metals and Metal Compounds"/>
    <s v="Récupération de métaux et leurs composés"/>
    <n v="74.483099999999993"/>
    <x v="0"/>
    <s v="C - Mass Balance"/>
    <x v="0"/>
  </r>
  <r>
    <x v="9"/>
    <n v="4527"/>
    <x v="295"/>
    <x v="313"/>
    <n v="332810"/>
    <s v="Coating, engraving, cold and heat treating and allied activities"/>
    <s v="Revêtement, gravure, traitement thermique et par le froid, et activités analogues"/>
    <x v="0"/>
    <s v="100-41-4"/>
    <x v="11"/>
    <x v="11"/>
    <x v="0"/>
    <s v="Transferts hors site pour recyclage"/>
    <s v="Energy Recovery"/>
    <s v="Récupération d'énergie"/>
    <n v="1.7190000000000001"/>
    <x v="0"/>
    <s v="C - Mass Balance"/>
    <x v="0"/>
  </r>
  <r>
    <x v="10"/>
    <n v="2070"/>
    <x v="139"/>
    <x v="0"/>
    <n v="324190"/>
    <s v="Other Petroleum and Coal Products Manufacturing"/>
    <s v="Fabrication d'autres produits du pétrole et du charbon"/>
    <x v="0"/>
    <s v="120-12-7"/>
    <x v="78"/>
    <x v="78"/>
    <x v="1"/>
    <s v="Transferts hors site pour traitement avant élimination final"/>
    <s v="Physical Treatment"/>
    <s v="Traitement physique"/>
    <n v="1.2070000000000001"/>
    <x v="0"/>
    <s v="O - Engineering Estimates"/>
    <x v="0"/>
  </r>
  <r>
    <x v="7"/>
    <n v="29593"/>
    <x v="296"/>
    <x v="314"/>
    <n v="339990"/>
    <s v="All other miscellaneous manufacturing"/>
    <s v="Toutes les autres activités diverses de fabrication"/>
    <x v="3"/>
    <s v="9016-87-9"/>
    <x v="79"/>
    <x v="79"/>
    <x v="1"/>
    <s v="Transferts hors site pour traitement avant élimination final"/>
    <s v="Municipal Sewage Treatment Plant"/>
    <s v="Usine municipale d'épuration des eaux usées"/>
    <n v="0"/>
    <x v="0"/>
    <s v="O - Engineering Estimates"/>
    <x v="0"/>
  </r>
  <r>
    <x v="29"/>
    <n v="10229"/>
    <x v="12"/>
    <x v="315"/>
    <n v="412110"/>
    <s v="Petroleum, petroleum products, and other hydrocarbons merchant wholesalers"/>
    <s v="Grossistes-marchands de pétrole, de produits pétroliers, et d'autres hydrocarbures"/>
    <x v="0"/>
    <s v="1319-77-3"/>
    <x v="75"/>
    <x v="75"/>
    <x v="1"/>
    <s v="Transferts hors site pour traitement avant élimination final"/>
    <s v="Physical Treatment"/>
    <s v="Traitement physique"/>
    <n v="6.9999999999999999E-4"/>
    <x v="0"/>
    <s v="O - Engineering Estimates"/>
    <x v="0"/>
  </r>
  <r>
    <x v="6"/>
    <n v="6797"/>
    <x v="5"/>
    <x v="113"/>
    <n v="562990"/>
    <s v="All Other Waste Management Services"/>
    <s v="Tous les autres services de gestion des déchets"/>
    <x v="4"/>
    <s v="107-21-1"/>
    <x v="29"/>
    <x v="29"/>
    <x v="0"/>
    <s v="Transferts hors site pour recyclage"/>
    <s v="Energy Recovery"/>
    <s v="Récupération d'énergie"/>
    <n v="1.879"/>
    <x v="0"/>
    <s v="O - Engineering Estimates"/>
    <x v="0"/>
  </r>
  <r>
    <x v="19"/>
    <n v="5753"/>
    <x v="297"/>
    <x v="316"/>
    <n v="337214"/>
    <s v="Office Furniture (except Wood) Manufacturing"/>
    <s v="Fabrication de meubles de bureau (sauf en bois)"/>
    <x v="0"/>
    <s v="NA - 04"/>
    <x v="19"/>
    <x v="19"/>
    <x v="0"/>
    <s v="Transferts hors site pour recyclage"/>
    <s v="Recovery of Metals and Metal Compounds"/>
    <s v="Récupération de métaux et leurs composés"/>
    <n v="20.879000000000001"/>
    <x v="0"/>
    <s v="O - Engineering Estimates"/>
    <x v="0"/>
  </r>
  <r>
    <x v="7"/>
    <n v="21548"/>
    <x v="255"/>
    <x v="317"/>
    <n v="211141"/>
    <s v="In-situ oil sands extraction"/>
    <s v="Extraction in situ de sables bitumineux"/>
    <x v="4"/>
    <s v="110-82-7"/>
    <x v="71"/>
    <x v="71"/>
    <x v="0"/>
    <s v="Transferts hors site pour recyclage"/>
    <s v="Recovery of Organic Substances (not solvents)"/>
    <s v="Récupération de substances organiques (pas les solvants)"/>
    <n v="0"/>
    <x v="0"/>
    <s v="O - Engineering Estimates"/>
    <x v="0"/>
  </r>
  <r>
    <x v="12"/>
    <n v="5928"/>
    <x v="123"/>
    <x v="318"/>
    <n v="562110"/>
    <s v="Waste collection"/>
    <s v="Collecte de déchets"/>
    <x v="0"/>
    <s v="NA - 19"/>
    <x v="43"/>
    <x v="43"/>
    <x v="1"/>
    <s v="Transferts hors site pour traitement avant élimination final"/>
    <s v="Physical Treatment"/>
    <s v="Traitement physique"/>
    <n v="90.015500000000003"/>
    <x v="1"/>
    <s v="C - Mass Balance"/>
    <x v="0"/>
  </r>
  <r>
    <x v="19"/>
    <n v="126"/>
    <x v="298"/>
    <x v="319"/>
    <n v="325110"/>
    <s v="Petrochemical Manufacturing"/>
    <s v="Fabrication de produits pétrochimiques"/>
    <x v="4"/>
    <s v="108-05-4"/>
    <x v="74"/>
    <x v="74"/>
    <x v="1"/>
    <s v="Transferts hors site pour traitement avant élimination final"/>
    <s v="Incineration / Thermal"/>
    <s v="Incinération / thermique"/>
    <n v="99.5"/>
    <x v="0"/>
    <s v="C - Mass Balance"/>
    <x v="0"/>
  </r>
  <r>
    <x v="8"/>
    <n v="5481"/>
    <x v="299"/>
    <x v="320"/>
    <n v="336410"/>
    <s v="Aerospace Product and Parts Manufacturing"/>
    <s v="Fabrication de produits aérospatiaux et de leurs pièces"/>
    <x v="3"/>
    <s v="NA - 19"/>
    <x v="43"/>
    <x v="43"/>
    <x v="1"/>
    <s v="Transferts hors site pour traitement avant élimination final"/>
    <s v="Chemical Treatment"/>
    <s v="Traitement chimique"/>
    <n v="615"/>
    <x v="1"/>
    <s v="O - Engineering Estimates"/>
    <x v="0"/>
  </r>
  <r>
    <x v="19"/>
    <n v="4537"/>
    <x v="300"/>
    <x v="0"/>
    <n v="336370"/>
    <s v="Motor Vehicle Metal Stamping"/>
    <s v="Emboutissage de pièces en métal pour véhicules automobiles"/>
    <x v="0"/>
    <s v="NA - 06"/>
    <x v="15"/>
    <x v="15"/>
    <x v="1"/>
    <s v="Transferts hors site pour traitement avant élimination final"/>
    <s v="Incineration / Thermal"/>
    <s v="Incinération / thermique"/>
    <n v="0"/>
    <x v="0"/>
    <s v="M1 - Continuous Emission Monitoring"/>
    <x v="0"/>
  </r>
  <r>
    <x v="17"/>
    <n v="3790"/>
    <x v="42"/>
    <x v="321"/>
    <n v="336110"/>
    <s v="Automobile and light-duty motor vehicle manufacturing"/>
    <s v="Fabrication de voitures et de véhicules automobiles légers"/>
    <x v="0"/>
    <s v="NA - 14"/>
    <x v="13"/>
    <x v="13"/>
    <x v="0"/>
    <s v="Transferts hors site pour recyclage"/>
    <s v="Energy Recovery"/>
    <s v="Récupération d'énergie"/>
    <n v="0.33300000000000002"/>
    <x v="0"/>
    <s v="O - Engineering Estimates"/>
    <x v="0"/>
  </r>
  <r>
    <x v="20"/>
    <n v="2776"/>
    <x v="8"/>
    <x v="7"/>
    <n v="324110"/>
    <s v="Petroleum Refineries"/>
    <s v="Raffineries de pétrole"/>
    <x v="2"/>
    <s v="NA - 14"/>
    <x v="13"/>
    <x v="13"/>
    <x v="1"/>
    <s v="Transferts hors site pour traitement avant élimination final"/>
    <s v="Physical Treatment"/>
    <s v="Traitement physique"/>
    <n v="1.21"/>
    <x v="0"/>
    <s v="O - Engineering Estimates"/>
    <x v="0"/>
  </r>
  <r>
    <x v="19"/>
    <n v="1562"/>
    <x v="301"/>
    <x v="0"/>
    <n v="325510"/>
    <s v="Paint and Coating Manufacturing"/>
    <s v="Fabrication de peintures et de revêtements"/>
    <x v="0"/>
    <s v="71-36-3"/>
    <x v="50"/>
    <x v="50"/>
    <x v="0"/>
    <s v="Transferts hors site pour recyclage"/>
    <s v="Energy Recovery"/>
    <s v="Récupération d'énergie"/>
    <n v="0.59"/>
    <x v="0"/>
    <s v="E1 - Site Specific Emission Factors"/>
    <x v="0"/>
  </r>
  <r>
    <x v="9"/>
    <n v="1096"/>
    <x v="82"/>
    <x v="84"/>
    <n v="418410"/>
    <s v="Chemical (except agricultural) and allied product merchant wholesalers"/>
    <s v="Grossistes-marchands de produits chimiques et de produits analogues (sauf agricoles)"/>
    <x v="0"/>
    <s v="108-88-3"/>
    <x v="5"/>
    <x v="5"/>
    <x v="0"/>
    <s v="Transferts hors site pour recyclage"/>
    <s v="Other"/>
    <s v="Autres"/>
    <n v="5.3097000000000003"/>
    <x v="0"/>
    <s v="O - Engineering Estimates"/>
    <x v="0"/>
  </r>
  <r>
    <x v="14"/>
    <n v="29088"/>
    <x v="302"/>
    <x v="322"/>
    <n v="331317"/>
    <s v="Aluminum rolling, drawing, extruding and alloying"/>
    <s v="Laminage, étirage, extrusion et alliage de l'aluminium"/>
    <x v="3"/>
    <s v="7429-90-5"/>
    <x v="10"/>
    <x v="10"/>
    <x v="0"/>
    <s v="Transferts hors site pour recyclage"/>
    <s v="Recovery of Metals and Metal Compounds"/>
    <s v="Récupération de métaux et leurs composés"/>
    <n v="482.1"/>
    <x v="0"/>
    <s v="C - Mass Balance"/>
    <x v="0"/>
  </r>
  <r>
    <x v="21"/>
    <n v="11576"/>
    <x v="42"/>
    <x v="323"/>
    <n v="336110"/>
    <s v="Automobile and light-duty motor vehicle manufacturing"/>
    <s v="Fabrication de voitures et de véhicules automobiles légers"/>
    <x v="0"/>
    <s v="NA - 17"/>
    <x v="36"/>
    <x v="36"/>
    <x v="0"/>
    <s v="Transferts hors site pour recyclage"/>
    <s v="Energy Recovery"/>
    <s v="Récupération d'énergie"/>
    <n v="7.0000000000000001E-3"/>
    <x v="0"/>
    <s v="O - Engineering Estimates"/>
    <x v="0"/>
  </r>
  <r>
    <x v="1"/>
    <n v="7161"/>
    <x v="303"/>
    <x v="324"/>
    <n v="335930"/>
    <s v="Wiring device manufacturing"/>
    <s v="Fabrication de dispositifs de câblage"/>
    <x v="0"/>
    <s v="NA - 08"/>
    <x v="1"/>
    <x v="1"/>
    <x v="1"/>
    <s v="Transferts hors site pour traitement avant élimination final"/>
    <s v="Incineration / Thermal"/>
    <s v="Incinération / thermique"/>
    <n v="1.4079999999999999"/>
    <x v="1"/>
    <s v="O - Engineering Estimates"/>
    <x v="0"/>
  </r>
  <r>
    <x v="9"/>
    <n v="5965"/>
    <x v="29"/>
    <x v="30"/>
    <n v="325410"/>
    <s v="Pharmaceutical and medicine manufacturing"/>
    <s v="Fabrication de produits pharmaceutiques et de médicaments"/>
    <x v="0"/>
    <s v="67-56-1"/>
    <x v="3"/>
    <x v="3"/>
    <x v="1"/>
    <s v="Transferts hors site pour traitement avant élimination final"/>
    <s v="Incineration / Thermal"/>
    <s v="Incinération / thermique"/>
    <n v="523.70000000000005"/>
    <x v="0"/>
    <s v="C - Mass Balance"/>
    <x v="0"/>
  </r>
  <r>
    <x v="0"/>
    <n v="4173"/>
    <x v="304"/>
    <x v="65"/>
    <n v="336110"/>
    <s v="Automobile and Light-Duty Motor Vehicle Manufacturing"/>
    <s v="Fabrication de voitures et de véhicules automobiles légers"/>
    <x v="0"/>
    <s v="NA - 14"/>
    <x v="13"/>
    <x v="13"/>
    <x v="1"/>
    <s v="Transferts hors site pour traitement avant élimination final"/>
    <s v="Chemical Treatment"/>
    <s v="Traitement chimique"/>
    <n v="6.7000000000000004E-2"/>
    <x v="0"/>
    <s v="O - Engineering Estimates"/>
    <x v="0"/>
  </r>
  <r>
    <x v="2"/>
    <n v="4609"/>
    <x v="60"/>
    <x v="204"/>
    <n v="321114"/>
    <s v="Wood preservation"/>
    <s v="Préservation du bois"/>
    <x v="7"/>
    <s v="NA - 02"/>
    <x v="21"/>
    <x v="21"/>
    <x v="1"/>
    <s v="Transferts hors site pour traitement avant élimination final"/>
    <s v="Incineration / Thermal"/>
    <s v="Incinération / thermique"/>
    <n v="268.202"/>
    <x v="1"/>
    <s v="E2 - Published Emission Factors"/>
    <x v="0"/>
  </r>
  <r>
    <x v="13"/>
    <n v="1562"/>
    <x v="305"/>
    <x v="325"/>
    <n v="325510"/>
    <s v="Paint and Coating Manufacturing"/>
    <s v="Fabrication de peintures et de revêtements"/>
    <x v="0"/>
    <s v="71-36-3"/>
    <x v="50"/>
    <x v="50"/>
    <x v="0"/>
    <s v="Transferts hors site pour recyclage"/>
    <s v="Energy Recovery"/>
    <s v="Récupération d'énergie"/>
    <n v="0.67"/>
    <x v="0"/>
    <s v="E1 - Site Specific Emission Factors"/>
    <x v="0"/>
  </r>
  <r>
    <x v="18"/>
    <n v="20197"/>
    <x v="5"/>
    <x v="326"/>
    <n v="562210"/>
    <s v="Waste treatment and disposal"/>
    <s v="Traitement et élimination des déchets"/>
    <x v="2"/>
    <s v="1330-20-7"/>
    <x v="24"/>
    <x v="24"/>
    <x v="0"/>
    <s v="Transferts hors site pour recyclage"/>
    <s v="Refining or Re-use of Used Oil"/>
    <s v="Raffinage ou réutilisation d'huiles usées"/>
    <n v="66.45"/>
    <x v="0"/>
    <s v="C - Mass Balance"/>
    <x v="0"/>
  </r>
  <r>
    <x v="2"/>
    <n v="10286"/>
    <x v="306"/>
    <x v="327"/>
    <n v="333310"/>
    <s v="Commercial and service industry machinery manufacturing"/>
    <s v="Fabrication de machines pour le commerce et les industries de services"/>
    <x v="0"/>
    <s v="NA - 09"/>
    <x v="12"/>
    <x v="12"/>
    <x v="0"/>
    <s v="Transferts hors site pour recyclage"/>
    <s v="Recovery of Metals and Metal Compounds"/>
    <s v="Récupération de métaux et leurs composés"/>
    <n v="8.8729999999999993"/>
    <x v="0"/>
    <s v="O - Engineering Estimates"/>
    <x v="0"/>
  </r>
  <r>
    <x v="30"/>
    <n v="2773"/>
    <x v="307"/>
    <x v="328"/>
    <n v="325510"/>
    <s v="Paint and Coating Manufacturing"/>
    <s v="Fabrication de peintures et de revêtements"/>
    <x v="3"/>
    <s v="1330-20-7"/>
    <x v="34"/>
    <x v="34"/>
    <x v="1"/>
    <s v="Transferts hors site pour traitement avant élimination final"/>
    <s v="Incineration / Thermal"/>
    <s v="Incinération / thermique"/>
    <n v="2.5000000000000001E-2"/>
    <x v="0"/>
    <m/>
    <x v="0"/>
  </r>
  <r>
    <x v="18"/>
    <n v="1464"/>
    <x v="12"/>
    <x v="75"/>
    <n v="325110"/>
    <s v="Petrochemical manufacturing"/>
    <s v="Fabrication de produits pétrochimiques"/>
    <x v="0"/>
    <s v="218-01-9"/>
    <x v="66"/>
    <x v="66"/>
    <x v="1"/>
    <s v="Transferts hors site pour traitement avant élimination final"/>
    <s v="Incineration / Thermal"/>
    <s v="Incinération / thermique"/>
    <n v="3.0999999999999999E-3"/>
    <x v="1"/>
    <s v="M3 - Source Testing"/>
    <x v="0"/>
  </r>
  <r>
    <x v="6"/>
    <n v="11360"/>
    <x v="308"/>
    <x v="329"/>
    <n v="326290"/>
    <s v="Other Rubber Product Manufacturing"/>
    <s v="Fabrication d'autres produits en caoutchouc"/>
    <x v="0"/>
    <s v="872-50-4"/>
    <x v="2"/>
    <x v="2"/>
    <x v="1"/>
    <s v="Transferts hors site pour traitement avant élimination final"/>
    <s v="Incineration / Thermal"/>
    <s v="Incinération / thermique"/>
    <n v="1.7529999999999999"/>
    <x v="0"/>
    <s v="C - Mass Balance"/>
    <x v="0"/>
  </r>
  <r>
    <x v="2"/>
    <n v="10228"/>
    <x v="12"/>
    <x v="330"/>
    <n v="412110"/>
    <s v="Petroleum and petroleum products merchant wholesalers"/>
    <s v="Grossistes-marchands de pétrole et de produits pétroliers"/>
    <x v="5"/>
    <s v="129-00-0"/>
    <x v="73"/>
    <x v="73"/>
    <x v="0"/>
    <s v="Transferts hors site pour recyclage"/>
    <s v="Recovery of Organic Substances (not solvents)"/>
    <s v="Récupération de substances organiques (pas les solvants)"/>
    <n v="473.47890000000001"/>
    <x v="1"/>
    <s v="O - Engineering Estimates"/>
    <x v="0"/>
  </r>
  <r>
    <x v="17"/>
    <n v="3713"/>
    <x v="309"/>
    <x v="331"/>
    <n v="331110"/>
    <s v="Iron and steel mills and ferro-alloy manufacturing"/>
    <s v="Sidérurgie"/>
    <x v="0"/>
    <s v="NA - 11"/>
    <x v="4"/>
    <x v="4"/>
    <x v="0"/>
    <s v="Transferts hors site pour recyclage"/>
    <s v="Other"/>
    <s v="Autres"/>
    <n v="2.6243949999999998"/>
    <x v="0"/>
    <s v="C - Mass Balance"/>
    <x v="0"/>
  </r>
  <r>
    <x v="26"/>
    <n v="1953"/>
    <x v="49"/>
    <x v="49"/>
    <n v="325510"/>
    <s v="Paint and Coating Manufacturing"/>
    <s v="Fabrication de peintures et de revêtements"/>
    <x v="0"/>
    <s v="108-10-1"/>
    <x v="63"/>
    <x v="63"/>
    <x v="0"/>
    <s v="Transferts hors site pour recyclage"/>
    <s v="Energy Recovery"/>
    <s v="Récupération d'énergie"/>
    <n v="0"/>
    <x v="0"/>
    <s v="O - Engineering Estimates"/>
    <x v="0"/>
  </r>
  <r>
    <x v="21"/>
    <n v="10238"/>
    <x v="12"/>
    <x v="12"/>
    <n v="412110"/>
    <s v="Petroleum and petroleum products merchant wholesalers"/>
    <s v="Grossistes-marchands de pétrole et de produits pétroliers"/>
    <x v="2"/>
    <s v="71-43-2"/>
    <x v="31"/>
    <x v="31"/>
    <x v="0"/>
    <s v="Transferts hors site pour recyclage"/>
    <s v="Recovery of Organic Substances (not solvents)"/>
    <s v="Récupération de substances organiques (pas les solvants)"/>
    <n v="26.130299999999998"/>
    <x v="0"/>
    <s v="O - Engineering Estimates"/>
    <x v="0"/>
  </r>
  <r>
    <x v="6"/>
    <n v="4781"/>
    <x v="62"/>
    <x v="172"/>
    <n v="336310"/>
    <s v="Motor Vehicle Gasoline Engine and Engine Parts Manufacturing"/>
    <s v="Fabrication de moteurs et de pièces de moteurs à essence pour véhicules automobiles"/>
    <x v="0"/>
    <s v="NA - 08"/>
    <x v="1"/>
    <x v="1"/>
    <x v="0"/>
    <s v="Transferts hors site pour recyclage"/>
    <s v="Recovery of Metals and Metal Compounds"/>
    <s v="Récupération de métaux et leurs composés"/>
    <n v="3378.2"/>
    <x v="1"/>
    <s v="C - Mass Balance"/>
    <x v="0"/>
  </r>
  <r>
    <x v="4"/>
    <n v="3146"/>
    <x v="310"/>
    <x v="332"/>
    <n v="325190"/>
    <s v="Other Basic Organic Chemical Manufacturing"/>
    <s v="Fabrication d'autres produits chimiques organiques de base"/>
    <x v="0"/>
    <s v="71-43-2"/>
    <x v="31"/>
    <x v="31"/>
    <x v="1"/>
    <s v="Transferts hors site pour traitement avant élimination final"/>
    <s v="Incineration / Thermal"/>
    <s v="Incinération / thermique"/>
    <n v="12.151999999999999"/>
    <x v="0"/>
    <s v="C - Mass Balance"/>
    <x v="0"/>
  </r>
  <r>
    <x v="18"/>
    <n v="5438"/>
    <x v="311"/>
    <x v="114"/>
    <n v="325620"/>
    <s v="Toilet preparation manufacturing"/>
    <s v="Fabrication de produits de toilette"/>
    <x v="3"/>
    <s v="NA - 16"/>
    <x v="49"/>
    <x v="49"/>
    <x v="1"/>
    <s v="Transferts hors site pour traitement avant élimination final"/>
    <s v="Incineration / Thermal"/>
    <s v="Incinération / thermique"/>
    <n v="0.88400000000000001"/>
    <x v="0"/>
    <s v="C - Mass Balance"/>
    <x v="0"/>
  </r>
  <r>
    <x v="29"/>
    <n v="3713"/>
    <x v="309"/>
    <x v="331"/>
    <n v="331110"/>
    <s v="Iron and steel mills and ferro-alloy manufacturing"/>
    <s v="Sidérurgie"/>
    <x v="0"/>
    <s v="108-88-3"/>
    <x v="5"/>
    <x v="5"/>
    <x v="1"/>
    <s v="Transferts hors site pour traitement avant élimination final"/>
    <s v="Chemical Treatment"/>
    <s v="Traitement chimique"/>
    <n v="3.1999999999999999E-5"/>
    <x v="0"/>
    <s v="C - Mass Balance"/>
    <x v="0"/>
  </r>
  <r>
    <x v="13"/>
    <n v="442"/>
    <x v="12"/>
    <x v="333"/>
    <n v="211114"/>
    <s v="Non-Conventional Oil Extraction"/>
    <s v="Extraction de pétrole par des méthodes non classiques"/>
    <x v="4"/>
    <s v="71-43-2"/>
    <x v="31"/>
    <x v="31"/>
    <x v="1"/>
    <s v="Transferts hors site pour traitement avant élimination final"/>
    <s v="Incineration / Thermal"/>
    <s v="Incinération / thermique"/>
    <n v="1.7000000000000001E-2"/>
    <x v="0"/>
    <s v="O - Engineering Estimates"/>
    <x v="0"/>
  </r>
  <r>
    <x v="16"/>
    <n v="3476"/>
    <x v="312"/>
    <x v="146"/>
    <n v="336110"/>
    <s v="Automobile and Light-Duty Motor Vehicle Manufacturing"/>
    <s v="Fabrication de voitures et de véhicules automobiles légers"/>
    <x v="0"/>
    <s v="NA - 17"/>
    <x v="36"/>
    <x v="36"/>
    <x v="1"/>
    <s v="Transferts hors site pour traitement avant élimination final"/>
    <s v="Municipal Sewage Treatment Plant"/>
    <s v="Usine municipale d'épuration des eaux usées"/>
    <n v="28.774000000000001"/>
    <x v="0"/>
    <s v="O - Engineering Estimates"/>
    <x v="0"/>
  </r>
  <r>
    <x v="16"/>
    <n v="5927"/>
    <x v="149"/>
    <x v="160"/>
    <n v="332999"/>
    <s v="All Other Miscellaneous Fabricated Metal Product Manufacturing"/>
    <s v="Fabrication de tous les autres produits métalliques divers"/>
    <x v="0"/>
    <s v="7664-93-9"/>
    <x v="30"/>
    <x v="30"/>
    <x v="0"/>
    <s v="Transferts hors site pour recyclage"/>
    <s v="Recovery of Inorganic Materials (not metals)"/>
    <s v="Récupération de matières inorganiques (pas les métaux)"/>
    <n v="18.873999999999999"/>
    <x v="0"/>
    <s v="O - Engineering Estimates"/>
    <x v="0"/>
  </r>
  <r>
    <x v="9"/>
    <n v="3916"/>
    <x v="275"/>
    <x v="334"/>
    <n v="331410"/>
    <s v="Non-ferrous metal (except aluminum) smelting and refining"/>
    <s v="Fonte et affinage de métaux non ferreux (sauf l'aluminium)"/>
    <x v="3"/>
    <s v="NA - 08"/>
    <x v="1"/>
    <x v="1"/>
    <x v="1"/>
    <s v="Transferts hors site pour traitement avant élimination final"/>
    <s v="Municipal Sewage Treatment Plant"/>
    <s v="Usine municipale d'épuration des eaux usées"/>
    <n v="31.97"/>
    <x v="1"/>
    <s v="M3 - Source Testing"/>
    <x v="0"/>
  </r>
  <r>
    <x v="26"/>
    <n v="3655"/>
    <x v="313"/>
    <x v="335"/>
    <n v="418110"/>
    <s v="Recyclable Metal Wholesaler-Distributors"/>
    <s v="Grossistes-distributeurs de métaux recyclables"/>
    <x v="3"/>
    <s v="NA - 06"/>
    <x v="15"/>
    <x v="15"/>
    <x v="1"/>
    <s v="Transferts hors site pour traitement avant élimination final"/>
    <s v="Biological Treatment"/>
    <s v="Traitement biologique"/>
    <n v="1E-3"/>
    <x v="0"/>
    <s v="M3 - Source Testing"/>
    <x v="0"/>
  </r>
  <r>
    <x v="21"/>
    <n v="4781"/>
    <x v="185"/>
    <x v="172"/>
    <n v="336310"/>
    <s v="Motor vehicle gasoline engine and engine parts manufacturing"/>
    <s v="Fabrication de moteurs et de pièces de moteurs à essence pour véhicules automobiles"/>
    <x v="0"/>
    <s v="NA - 06"/>
    <x v="15"/>
    <x v="15"/>
    <x v="1"/>
    <s v="Transferts hors site pour traitement avant élimination final"/>
    <s v="Municipal Sewage Treatment Plant"/>
    <s v="Usine municipale d'épuration des eaux usées"/>
    <n v="5.0000000000000001E-3"/>
    <x v="0"/>
    <s v="O - Engineering Estimates"/>
    <x v="0"/>
  </r>
  <r>
    <x v="16"/>
    <n v="5810"/>
    <x v="314"/>
    <x v="336"/>
    <n v="325610"/>
    <s v="Soap and Cleaning Compound Manufacturing"/>
    <s v="Fabrication de savons et de détachants"/>
    <x v="0"/>
    <s v="7681-49-4"/>
    <x v="55"/>
    <x v="55"/>
    <x v="1"/>
    <s v="Transferts hors site pour traitement avant élimination final"/>
    <s v="Physical Treatment"/>
    <s v="Traitement physique"/>
    <n v="0.36899999999999999"/>
    <x v="0"/>
    <s v="C - Mass Balance"/>
    <x v="0"/>
  </r>
  <r>
    <x v="14"/>
    <n v="7366"/>
    <x v="315"/>
    <x v="337"/>
    <n v="332999"/>
    <s v="All other miscellaneous fabricated metal product manufacturing"/>
    <s v="Fabrication de tous les autres produits métalliques divers"/>
    <x v="0"/>
    <s v="NA - 09"/>
    <x v="12"/>
    <x v="12"/>
    <x v="0"/>
    <s v="Transferts hors site pour recyclage"/>
    <s v="Recovery of Metals and Metal Compounds"/>
    <s v="Récupération de métaux et leurs composés"/>
    <n v="10.363"/>
    <x v="0"/>
    <s v="C - Mass Balance"/>
    <x v="0"/>
  </r>
  <r>
    <x v="18"/>
    <n v="22378"/>
    <x v="316"/>
    <x v="338"/>
    <n v="211114"/>
    <s v="Non-conventional oil extraction"/>
    <s v="Extraction de pétrole par des méthodes non classiques"/>
    <x v="4"/>
    <s v="108-88-3"/>
    <x v="5"/>
    <x v="5"/>
    <x v="1"/>
    <s v="Transferts hors site pour traitement avant élimination final"/>
    <s v="Incineration / Thermal"/>
    <s v="Incinération / thermique"/>
    <n v="3.2000000000000001E-2"/>
    <x v="0"/>
    <s v="O - Engineering Estimates"/>
    <x v="0"/>
  </r>
  <r>
    <x v="27"/>
    <n v="3071"/>
    <x v="317"/>
    <x v="339"/>
    <n v="324110"/>
    <s v="Petroleum Refineries"/>
    <s v="Raffineries de pétrole"/>
    <x v="0"/>
    <s v="100-41-4"/>
    <x v="11"/>
    <x v="11"/>
    <x v="1"/>
    <s v="Transferts hors site pour traitement avant élimination final"/>
    <s v="Physical Treatment"/>
    <s v="Traitement physique"/>
    <n v="0.32179999999999997"/>
    <x v="0"/>
    <s v="O - Engineering Estimates"/>
    <x v="0"/>
  </r>
  <r>
    <x v="0"/>
    <n v="3254"/>
    <x v="318"/>
    <x v="340"/>
    <n v="336410"/>
    <s v="Aerospace Product and Parts Manufacturing"/>
    <s v="Fabrication de produits aérospatiaux et de leurs pièces"/>
    <x v="3"/>
    <s v="NA - 11"/>
    <x v="4"/>
    <x v="4"/>
    <x v="0"/>
    <s v="Transferts hors site pour recyclage"/>
    <s v="Recovery of Metals and Metal Compounds"/>
    <s v="Récupération de métaux et leurs composés"/>
    <n v="14.112"/>
    <x v="0"/>
    <s v="O - Engineering Estimates"/>
    <x v="0"/>
  </r>
  <r>
    <x v="15"/>
    <n v="3071"/>
    <x v="319"/>
    <x v="339"/>
    <n v="324110"/>
    <s v="Petroleum refineries"/>
    <s v="Raffineries de pétrole"/>
    <x v="0"/>
    <s v="50-32-8"/>
    <x v="80"/>
    <x v="80"/>
    <x v="1"/>
    <s v="Transferts hors site pour traitement avant élimination final"/>
    <s v="Chemical Treatment"/>
    <s v="Traitement chimique"/>
    <n v="19.072800000000001"/>
    <x v="1"/>
    <s v="M3 - Source Testing"/>
    <x v="0"/>
  </r>
  <r>
    <x v="22"/>
    <n v="4820"/>
    <x v="320"/>
    <x v="341"/>
    <n v="332999"/>
    <s v="All Other Miscellaneous Fabricated Metal Product Manufacturing"/>
    <s v="Fabrication de tous les autres produits métalliques divers"/>
    <x v="1"/>
    <s v="NA - 09"/>
    <x v="12"/>
    <x v="12"/>
    <x v="1"/>
    <s v="Transferts hors site pour traitement avant élimination final"/>
    <s v="Municipal Sewage Treatment Plant"/>
    <s v="Usine municipale d'épuration des eaux usées"/>
    <n v="0.28000000000000003"/>
    <x v="0"/>
    <s v="M - Monitoring or Direct Measurement"/>
    <x v="0"/>
  </r>
  <r>
    <x v="5"/>
    <n v="139"/>
    <x v="321"/>
    <x v="213"/>
    <n v="332810"/>
    <s v="Coating, Engraving, Heat Treating and Allied Activities"/>
    <s v="Revêtement, gravure, traitement thermique et activités analogues"/>
    <x v="0"/>
    <s v="78-93-3"/>
    <x v="0"/>
    <x v="0"/>
    <x v="1"/>
    <s v="Transferts hors site pour traitement avant élimination final"/>
    <s v="Incineration / Thermal"/>
    <s v="Incinération / thermique"/>
    <n v="0.19570000000000001"/>
    <x v="0"/>
    <s v="C - Mass Balance"/>
    <x v="0"/>
  </r>
  <r>
    <x v="2"/>
    <n v="10276"/>
    <x v="322"/>
    <x v="342"/>
    <n v="562920"/>
    <s v="Material recovery facilities"/>
    <s v="Installations de récupération de matériaux"/>
    <x v="0"/>
    <s v="127-18-4"/>
    <x v="27"/>
    <x v="27"/>
    <x v="1"/>
    <s v="Transferts hors site pour traitement avant élimination final"/>
    <s v="Incineration / Thermal"/>
    <s v="Incinération / thermique"/>
    <n v="0.49880000000000002"/>
    <x v="0"/>
    <s v="C - Mass Balance"/>
    <x v="0"/>
  </r>
  <r>
    <x v="29"/>
    <n v="28660"/>
    <x v="323"/>
    <x v="343"/>
    <n v="333110"/>
    <s v="Agricultural implement manufacturing"/>
    <s v="Fabrication de machines agricoles"/>
    <x v="3"/>
    <s v="NA - 04"/>
    <x v="19"/>
    <x v="19"/>
    <x v="0"/>
    <s v="Transferts hors site pour recyclage"/>
    <s v="Recovery of Metals and Metal Compounds"/>
    <s v="Récupération de métaux et leurs composés"/>
    <n v="10.08"/>
    <x v="0"/>
    <s v="C - Mass Balance"/>
    <x v="0"/>
  </r>
  <r>
    <x v="20"/>
    <n v="5302"/>
    <x v="5"/>
    <x v="344"/>
    <n v="562210"/>
    <s v="Waste Treatment and Disposal"/>
    <s v="Traitement et élimination des déchets"/>
    <x v="4"/>
    <s v="107-21-1"/>
    <x v="29"/>
    <x v="29"/>
    <x v="0"/>
    <s v="Transferts hors site pour recyclage"/>
    <s v="Recovery of Organic Substances (not solvents)"/>
    <s v="Récupération de substances organiques (pas les solvants)"/>
    <n v="98.234999999999999"/>
    <x v="0"/>
    <s v="M3 - Source Testing"/>
    <x v="0"/>
  </r>
  <r>
    <x v="6"/>
    <n v="6097"/>
    <x v="245"/>
    <x v="256"/>
    <n v="325410"/>
    <s v="Pharmaceutical and Medicine Manufacturing"/>
    <s v="Fabrication de produits pharmaceutiques et de médicaments"/>
    <x v="9"/>
    <s v="75-09-2"/>
    <x v="41"/>
    <x v="41"/>
    <x v="1"/>
    <s v="Transferts hors site pour traitement avant élimination final"/>
    <s v="Biological Treatment"/>
    <s v="Traitement biologique"/>
    <n v="0"/>
    <x v="0"/>
    <s v="O - Engineering Estimates"/>
    <x v="0"/>
  </r>
  <r>
    <x v="19"/>
    <n v="2559"/>
    <x v="324"/>
    <x v="345"/>
    <n v="313320"/>
    <s v="Fabric Coating"/>
    <s v="Revêtement de tissus"/>
    <x v="3"/>
    <s v="108-88-3"/>
    <x v="5"/>
    <x v="5"/>
    <x v="1"/>
    <s v="Transferts hors site pour traitement avant élimination final"/>
    <s v="Incineration / Thermal"/>
    <s v="Incinération / thermique"/>
    <n v="27.9"/>
    <x v="0"/>
    <s v="C - Mass Balance"/>
    <x v="0"/>
  </r>
  <r>
    <x v="1"/>
    <n v="4797"/>
    <x v="11"/>
    <x v="10"/>
    <n v="332113"/>
    <s v="Forging"/>
    <s v="Forgeage"/>
    <x v="3"/>
    <s v="NA - 09"/>
    <x v="12"/>
    <x v="12"/>
    <x v="1"/>
    <s v="Transferts hors site pour traitement avant élimination final"/>
    <s v="Physical Treatment"/>
    <s v="Traitement physique"/>
    <n v="18.295999999999999"/>
    <x v="0"/>
    <s v="O - Engineering Estimates"/>
    <x v="0"/>
  </r>
  <r>
    <x v="14"/>
    <n v="3845"/>
    <x v="325"/>
    <x v="346"/>
    <n v="332810"/>
    <s v="Coating, engraving, cold and heat treating and allied activities"/>
    <s v="Revêtement, gravure, traitement thermique et par le froid, et activités analogues"/>
    <x v="0"/>
    <s v="NA - 08"/>
    <x v="1"/>
    <x v="1"/>
    <x v="1"/>
    <s v="Transferts hors site pour traitement avant élimination final"/>
    <s v="Chemical Treatment"/>
    <s v="Traitement chimique"/>
    <n v="6.7030000000000003"/>
    <x v="1"/>
    <s v="O - Engineering Estimates"/>
    <x v="0"/>
  </r>
  <r>
    <x v="16"/>
    <n v="5370"/>
    <x v="326"/>
    <x v="347"/>
    <n v="211113"/>
    <s v="Conventional Oil and Gas Extraction"/>
    <s v="Extraction de pétrole et de gaz par des méthodes classiques"/>
    <x v="4"/>
    <s v="110-54-3"/>
    <x v="47"/>
    <x v="47"/>
    <x v="0"/>
    <s v="Transferts hors site pour recyclage"/>
    <s v="Refining or Re-use of Used Oil"/>
    <s v="Raffinage ou réutilisation d'huiles usées"/>
    <n v="0.187"/>
    <x v="0"/>
    <s v="O - Engineering Estimates"/>
    <x v="0"/>
  </r>
  <r>
    <x v="20"/>
    <n v="5456"/>
    <x v="327"/>
    <x v="348"/>
    <n v="332810"/>
    <s v="Coating, Engraving, Heat Treating and Allied Activities"/>
    <s v="Revêtement, gravure, traitement thermique et activités analogues"/>
    <x v="3"/>
    <s v="7647-01-0"/>
    <x v="7"/>
    <x v="7"/>
    <x v="1"/>
    <s v="Transferts hors site pour traitement avant élimination final"/>
    <s v="Municipal Sewage Treatment Plant"/>
    <s v="Usine municipale d'épuration des eaux usées"/>
    <n v="0"/>
    <x v="0"/>
    <s v="O - Engineering Estimates"/>
    <x v="0"/>
  </r>
  <r>
    <x v="12"/>
    <n v="4740"/>
    <x v="328"/>
    <x v="349"/>
    <n v="336390"/>
    <s v="Other motor vehicle parts manufacturing"/>
    <s v="Fabrication d'autres pièces pour véhicules automobiles"/>
    <x v="0"/>
    <s v="NA - 04"/>
    <x v="19"/>
    <x v="19"/>
    <x v="1"/>
    <s v="Transferts hors site pour traitement avant élimination final"/>
    <s v="Chemical Treatment"/>
    <s v="Traitement chimique"/>
    <n v="0.16600000000000001"/>
    <x v="0"/>
    <s v="C - Mass Balance"/>
    <x v="0"/>
  </r>
  <r>
    <x v="11"/>
    <n v="7661"/>
    <x v="329"/>
    <x v="350"/>
    <n v="331317"/>
    <s v="Aluminum rolling, drawing, extruding and alloying"/>
    <s v="Laminage, étirage, extrusion et alliage de l'aluminium"/>
    <x v="0"/>
    <s v="NA - 19"/>
    <x v="43"/>
    <x v="43"/>
    <x v="1"/>
    <s v="Transferts hors site pour traitement avant élimination final"/>
    <s v="Incineration / Thermal"/>
    <s v="Incinération / thermique"/>
    <n v="9.64"/>
    <x v="1"/>
    <s v="O - Engineering Estimates"/>
    <x v="0"/>
  </r>
  <r>
    <x v="13"/>
    <n v="117"/>
    <x v="330"/>
    <x v="351"/>
    <n v="336330"/>
    <s v="Motor Vehicle Steering and Suspension Components (except Spring) Manufacturing"/>
    <s v="Fabrication de composants de direction et de suspension pour véhicules automobiles (sauf les ressorts)"/>
    <x v="0"/>
    <s v="NA - 11"/>
    <x v="4"/>
    <x v="4"/>
    <x v="1"/>
    <s v="Transferts hors site pour traitement avant élimination final"/>
    <s v="Municipal Sewage Treatment Plant"/>
    <s v="Usine municipale d'épuration des eaux usées"/>
    <n v="2.5999999999999999E-2"/>
    <x v="0"/>
    <s v="M3 - Source Testing"/>
    <x v="0"/>
  </r>
  <r>
    <x v="8"/>
    <n v="1816"/>
    <x v="331"/>
    <x v="352"/>
    <n v="335110"/>
    <s v="Electric Lamp Bulb and Parts Manufacturing"/>
    <s v="Fabrication d'ampoules électriques et de leurs pièces"/>
    <x v="3"/>
    <s v="1330-20-7"/>
    <x v="24"/>
    <x v="24"/>
    <x v="0"/>
    <s v="Transferts hors site pour recyclage"/>
    <s v="Energy Recovery"/>
    <s v="Récupération d'énergie"/>
    <n v="18.399999999999999"/>
    <x v="0"/>
    <s v="M3 - Source Testing"/>
    <x v="0"/>
  </r>
  <r>
    <x v="10"/>
    <n v="2685"/>
    <x v="332"/>
    <x v="0"/>
    <n v="336370"/>
    <s v="Motor Vehicle Metal Stamping"/>
    <s v="Emboutissage de pièces en métal pour véhicules automobiles"/>
    <x v="0"/>
    <s v="NA - 09"/>
    <x v="12"/>
    <x v="12"/>
    <x v="0"/>
    <s v="Transferts hors site pour recyclage"/>
    <s v="Recovery of Metals and Metal Compounds"/>
    <s v="Récupération de métaux et leurs composés"/>
    <n v="133.19"/>
    <x v="0"/>
    <s v="O - Engineering Estimates"/>
    <x v="0"/>
  </r>
  <r>
    <x v="21"/>
    <n v="11580"/>
    <x v="262"/>
    <x v="353"/>
    <n v="325510"/>
    <s v="Paint and coating manufacturing"/>
    <s v="Fabrication de peintures et de revêtements"/>
    <x v="0"/>
    <s v="108-10-1"/>
    <x v="63"/>
    <x v="63"/>
    <x v="0"/>
    <s v="Transferts hors site pour recyclage"/>
    <s v="Recovery of Solvents"/>
    <s v="Récupération de solvants"/>
    <n v="0.02"/>
    <x v="0"/>
    <s v="O - Engineering Estimates"/>
    <x v="0"/>
  </r>
  <r>
    <x v="15"/>
    <n v="8645"/>
    <x v="123"/>
    <x v="152"/>
    <n v="562110"/>
    <s v="Waste collection"/>
    <s v="Collecte de déchets"/>
    <x v="3"/>
    <s v="78-93-3"/>
    <x v="0"/>
    <x v="0"/>
    <x v="1"/>
    <s v="Transferts hors site pour traitement avant élimination final"/>
    <s v="Physical Treatment"/>
    <s v="Traitement physique"/>
    <n v="44.1751"/>
    <x v="0"/>
    <s v="C - Mass Balance"/>
    <x v="0"/>
  </r>
  <r>
    <x v="9"/>
    <n v="3698"/>
    <x v="12"/>
    <x v="354"/>
    <n v="412110"/>
    <s v="Petroleum and petroleum products merchant wholesalers"/>
    <s v="Grossistes-marchands de pétrole et de produits pétroliers"/>
    <x v="7"/>
    <s v="95-63-6"/>
    <x v="40"/>
    <x v="40"/>
    <x v="1"/>
    <s v="Transferts hors site pour traitement avant élimination final"/>
    <s v="Incineration / Thermal"/>
    <s v="Incinération / thermique"/>
    <n v="0.5"/>
    <x v="0"/>
    <s v="O - Engineering Estimates"/>
    <x v="0"/>
  </r>
  <r>
    <x v="17"/>
    <n v="3713"/>
    <x v="309"/>
    <x v="331"/>
    <n v="331110"/>
    <s v="Iron and steel mills and ferro-alloy manufacturing"/>
    <s v="Sidérurgie"/>
    <x v="0"/>
    <s v="108-88-3"/>
    <x v="5"/>
    <x v="5"/>
    <x v="0"/>
    <s v="Transferts hors site pour recyclage"/>
    <s v="Other"/>
    <s v="Autres"/>
    <n v="7.2000000000000002E-5"/>
    <x v="0"/>
    <s v="C - Mass Balance"/>
    <x v="0"/>
  </r>
  <r>
    <x v="2"/>
    <n v="3698"/>
    <x v="12"/>
    <x v="274"/>
    <n v="412110"/>
    <s v="Petroleum and petroleum products merchant wholesalers"/>
    <s v="Grossistes-marchands de pétrole et de produits pétroliers"/>
    <x v="7"/>
    <s v="85-01-8"/>
    <x v="54"/>
    <x v="54"/>
    <x v="1"/>
    <s v="Transferts hors site pour traitement avant élimination final"/>
    <s v="Chemical Treatment"/>
    <s v="Traitement chimique"/>
    <n v="19.197299999999998"/>
    <x v="1"/>
    <s v="O - Engineering Estimates"/>
    <x v="0"/>
  </r>
  <r>
    <x v="8"/>
    <n v="4756"/>
    <x v="333"/>
    <x v="355"/>
    <n v="336390"/>
    <s v="Other Motor Vehicle Parts Manufacturing"/>
    <s v="Fabrication d'autres pièces pour véhicules automobiles"/>
    <x v="0"/>
    <s v="NA - 11"/>
    <x v="4"/>
    <x v="4"/>
    <x v="1"/>
    <s v="Transferts hors site pour traitement avant élimination final"/>
    <s v="Municipal Sewage Treatment Plant"/>
    <s v="Usine municipale d'épuration des eaux usées"/>
    <n v="2.3E-2"/>
    <x v="0"/>
    <s v="M3 - Source Testing"/>
    <x v="0"/>
  </r>
  <r>
    <x v="27"/>
    <n v="2070"/>
    <x v="334"/>
    <x v="356"/>
    <n v="325190"/>
    <s v="Other Basic Organic Chemical Manufacturing"/>
    <s v="Fabrication d'autres produits chimiques organiques de base"/>
    <x v="0"/>
    <s v="92-52-4"/>
    <x v="14"/>
    <x v="14"/>
    <x v="1"/>
    <s v="Transferts hors site pour traitement avant élimination final"/>
    <s v="Incineration / Thermal"/>
    <s v="Incinération / thermique"/>
    <n v="0.02"/>
    <x v="0"/>
    <s v="O - Engineering Estimates"/>
    <x v="0"/>
  </r>
  <r>
    <x v="6"/>
    <n v="1495"/>
    <x v="335"/>
    <x v="357"/>
    <n v="325189"/>
    <s v="All Other Basic Inorganic Chemical Manufacturing"/>
    <s v="Fabrication de tous les autres produits chimiques inorganiques de base"/>
    <x v="0"/>
    <s v="NA - 08"/>
    <x v="1"/>
    <x v="1"/>
    <x v="1"/>
    <s v="Transferts hors site pour traitement avant élimination final"/>
    <s v="Municipal Sewage Treatment Plant"/>
    <s v="Usine municipale d'épuration des eaux usées"/>
    <n v="95"/>
    <x v="1"/>
    <s v="M3 - Source Testing"/>
    <x v="0"/>
  </r>
  <r>
    <x v="15"/>
    <n v="7293"/>
    <x v="336"/>
    <x v="358"/>
    <n v="336390"/>
    <s v="Other motor vehicle parts manufacturing"/>
    <s v="Fabrication d'autres pièces pour véhicules automobiles"/>
    <x v="0"/>
    <s v="NA - 09"/>
    <x v="12"/>
    <x v="12"/>
    <x v="0"/>
    <s v="Transferts hors site pour recyclage"/>
    <s v="Recovery of Metals and Metal Compounds"/>
    <s v="Récupération de métaux et leurs composés"/>
    <n v="356.17899999999997"/>
    <x v="0"/>
    <s v="M3 - Source Testing"/>
    <x v="0"/>
  </r>
  <r>
    <x v="21"/>
    <n v="1541"/>
    <x v="337"/>
    <x v="170"/>
    <n v="331317"/>
    <s v="Aluminum rolling, drawing, extruding and alloying"/>
    <s v="Laminage, étirage, extrusion et alliage de l'aluminium"/>
    <x v="4"/>
    <s v="NA - 40"/>
    <x v="81"/>
    <x v="81"/>
    <x v="0"/>
    <s v="Transferts hors site pour recyclage"/>
    <s v="Recovery of Metals and Metal Compounds"/>
    <s v="Récupération de métaux et leurs composés"/>
    <n v="6.0000000000000001E-3"/>
    <x v="0"/>
    <s v="C - Mass Balance"/>
    <x v="0"/>
  </r>
  <r>
    <x v="9"/>
    <n v="199"/>
    <x v="274"/>
    <x v="237"/>
    <n v="331523"/>
    <s v="Non-ferrous die-casting foundries"/>
    <s v="Fonderies de métaux non ferreux, moulage sous pression"/>
    <x v="0"/>
    <s v="NA - 14"/>
    <x v="13"/>
    <x v="13"/>
    <x v="1"/>
    <s v="Transferts hors site pour traitement avant élimination final"/>
    <s v="Physical Treatment"/>
    <s v="Traitement physique"/>
    <n v="1E-3"/>
    <x v="0"/>
    <s v="O - Engineering Estimates"/>
    <x v="0"/>
  </r>
  <r>
    <x v="29"/>
    <n v="8645"/>
    <x v="238"/>
    <x v="152"/>
    <n v="562110"/>
    <s v="Waste collection"/>
    <s v="Collecte de déchets"/>
    <x v="3"/>
    <s v="108-05-4"/>
    <x v="74"/>
    <x v="74"/>
    <x v="1"/>
    <s v="Transferts hors site pour traitement avant élimination final"/>
    <s v="Incineration / Thermal"/>
    <s v="Incinération / thermique"/>
    <n v="18.170300000000001"/>
    <x v="0"/>
    <s v="C - Mass Balance"/>
    <x v="0"/>
  </r>
  <r>
    <x v="26"/>
    <n v="4756"/>
    <x v="333"/>
    <x v="355"/>
    <n v="336390"/>
    <s v="Other Motor Vehicle Parts Manufacturing"/>
    <s v="Fabrication d'autres pièces pour véhicules automobiles"/>
    <x v="0"/>
    <s v="NA - 14"/>
    <x v="13"/>
    <x v="13"/>
    <x v="1"/>
    <s v="Transferts hors site pour traitement avant élimination final"/>
    <s v="Municipal Sewage Treatment Plant"/>
    <s v="Usine municipale d'épuration des eaux usées"/>
    <n v="0"/>
    <x v="0"/>
    <s v="M3 - Source Testing"/>
    <x v="0"/>
  </r>
  <r>
    <x v="13"/>
    <n v="4048"/>
    <x v="338"/>
    <x v="359"/>
    <n v="324110"/>
    <s v="Petroleum Refineries"/>
    <s v="Raffineries de pétrole"/>
    <x v="5"/>
    <s v="7440-62-2"/>
    <x v="51"/>
    <x v="51"/>
    <x v="1"/>
    <s v="Transferts hors site pour traitement avant élimination final"/>
    <s v="Municipal Sewage Treatment Plant"/>
    <s v="Usine municipale d'épuration des eaux usées"/>
    <n v="0.14399999999999999"/>
    <x v="0"/>
    <s v="M3 - Source Testing"/>
    <x v="0"/>
  </r>
  <r>
    <x v="6"/>
    <n v="1012"/>
    <x v="339"/>
    <x v="360"/>
    <n v="488190"/>
    <s v="Other Support Activities for Air Transportation"/>
    <s v="Autres activités de soutien au transport aérien"/>
    <x v="3"/>
    <s v="107-21-1"/>
    <x v="29"/>
    <x v="29"/>
    <x v="0"/>
    <s v="Transferts hors site pour recyclage"/>
    <s v="Recovery of Organic Substances (not solvents)"/>
    <s v="Récupération de substances organiques (pas les solvants)"/>
    <n v="42.957000000000001"/>
    <x v="0"/>
    <s v="M1 - Continuous Emission Monitoring"/>
    <x v="0"/>
  </r>
  <r>
    <x v="17"/>
    <n v="5471"/>
    <x v="340"/>
    <x v="361"/>
    <n v="322122"/>
    <s v="Newsprint mills"/>
    <s v="Usines de papier journal"/>
    <x v="3"/>
    <s v="NA - 03"/>
    <x v="28"/>
    <x v="28"/>
    <x v="0"/>
    <s v="Transferts hors site pour recyclage"/>
    <s v="Other"/>
    <s v="Autres"/>
    <n v="74.069999999999993"/>
    <x v="1"/>
    <s v="M3 - Source Testing"/>
    <x v="0"/>
  </r>
  <r>
    <x v="12"/>
    <n v="11602"/>
    <x v="341"/>
    <x v="362"/>
    <n v="335315"/>
    <s v="Switchgear and switchboard, and relay and industrial control apparatus manufacturing"/>
    <s v="Fabrication d'appareillage de connexion, de commutation et de relais et de commandes d'usage industriel"/>
    <x v="0"/>
    <s v="NA - 14"/>
    <x v="13"/>
    <x v="13"/>
    <x v="0"/>
    <s v="Transferts hors site pour recyclage"/>
    <s v="Recovery of Metals and Metal Compounds"/>
    <s v="Récupération de métaux et leurs composés"/>
    <n v="8.6739999999999995"/>
    <x v="0"/>
    <s v="C - Mass Balance"/>
    <x v="0"/>
  </r>
  <r>
    <x v="22"/>
    <n v="397"/>
    <x v="342"/>
    <x v="252"/>
    <n v="336110"/>
    <s v="Automobile and Light-Duty Motor Vehicle Manufacturing"/>
    <s v="Fabrication de voitures et de véhicules automobiles légers"/>
    <x v="0"/>
    <s v="NA - 14"/>
    <x v="13"/>
    <x v="13"/>
    <x v="0"/>
    <s v="Transferts hors site pour recyclage"/>
    <s v="Recovery of Metals and Metal Compounds"/>
    <s v="Récupération de métaux et leurs composés"/>
    <n v="23.4"/>
    <x v="0"/>
    <s v="C - Mass Balance"/>
    <x v="0"/>
  </r>
  <r>
    <x v="9"/>
    <n v="800"/>
    <x v="343"/>
    <x v="363"/>
    <n v="325190"/>
    <s v="Other basic organic chemical manufacturing"/>
    <s v="Fabrication d'autres produits chimiques organiques de base"/>
    <x v="0"/>
    <s v="71-36-3"/>
    <x v="50"/>
    <x v="50"/>
    <x v="1"/>
    <s v="Transferts hors site pour traitement avant élimination final"/>
    <s v="Incineration / Thermal"/>
    <s v="Incinération / thermique"/>
    <n v="24.58"/>
    <x v="0"/>
    <s v="O - Engineering Estimates"/>
    <x v="0"/>
  </r>
  <r>
    <x v="0"/>
    <n v="5647"/>
    <x v="344"/>
    <x v="364"/>
    <n v="562210"/>
    <s v="Waste Treatment and Disposal"/>
    <s v="Traitement et élimination des déchets"/>
    <x v="0"/>
    <s v="100-41-4"/>
    <x v="11"/>
    <x v="11"/>
    <x v="0"/>
    <s v="Transferts hors site pour recyclage"/>
    <s v="Energy Recovery"/>
    <s v="Récupération d'énergie"/>
    <n v="19.370999999999999"/>
    <x v="0"/>
    <s v="M - Monitoring or Direct Measurement"/>
    <x v="0"/>
  </r>
  <r>
    <x v="3"/>
    <n v="1162"/>
    <x v="345"/>
    <x v="365"/>
    <n v="325110"/>
    <s v="Petrochemical Manufacturing"/>
    <s v="Fabrication de produits pétrochimiques"/>
    <x v="4"/>
    <s v="NA - 10"/>
    <x v="9"/>
    <x v="9"/>
    <x v="0"/>
    <s v="Transferts hors site pour recyclage"/>
    <s v="Recovery of Metals and Metal Compounds"/>
    <s v="Récupération de métaux et leurs composés"/>
    <n v="19"/>
    <x v="1"/>
    <s v="M - Monitoring or Direct Measurement"/>
    <x v="0"/>
  </r>
  <r>
    <x v="28"/>
    <n v="3427"/>
    <x v="262"/>
    <x v="0"/>
    <n v="325510"/>
    <s v="Paint and Coating Manufacturing"/>
    <s v="Fabrication de peintures et de revêtements"/>
    <x v="4"/>
    <s v="1330-20-7"/>
    <x v="34"/>
    <x v="34"/>
    <x v="0"/>
    <s v="Transferts hors site pour recyclage"/>
    <s v="Energy Recovery"/>
    <s v="Récupération d'énergie"/>
    <n v="0.33500000000000002"/>
    <x v="0"/>
    <s v="O - Engineering Estimates"/>
    <x v="0"/>
  </r>
  <r>
    <x v="15"/>
    <n v="8645"/>
    <x v="123"/>
    <x v="152"/>
    <n v="562110"/>
    <s v="Waste collection"/>
    <s v="Collecte de déchets"/>
    <x v="3"/>
    <s v="110-80-5"/>
    <x v="82"/>
    <x v="82"/>
    <x v="1"/>
    <s v="Transferts hors site pour traitement avant élimination final"/>
    <s v="Physical Treatment"/>
    <s v="Traitement physique"/>
    <n v="8.6452000000000009"/>
    <x v="0"/>
    <s v="C - Mass Balance"/>
    <x v="0"/>
  </r>
  <r>
    <x v="25"/>
    <n v="2528"/>
    <x v="346"/>
    <x v="0"/>
    <n v="325110"/>
    <s v="Petrochemical Manufacturing"/>
    <s v="Fabrication de produits pétrochimiques"/>
    <x v="2"/>
    <s v="107-21-1"/>
    <x v="29"/>
    <x v="29"/>
    <x v="1"/>
    <s v="Transferts hors site pour traitement avant élimination final"/>
    <s v="Incineration / Thermal"/>
    <s v="Incinération / thermique"/>
    <n v="0.1"/>
    <x v="0"/>
    <s v="O - Engineering Estimates"/>
    <x v="0"/>
  </r>
  <r>
    <x v="5"/>
    <n v="10215"/>
    <x v="12"/>
    <x v="309"/>
    <n v="412110"/>
    <s v="Petroleum Product Wholesaler-Distributors"/>
    <s v="Grossistes-distributeurs de produits pétroliers"/>
    <x v="4"/>
    <s v="91-20-3"/>
    <x v="67"/>
    <x v="67"/>
    <x v="0"/>
    <s v="Transferts hors site pour recyclage"/>
    <s v="Recovery of Organic Substances (not solvents)"/>
    <s v="Récupération de substances organiques (pas les solvants)"/>
    <n v="15.363799999999999"/>
    <x v="0"/>
    <s v="O - Engineering Estimates"/>
    <x v="0"/>
  </r>
  <r>
    <x v="26"/>
    <n v="2390"/>
    <x v="347"/>
    <x v="366"/>
    <n v="336360"/>
    <s v="Motor Vehicle Seating and Interior Trim Manufacturing"/>
    <s v="Fabrication de sièges et enjolivures intérieures pour véhicules automobiles"/>
    <x v="0"/>
    <s v="9016-87-9"/>
    <x v="79"/>
    <x v="79"/>
    <x v="1"/>
    <s v="Transferts hors site pour traitement avant élimination final"/>
    <s v="Incineration / Thermal"/>
    <s v="Incinération / thermique"/>
    <n v="5.0000000000000001E-3"/>
    <x v="0"/>
    <s v="O - Engineering Estimates"/>
    <x v="0"/>
  </r>
  <r>
    <x v="17"/>
    <n v="27506"/>
    <x v="348"/>
    <x v="367"/>
    <n v="211142"/>
    <s v="Mined oil sands extraction"/>
    <s v="Extraction minière de sables bitumineux"/>
    <x v="4"/>
    <s v="NA - 10"/>
    <x v="9"/>
    <x v="9"/>
    <x v="0"/>
    <s v="Transferts hors site pour recyclage"/>
    <s v="Recovery of Solvents"/>
    <s v="Récupération de solvants"/>
    <n v="1.8E-5"/>
    <x v="1"/>
    <s v="O - Engineering Estimates"/>
    <x v="0"/>
  </r>
  <r>
    <x v="10"/>
    <n v="3238"/>
    <x v="179"/>
    <x v="368"/>
    <n v="221112"/>
    <s v="Fossil-Fuel Electric Power Generation"/>
    <s v="Production d'électricité à partir de combustibles fossiles"/>
    <x v="0"/>
    <s v="NA - 08"/>
    <x v="1"/>
    <x v="1"/>
    <x v="0"/>
    <s v="Transferts hors site pour recyclage"/>
    <s v="Other"/>
    <s v="Autres"/>
    <n v="1470"/>
    <x v="1"/>
    <s v="C - Mass Balance"/>
    <x v="0"/>
  </r>
  <r>
    <x v="12"/>
    <n v="7728"/>
    <x v="349"/>
    <x v="369"/>
    <n v="486210"/>
    <s v="Pipeline transportation of natural gas"/>
    <s v="Transport du gaz naturel par gazoduc"/>
    <x v="2"/>
    <s v="NA - 08"/>
    <x v="1"/>
    <x v="1"/>
    <x v="0"/>
    <s v="Transferts hors site pour recyclage"/>
    <s v="Recovery of Metals and Metal Compounds"/>
    <s v="Récupération de métaux et leurs composés"/>
    <n v="2968"/>
    <x v="1"/>
    <s v="C - Mass Balance"/>
    <x v="0"/>
  </r>
  <r>
    <x v="20"/>
    <n v="5354"/>
    <x v="350"/>
    <x v="370"/>
    <n v="221121"/>
    <s v="Electric Bulk Power Transmission and Control"/>
    <s v="Transport et gestion d'électricité en bloc"/>
    <x v="1"/>
    <s v="NA - 10"/>
    <x v="9"/>
    <x v="9"/>
    <x v="0"/>
    <s v="Transferts hors site pour recyclage"/>
    <s v="Other"/>
    <s v="Autres"/>
    <n v="431.68200000000002"/>
    <x v="1"/>
    <s v="C - Mass Balance"/>
    <x v="0"/>
  </r>
  <r>
    <x v="22"/>
    <n v="5351"/>
    <x v="351"/>
    <x v="371"/>
    <n v="213118"/>
    <s v="Services to Oil and Gas Extraction"/>
    <s v="Services relatifs à l'extraction de pétrole et de gaz"/>
    <x v="4"/>
    <s v="1330-20-7"/>
    <x v="24"/>
    <x v="24"/>
    <x v="0"/>
    <s v="Transferts hors site pour recyclage"/>
    <s v="Energy Recovery"/>
    <s v="Récupération d'énergie"/>
    <n v="5.117"/>
    <x v="0"/>
    <s v="O - Engineering Estimates"/>
    <x v="0"/>
  </r>
  <r>
    <x v="7"/>
    <n v="2134"/>
    <x v="277"/>
    <x v="372"/>
    <n v="325313"/>
    <s v="Chemical fertilizer (except potash) manufacturing"/>
    <s v="Fabrication d'engrais chimiques (sauf la potasse)"/>
    <x v="4"/>
    <s v="NA - 05"/>
    <x v="16"/>
    <x v="16"/>
    <x v="1"/>
    <s v="Transferts hors site pour traitement avant élimination final"/>
    <s v="Municipal Sewage Treatment Plant"/>
    <s v="Usine municipale d'épuration des eaux usées"/>
    <n v="0.66"/>
    <x v="1"/>
    <s v="M3 - Source Testing"/>
    <x v="0"/>
  </r>
  <r>
    <x v="9"/>
    <n v="23544"/>
    <x v="352"/>
    <x v="373"/>
    <n v="562990"/>
    <s v="All other waste management services"/>
    <s v="Tous les autres services de gestion des déchets"/>
    <x v="4"/>
    <s v="107-21-1"/>
    <x v="29"/>
    <x v="29"/>
    <x v="0"/>
    <s v="Transferts hors site pour recyclage"/>
    <s v="Other"/>
    <s v="Autres"/>
    <n v="95"/>
    <x v="0"/>
    <s v="O - Engineering Estimates"/>
    <x v="0"/>
  </r>
  <r>
    <x v="20"/>
    <n v="7239"/>
    <x v="353"/>
    <x v="374"/>
    <n v="336390"/>
    <s v="Other Motor Vehicle Parts Manufacturing"/>
    <s v="Fabrication d'autres pièces pour véhicules automobiles"/>
    <x v="0"/>
    <s v="NA - 08"/>
    <x v="1"/>
    <x v="1"/>
    <x v="1"/>
    <s v="Transferts hors site pour traitement avant élimination final"/>
    <s v="Chemical Treatment"/>
    <s v="Traitement chimique"/>
    <n v="99.76"/>
    <x v="1"/>
    <s v="M3 - Source Testing"/>
    <x v="0"/>
  </r>
  <r>
    <x v="4"/>
    <n v="3953"/>
    <x v="354"/>
    <x v="375"/>
    <n v="331110"/>
    <s v="Iron and Steel Mills and Ferro-Alloy Manufacturing"/>
    <s v="Sidérurgie"/>
    <x v="3"/>
    <s v="NA - 04"/>
    <x v="19"/>
    <x v="19"/>
    <x v="1"/>
    <s v="Transferts hors site pour traitement avant élimination final"/>
    <s v="Physical Treatment"/>
    <s v="Traitement physique"/>
    <n v="272.95999999999998"/>
    <x v="0"/>
    <s v="O - Engineering Estimates"/>
    <x v="0"/>
  </r>
  <r>
    <x v="10"/>
    <n v="4785"/>
    <x v="355"/>
    <x v="336"/>
    <n v="332319"/>
    <s v="Other Plate Work and Fabricated Structural Product Manufacturing"/>
    <s v="Fabrication d'autres tôles fortes et éléments de charpentes"/>
    <x v="0"/>
    <s v="NA - 06"/>
    <x v="15"/>
    <x v="15"/>
    <x v="0"/>
    <s v="Transferts hors site pour recyclage"/>
    <s v="Recovery of Metals and Metal Compounds"/>
    <s v="Récupération de métaux et leurs composés"/>
    <n v="21.1"/>
    <x v="0"/>
    <s v="O - Engineering Estimates"/>
    <x v="0"/>
  </r>
  <r>
    <x v="14"/>
    <n v="8696"/>
    <x v="9"/>
    <x v="376"/>
    <n v="562990"/>
    <s v="All other waste management services"/>
    <s v="Tous les autres services de gestion des déchets"/>
    <x v="3"/>
    <s v="108-88-3"/>
    <x v="5"/>
    <x v="5"/>
    <x v="0"/>
    <s v="Transferts hors site pour recyclage"/>
    <s v="Recovery of Solvents"/>
    <s v="Récupération de solvants"/>
    <n v="15.58"/>
    <x v="0"/>
    <s v="C - Mass Balance"/>
    <x v="0"/>
  </r>
  <r>
    <x v="17"/>
    <n v="10226"/>
    <x v="12"/>
    <x v="377"/>
    <n v="412110"/>
    <s v="Petroleum, petroleum products, and other hydrocarbons merchant wholesalers"/>
    <s v="Grossistes-marchands de pétrole, de produits pétroliers, et d'autres hydrocarbures"/>
    <x v="0"/>
    <s v="129-00-0"/>
    <x v="73"/>
    <x v="73"/>
    <x v="0"/>
    <s v="Transferts hors site pour recyclage"/>
    <s v="Recovery of Organic Substances (not solvents)"/>
    <s v="Récupération de substances organiques (pas les solvants)"/>
    <n v="19.921500000000002"/>
    <x v="1"/>
    <s v="O - Engineering Estimates"/>
    <x v="0"/>
  </r>
  <r>
    <x v="8"/>
    <n v="4799"/>
    <x v="356"/>
    <x v="378"/>
    <n v="331511"/>
    <s v="Iron Foundries"/>
    <s v="Fonderies de fer"/>
    <x v="3"/>
    <s v="NA - 03"/>
    <x v="28"/>
    <x v="28"/>
    <x v="0"/>
    <s v="Transferts hors site pour recyclage"/>
    <s v="Recovery of Inorganic Materials (not metals)"/>
    <s v="Récupération de matières inorganiques (pas les métaux)"/>
    <n v="70"/>
    <x v="1"/>
    <s v="C - Mass Balance"/>
    <x v="0"/>
  </r>
  <r>
    <x v="1"/>
    <n v="5498"/>
    <x v="357"/>
    <x v="379"/>
    <n v="311990"/>
    <s v="All other food manufacturing"/>
    <s v="Fabrication de tous les autres aliments"/>
    <x v="3"/>
    <s v="NA - 22"/>
    <x v="8"/>
    <x v="8"/>
    <x v="1"/>
    <s v="Transferts hors site pour traitement avant élimination final"/>
    <s v="Municipal Sewage Treatment Plant"/>
    <s v="Usine municipale d'épuration des eaux usées"/>
    <n v="17.623000000000001"/>
    <x v="0"/>
    <s v="M3 - Source Testing"/>
    <x v="0"/>
  </r>
  <r>
    <x v="5"/>
    <n v="397"/>
    <x v="2"/>
    <x v="2"/>
    <n v="336110"/>
    <s v="Automobile and Light-Duty Motor Vehicle Manufacturing"/>
    <s v="Fabrication de voitures et de véhicules automobiles légers"/>
    <x v="0"/>
    <s v="100-41-4"/>
    <x v="11"/>
    <x v="11"/>
    <x v="0"/>
    <s v="Transferts hors site pour recyclage"/>
    <s v="Recovery of Solvents"/>
    <s v="Récupération de solvants"/>
    <n v="71.305000000000007"/>
    <x v="0"/>
    <s v="M3 - Source Testing"/>
    <x v="0"/>
  </r>
  <r>
    <x v="16"/>
    <n v="6467"/>
    <x v="358"/>
    <x v="380"/>
    <n v="332999"/>
    <s v="All Other Miscellaneous Fabricated Metal Product Manufacturing"/>
    <s v="Fabrication de tous les autres produits métalliques divers"/>
    <x v="3"/>
    <s v="NA - 19"/>
    <x v="43"/>
    <x v="43"/>
    <x v="1"/>
    <s v="Transferts hors site pour traitement avant élimination final"/>
    <s v="Chemical Treatment"/>
    <s v="Traitement chimique"/>
    <n v="10"/>
    <x v="1"/>
    <s v="C - Mass Balance"/>
    <x v="0"/>
  </r>
  <r>
    <x v="15"/>
    <n v="27506"/>
    <x v="348"/>
    <x v="381"/>
    <n v="211142"/>
    <s v="Mined oil sands extraction"/>
    <s v="Extraction minière de sables bitumineux"/>
    <x v="4"/>
    <s v="205-99-2"/>
    <x v="35"/>
    <x v="35"/>
    <x v="0"/>
    <s v="Transferts hors site pour recyclage"/>
    <s v="Recovery of Organic Substances (not solvents)"/>
    <s v="Récupération de substances organiques (pas les solvants)"/>
    <n v="1.2E-2"/>
    <x v="1"/>
    <s v="O - Engineering Estimates"/>
    <x v="0"/>
  </r>
  <r>
    <x v="5"/>
    <n v="4377"/>
    <x v="90"/>
    <x v="93"/>
    <n v="332999"/>
    <s v="All Other Miscellaneous Fabricated Metal Product Manufacturing"/>
    <s v="Fabrication de tous les autres produits métalliques divers"/>
    <x v="3"/>
    <s v="NA - 14"/>
    <x v="13"/>
    <x v="13"/>
    <x v="0"/>
    <s v="Transferts hors site pour recyclage"/>
    <s v="Other"/>
    <s v="Autres"/>
    <n v="0"/>
    <x v="0"/>
    <s v="C - Mass Balance"/>
    <x v="0"/>
  </r>
  <r>
    <x v="13"/>
    <n v="4725"/>
    <x v="359"/>
    <x v="382"/>
    <n v="332510"/>
    <s v="Hardware Manufacturing"/>
    <s v="Fabrication d'articles de quincaillerie"/>
    <x v="0"/>
    <s v="NA - 11"/>
    <x v="4"/>
    <x v="4"/>
    <x v="2"/>
    <s v="Total des rejets dans tous les milieux (&lt;1tonne)"/>
    <s v="All Media"/>
    <s v="Rejets à tous les médias"/>
    <n v="5.0999999999999997E-2"/>
    <x v="0"/>
    <s v="O - Engineering Estimates"/>
    <x v="1"/>
  </r>
  <r>
    <x v="15"/>
    <n v="10450"/>
    <x v="360"/>
    <x v="383"/>
    <n v="321111"/>
    <s v="Sawmills (except shingle and shake mills)"/>
    <s v="Scieries (sauf les usines de bardeaux et de bardeaux de fente)"/>
    <x v="0"/>
    <s v="NA - M09"/>
    <x v="83"/>
    <x v="83"/>
    <x v="3"/>
    <s v="Rejets à l'air"/>
    <s v="Stack / Point"/>
    <s v="Rejets de cheminée ou ponctuels"/>
    <n v="23.3"/>
    <x v="0"/>
    <s v="E2 - Published Emission Factors"/>
    <x v="1"/>
  </r>
  <r>
    <x v="26"/>
    <n v="1797"/>
    <x v="361"/>
    <x v="384"/>
    <n v="322112"/>
    <s v="Chemical Pulp Mills"/>
    <s v="Usines de pâte chimique"/>
    <x v="2"/>
    <s v="50-00-0"/>
    <x v="17"/>
    <x v="17"/>
    <x v="4"/>
    <s v="Rejets dans l'eau"/>
    <s v="Direct Discharges"/>
    <s v="Évacuation directes"/>
    <n v="1.702"/>
    <x v="0"/>
    <s v="E2 - Published Emission Factors"/>
    <x v="1"/>
  </r>
  <r>
    <x v="2"/>
    <n v="1872"/>
    <x v="362"/>
    <x v="385"/>
    <n v="322121"/>
    <s v="Paper (except newsprint) mills"/>
    <s v="Usines de papier (sauf le papier journal)"/>
    <x v="3"/>
    <s v="50-32-8"/>
    <x v="80"/>
    <x v="80"/>
    <x v="3"/>
    <s v="Rejets à l'air"/>
    <s v="Stack / Point"/>
    <s v="Rejets de cheminée ou ponctuels"/>
    <n v="25"/>
    <x v="1"/>
    <s v="E1 - Site Specific Emission Factors"/>
    <x v="1"/>
  </r>
  <r>
    <x v="7"/>
    <n v="4866"/>
    <x v="363"/>
    <x v="386"/>
    <n v="212291"/>
    <s v="Uranium ore mining"/>
    <s v="Extraction de minerais d'uranium"/>
    <x v="5"/>
    <s v="NA - 02"/>
    <x v="21"/>
    <x v="21"/>
    <x v="4"/>
    <s v="Rejets dans l'eau"/>
    <s v="Direct Discharges"/>
    <s v="Évacuation directes"/>
    <n v="47.125"/>
    <x v="1"/>
    <s v="M3 - Source Testing"/>
    <x v="1"/>
  </r>
  <r>
    <x v="15"/>
    <n v="5544"/>
    <x v="364"/>
    <x v="387"/>
    <n v="327310"/>
    <s v="Cement manufacturing"/>
    <s v="Fabrication de ciment"/>
    <x v="3"/>
    <s v="NA - M09"/>
    <x v="83"/>
    <x v="83"/>
    <x v="3"/>
    <s v="Rejets à l'air"/>
    <s v="Road dust"/>
    <s v="Poussières de routes"/>
    <n v="15.8597"/>
    <x v="0"/>
    <s v="E2 - Published Emission Factors"/>
    <x v="1"/>
  </r>
  <r>
    <x v="13"/>
    <n v="7041"/>
    <x v="365"/>
    <x v="388"/>
    <n v="221113"/>
    <s v="Nuclear Electric Power Generation"/>
    <s v="Production d'électricité d'origine nucléaire"/>
    <x v="0"/>
    <s v="7664-93-9"/>
    <x v="30"/>
    <x v="30"/>
    <x v="5"/>
    <s v="Rejets dans le sol"/>
    <s v="Leaks"/>
    <s v="Fuites"/>
    <n v="3.0000000000000001E-3"/>
    <x v="0"/>
    <s v="O - Engineering Estimates"/>
    <x v="1"/>
  </r>
  <r>
    <x v="8"/>
    <n v="1464"/>
    <x v="12"/>
    <x v="75"/>
    <n v="325110"/>
    <s v="Petrochemical Manufacturing"/>
    <s v="Fabrication de produits pétrochimiques"/>
    <x v="0"/>
    <s v="100-41-4"/>
    <x v="11"/>
    <x v="11"/>
    <x v="3"/>
    <s v="Rejets à l'air"/>
    <s v="Storage / Handling"/>
    <s v="Rejets de stockage ou manutention"/>
    <n v="0.45700000000000002"/>
    <x v="0"/>
    <s v="E2 - Published Emission Factors"/>
    <x v="1"/>
  </r>
  <r>
    <x v="19"/>
    <n v="3758"/>
    <x v="120"/>
    <x v="389"/>
    <n v="211113"/>
    <s v="Conventional Oil and Gas Extraction"/>
    <s v="Extraction de pétrole et de gaz par des méthodes classiques"/>
    <x v="4"/>
    <s v="108-88-3"/>
    <x v="5"/>
    <x v="5"/>
    <x v="3"/>
    <s v="Rejets à l'air"/>
    <s v="Spills"/>
    <s v="Déversements"/>
    <n v="2E-3"/>
    <x v="0"/>
    <s v="O - Engineering Estimates"/>
    <x v="1"/>
  </r>
  <r>
    <x v="2"/>
    <n v="4778"/>
    <x v="366"/>
    <x v="390"/>
    <n v="331313"/>
    <s v="Primary production of alumina and aluminum"/>
    <s v="Production primaire d'alumine et d'aluminium"/>
    <x v="3"/>
    <s v="463-58-1"/>
    <x v="84"/>
    <x v="84"/>
    <x v="3"/>
    <s v="Rejets à l'air"/>
    <s v="Fugitive"/>
    <s v="Émissions fugitives"/>
    <n v="10.553000000000001"/>
    <x v="0"/>
    <s v="C - Mass Balance"/>
    <x v="1"/>
  </r>
  <r>
    <x v="17"/>
    <n v="32701"/>
    <x v="367"/>
    <x v="391"/>
    <n v="211110"/>
    <s v="Oil and gas extraction (except oil sands)"/>
    <s v="Extraction de pétrole et de gaz (à l'exception des sables bitumineux)"/>
    <x v="4"/>
    <s v="7446-09-5"/>
    <x v="85"/>
    <x v="85"/>
    <x v="3"/>
    <s v="Rejets à l'air"/>
    <s v="Stack / Point"/>
    <s v="Rejets de cheminée ou ponctuels"/>
    <n v="0"/>
    <x v="0"/>
    <m/>
    <x v="1"/>
  </r>
  <r>
    <x v="1"/>
    <n v="10153"/>
    <x v="275"/>
    <x v="392"/>
    <n v="212233"/>
    <s v="Copper-zinc ore mining"/>
    <s v="Extraction de minerais de cuivre-zinc"/>
    <x v="0"/>
    <s v="NA - 08"/>
    <x v="1"/>
    <x v="1"/>
    <x v="3"/>
    <s v="Rejets à l'air"/>
    <s v="Stack / Point"/>
    <s v="Rejets de cheminée ou ponctuels"/>
    <n v="95.3"/>
    <x v="1"/>
    <s v="E2 - Published Emission Factors"/>
    <x v="1"/>
  </r>
  <r>
    <x v="7"/>
    <n v="1885"/>
    <x v="368"/>
    <x v="393"/>
    <n v="212396"/>
    <s v="Potash mining"/>
    <s v="Extraction de potasse"/>
    <x v="5"/>
    <s v="NA - M10"/>
    <x v="86"/>
    <x v="86"/>
    <x v="3"/>
    <s v="Rejets à l'air"/>
    <s v="Road dust"/>
    <s v="Poussières de routes"/>
    <n v="0.39200000000000002"/>
    <x v="0"/>
    <s v="E2 - Published Emission Factors"/>
    <x v="1"/>
  </r>
  <r>
    <x v="29"/>
    <n v="11649"/>
    <x v="369"/>
    <x v="394"/>
    <n v="331514"/>
    <s v="Steel foundries"/>
    <s v="Fonderies d'acier"/>
    <x v="0"/>
    <s v="NA - 04"/>
    <x v="19"/>
    <x v="19"/>
    <x v="3"/>
    <s v="Rejets à l'air"/>
    <s v="Stack / Point"/>
    <s v="Rejets de cheminée ou ponctuels"/>
    <n v="3.2800000000000003E-2"/>
    <x v="0"/>
    <s v="E2 - Published Emission Factors"/>
    <x v="1"/>
  </r>
  <r>
    <x v="12"/>
    <n v="7345"/>
    <x v="370"/>
    <x v="395"/>
    <n v="332118"/>
    <s v="Stamping"/>
    <s v="Estampage"/>
    <x v="0"/>
    <s v="1330-20-7"/>
    <x v="24"/>
    <x v="24"/>
    <x v="2"/>
    <s v="Total des rejets dans tous les milieux (&lt;1tonne)"/>
    <s v="All Media"/>
    <s v="Rejets à tous les médias"/>
    <n v="0.376"/>
    <x v="0"/>
    <s v="C - Mass Balance"/>
    <x v="1"/>
  </r>
  <r>
    <x v="12"/>
    <n v="6388"/>
    <x v="371"/>
    <x v="396"/>
    <n v="221320"/>
    <s v="Sewage treatment facilities"/>
    <s v="Installations d'épuration des eaux usées"/>
    <x v="3"/>
    <s v="NA - 16"/>
    <x v="49"/>
    <x v="49"/>
    <x v="4"/>
    <s v="Rejets dans l'eau"/>
    <s v="Direct Discharges"/>
    <s v="Évacuation directes"/>
    <n v="206"/>
    <x v="0"/>
    <s v="M3 - Source Testing"/>
    <x v="1"/>
  </r>
  <r>
    <x v="16"/>
    <n v="15416"/>
    <x v="372"/>
    <x v="397"/>
    <n v="211113"/>
    <s v="Conventional Oil and Gas Extraction"/>
    <s v="Extraction de pétrole et de gaz par des méthodes classiques"/>
    <x v="4"/>
    <s v="NA - M10"/>
    <x v="86"/>
    <x v="86"/>
    <x v="3"/>
    <s v="Rejets à l'air"/>
    <s v="Stack / Point"/>
    <s v="Rejets de cheminée ou ponctuels"/>
    <n v="3.9449999999999998"/>
    <x v="0"/>
    <s v="E2 - Published Emission Factors"/>
    <x v="1"/>
  </r>
  <r>
    <x v="21"/>
    <n v="2794"/>
    <x v="373"/>
    <x v="398"/>
    <n v="212299"/>
    <s v="All other metal ore mining"/>
    <s v="Extraction de tous les autres minerais métalliques"/>
    <x v="2"/>
    <s v="NA - M09"/>
    <x v="83"/>
    <x v="83"/>
    <x v="3"/>
    <s v="Rejets à l'air"/>
    <s v="Road dust"/>
    <s v="Poussières de routes"/>
    <n v="3.8969999999999998"/>
    <x v="0"/>
    <s v="E2 - Published Emission Factors"/>
    <x v="1"/>
  </r>
  <r>
    <x v="25"/>
    <n v="126"/>
    <x v="298"/>
    <x v="0"/>
    <n v="325110"/>
    <s v="Petrochemical Manufacturing"/>
    <s v="Fabrication de produits pétrochimiques"/>
    <x v="4"/>
    <s v="108-05-4"/>
    <x v="74"/>
    <x v="74"/>
    <x v="3"/>
    <s v="Rejets à l'air"/>
    <s v="Storage / Handling"/>
    <s v="Rejets de stockage ou manutention"/>
    <n v="3.7559999999999998"/>
    <x v="0"/>
    <s v="O - Engineering Estimates"/>
    <x v="1"/>
  </r>
  <r>
    <x v="8"/>
    <n v="2372"/>
    <x v="374"/>
    <x v="399"/>
    <n v="212233"/>
    <s v="Copper-Zinc Ore Mining"/>
    <s v="Extraction de minerais de cuivre-zinc"/>
    <x v="2"/>
    <s v="NA - 14"/>
    <x v="13"/>
    <x v="13"/>
    <x v="4"/>
    <s v="Rejets dans l'eau"/>
    <s v="Direct Discharges"/>
    <s v="Évacuation directes"/>
    <n v="3.47"/>
    <x v="0"/>
    <s v="M3 - Source Testing"/>
    <x v="1"/>
  </r>
  <r>
    <x v="16"/>
    <n v="16657"/>
    <x v="375"/>
    <x v="400"/>
    <n v="211113"/>
    <s v="Conventional Oil and Gas Extraction"/>
    <s v="Extraction de pétrole et de gaz par des méthodes classiques"/>
    <x v="4"/>
    <s v="630-08-0"/>
    <x v="87"/>
    <x v="87"/>
    <x v="3"/>
    <s v="Rejets à l'air"/>
    <s v="Stack / Point"/>
    <s v="Rejets de cheminée ou ponctuels"/>
    <n v="24.061"/>
    <x v="0"/>
    <s v="E2 - Published Emission Factors"/>
    <x v="1"/>
  </r>
  <r>
    <x v="13"/>
    <n v="3928"/>
    <x v="376"/>
    <x v="32"/>
    <n v="324110"/>
    <s v="Petroleum Refineries"/>
    <s v="Raffineries de pétrole"/>
    <x v="3"/>
    <s v="205-99-2"/>
    <x v="35"/>
    <x v="35"/>
    <x v="3"/>
    <s v="Rejets à l'air"/>
    <s v="Stack / Point"/>
    <s v="Rejets de cheminée ou ponctuels"/>
    <n v="0.77900000000000003"/>
    <x v="1"/>
    <s v="M3 - Source Testing"/>
    <x v="1"/>
  </r>
  <r>
    <x v="9"/>
    <n v="4743"/>
    <x v="377"/>
    <x v="401"/>
    <n v="221320"/>
    <s v="Sewage treatment facilities"/>
    <s v="Installations d'épuration des eaux usées"/>
    <x v="0"/>
    <s v="NA - 14"/>
    <x v="13"/>
    <x v="13"/>
    <x v="4"/>
    <s v="Rejets dans l'eau"/>
    <s v="Spills"/>
    <s v="Déversements"/>
    <n v="8.8000000000000005E-3"/>
    <x v="0"/>
    <s v="M3 - Source Testing"/>
    <x v="1"/>
  </r>
  <r>
    <x v="10"/>
    <n v="7291"/>
    <x v="378"/>
    <x v="0"/>
    <n v="312220"/>
    <s v="Tobacco Product Manufacturing"/>
    <s v="Fabrication de produits du tabac"/>
    <x v="0"/>
    <s v="NA - M09"/>
    <x v="83"/>
    <x v="83"/>
    <x v="3"/>
    <s v="Rejets à l'air"/>
    <s v="Stack / Point"/>
    <s v="Rejets de cheminée ou ponctuels"/>
    <n v="3.38"/>
    <x v="0"/>
    <s v="E1 - Site Specific Emission Factors"/>
    <x v="1"/>
  </r>
  <r>
    <x v="13"/>
    <n v="1467"/>
    <x v="379"/>
    <x v="402"/>
    <n v="331410"/>
    <s v="Non-Ferrous Metal (except Aluminum) Smelting and Refining"/>
    <s v="Fonte et affinage de métaux non ferreux (sauf l'aluminium)"/>
    <x v="0"/>
    <s v="NA - M09"/>
    <x v="83"/>
    <x v="83"/>
    <x v="3"/>
    <s v="Rejets à l'air"/>
    <s v="Stack / Point"/>
    <s v="Rejets de cheminée ou ponctuels"/>
    <n v="100.75"/>
    <x v="0"/>
    <s v="O - Engineering Estimates"/>
    <x v="1"/>
  </r>
  <r>
    <x v="7"/>
    <n v="28032"/>
    <x v="367"/>
    <x v="403"/>
    <n v="211110"/>
    <s v="Oil and gas extraction (except oil sands)"/>
    <s v="Extraction de pétrole et de gaz (à l'exception des sables bitumineux)"/>
    <x v="4"/>
    <s v="NA - M10"/>
    <x v="86"/>
    <x v="86"/>
    <x v="3"/>
    <s v="Rejets à l'air"/>
    <s v="Stack / Point"/>
    <s v="Rejets de cheminée ou ponctuels"/>
    <n v="2.9000000000000001E-2"/>
    <x v="0"/>
    <s v="E2 - Published Emission Factors"/>
    <x v="1"/>
  </r>
  <r>
    <x v="21"/>
    <n v="28140"/>
    <x v="380"/>
    <x v="404"/>
    <n v="211110"/>
    <s v="Oil and gas extraction (except oil sands)"/>
    <s v="Extraction de pétrole et de gaz (à l'exception des sables bitumineux)"/>
    <x v="4"/>
    <s v="NA - M16"/>
    <x v="88"/>
    <x v="88"/>
    <x v="3"/>
    <s v="Rejets à l'air"/>
    <s v="Spills"/>
    <s v="Déversements"/>
    <n v="0"/>
    <x v="0"/>
    <s v="M1 - Continuous Emission Monitoring"/>
    <x v="1"/>
  </r>
  <r>
    <x v="10"/>
    <n v="5128"/>
    <x v="381"/>
    <x v="405"/>
    <n v="321216"/>
    <s v="Particle Board and Fibreboard Mills"/>
    <s v="Usines de panneaux de particules et de fibres"/>
    <x v="2"/>
    <s v="NA - M10"/>
    <x v="86"/>
    <x v="86"/>
    <x v="3"/>
    <s v="Rejets à l'air"/>
    <s v="Stack / Point"/>
    <s v="Rejets de cheminée ou ponctuels"/>
    <n v="6.8"/>
    <x v="0"/>
    <s v="O - Engineering Estimates"/>
    <x v="1"/>
  </r>
  <r>
    <x v="11"/>
    <n v="2164"/>
    <x v="382"/>
    <x v="406"/>
    <n v="325610"/>
    <s v="Soap and cleaning compound manufacturing"/>
    <s v="Fabrication de savons et d'autres produits nettoyants"/>
    <x v="0"/>
    <s v="78-93-3"/>
    <x v="0"/>
    <x v="0"/>
    <x v="2"/>
    <s v="Total des rejets dans tous les milieux (&lt;1tonne)"/>
    <s v="All Media"/>
    <s v="Rejets à tous les médias"/>
    <n v="0.39100000000000001"/>
    <x v="0"/>
    <s v="O - Engineering Estimates"/>
    <x v="1"/>
  </r>
  <r>
    <x v="18"/>
    <n v="18566"/>
    <x v="383"/>
    <x v="407"/>
    <n v="211113"/>
    <s v="Conventional oil and gas extraction"/>
    <s v="Extraction de pétrole et de gaz par des méthodes classiques"/>
    <x v="4"/>
    <s v="NA - M10"/>
    <x v="86"/>
    <x v="86"/>
    <x v="3"/>
    <s v="Rejets à l'air"/>
    <s v="Stack / Point"/>
    <s v="Rejets de cheminée ou ponctuels"/>
    <n v="2.496"/>
    <x v="0"/>
    <s v="E2 - Published Emission Factors"/>
    <x v="1"/>
  </r>
  <r>
    <x v="20"/>
    <n v="1042"/>
    <x v="384"/>
    <x v="408"/>
    <n v="562210"/>
    <s v="Waste Treatment and Disposal"/>
    <s v="Traitement et élimination des déchets"/>
    <x v="4"/>
    <s v="NA - 02"/>
    <x v="21"/>
    <x v="21"/>
    <x v="3"/>
    <s v="Rejets à l'air"/>
    <s v="Stack / Point"/>
    <s v="Rejets de cheminée ou ponctuels"/>
    <n v="7.0000000000000007E-2"/>
    <x v="1"/>
    <s v="M3 - Source Testing"/>
    <x v="1"/>
  </r>
  <r>
    <x v="15"/>
    <n v="3419"/>
    <x v="185"/>
    <x v="220"/>
    <n v="336110"/>
    <s v="Automobile and light-duty motor vehicle manufacturing"/>
    <s v="Fabrication de voitures et de véhicules automobiles légers"/>
    <x v="0"/>
    <s v="1330-20-7"/>
    <x v="24"/>
    <x v="24"/>
    <x v="3"/>
    <s v="Rejets à l'air"/>
    <s v="Stack / Point"/>
    <s v="Rejets de cheminée ou ponctuels"/>
    <n v="80.231499999999997"/>
    <x v="0"/>
    <s v="O - Engineering Estimates"/>
    <x v="1"/>
  </r>
  <r>
    <x v="25"/>
    <n v="1070"/>
    <x v="385"/>
    <x v="409"/>
    <n v="331110"/>
    <s v="Iron and Steel Mills and Ferro-Alloy Manufacturing"/>
    <s v="Sidérurgie"/>
    <x v="0"/>
    <s v="1330-20-7"/>
    <x v="34"/>
    <x v="34"/>
    <x v="3"/>
    <s v="Rejets à l'air"/>
    <s v="Fugitive"/>
    <s v="Émissions fugitives"/>
    <n v="1.03"/>
    <x v="0"/>
    <s v="E - Emission Factor"/>
    <x v="1"/>
  </r>
  <r>
    <x v="19"/>
    <n v="5365"/>
    <x v="386"/>
    <x v="410"/>
    <n v="321111"/>
    <s v="Sawmills (except Shingle and Shake Mills)"/>
    <s v="Scieries (sauf les usines de bardeaux et de bardeaux de fente)"/>
    <x v="5"/>
    <s v="630-08-0"/>
    <x v="87"/>
    <x v="87"/>
    <x v="3"/>
    <s v="Rejets à l'air"/>
    <s v="Stack / Point"/>
    <s v="Rejets de cheminée ou ponctuels"/>
    <n v="2692.1709999999998"/>
    <x v="0"/>
    <s v="E2 - Published Emission Factors"/>
    <x v="1"/>
  </r>
  <r>
    <x v="15"/>
    <n v="1461"/>
    <x v="387"/>
    <x v="411"/>
    <n v="336350"/>
    <s v="Motor vehicle transmission and power train parts manufacturing"/>
    <s v="Fabrication de pièces de transmission et de groupe motopropulseur pour véhicules automobiles"/>
    <x v="0"/>
    <s v="NA - M09"/>
    <x v="83"/>
    <x v="83"/>
    <x v="3"/>
    <s v="Rejets à l'air"/>
    <s v="Stack / Point"/>
    <s v="Rejets de cheminée ou ponctuels"/>
    <n v="1.3069999999999999"/>
    <x v="0"/>
    <s v="O - Engineering Estimates"/>
    <x v="1"/>
  </r>
  <r>
    <x v="21"/>
    <n v="31761"/>
    <x v="388"/>
    <x v="412"/>
    <n v="221112"/>
    <s v="Fossil-fuel electric power generation"/>
    <s v="Production d'électricité à partir de combustibles fossiles"/>
    <x v="4"/>
    <s v="630-08-0"/>
    <x v="87"/>
    <x v="87"/>
    <x v="3"/>
    <s v="Rejets à l'air"/>
    <s v="Stack / Point"/>
    <s v="Rejets de cheminée ou ponctuels"/>
    <n v="54.668199999999999"/>
    <x v="0"/>
    <s v="M3 - Source Testing"/>
    <x v="1"/>
  </r>
  <r>
    <x v="7"/>
    <n v="3790"/>
    <x v="42"/>
    <x v="413"/>
    <n v="336110"/>
    <s v="Automobile and light-duty motor vehicle manufacturing"/>
    <s v="Fabrication de voitures et de véhicules automobiles légers"/>
    <x v="0"/>
    <s v="NA - 14"/>
    <x v="13"/>
    <x v="13"/>
    <x v="3"/>
    <s v="Rejets à l'air"/>
    <s v="Stack / Point"/>
    <s v="Rejets de cheminée ou ponctuels"/>
    <n v="0.16300000000000001"/>
    <x v="0"/>
    <s v="O - Engineering Estimates"/>
    <x v="1"/>
  </r>
  <r>
    <x v="9"/>
    <n v="2070"/>
    <x v="334"/>
    <x v="356"/>
    <n v="325190"/>
    <s v="Other basic organic chemical manufacturing"/>
    <s v="Fabrication d'autres produits chimiques organiques de base"/>
    <x v="0"/>
    <s v="NA - M16"/>
    <x v="88"/>
    <x v="88"/>
    <x v="3"/>
    <s v="Rejets à l'air"/>
    <s v="Fugitive"/>
    <s v="Émissions fugitives"/>
    <n v="4.5999999999999996"/>
    <x v="0"/>
    <s v="E1 - Site Specific Emission Factors"/>
    <x v="1"/>
  </r>
  <r>
    <x v="12"/>
    <n v="19280"/>
    <x v="389"/>
    <x v="414"/>
    <n v="493110"/>
    <s v="General warehousing and storage"/>
    <s v="Entreposage et emmagasinage général"/>
    <x v="2"/>
    <s v="NA - M10"/>
    <x v="86"/>
    <x v="86"/>
    <x v="3"/>
    <s v="Rejets à l'air"/>
    <s v="Storage / Handling"/>
    <s v="Rejets de stockage ou manutention"/>
    <n v="1.17"/>
    <x v="0"/>
    <s v="E2 - Published Emission Factors"/>
    <x v="1"/>
  </r>
  <r>
    <x v="21"/>
    <n v="16437"/>
    <x v="390"/>
    <x v="415"/>
    <n v="211110"/>
    <s v="Oil and gas extraction (except oil sands)"/>
    <s v="Extraction de pétrole et de gaz (à l'exception des sables bitumineux)"/>
    <x v="4"/>
    <s v="NA - M08"/>
    <x v="89"/>
    <x v="89"/>
    <x v="3"/>
    <s v="Rejets à l'air"/>
    <s v="Stack / Point"/>
    <s v="Rejets de cheminée ou ponctuels"/>
    <n v="0.112"/>
    <x v="0"/>
    <s v="E2 - Published Emission Factors"/>
    <x v="1"/>
  </r>
  <r>
    <x v="9"/>
    <n v="17153"/>
    <x v="391"/>
    <x v="416"/>
    <n v="321111"/>
    <s v="Sawmills (except shingle and shake mills)"/>
    <s v="Scieries (sauf les usines de bardeaux et de bardeaux de fente)"/>
    <x v="4"/>
    <s v="NA - 08"/>
    <x v="1"/>
    <x v="1"/>
    <x v="3"/>
    <s v="Rejets à l'air"/>
    <s v="Stack / Point"/>
    <s v="Rejets de cheminée ou ponctuels"/>
    <n v="0.27600000000000002"/>
    <x v="1"/>
    <s v="E2 - Published Emission Factors"/>
    <x v="1"/>
  </r>
  <r>
    <x v="1"/>
    <n v="815"/>
    <x v="392"/>
    <x v="417"/>
    <n v="322112"/>
    <s v="Chemical pulp mills"/>
    <s v="Usines de pâte chimique"/>
    <x v="7"/>
    <s v="NA - 16"/>
    <x v="49"/>
    <x v="49"/>
    <x v="3"/>
    <s v="Rejets à l'air"/>
    <s v="Stack / Point"/>
    <s v="Rejets de cheminée ou ponctuels"/>
    <n v="37"/>
    <x v="0"/>
    <s v="E2 - Published Emission Factors"/>
    <x v="1"/>
  </r>
  <r>
    <x v="12"/>
    <n v="2875"/>
    <x v="393"/>
    <x v="418"/>
    <n v="322112"/>
    <s v="Chemical pulp mills"/>
    <s v="Usines de pâte chimique"/>
    <x v="4"/>
    <s v="67-56-1"/>
    <x v="3"/>
    <x v="3"/>
    <x v="4"/>
    <s v="Rejets dans l'eau"/>
    <s v="Direct Discharges"/>
    <s v="Évacuation directes"/>
    <n v="3.9287000000000001"/>
    <x v="0"/>
    <s v="E2 - Published Emission Factors"/>
    <x v="1"/>
  </r>
  <r>
    <x v="16"/>
    <n v="7614"/>
    <x v="394"/>
    <x v="419"/>
    <n v="212323"/>
    <s v="Sand and Gravel Mining and Quarrying"/>
    <s v="Extraction de sable et de gravier"/>
    <x v="0"/>
    <s v="NA - M09"/>
    <x v="83"/>
    <x v="83"/>
    <x v="3"/>
    <s v="Rejets à l'air"/>
    <s v="Fugitive"/>
    <s v="Émissions fugitives"/>
    <n v="8.7520000000000007"/>
    <x v="0"/>
    <s v="E2 - Published Emission Factors"/>
    <x v="1"/>
  </r>
  <r>
    <x v="2"/>
    <n v="5456"/>
    <x v="395"/>
    <x v="348"/>
    <n v="332810"/>
    <s v="Coating, engraving, cold and heat treating and allied activities"/>
    <s v="Revêtement, gravure, traitement thermique et par le froid, et activités analogues"/>
    <x v="3"/>
    <s v="7664-93-9"/>
    <x v="30"/>
    <x v="30"/>
    <x v="2"/>
    <s v="Total des rejets dans tous les milieux (&lt;1tonne)"/>
    <s v="All Media"/>
    <s v="Rejets à tous les médias"/>
    <n v="0"/>
    <x v="0"/>
    <s v="O - Engineering Estimates"/>
    <x v="1"/>
  </r>
  <r>
    <x v="10"/>
    <n v="2106"/>
    <x v="396"/>
    <x v="0"/>
    <n v="325510"/>
    <s v="Paint and Coating Manufacturing"/>
    <s v="Fabrication de peintures et de revêtements"/>
    <x v="0"/>
    <s v="95-63-6"/>
    <x v="40"/>
    <x v="40"/>
    <x v="2"/>
    <s v="Total des rejets dans tous les milieux (&lt;1tonne)"/>
    <s v="All Media"/>
    <s v="Rejets à tous les médias"/>
    <n v="0.09"/>
    <x v="0"/>
    <s v="E - Emission Factor"/>
    <x v="1"/>
  </r>
  <r>
    <x v="1"/>
    <n v="3201"/>
    <x v="163"/>
    <x v="174"/>
    <n v="322220"/>
    <s v="Paper bag and coated and treated paper manufacturing"/>
    <s v="Fabrication de sacs en papier et de papier couché et traité"/>
    <x v="0"/>
    <s v="NA - M09"/>
    <x v="83"/>
    <x v="83"/>
    <x v="3"/>
    <s v="Rejets à l'air"/>
    <s v="Stack / Point"/>
    <s v="Rejets de cheminée ou ponctuels"/>
    <n v="1.073"/>
    <x v="0"/>
    <s v="O - Engineering Estimates"/>
    <x v="1"/>
  </r>
  <r>
    <x v="22"/>
    <n v="2963"/>
    <x v="397"/>
    <x v="420"/>
    <n v="325110"/>
    <s v="Petrochemical Manufacturing"/>
    <s v="Fabrication de produits pétrochimiques"/>
    <x v="4"/>
    <s v="75-21-8"/>
    <x v="90"/>
    <x v="90"/>
    <x v="3"/>
    <s v="Rejets à l'air"/>
    <s v="Stack / Point"/>
    <s v="Rejets de cheminée ou ponctuels"/>
    <n v="1.0489999999999999"/>
    <x v="0"/>
    <s v="M - Monitoring or Direct Measurement"/>
    <x v="1"/>
  </r>
  <r>
    <x v="17"/>
    <n v="4743"/>
    <x v="377"/>
    <x v="401"/>
    <n v="221320"/>
    <s v="Sewage treatment facilities"/>
    <s v="Installations d'épuration des eaux usées"/>
    <x v="0"/>
    <s v="7446-09-5"/>
    <x v="85"/>
    <x v="85"/>
    <x v="3"/>
    <s v="Rejets à l'air"/>
    <s v="Stack / Point"/>
    <s v="Rejets de cheminée ou ponctuels"/>
    <n v="23.58"/>
    <x v="0"/>
    <s v="E2 - Published Emission Factors"/>
    <x v="1"/>
  </r>
  <r>
    <x v="14"/>
    <n v="26107"/>
    <x v="250"/>
    <x v="421"/>
    <n v="211110"/>
    <s v="Oil and gas extraction (except oil sands)"/>
    <s v="Extraction de pétrole et de gaz (à l'exception des sables bitumineux)"/>
    <x v="4"/>
    <s v="7446-09-5"/>
    <x v="85"/>
    <x v="85"/>
    <x v="3"/>
    <s v="Rejets à l'air"/>
    <s v="Stack / Point"/>
    <s v="Rejets de cheminée ou ponctuels"/>
    <n v="0"/>
    <x v="0"/>
    <s v="M1 - Continuous Emission Monitoring"/>
    <x v="1"/>
  </r>
  <r>
    <x v="7"/>
    <n v="21413"/>
    <x v="276"/>
    <x v="422"/>
    <n v="211110"/>
    <s v="Oil and gas extraction (except oil sands)"/>
    <s v="Extraction de pétrole et de gaz (à l'exception des sables bitumineux)"/>
    <x v="2"/>
    <s v="NA - M16"/>
    <x v="88"/>
    <x v="88"/>
    <x v="3"/>
    <s v="Rejets à l'air"/>
    <s v="Storage / Handling"/>
    <s v="Rejets de stockage ou manutention"/>
    <n v="0"/>
    <x v="0"/>
    <s v="O - Engineering Estimates"/>
    <x v="1"/>
  </r>
  <r>
    <x v="6"/>
    <n v="10695"/>
    <x v="398"/>
    <x v="423"/>
    <n v="332999"/>
    <s v="All Other Miscellaneous Fabricated Metal Product Manufacturing"/>
    <s v="Fabrication de tous les autres produits métalliques divers"/>
    <x v="0"/>
    <s v="NA - M09"/>
    <x v="83"/>
    <x v="83"/>
    <x v="3"/>
    <s v="Rejets à l'air"/>
    <s v="Stack / Point"/>
    <s v="Rejets de cheminée ou ponctuels"/>
    <n v="0.89200000000000002"/>
    <x v="0"/>
    <s v="E2 - Published Emission Factors"/>
    <x v="1"/>
  </r>
  <r>
    <x v="25"/>
    <n v="1902"/>
    <x v="399"/>
    <x v="121"/>
    <n v="211113"/>
    <s v="Conventional Oil and Gas Extraction"/>
    <s v="Extraction de pétrole et de gaz par des méthodes classiques"/>
    <x v="4"/>
    <s v="110-82-7"/>
    <x v="71"/>
    <x v="71"/>
    <x v="2"/>
    <s v="Total des rejets dans tous les milieux (&lt;1tonne)"/>
    <s v="All Media"/>
    <s v="Rejets à tous les médias"/>
    <n v="0.66600000000000004"/>
    <x v="0"/>
    <s v="E - Emission Factor"/>
    <x v="1"/>
  </r>
  <r>
    <x v="12"/>
    <n v="718"/>
    <x v="16"/>
    <x v="424"/>
    <n v="321217"/>
    <s v="Waferboard mills"/>
    <s v="Usines de panneaux de copeaux"/>
    <x v="2"/>
    <s v="NA - M10"/>
    <x v="86"/>
    <x v="86"/>
    <x v="3"/>
    <s v="Rejets à l'air"/>
    <s v="Stack / Point"/>
    <s v="Rejets de cheminée ou ponctuels"/>
    <n v="6.2430000000000003"/>
    <x v="0"/>
    <s v="E1 - Site Specific Emission Factors"/>
    <x v="1"/>
  </r>
  <r>
    <x v="14"/>
    <n v="2230"/>
    <x v="400"/>
    <x v="425"/>
    <n v="211142"/>
    <s v="Mined oil sands extraction"/>
    <s v="Extraction minière de sables bitumineux"/>
    <x v="4"/>
    <s v="74-85-1"/>
    <x v="91"/>
    <x v="91"/>
    <x v="3"/>
    <s v="Rejets à l'air"/>
    <s v="Spills"/>
    <s v="Déversements"/>
    <n v="3.3110000000000001E-3"/>
    <x v="0"/>
    <s v="O - Engineering Estimates"/>
    <x v="1"/>
  </r>
  <r>
    <x v="26"/>
    <n v="22750"/>
    <x v="401"/>
    <x v="426"/>
    <n v="211114"/>
    <s v="Non-Conventional Oil Extraction"/>
    <s v="Extraction de pétrole par des méthodes non classiques"/>
    <x v="4"/>
    <s v="71-43-2"/>
    <x v="31"/>
    <x v="31"/>
    <x v="3"/>
    <s v="Rejets à l'air"/>
    <s v="Other Non-Point"/>
    <s v="Autres rejets non ponctuels"/>
    <n v="1.6819999999999999"/>
    <x v="0"/>
    <s v="E2 - Published Emission Factors"/>
    <x v="1"/>
  </r>
  <r>
    <x v="18"/>
    <n v="23275"/>
    <x v="250"/>
    <x v="427"/>
    <n v="211114"/>
    <s v="Non-conventional oil extraction"/>
    <s v="Extraction de pétrole par des méthodes non classiques"/>
    <x v="4"/>
    <s v="NA - 05"/>
    <x v="16"/>
    <x v="16"/>
    <x v="3"/>
    <s v="Rejets à l'air"/>
    <s v="Stack / Point"/>
    <s v="Rejets de cheminée ou ponctuels"/>
    <n v="2E-3"/>
    <x v="0"/>
    <s v="E2 - Published Emission Factors"/>
    <x v="1"/>
  </r>
  <r>
    <x v="26"/>
    <n v="1071"/>
    <x v="402"/>
    <x v="428"/>
    <n v="331313"/>
    <s v="Primary Production of Alumina and Aluminum"/>
    <s v="Production primaire d'alumine et d'aluminium"/>
    <x v="3"/>
    <s v="NA - M10"/>
    <x v="86"/>
    <x v="86"/>
    <x v="3"/>
    <s v="Rejets à l'air"/>
    <s v="Stack / Point"/>
    <s v="Rejets de cheminée ou ponctuels"/>
    <n v="149"/>
    <x v="0"/>
    <s v="E2 - Published Emission Factors"/>
    <x v="1"/>
  </r>
  <r>
    <x v="1"/>
    <n v="28890"/>
    <x v="250"/>
    <x v="429"/>
    <n v="211113"/>
    <s v="Conventional oil and gas extraction"/>
    <s v="Extraction de pétrole et de gaz par des méthodes classiques"/>
    <x v="4"/>
    <s v="630-08-0"/>
    <x v="87"/>
    <x v="87"/>
    <x v="3"/>
    <s v="Rejets à l'air"/>
    <s v="Stack / Point"/>
    <s v="Rejets de cheminée ou ponctuels"/>
    <n v="62.968000000000004"/>
    <x v="0"/>
    <s v="E2 - Published Emission Factors"/>
    <x v="1"/>
  </r>
  <r>
    <x v="2"/>
    <n v="5614"/>
    <x v="403"/>
    <x v="430"/>
    <n v="221320"/>
    <s v="Sewage treatment facilities"/>
    <s v="Installations d'épuration des eaux usées"/>
    <x v="0"/>
    <s v="NA - 22"/>
    <x v="8"/>
    <x v="8"/>
    <x v="4"/>
    <s v="Rejets dans l'eau"/>
    <s v="Direct Discharges"/>
    <s v="Évacuation directes"/>
    <n v="3.3"/>
    <x v="0"/>
    <s v="M3 - Source Testing"/>
    <x v="1"/>
  </r>
  <r>
    <x v="16"/>
    <n v="16459"/>
    <x v="404"/>
    <x v="431"/>
    <n v="211113"/>
    <s v="Conventional Oil and Gas Extraction"/>
    <s v="Extraction de pétrole et de gaz par des méthodes classiques"/>
    <x v="2"/>
    <s v="630-08-0"/>
    <x v="87"/>
    <x v="87"/>
    <x v="3"/>
    <s v="Rejets à l'air"/>
    <s v="Stack / Point"/>
    <s v="Rejets de cheminée ou ponctuels"/>
    <n v="113.408"/>
    <x v="0"/>
    <s v="E2 - Published Emission Factors"/>
    <x v="1"/>
  </r>
  <r>
    <x v="21"/>
    <n v="15564"/>
    <x v="405"/>
    <x v="432"/>
    <n v="211110"/>
    <s v="Oil and gas extraction (except oil sands)"/>
    <s v="Extraction de pétrole et de gaz (à l'exception des sables bitumineux)"/>
    <x v="4"/>
    <s v="NA - M10"/>
    <x v="86"/>
    <x v="86"/>
    <x v="3"/>
    <s v="Rejets à l'air"/>
    <s v="Stack / Point"/>
    <s v="Rejets de cheminée ou ponctuels"/>
    <n v="0.126"/>
    <x v="0"/>
    <s v="E2 - Published Emission Factors"/>
    <x v="1"/>
  </r>
  <r>
    <x v="1"/>
    <n v="11343"/>
    <x v="406"/>
    <x v="433"/>
    <n v="339990"/>
    <s v="All other miscellaneous manufacturing"/>
    <s v="Toutes les autres activités diverses de fabrication"/>
    <x v="0"/>
    <s v="11104-93-1"/>
    <x v="92"/>
    <x v="92"/>
    <x v="3"/>
    <s v="Rejets à l'air"/>
    <s v="Other Non-Point"/>
    <s v="Autres rejets non ponctuels"/>
    <n v="0"/>
    <x v="0"/>
    <s v="O - Engineering Estimates"/>
    <x v="1"/>
  </r>
  <r>
    <x v="7"/>
    <n v="17042"/>
    <x v="250"/>
    <x v="434"/>
    <n v="211110"/>
    <s v="Oil and gas extraction (except oil sands)"/>
    <s v="Extraction de pétrole et de gaz (à l'exception des sables bitumineux)"/>
    <x v="4"/>
    <s v="NA - M16"/>
    <x v="88"/>
    <x v="88"/>
    <x v="3"/>
    <s v="Rejets à l'air"/>
    <s v="Storage / Handling"/>
    <s v="Rejets de stockage ou manutention"/>
    <n v="13.4"/>
    <x v="0"/>
    <s v="M1 - Continuous Emission Monitoring"/>
    <x v="1"/>
  </r>
  <r>
    <x v="27"/>
    <n v="22106"/>
    <x v="33"/>
    <x v="435"/>
    <n v="211113"/>
    <s v="Conventional Oil and Gas Extraction"/>
    <s v="Extraction de pétrole et de gaz par des méthodes classiques"/>
    <x v="4"/>
    <s v="NA - M09"/>
    <x v="83"/>
    <x v="83"/>
    <x v="3"/>
    <s v="Rejets à l'air"/>
    <s v="Stack / Point"/>
    <s v="Rejets de cheminée ou ponctuels"/>
    <n v="1.119"/>
    <x v="0"/>
    <s v="E2 - Published Emission Factors"/>
    <x v="1"/>
  </r>
  <r>
    <x v="15"/>
    <n v="20025"/>
    <x v="407"/>
    <x v="436"/>
    <n v="324121"/>
    <s v="Asphalt paving mixture and block manufacturing"/>
    <s v="Fabrication de mélanges d'asphaltage et de pavés d'asphalte"/>
    <x v="2"/>
    <s v="NA - M08"/>
    <x v="89"/>
    <x v="89"/>
    <x v="3"/>
    <s v="Rejets à l'air"/>
    <s v="Stack / Point"/>
    <s v="Rejets de cheminée ou ponctuels"/>
    <n v="3.9800000000000002E-2"/>
    <x v="0"/>
    <s v="E2 - Published Emission Factors"/>
    <x v="1"/>
  </r>
  <r>
    <x v="11"/>
    <n v="26472"/>
    <x v="408"/>
    <x v="437"/>
    <n v="562210"/>
    <s v="Waste treatment and disposal"/>
    <s v="Traitement et élimination des déchets"/>
    <x v="0"/>
    <s v="630-08-0"/>
    <x v="87"/>
    <x v="87"/>
    <x v="3"/>
    <s v="Rejets à l'air"/>
    <s v="Stack / Point"/>
    <s v="Rejets de cheminée ou ponctuels"/>
    <n v="31.462"/>
    <x v="0"/>
    <s v="E2 - Published Emission Factors"/>
    <x v="1"/>
  </r>
  <r>
    <x v="19"/>
    <n v="428"/>
    <x v="12"/>
    <x v="438"/>
    <n v="211113"/>
    <s v="Conventional Oil and Gas Extraction"/>
    <s v="Extraction de pétrole et de gaz par des méthodes classiques"/>
    <x v="6"/>
    <s v="108-88-3"/>
    <x v="5"/>
    <x v="5"/>
    <x v="3"/>
    <s v="Rejets à l'air"/>
    <s v="Stack / Point"/>
    <s v="Rejets de cheminée ou ponctuels"/>
    <n v="0.16500000000000001"/>
    <x v="0"/>
    <s v="E2 - Published Emission Factors"/>
    <x v="1"/>
  </r>
  <r>
    <x v="13"/>
    <n v="10217"/>
    <x v="12"/>
    <x v="439"/>
    <n v="412110"/>
    <s v="Petroleum Product Wholesaler-Distributors"/>
    <s v="Grossistes-distributeurs de produits pétroliers"/>
    <x v="7"/>
    <s v="91-20-3"/>
    <x v="67"/>
    <x v="67"/>
    <x v="3"/>
    <s v="Rejets à l'air"/>
    <s v="Storage / Handling"/>
    <s v="Rejets de stockage ou manutention"/>
    <n v="1.7000000000000001E-2"/>
    <x v="0"/>
    <s v="E2 - Published Emission Factors"/>
    <x v="1"/>
  </r>
  <r>
    <x v="13"/>
    <n v="16233"/>
    <x v="409"/>
    <x v="440"/>
    <n v="211113"/>
    <s v="Conventional Oil and Gas Extraction"/>
    <s v="Extraction de pétrole et de gaz par des méthodes classiques"/>
    <x v="4"/>
    <s v="NA - M09"/>
    <x v="83"/>
    <x v="83"/>
    <x v="3"/>
    <s v="Rejets à l'air"/>
    <s v="Stack / Point"/>
    <s v="Rejets de cheminée ou ponctuels"/>
    <n v="1.01"/>
    <x v="0"/>
    <s v="E2 - Published Emission Factors"/>
    <x v="1"/>
  </r>
  <r>
    <x v="9"/>
    <n v="3704"/>
    <x v="12"/>
    <x v="81"/>
    <n v="324110"/>
    <s v="Petroleum refineries"/>
    <s v="Raffineries de pétrole"/>
    <x v="0"/>
    <s v="108-88-3"/>
    <x v="5"/>
    <x v="5"/>
    <x v="4"/>
    <s v="Rejets dans l'eau"/>
    <s v="Direct Discharges"/>
    <s v="Évacuation directes"/>
    <n v="5.1000000000000004E-3"/>
    <x v="0"/>
    <s v="M3 - Source Testing"/>
    <x v="1"/>
  </r>
  <r>
    <x v="5"/>
    <n v="2230"/>
    <x v="410"/>
    <x v="425"/>
    <n v="211114"/>
    <s v="Non-Conventional Oil Extraction"/>
    <s v="Extraction de pétrole par des méthodes non classiques"/>
    <x v="4"/>
    <s v="7783-06-4"/>
    <x v="93"/>
    <x v="93"/>
    <x v="3"/>
    <s v="Rejets à l'air"/>
    <s v="Storage / Handling"/>
    <s v="Rejets de stockage ou manutention"/>
    <n v="1.7047000000000001"/>
    <x v="0"/>
    <s v="M3 - Source Testing"/>
    <x v="1"/>
  </r>
  <r>
    <x v="8"/>
    <n v="5000"/>
    <x v="411"/>
    <x v="441"/>
    <n v="311990"/>
    <s v="All Other Food Manufacturing"/>
    <s v="Fabrication de tous les autres aliments"/>
    <x v="9"/>
    <s v="7446-09-5"/>
    <x v="85"/>
    <x v="85"/>
    <x v="3"/>
    <s v="Rejets à l'air"/>
    <s v="Stack / Point"/>
    <s v="Rejets de cheminée ou ponctuels"/>
    <n v="160.6"/>
    <x v="0"/>
    <s v="C - Mass Balance"/>
    <x v="1"/>
  </r>
  <r>
    <x v="19"/>
    <n v="929"/>
    <x v="412"/>
    <x v="442"/>
    <n v="322122"/>
    <s v="Newsprint Mills"/>
    <s v="Usines de papier journal"/>
    <x v="3"/>
    <s v="7664-93-9"/>
    <x v="30"/>
    <x v="30"/>
    <x v="3"/>
    <s v="Rejets à l'air"/>
    <s v="Stack / Point"/>
    <s v="Rejets de cheminée ou ponctuels"/>
    <n v="1.615"/>
    <x v="0"/>
    <s v="E2 - Published Emission Factors"/>
    <x v="1"/>
  </r>
  <r>
    <x v="27"/>
    <n v="17608"/>
    <x v="413"/>
    <x v="443"/>
    <n v="211113"/>
    <s v="Conventional Oil and Gas Extraction"/>
    <s v="Extraction de pétrole et de gaz par des méthodes classiques"/>
    <x v="4"/>
    <s v="630-08-0"/>
    <x v="87"/>
    <x v="87"/>
    <x v="3"/>
    <s v="Rejets à l'air"/>
    <s v="Stack / Point"/>
    <s v="Rejets de cheminée ou ponctuels"/>
    <n v="23.778600000000001"/>
    <x v="0"/>
    <s v="E2 - Published Emission Factors"/>
    <x v="1"/>
  </r>
  <r>
    <x v="1"/>
    <n v="27978"/>
    <x v="414"/>
    <x v="444"/>
    <n v="211113"/>
    <s v="Conventional oil and gas extraction"/>
    <s v="Extraction de pétrole et de gaz par des méthodes classiques"/>
    <x v="4"/>
    <s v="NA - M16"/>
    <x v="88"/>
    <x v="88"/>
    <x v="3"/>
    <s v="Rejets à l'air"/>
    <s v="Fugitive"/>
    <s v="Émissions fugitives"/>
    <n v="22.664999999999999"/>
    <x v="0"/>
    <s v="E2 - Published Emission Factors"/>
    <x v="1"/>
  </r>
  <r>
    <x v="11"/>
    <n v="17880"/>
    <x v="181"/>
    <x v="445"/>
    <n v="211113"/>
    <s v="Conventional oil and gas extraction"/>
    <s v="Extraction de pétrole et de gaz par des méthodes classiques"/>
    <x v="4"/>
    <s v="11104-93-1"/>
    <x v="92"/>
    <x v="92"/>
    <x v="3"/>
    <s v="Rejets à l'air"/>
    <s v="Stack / Point"/>
    <s v="Rejets de cheminée ou ponctuels"/>
    <n v="150.33500000000001"/>
    <x v="0"/>
    <s v="O - Engineering Estimates"/>
    <x v="1"/>
  </r>
  <r>
    <x v="20"/>
    <n v="18171"/>
    <x v="415"/>
    <x v="446"/>
    <n v="211113"/>
    <s v="Conventional Oil and Gas Extraction"/>
    <s v="Extraction de pétrole et de gaz par des méthodes classiques"/>
    <x v="4"/>
    <s v="NA - M10"/>
    <x v="86"/>
    <x v="86"/>
    <x v="3"/>
    <s v="Rejets à l'air"/>
    <s v="Stack / Point"/>
    <s v="Rejets de cheminée ou ponctuels"/>
    <n v="0.312"/>
    <x v="0"/>
    <s v="E2 - Published Emission Factors"/>
    <x v="1"/>
  </r>
  <r>
    <x v="16"/>
    <n v="409"/>
    <x v="416"/>
    <x v="447"/>
    <n v="211114"/>
    <s v="Non-Conventional Oil Extraction"/>
    <s v="Extraction de pétrole par des méthodes non classiques"/>
    <x v="5"/>
    <s v="100-41-4"/>
    <x v="11"/>
    <x v="11"/>
    <x v="3"/>
    <s v="Rejets à l'air"/>
    <s v="Other Non-Point"/>
    <s v="Autres rejets non ponctuels"/>
    <n v="5.2999999999999999E-2"/>
    <x v="0"/>
    <s v="E2 - Published Emission Factors"/>
    <x v="1"/>
  </r>
  <r>
    <x v="21"/>
    <n v="10021"/>
    <x v="417"/>
    <x v="448"/>
    <n v="212323"/>
    <s v="Sand and gravel mining and quarrying"/>
    <s v="Extraction de sable et de gravier"/>
    <x v="0"/>
    <s v="NA - M08"/>
    <x v="89"/>
    <x v="89"/>
    <x v="3"/>
    <s v="Rejets à l'air"/>
    <s v="Road dust"/>
    <s v="Poussières de routes"/>
    <n v="6.3090000000000002"/>
    <x v="0"/>
    <s v="E2 - Published Emission Factors"/>
    <x v="1"/>
  </r>
  <r>
    <x v="26"/>
    <n v="17854"/>
    <x v="418"/>
    <x v="449"/>
    <n v="211113"/>
    <s v="Conventional Oil and Gas Extraction"/>
    <s v="Extraction de pétrole et de gaz par des méthodes classiques"/>
    <x v="4"/>
    <s v="11104-93-1"/>
    <x v="92"/>
    <x v="92"/>
    <x v="3"/>
    <s v="Rejets à l'air"/>
    <s v="Stack / Point"/>
    <s v="Rejets de cheminée ou ponctuels"/>
    <n v="287.23"/>
    <x v="0"/>
    <s v="E2 - Published Emission Factors"/>
    <x v="1"/>
  </r>
  <r>
    <x v="16"/>
    <n v="1797"/>
    <x v="361"/>
    <x v="384"/>
    <n v="322112"/>
    <s v="Chemical Pulp Mills"/>
    <s v="Usines de pâte chimique"/>
    <x v="2"/>
    <s v="7783-06-4"/>
    <x v="93"/>
    <x v="93"/>
    <x v="3"/>
    <s v="Rejets à l'air"/>
    <s v="Stack / Point"/>
    <s v="Rejets de cheminée ou ponctuels"/>
    <n v="32.009"/>
    <x v="0"/>
    <s v="E2 - Published Emission Factors"/>
    <x v="1"/>
  </r>
  <r>
    <x v="13"/>
    <n v="16480"/>
    <x v="419"/>
    <x v="450"/>
    <n v="211113"/>
    <s v="Conventional Oil and Gas Extraction"/>
    <s v="Extraction de pétrole et de gaz par des méthodes classiques"/>
    <x v="2"/>
    <s v="11104-93-1"/>
    <x v="92"/>
    <x v="92"/>
    <x v="3"/>
    <s v="Rejets à l'air"/>
    <s v="Stack / Point"/>
    <s v="Rejets de cheminée ou ponctuels"/>
    <n v="75.489999999999995"/>
    <x v="0"/>
    <s v="E2 - Published Emission Factors"/>
    <x v="1"/>
  </r>
  <r>
    <x v="18"/>
    <n v="27118"/>
    <x v="420"/>
    <x v="451"/>
    <n v="221320"/>
    <s v="Sewage treatment facilities"/>
    <s v="Installations d'épuration des eaux usées"/>
    <x v="2"/>
    <s v="NA - 22"/>
    <x v="8"/>
    <x v="8"/>
    <x v="2"/>
    <s v="Total des rejets dans tous les milieux (&lt;1tonne)"/>
    <s v="All Media"/>
    <s v="Rejets à tous les médias"/>
    <n v="0"/>
    <x v="0"/>
    <s v="M3 - Source Testing"/>
    <x v="1"/>
  </r>
  <r>
    <x v="13"/>
    <n v="1797"/>
    <x v="361"/>
    <x v="384"/>
    <n v="322112"/>
    <s v="Chemical Pulp Mills"/>
    <s v="Usines de pâte chimique"/>
    <x v="2"/>
    <s v="11104-93-1"/>
    <x v="92"/>
    <x v="92"/>
    <x v="3"/>
    <s v="Rejets à l'air"/>
    <s v="Stack / Point"/>
    <s v="Rejets de cheminée ou ponctuels"/>
    <n v="531.21"/>
    <x v="0"/>
    <s v="M3 - Source Testing"/>
    <x v="1"/>
  </r>
  <r>
    <x v="22"/>
    <n v="1951"/>
    <x v="421"/>
    <x v="0"/>
    <n v="325999"/>
    <s v="All Other Miscellaneous Chemical Product Manufacturing"/>
    <s v="Fabrication de tous les autres produits chimiques divers"/>
    <x v="0"/>
    <s v="7664-93-9"/>
    <x v="30"/>
    <x v="30"/>
    <x v="2"/>
    <s v="Total des rejets dans tous les milieux (&lt;1tonne)"/>
    <s v="All Media"/>
    <s v="Rejets à tous les médias"/>
    <n v="7.0000000000000001E-3"/>
    <x v="0"/>
    <s v="C - Mass Balance"/>
    <x v="1"/>
  </r>
  <r>
    <x v="11"/>
    <n v="3713"/>
    <x v="92"/>
    <x v="95"/>
    <n v="331110"/>
    <s v="Iron and steel mills and ferro-alloy manufacturing"/>
    <s v="Sidérurgie"/>
    <x v="0"/>
    <s v="NA - 14"/>
    <x v="13"/>
    <x v="13"/>
    <x v="3"/>
    <s v="Rejets à l'air"/>
    <s v="Storage / Handling"/>
    <s v="Rejets de stockage ou manutention"/>
    <n v="4.7000000000000002E-3"/>
    <x v="0"/>
    <s v="E1 - Site Specific Emission Factors"/>
    <x v="1"/>
  </r>
  <r>
    <x v="16"/>
    <n v="15198"/>
    <x v="33"/>
    <x v="452"/>
    <n v="211113"/>
    <s v="Conventional Oil and Gas Extraction"/>
    <s v="Extraction de pétrole et de gaz par des méthodes classiques"/>
    <x v="4"/>
    <s v="11104-93-1"/>
    <x v="92"/>
    <x v="92"/>
    <x v="3"/>
    <s v="Rejets à l'air"/>
    <s v="Stack / Point"/>
    <s v="Rejets de cheminée ou ponctuels"/>
    <n v="95.370999999999995"/>
    <x v="0"/>
    <s v="E2 - Published Emission Factors"/>
    <x v="1"/>
  </r>
  <r>
    <x v="15"/>
    <n v="31"/>
    <x v="28"/>
    <x v="29"/>
    <n v="325510"/>
    <s v="Paint and coating manufacturing"/>
    <s v="Fabrication de peintures et de revêtements"/>
    <x v="0"/>
    <s v="108-10-1"/>
    <x v="63"/>
    <x v="63"/>
    <x v="3"/>
    <s v="Rejets à l'air"/>
    <s v="Stack / Point"/>
    <s v="Rejets de cheminée ou ponctuels"/>
    <n v="2"/>
    <x v="0"/>
    <s v="E1 - Site Specific Emission Factors"/>
    <x v="1"/>
  </r>
  <r>
    <x v="23"/>
    <n v="793"/>
    <x v="422"/>
    <x v="453"/>
    <n v="325999"/>
    <s v="All Other Miscellaneous Chemical Product Manufacturing"/>
    <s v="Fabrication de tous les autres produits chimiques divers"/>
    <x v="2"/>
    <s v="26471-62-5"/>
    <x v="94"/>
    <x v="94"/>
    <x v="3"/>
    <s v="Rejets à l'air"/>
    <s v="Fugitive"/>
    <s v="Émissions fugitives"/>
    <n v="1E-3"/>
    <x v="0"/>
    <s v="O - Engineering Estimates"/>
    <x v="1"/>
  </r>
  <r>
    <x v="27"/>
    <n v="2077"/>
    <x v="423"/>
    <x v="454"/>
    <n v="325313"/>
    <s v="Chemical Fertilizer (except Potash) Manufacturing"/>
    <s v="Fabrication d'engrais chimiques (sauf la potasse)"/>
    <x v="5"/>
    <s v="NA - M09"/>
    <x v="83"/>
    <x v="83"/>
    <x v="3"/>
    <s v="Rejets à l'air"/>
    <s v="Stack / Point"/>
    <s v="Rejets de cheminée ou ponctuels"/>
    <n v="113.66"/>
    <x v="0"/>
    <s v="M3 - Source Testing"/>
    <x v="1"/>
  </r>
  <r>
    <x v="2"/>
    <n v="28670"/>
    <x v="424"/>
    <x v="455"/>
    <n v="488320"/>
    <s v="Marine cargo handling"/>
    <s v="Manutention du fret maritime"/>
    <x v="3"/>
    <s v="NA - M09"/>
    <x v="83"/>
    <x v="83"/>
    <x v="3"/>
    <s v="Rejets à l'air"/>
    <s v="Other Non-Point"/>
    <s v="Autres rejets non ponctuels"/>
    <n v="0.4"/>
    <x v="0"/>
    <s v="E2 - Published Emission Factors"/>
    <x v="1"/>
  </r>
  <r>
    <x v="3"/>
    <n v="2502"/>
    <x v="425"/>
    <x v="0"/>
    <n v="322121"/>
    <s v="Paper (except Newsprint) Mills"/>
    <s v="Usines de papier, sauf le papier journal"/>
    <x v="3"/>
    <s v="NA - 10"/>
    <x v="9"/>
    <x v="9"/>
    <x v="3"/>
    <s v="Rejets à l'air"/>
    <s v="Stack / Point"/>
    <s v="Rejets de cheminée ou ponctuels"/>
    <n v="14.015000000000001"/>
    <x v="1"/>
    <s v="E - Emission Factor"/>
    <x v="1"/>
  </r>
  <r>
    <x v="12"/>
    <n v="19058"/>
    <x v="426"/>
    <x v="456"/>
    <n v="211110"/>
    <s v="Oil and gas extraction (except oil sands)"/>
    <s v="Extraction de pétrole et de gaz (à l'exception des sables bitumineux)"/>
    <x v="4"/>
    <s v="NA - M09"/>
    <x v="83"/>
    <x v="83"/>
    <x v="3"/>
    <s v="Rejets à l'air"/>
    <s v="Stack / Point"/>
    <s v="Rejets de cheminée ou ponctuels"/>
    <n v="0.33700000000000002"/>
    <x v="0"/>
    <s v="E2 - Published Emission Factors"/>
    <x v="1"/>
  </r>
  <r>
    <x v="12"/>
    <n v="11755"/>
    <x v="427"/>
    <x v="457"/>
    <n v="311930"/>
    <s v="Flavouring syrup and concentrate manufacturing"/>
    <s v="Fabrication de sirops et de concentrés aromatisants"/>
    <x v="0"/>
    <s v="NA - M09"/>
    <x v="83"/>
    <x v="83"/>
    <x v="3"/>
    <s v="Rejets à l'air"/>
    <s v="Stack / Point"/>
    <s v="Rejets de cheminée ou ponctuels"/>
    <n v="0.69799999999999995"/>
    <x v="0"/>
    <s v="O - Engineering Estimates"/>
    <x v="1"/>
  </r>
  <r>
    <x v="18"/>
    <n v="8783"/>
    <x v="428"/>
    <x v="458"/>
    <n v="212210"/>
    <s v="Iron ore mining"/>
    <s v="Extraction de minerais de fer"/>
    <x v="3"/>
    <s v="NA - M10"/>
    <x v="86"/>
    <x v="86"/>
    <x v="3"/>
    <s v="Rejets à l'air"/>
    <s v="Stack / Point"/>
    <s v="Rejets de cheminée ou ponctuels"/>
    <n v="13.22"/>
    <x v="0"/>
    <s v="M3 - Source Testing"/>
    <x v="1"/>
  </r>
  <r>
    <x v="9"/>
    <n v="6591"/>
    <x v="36"/>
    <x v="459"/>
    <n v="221112"/>
    <s v="Fossil-fuel electric power generation"/>
    <s v="Production d'électricité à partir de combustibles fossiles"/>
    <x v="4"/>
    <s v="NA - 10"/>
    <x v="9"/>
    <x v="9"/>
    <x v="4"/>
    <s v="Rejets dans l'eau"/>
    <s v="Direct Discharges"/>
    <s v="Évacuation directes"/>
    <n v="1E-3"/>
    <x v="1"/>
    <s v="M3 - Source Testing"/>
    <x v="1"/>
  </r>
  <r>
    <x v="17"/>
    <n v="15796"/>
    <x v="250"/>
    <x v="460"/>
    <n v="211110"/>
    <s v="Oil and gas extraction (except oil sands)"/>
    <s v="Extraction de pétrole et de gaz (à l'exception des sables bitumineux)"/>
    <x v="4"/>
    <s v="7446-09-5"/>
    <x v="85"/>
    <x v="85"/>
    <x v="3"/>
    <s v="Rejets à l'air"/>
    <s v="Stack / Point"/>
    <s v="Rejets de cheminée ou ponctuels"/>
    <n v="0"/>
    <x v="0"/>
    <m/>
    <x v="1"/>
  </r>
  <r>
    <x v="13"/>
    <n v="10366"/>
    <x v="429"/>
    <x v="196"/>
    <n v="311211"/>
    <s v="Flour Milling"/>
    <s v="Minoterie"/>
    <x v="0"/>
    <s v="NA - M08"/>
    <x v="89"/>
    <x v="89"/>
    <x v="3"/>
    <s v="Rejets à l'air"/>
    <s v="Other Non-Point"/>
    <s v="Autres rejets non ponctuels"/>
    <n v="2.1999999999999999E-2"/>
    <x v="0"/>
    <s v="E2 - Published Emission Factors"/>
    <x v="1"/>
  </r>
  <r>
    <x v="6"/>
    <n v="18140"/>
    <x v="430"/>
    <x v="461"/>
    <n v="211113"/>
    <s v="Conventional Oil and Gas Extraction"/>
    <s v="Extraction de pétrole et de gaz par des méthodes classiques"/>
    <x v="4"/>
    <s v="NA - M10"/>
    <x v="86"/>
    <x v="86"/>
    <x v="3"/>
    <s v="Rejets à l'air"/>
    <s v="Stack / Point"/>
    <s v="Rejets de cheminée ou ponctuels"/>
    <n v="1.0089999999999999"/>
    <x v="0"/>
    <s v="E2 - Published Emission Factors"/>
    <x v="1"/>
  </r>
  <r>
    <x v="2"/>
    <n v="15656"/>
    <x v="431"/>
    <x v="462"/>
    <n v="211113"/>
    <s v="Conventional oil and gas extraction"/>
    <s v="Extraction de pétrole et de gaz par des méthodes classiques"/>
    <x v="4"/>
    <s v="NA - M16"/>
    <x v="88"/>
    <x v="88"/>
    <x v="3"/>
    <s v="Rejets à l'air"/>
    <s v="Stack / Point"/>
    <s v="Rejets de cheminée ou ponctuels"/>
    <n v="10.766999999999999"/>
    <x v="0"/>
    <s v="E2 - Published Emission Factors"/>
    <x v="1"/>
  </r>
  <r>
    <x v="24"/>
    <n v="3119"/>
    <x v="432"/>
    <x v="463"/>
    <n v="332999"/>
    <s v="All Other Miscellaneous Fabricated Metal Product Manufacturing"/>
    <s v="Fabrication de tous les autres produits métalliques divers"/>
    <x v="3"/>
    <s v="71-36-3"/>
    <x v="50"/>
    <x v="50"/>
    <x v="3"/>
    <s v="Rejets à l'air"/>
    <s v="Fugitive"/>
    <s v="Émissions fugitives"/>
    <n v="1.4419999999999999"/>
    <x v="0"/>
    <s v="C - Mass Balance"/>
    <x v="1"/>
  </r>
  <r>
    <x v="14"/>
    <n v="7605"/>
    <x v="433"/>
    <x v="56"/>
    <n v="418110"/>
    <s v="Recyclable metal merchant wholesalers"/>
    <s v="Grossistes-marchands de métaux recyclables"/>
    <x v="0"/>
    <s v="NA - M10"/>
    <x v="86"/>
    <x v="86"/>
    <x v="3"/>
    <s v="Rejets à l'air"/>
    <s v="Road dust"/>
    <s v="Poussières de routes"/>
    <n v="0.318"/>
    <x v="0"/>
    <s v="O - Engineering Estimates"/>
    <x v="1"/>
  </r>
  <r>
    <x v="7"/>
    <n v="29879"/>
    <x v="434"/>
    <x v="464"/>
    <n v="486110"/>
    <s v="Pipeline transportation of crude oil"/>
    <s v="Transport du pétrole brut par oléoduc"/>
    <x v="4"/>
    <s v="100-41-4"/>
    <x v="11"/>
    <x v="11"/>
    <x v="3"/>
    <s v="Rejets à l'air"/>
    <s v="Storage / Handling"/>
    <s v="Rejets de stockage ou manutention"/>
    <n v="0.26775500000000002"/>
    <x v="0"/>
    <s v="O - Engineering Estimates"/>
    <x v="1"/>
  </r>
  <r>
    <x v="18"/>
    <n v="1568"/>
    <x v="435"/>
    <x v="465"/>
    <n v="212220"/>
    <s v="Gold and silver ore mining"/>
    <s v="Extraction de minerais d'or et d'argent"/>
    <x v="0"/>
    <s v="NA - 08"/>
    <x v="1"/>
    <x v="1"/>
    <x v="3"/>
    <s v="Rejets à l'air"/>
    <s v="Stack / Point"/>
    <s v="Rejets de cheminée ou ponctuels"/>
    <n v="2"/>
    <x v="1"/>
    <s v="E1 - Site Specific Emission Factors"/>
    <x v="1"/>
  </r>
  <r>
    <x v="14"/>
    <n v="6336"/>
    <x v="436"/>
    <x v="466"/>
    <n v="321111"/>
    <s v="Sawmills (except shingle and shake mills)"/>
    <s v="Scieries (sauf les usines de bardeaux et de bardeaux de fente)"/>
    <x v="3"/>
    <s v="NA - M16"/>
    <x v="88"/>
    <x v="88"/>
    <x v="3"/>
    <s v="Rejets à l'air"/>
    <s v="Stack / Point"/>
    <s v="Rejets de cheminée ou ponctuels"/>
    <n v="18.036000000000001"/>
    <x v="0"/>
    <s v="E2 - Published Emission Factors"/>
    <x v="1"/>
  </r>
  <r>
    <x v="27"/>
    <n v="8629"/>
    <x v="171"/>
    <x v="467"/>
    <n v="412110"/>
    <s v="Petroleum Product Wholesaler-Distributors"/>
    <s v="Grossistes-distributeurs de produits pétroliers"/>
    <x v="10"/>
    <s v="95-63-6"/>
    <x v="40"/>
    <x v="40"/>
    <x v="3"/>
    <s v="Rejets à l'air"/>
    <s v="Fugitive"/>
    <s v="Émissions fugitives"/>
    <n v="0"/>
    <x v="0"/>
    <s v="O - Engineering Estimates"/>
    <x v="1"/>
  </r>
  <r>
    <x v="29"/>
    <n v="29792"/>
    <x v="437"/>
    <x v="468"/>
    <n v="486210"/>
    <s v="Pipeline transportation of natural gas"/>
    <s v="Transport du gaz naturel par gazoduc"/>
    <x v="4"/>
    <s v="630-08-0"/>
    <x v="87"/>
    <x v="87"/>
    <x v="3"/>
    <s v="Rejets à l'air"/>
    <s v="Stack / Point"/>
    <s v="Rejets de cheminée ou ponctuels"/>
    <n v="26.796040000000001"/>
    <x v="0"/>
    <s v="E2 - Published Emission Factors"/>
    <x v="1"/>
  </r>
  <r>
    <x v="12"/>
    <n v="3810"/>
    <x v="438"/>
    <x v="469"/>
    <n v="212220"/>
    <s v="Gold and silver ore mining"/>
    <s v="Extraction de minerais d'or et d'argent"/>
    <x v="0"/>
    <s v="NA - 05"/>
    <x v="16"/>
    <x v="16"/>
    <x v="3"/>
    <s v="Rejets à l'air"/>
    <s v="Fugitive"/>
    <s v="Émissions fugitives"/>
    <n v="1.0526"/>
    <x v="1"/>
    <s v="E2 - Published Emission Factors"/>
    <x v="1"/>
  </r>
  <r>
    <x v="10"/>
    <n v="3992"/>
    <x v="247"/>
    <x v="470"/>
    <n v="221112"/>
    <s v="Fossil-Fuel Electric Power Generation"/>
    <s v="Production d'électricité à partir de combustibles fossiles"/>
    <x v="7"/>
    <s v="NA - M09"/>
    <x v="83"/>
    <x v="83"/>
    <x v="3"/>
    <s v="Rejets à l'air"/>
    <s v="Stack / Point"/>
    <s v="Rejets de cheminée ou ponctuels"/>
    <n v="316.20999999999998"/>
    <x v="0"/>
    <s v="E - Emission Factor"/>
    <x v="1"/>
  </r>
  <r>
    <x v="1"/>
    <n v="683"/>
    <x v="383"/>
    <x v="471"/>
    <n v="211113"/>
    <s v="Conventional oil and gas extraction"/>
    <s v="Extraction de pétrole et de gaz par des méthodes classiques"/>
    <x v="4"/>
    <s v="110-82-7"/>
    <x v="71"/>
    <x v="71"/>
    <x v="3"/>
    <s v="Rejets à l'air"/>
    <s v="Storage / Handling"/>
    <s v="Rejets de stockage ou manutention"/>
    <n v="0.33"/>
    <x v="0"/>
    <s v="O - Engineering Estimates"/>
    <x v="1"/>
  </r>
  <r>
    <x v="18"/>
    <n v="1353"/>
    <x v="439"/>
    <x v="472"/>
    <n v="325510"/>
    <s v="Paint and coating manufacturing"/>
    <s v="Fabrication de peintures et de revêtements"/>
    <x v="0"/>
    <s v="100-41-4"/>
    <x v="11"/>
    <x v="11"/>
    <x v="2"/>
    <s v="Total des rejets dans tous les milieux (&lt;1tonne)"/>
    <s v="All Media"/>
    <s v="Rejets à tous les médias"/>
    <n v="0.745"/>
    <x v="0"/>
    <s v="E2 - Published Emission Factors"/>
    <x v="1"/>
  </r>
  <r>
    <x v="26"/>
    <n v="16379"/>
    <x v="218"/>
    <x v="473"/>
    <n v="211113"/>
    <s v="Conventional Oil and Gas Extraction"/>
    <s v="Extraction de pétrole et de gaz par des méthodes classiques"/>
    <x v="4"/>
    <s v="11104-93-1"/>
    <x v="92"/>
    <x v="92"/>
    <x v="3"/>
    <s v="Rejets à l'air"/>
    <s v="Stack / Point"/>
    <s v="Rejets de cheminée ou ponctuels"/>
    <n v="61.000999999999998"/>
    <x v="0"/>
    <s v="E2 - Published Emission Factors"/>
    <x v="1"/>
  </r>
  <r>
    <x v="16"/>
    <n v="11043"/>
    <x v="440"/>
    <x v="474"/>
    <n v="337127"/>
    <s v="Institutional Furniture Manufacturing"/>
    <s v="Fabrication de meubles d'établissement institutionnel"/>
    <x v="0"/>
    <s v="NA - M16"/>
    <x v="88"/>
    <x v="88"/>
    <x v="3"/>
    <s v="Rejets à l'air"/>
    <s v="Stack / Point"/>
    <s v="Rejets de cheminée ou ponctuels"/>
    <n v="14.957000000000001"/>
    <x v="0"/>
    <s v="C - Mass Balance"/>
    <x v="1"/>
  </r>
  <r>
    <x v="0"/>
    <n v="728"/>
    <x v="441"/>
    <x v="0"/>
    <n v="325999"/>
    <s v="All Other Miscellaneous Chemical Product Manufacturing"/>
    <s v="Fabrication de tous les autres produits chimiques divers"/>
    <x v="0"/>
    <s v="1330-20-7"/>
    <x v="34"/>
    <x v="34"/>
    <x v="2"/>
    <s v="Total des rejets dans tous les milieux (&lt;1tonne)"/>
    <s v="All Media"/>
    <s v="Rejets à tous les médias"/>
    <n v="1.9E-2"/>
    <x v="0"/>
    <s v="E - Emission Factor"/>
    <x v="1"/>
  </r>
  <r>
    <x v="29"/>
    <n v="23425"/>
    <x v="442"/>
    <x v="475"/>
    <n v="211110"/>
    <s v="Oil and gas extraction (except oil sands)"/>
    <s v="Extraction de pétrole et de gaz (à l'exception des sables bitumineux)"/>
    <x v="4"/>
    <s v="NA - M08"/>
    <x v="89"/>
    <x v="89"/>
    <x v="3"/>
    <s v="Rejets à l'air"/>
    <s v="Stack / Point"/>
    <s v="Rejets de cheminée ou ponctuels"/>
    <n v="0.15018999999999999"/>
    <x v="0"/>
    <s v="E2 - Published Emission Factors"/>
    <x v="1"/>
  </r>
  <r>
    <x v="13"/>
    <n v="2219"/>
    <x v="443"/>
    <x v="476"/>
    <n v="322130"/>
    <s v="Paperboard Mills"/>
    <s v="Usines de carton"/>
    <x v="8"/>
    <s v="NA - 08"/>
    <x v="1"/>
    <x v="1"/>
    <x v="4"/>
    <s v="Rejets dans l'eau"/>
    <s v="Direct Discharges"/>
    <s v="Évacuation directes"/>
    <n v="141"/>
    <x v="1"/>
    <s v="E2 - Published Emission Factors"/>
    <x v="1"/>
  </r>
  <r>
    <x v="1"/>
    <n v="7309"/>
    <x v="444"/>
    <x v="477"/>
    <n v="326198"/>
    <s v="All other plastic product manufacturing"/>
    <s v="Fabrication de tous les autres produits en plastique"/>
    <x v="0"/>
    <s v="NA - M16"/>
    <x v="88"/>
    <x v="88"/>
    <x v="3"/>
    <s v="Rejets à l'air"/>
    <s v="Stack / Point"/>
    <s v="Rejets de cheminée ou ponctuels"/>
    <n v="11"/>
    <x v="0"/>
    <s v="E2 - Published Emission Factors"/>
    <x v="1"/>
  </r>
  <r>
    <x v="21"/>
    <n v="1372"/>
    <x v="445"/>
    <x v="72"/>
    <n v="211110"/>
    <s v="Oil and gas extraction (except oil sands)"/>
    <s v="Extraction de pétrole et de gaz (à l'exception des sables bitumineux)"/>
    <x v="4"/>
    <s v="NA - 16"/>
    <x v="49"/>
    <x v="49"/>
    <x v="3"/>
    <s v="Rejets à l'air"/>
    <s v="Stack / Point"/>
    <s v="Rejets de cheminée ou ponctuels"/>
    <n v="11.9428"/>
    <x v="0"/>
    <s v="E2 - Published Emission Factors"/>
    <x v="1"/>
  </r>
  <r>
    <x v="7"/>
    <n v="27932"/>
    <x v="446"/>
    <x v="478"/>
    <n v="211110"/>
    <s v="Oil and gas extraction (except oil sands)"/>
    <s v="Extraction de pétrole et de gaz (à l'exception des sables bitumineux)"/>
    <x v="5"/>
    <s v="7446-09-5"/>
    <x v="85"/>
    <x v="85"/>
    <x v="3"/>
    <s v="Rejets à l'air"/>
    <s v="Stack / Point"/>
    <s v="Rejets de cheminée ou ponctuels"/>
    <n v="0.13500000000000001"/>
    <x v="0"/>
    <s v="M1 - Continuous Emission Monitoring"/>
    <x v="1"/>
  </r>
  <r>
    <x v="14"/>
    <n v="33092"/>
    <x v="447"/>
    <x v="479"/>
    <n v="211110"/>
    <s v="Oil and gas extraction (except oil sands)"/>
    <s v="Extraction de pétrole et de gaz (à l'exception des sables bitumineux)"/>
    <x v="5"/>
    <s v="630-08-0"/>
    <x v="87"/>
    <x v="87"/>
    <x v="3"/>
    <s v="Rejets à l'air"/>
    <s v="Stack / Point"/>
    <s v="Rejets de cheminée ou ponctuels"/>
    <n v="3.7075999999999998"/>
    <x v="0"/>
    <s v="E2 - Published Emission Factors"/>
    <x v="1"/>
  </r>
  <r>
    <x v="26"/>
    <n v="92"/>
    <x v="448"/>
    <x v="480"/>
    <n v="331317"/>
    <s v="Aluminum Rolling, Drawing, Extruding and Alloying"/>
    <s v="Laminage, étirage, extrusion et alliage de l'aluminium"/>
    <x v="0"/>
    <s v="50-00-0"/>
    <x v="17"/>
    <x v="17"/>
    <x v="3"/>
    <s v="Rejets à l'air"/>
    <s v="Stack / Point"/>
    <s v="Rejets de cheminée ou ponctuels"/>
    <n v="2.4649999999999999"/>
    <x v="0"/>
    <s v="M3 - Source Testing"/>
    <x v="1"/>
  </r>
  <r>
    <x v="21"/>
    <n v="5337"/>
    <x v="445"/>
    <x v="481"/>
    <n v="211110"/>
    <s v="Oil and gas extraction (except oil sands)"/>
    <s v="Extraction de pétrole et de gaz (à l'exception des sables bitumineux)"/>
    <x v="4"/>
    <s v="108-88-3"/>
    <x v="5"/>
    <x v="5"/>
    <x v="3"/>
    <s v="Rejets à l'air"/>
    <s v="Storage / Handling"/>
    <s v="Rejets de stockage ou manutention"/>
    <n v="4.0500000000000001E-2"/>
    <x v="0"/>
    <s v="O - Engineering Estimates"/>
    <x v="1"/>
  </r>
  <r>
    <x v="18"/>
    <n v="5816"/>
    <x v="449"/>
    <x v="482"/>
    <n v="325189"/>
    <s v="All other basic inorganic chemical manufacturing"/>
    <s v="Fabrication de tous les autres produits chimiques inorganiques de base"/>
    <x v="0"/>
    <s v="NA - M16"/>
    <x v="88"/>
    <x v="88"/>
    <x v="3"/>
    <s v="Rejets à l'air"/>
    <s v="Storage / Handling"/>
    <s v="Rejets de stockage ou manutention"/>
    <n v="0.161"/>
    <x v="0"/>
    <s v="C - Mass Balance"/>
    <x v="1"/>
  </r>
  <r>
    <x v="15"/>
    <n v="1464"/>
    <x v="12"/>
    <x v="75"/>
    <n v="325110"/>
    <s v="Petrochemical manufacturing"/>
    <s v="Fabrication de produits pétrochimiques"/>
    <x v="0"/>
    <s v="110-54-3"/>
    <x v="47"/>
    <x v="47"/>
    <x v="3"/>
    <s v="Rejets à l'air"/>
    <s v="Stack / Point"/>
    <s v="Rejets de cheminée ou ponctuels"/>
    <n v="1.5069999999999999"/>
    <x v="0"/>
    <s v="E2 - Published Emission Factors"/>
    <x v="1"/>
  </r>
  <r>
    <x v="9"/>
    <n v="1941"/>
    <x v="450"/>
    <x v="483"/>
    <n v="212220"/>
    <s v="Gold and silver ore mining"/>
    <s v="Extraction de minerais d'or et d'argent"/>
    <x v="0"/>
    <s v="NA - 02"/>
    <x v="21"/>
    <x v="21"/>
    <x v="3"/>
    <s v="Rejets à l'air"/>
    <s v="Stack / Point"/>
    <s v="Rejets de cheminée ou ponctuels"/>
    <n v="5.1310000000000002"/>
    <x v="1"/>
    <s v="E2 - Published Emission Factors"/>
    <x v="1"/>
  </r>
  <r>
    <x v="1"/>
    <n v="1039"/>
    <x v="451"/>
    <x v="484"/>
    <n v="221112"/>
    <s v="Fossil-fuel electric power generation"/>
    <s v="Production d'électricité à partir de combustibles fossiles"/>
    <x v="4"/>
    <s v="NA - 10"/>
    <x v="9"/>
    <x v="9"/>
    <x v="3"/>
    <s v="Rejets à l'air"/>
    <s v="Stack / Point"/>
    <s v="Rejets de cheminée ou ponctuels"/>
    <n v="3.6"/>
    <x v="1"/>
    <s v="C - Mass Balance"/>
    <x v="1"/>
  </r>
  <r>
    <x v="6"/>
    <n v="5186"/>
    <x v="452"/>
    <x v="485"/>
    <n v="321111"/>
    <s v="Sawmills (except Shingle and Shake Mills)"/>
    <s v="Scieries (sauf les usines de bardeaux et de bardeaux de fente)"/>
    <x v="2"/>
    <s v="630-08-0"/>
    <x v="87"/>
    <x v="87"/>
    <x v="3"/>
    <s v="Rejets à l'air"/>
    <s v="Stack / Point"/>
    <s v="Rejets de cheminée ou ponctuels"/>
    <n v="55"/>
    <x v="0"/>
    <s v="O - Engineering Estimates"/>
    <x v="1"/>
  </r>
  <r>
    <x v="2"/>
    <n v="3040"/>
    <x v="453"/>
    <x v="486"/>
    <n v="325189"/>
    <s v="All other basic inorganic chemical manufacturing"/>
    <s v="Fabrication de tous les autres produits chimiques inorganiques de base"/>
    <x v="0"/>
    <s v="7664-93-9"/>
    <x v="30"/>
    <x v="30"/>
    <x v="2"/>
    <s v="Total des rejets dans tous les milieux (&lt;1tonne)"/>
    <s v="All Media"/>
    <s v="Rejets à tous les médias"/>
    <n v="1.6E-2"/>
    <x v="0"/>
    <s v="M3 - Source Testing"/>
    <x v="1"/>
  </r>
  <r>
    <x v="21"/>
    <n v="2478"/>
    <x v="60"/>
    <x v="487"/>
    <n v="321114"/>
    <s v="Wood preservation"/>
    <s v="Préservation du bois"/>
    <x v="3"/>
    <s v="NA - 06"/>
    <x v="15"/>
    <x v="15"/>
    <x v="2"/>
    <s v="Total des rejets dans tous les milieux (&lt;1tonne)"/>
    <s v="All Media"/>
    <s v="Rejets à tous les médias"/>
    <n v="9.9999999999999995E-7"/>
    <x v="0"/>
    <s v="E2 - Published Emission Factors"/>
    <x v="1"/>
  </r>
  <r>
    <x v="12"/>
    <n v="5463"/>
    <x v="107"/>
    <x v="488"/>
    <n v="336410"/>
    <s v="Aerospace product and parts manufacturing"/>
    <s v="Fabrication de produits aérospatiaux et de leurs pièces"/>
    <x v="3"/>
    <s v="108-10-1"/>
    <x v="63"/>
    <x v="63"/>
    <x v="3"/>
    <s v="Rejets à l'air"/>
    <s v="Stack / Point"/>
    <s v="Rejets de cheminée ou ponctuels"/>
    <n v="0.63900000000000001"/>
    <x v="0"/>
    <s v="C - Mass Balance"/>
    <x v="1"/>
  </r>
  <r>
    <x v="22"/>
    <n v="1071"/>
    <x v="402"/>
    <x v="0"/>
    <n v="331313"/>
    <s v="Primary Production of Alumina and Aluminum"/>
    <s v="Production primaire d'alumine et d'aluminium"/>
    <x v="3"/>
    <s v="NA - P/H"/>
    <x v="95"/>
    <x v="95"/>
    <x v="3"/>
    <s v="Rejets à l'air"/>
    <s v="Stack / Point"/>
    <s v="Rejets de cheminée ou ponctuels"/>
    <n v="1716"/>
    <x v="1"/>
    <s v="M - Monitoring or Direct Measurement"/>
    <x v="1"/>
  </r>
  <r>
    <x v="27"/>
    <n v="6570"/>
    <x v="454"/>
    <x v="489"/>
    <n v="412110"/>
    <s v="Petroleum Product Wholesaler-Distributors"/>
    <s v="Grossistes-distributeurs de produits pétroliers"/>
    <x v="4"/>
    <s v="NA - 10"/>
    <x v="9"/>
    <x v="9"/>
    <x v="5"/>
    <s v="Rejets dans le sol"/>
    <s v="Other"/>
    <s v="Autres"/>
    <n v="0"/>
    <x v="1"/>
    <s v="O - Engineering Estimates"/>
    <x v="1"/>
  </r>
  <r>
    <x v="0"/>
    <n v="3937"/>
    <x v="455"/>
    <x v="490"/>
    <n v="211113"/>
    <s v="Conventional Oil and Gas Extraction"/>
    <s v="Extraction de pétrole et de gaz par des méthodes classiques"/>
    <x v="4"/>
    <s v="108-88-3"/>
    <x v="5"/>
    <x v="5"/>
    <x v="3"/>
    <s v="Rejets à l'air"/>
    <s v="Stack / Point"/>
    <s v="Rejets de cheminée ou ponctuels"/>
    <n v="6.35"/>
    <x v="0"/>
    <s v="E - Emission Factor"/>
    <x v="1"/>
  </r>
  <r>
    <x v="17"/>
    <n v="5150"/>
    <x v="456"/>
    <x v="491"/>
    <n v="322121"/>
    <s v="Paper (except newsprint) mills"/>
    <s v="Usines de papier (sauf le papier journal)"/>
    <x v="2"/>
    <s v="NA - M16"/>
    <x v="96"/>
    <x v="96"/>
    <x v="3"/>
    <s v="Rejets à l'air"/>
    <s v="Storage / Handling"/>
    <s v="Rejets de stockage ou manutention"/>
    <n v="2.698"/>
    <x v="0"/>
    <s v="C - Mass Balance"/>
    <x v="1"/>
  </r>
  <r>
    <x v="27"/>
    <n v="21772"/>
    <x v="186"/>
    <x v="492"/>
    <n v="213118"/>
    <s v="Services to Oil and Gas Extraction"/>
    <s v="Services relatifs à l'extraction de pétrole et de gaz"/>
    <x v="4"/>
    <s v="NA - M10"/>
    <x v="86"/>
    <x v="86"/>
    <x v="3"/>
    <s v="Rejets à l'air"/>
    <s v="Stack / Point"/>
    <s v="Rejets de cheminée ou ponctuels"/>
    <n v="1.6160000000000001"/>
    <x v="0"/>
    <s v="E2 - Published Emission Factors"/>
    <x v="1"/>
  </r>
  <r>
    <x v="0"/>
    <n v="4"/>
    <x v="457"/>
    <x v="493"/>
    <n v="322122"/>
    <s v="Newsprint Mills"/>
    <s v="Usines de papier journal"/>
    <x v="1"/>
    <s v="67-56-1"/>
    <x v="3"/>
    <x v="3"/>
    <x v="4"/>
    <s v="Rejets dans l'eau"/>
    <s v="Direct Discharges"/>
    <s v="Évacuation directes"/>
    <n v="8.8999999999999996E-2"/>
    <x v="0"/>
    <s v="E - Emission Factor"/>
    <x v="1"/>
  </r>
  <r>
    <x v="21"/>
    <n v="4150"/>
    <x v="458"/>
    <x v="494"/>
    <n v="211110"/>
    <s v="Oil and gas extraction (except oil sands)"/>
    <s v="Extraction de pétrole et de gaz (à l'exception des sables bitumineux)"/>
    <x v="4"/>
    <s v="11104-93-1"/>
    <x v="92"/>
    <x v="92"/>
    <x v="3"/>
    <s v="Rejets à l'air"/>
    <s v="Stack / Point"/>
    <s v="Rejets de cheminée ou ponctuels"/>
    <n v="854.17700000000002"/>
    <x v="0"/>
    <s v="E2 - Published Emission Factors"/>
    <x v="1"/>
  </r>
  <r>
    <x v="7"/>
    <n v="4803"/>
    <x v="436"/>
    <x v="495"/>
    <n v="322122"/>
    <s v="Newsprint mills"/>
    <s v="Usines de papier journal"/>
    <x v="3"/>
    <s v="NA - 22"/>
    <x v="8"/>
    <x v="8"/>
    <x v="4"/>
    <s v="Rejets dans l'eau"/>
    <s v="Direct Discharges"/>
    <s v="Évacuation directes"/>
    <n v="9.39"/>
    <x v="0"/>
    <s v="M3 - Source Testing"/>
    <x v="1"/>
  </r>
  <r>
    <x v="14"/>
    <n v="6145"/>
    <x v="459"/>
    <x v="496"/>
    <n v="221112"/>
    <s v="Fossil-fuel electric power generation"/>
    <s v="Production d'électricité à partir de combustibles fossiles"/>
    <x v="3"/>
    <s v="630-08-0"/>
    <x v="87"/>
    <x v="87"/>
    <x v="3"/>
    <s v="Rejets à l'air"/>
    <s v="Stack / Point"/>
    <s v="Rejets de cheminée ou ponctuels"/>
    <n v="45.151000000000003"/>
    <x v="0"/>
    <s v="E2 - Published Emission Factors"/>
    <x v="1"/>
  </r>
  <r>
    <x v="7"/>
    <n v="5281"/>
    <x v="460"/>
    <x v="497"/>
    <n v="321212"/>
    <s v="Softwood veneer and plywood mills"/>
    <s v="Usines de placages et de contreplaqués de résineux"/>
    <x v="4"/>
    <s v="NA - M16"/>
    <x v="88"/>
    <x v="88"/>
    <x v="3"/>
    <s v="Rejets à l'air"/>
    <s v="Stack / Point"/>
    <s v="Rejets de cheminée ou ponctuels"/>
    <n v="21.381"/>
    <x v="0"/>
    <s v="M3 - Source Testing"/>
    <x v="1"/>
  </r>
  <r>
    <x v="1"/>
    <n v="3466"/>
    <x v="461"/>
    <x v="498"/>
    <n v="326210"/>
    <s v="Tire manufacturing"/>
    <s v="Fabrication de pneus"/>
    <x v="7"/>
    <s v="NA - M08"/>
    <x v="89"/>
    <x v="89"/>
    <x v="3"/>
    <s v="Rejets à l'air"/>
    <s v="Stack / Point"/>
    <s v="Rejets de cheminée ou ponctuels"/>
    <n v="19.07"/>
    <x v="0"/>
    <s v="E2 - Published Emission Factors"/>
    <x v="1"/>
  </r>
  <r>
    <x v="26"/>
    <n v="3269"/>
    <x v="462"/>
    <x v="499"/>
    <n v="325313"/>
    <s v="Chemical Fertilizer (except Potash) Manufacturing"/>
    <s v="Fabrication d'engrais chimiques (sauf la potasse)"/>
    <x v="4"/>
    <s v="50-00-0"/>
    <x v="17"/>
    <x v="17"/>
    <x v="3"/>
    <s v="Rejets à l'air"/>
    <s v="Fugitive"/>
    <s v="Émissions fugitives"/>
    <n v="0.01"/>
    <x v="0"/>
    <s v="O - Engineering Estimates"/>
    <x v="1"/>
  </r>
  <r>
    <x v="21"/>
    <n v="6884"/>
    <x v="463"/>
    <x v="500"/>
    <n v="212396"/>
    <s v="Potash mining"/>
    <s v="Extraction de potasse"/>
    <x v="5"/>
    <s v="NA - M09"/>
    <x v="83"/>
    <x v="83"/>
    <x v="3"/>
    <s v="Rejets à l'air"/>
    <s v="Road dust"/>
    <s v="Poussières de routes"/>
    <n v="4.67"/>
    <x v="0"/>
    <s v="O - Engineering Estimates"/>
    <x v="1"/>
  </r>
  <r>
    <x v="5"/>
    <n v="5518"/>
    <x v="16"/>
    <x v="501"/>
    <n v="321217"/>
    <s v="Waferboard Mills"/>
    <s v="Usines de panneaux de copeaux"/>
    <x v="3"/>
    <s v="11104-93-1"/>
    <x v="92"/>
    <x v="92"/>
    <x v="3"/>
    <s v="Rejets à l'air"/>
    <s v="Stack / Point"/>
    <s v="Rejets de cheminée ou ponctuels"/>
    <n v="52.207999999999998"/>
    <x v="0"/>
    <s v="E2 - Published Emission Factors"/>
    <x v="1"/>
  </r>
  <r>
    <x v="12"/>
    <n v="10224"/>
    <x v="12"/>
    <x v="502"/>
    <n v="412110"/>
    <s v="Petroleum and petroleum products merchant wholesalers"/>
    <s v="Grossistes-marchands de pétrole et de produits pétroliers"/>
    <x v="0"/>
    <s v="NA - 10"/>
    <x v="9"/>
    <x v="9"/>
    <x v="3"/>
    <s v="Rejets à l'air"/>
    <s v="Fugitive"/>
    <s v="Émissions fugitives"/>
    <n v="0"/>
    <x v="1"/>
    <s v="E2 - Published Emission Factors"/>
    <x v="1"/>
  </r>
  <r>
    <x v="17"/>
    <n v="7720"/>
    <x v="464"/>
    <x v="503"/>
    <n v="211110"/>
    <s v="Oil and gas extraction (except oil sands)"/>
    <s v="Extraction de pétrole et de gaz (à l'exception des sables bitumineux)"/>
    <x v="2"/>
    <s v="NA - M16"/>
    <x v="96"/>
    <x v="96"/>
    <x v="3"/>
    <s v="Rejets à l'air"/>
    <s v="Stack / Point"/>
    <s v="Rejets de cheminée ou ponctuels"/>
    <n v="1.3207"/>
    <x v="0"/>
    <s v="E2 - Published Emission Factors"/>
    <x v="1"/>
  </r>
  <r>
    <x v="21"/>
    <n v="1383"/>
    <x v="465"/>
    <x v="504"/>
    <n v="322112"/>
    <s v="Chemical pulp mills"/>
    <s v="Usines de pâte chimique"/>
    <x v="2"/>
    <s v="NA - M14"/>
    <x v="97"/>
    <x v="97"/>
    <x v="3"/>
    <s v="Rejets à l'air"/>
    <s v="Stack / Point"/>
    <s v="Rejets de cheminée ou ponctuels"/>
    <n v="34.347999999999999"/>
    <x v="0"/>
    <s v="M3 - Source Testing"/>
    <x v="1"/>
  </r>
  <r>
    <x v="16"/>
    <n v="1702"/>
    <x v="466"/>
    <x v="505"/>
    <n v="221112"/>
    <s v="Fossil-Fuel Electric Power Generation"/>
    <s v="Production d'électricité à partir de combustibles fossiles"/>
    <x v="8"/>
    <s v="NA - M10"/>
    <x v="86"/>
    <x v="86"/>
    <x v="3"/>
    <s v="Rejets à l'air"/>
    <s v="Road dust"/>
    <s v="Poussières de routes"/>
    <n v="0"/>
    <x v="0"/>
    <s v="O - Engineering Estimates"/>
    <x v="1"/>
  </r>
  <r>
    <x v="17"/>
    <n v="33604"/>
    <x v="250"/>
    <x v="506"/>
    <n v="211110"/>
    <s v="Oil and gas extraction (except oil sands)"/>
    <s v="Extraction de pétrole et de gaz (à l'exception des sables bitumineux)"/>
    <x v="5"/>
    <s v="630-08-0"/>
    <x v="87"/>
    <x v="87"/>
    <x v="3"/>
    <s v="Rejets à l'air"/>
    <s v="Stack / Point"/>
    <s v="Rejets de cheminée ou ponctuels"/>
    <n v="7.8575299999999997"/>
    <x v="0"/>
    <s v="E2 - Published Emission Factors"/>
    <x v="1"/>
  </r>
  <r>
    <x v="25"/>
    <n v="374"/>
    <x v="278"/>
    <x v="0"/>
    <n v="325520"/>
    <s v="Adhesive Manufacturing"/>
    <s v="Fabrication d'adhésifs"/>
    <x v="0"/>
    <s v="108-05-4"/>
    <x v="74"/>
    <x v="74"/>
    <x v="3"/>
    <s v="Rejets à l'air"/>
    <s v="Stack / Point"/>
    <s v="Rejets de cheminée ou ponctuels"/>
    <n v="0.38"/>
    <x v="0"/>
    <s v="C - Mass Balance"/>
    <x v="1"/>
  </r>
  <r>
    <x v="6"/>
    <n v="6045"/>
    <x v="467"/>
    <x v="507"/>
    <n v="322130"/>
    <s v="Paperboard Mills"/>
    <s v="Usines de carton"/>
    <x v="7"/>
    <s v="7446-09-5"/>
    <x v="85"/>
    <x v="85"/>
    <x v="3"/>
    <s v="Rejets à l'air"/>
    <s v="Stack / Point"/>
    <s v="Rejets de cheminée ou ponctuels"/>
    <n v="368.49"/>
    <x v="0"/>
    <s v="E2 - Published Emission Factors"/>
    <x v="1"/>
  </r>
  <r>
    <x v="2"/>
    <n v="3701"/>
    <x v="12"/>
    <x v="142"/>
    <n v="324110"/>
    <s v="Petroleum refineries"/>
    <s v="Raffineries de pétrole"/>
    <x v="0"/>
    <s v="7783-06-4"/>
    <x v="93"/>
    <x v="93"/>
    <x v="3"/>
    <s v="Rejets à l'air"/>
    <s v="Stack / Point"/>
    <s v="Rejets de cheminée ou ponctuels"/>
    <n v="0.8"/>
    <x v="0"/>
    <s v="E2 - Published Emission Factors"/>
    <x v="1"/>
  </r>
  <r>
    <x v="0"/>
    <n v="1464"/>
    <x v="12"/>
    <x v="75"/>
    <n v="324110"/>
    <s v="Petroleum Refineries"/>
    <s v="Raffineries de pétrole"/>
    <x v="0"/>
    <s v="1330-20-7"/>
    <x v="34"/>
    <x v="34"/>
    <x v="3"/>
    <s v="Rejets à l'air"/>
    <s v="Spills"/>
    <s v="Déversements"/>
    <n v="0"/>
    <x v="0"/>
    <s v="O - Engineering Estimates"/>
    <x v="1"/>
  </r>
  <r>
    <x v="19"/>
    <n v="695"/>
    <x v="468"/>
    <x v="508"/>
    <n v="211113"/>
    <s v="Conventional Oil and Gas Extraction"/>
    <s v="Extraction de pétrole et de gaz par des méthodes classiques"/>
    <x v="4"/>
    <s v="110-82-7"/>
    <x v="71"/>
    <x v="71"/>
    <x v="5"/>
    <s v="Rejets dans le sol"/>
    <s v="Spills"/>
    <s v="Déversements"/>
    <n v="9.0999999999999998E-2"/>
    <x v="0"/>
    <s v="O - Engineering Estimates"/>
    <x v="1"/>
  </r>
  <r>
    <x v="29"/>
    <n v="33645"/>
    <x v="469"/>
    <x v="509"/>
    <n v="211110"/>
    <s v="Oil and gas extraction (except oil sands)"/>
    <s v="Extraction de pétrole et de gaz (à l'exception des sables bitumineux)"/>
    <x v="4"/>
    <s v="630-08-0"/>
    <x v="87"/>
    <x v="87"/>
    <x v="3"/>
    <s v="Rejets à l'air"/>
    <s v="Stack / Point"/>
    <s v="Rejets de cheminée ou ponctuels"/>
    <n v="18.20205"/>
    <x v="0"/>
    <s v="E2 - Published Emission Factors"/>
    <x v="1"/>
  </r>
  <r>
    <x v="5"/>
    <n v="32488"/>
    <x v="470"/>
    <x v="510"/>
    <n v="211113"/>
    <s v="Conventional Oil and Gas Extraction"/>
    <s v="Extraction de pétrole et de gaz par des méthodes classiques"/>
    <x v="5"/>
    <s v="NA - M10"/>
    <x v="86"/>
    <x v="86"/>
    <x v="3"/>
    <s v="Rejets à l'air"/>
    <s v="Stack / Point"/>
    <s v="Rejets de cheminée ou ponctuels"/>
    <n v="0.40500000000000003"/>
    <x v="0"/>
    <s v="E2 - Published Emission Factors"/>
    <x v="1"/>
  </r>
  <r>
    <x v="17"/>
    <n v="177"/>
    <x v="471"/>
    <x v="511"/>
    <n v="322220"/>
    <s v="Paper bag and coated and treated paper manufacturing"/>
    <s v="Fabrication de sacs en papier et de papier couché et traité"/>
    <x v="0"/>
    <s v="50-00-0"/>
    <x v="17"/>
    <x v="17"/>
    <x v="3"/>
    <s v="Rejets à l'air"/>
    <s v="Fugitive"/>
    <s v="Émissions fugitives"/>
    <n v="0.16900000000000001"/>
    <x v="0"/>
    <s v="E1 - Site Specific Emission Factors"/>
    <x v="1"/>
  </r>
  <r>
    <x v="19"/>
    <n v="6334"/>
    <x v="472"/>
    <x v="512"/>
    <n v="321111"/>
    <s v="Sawmills (except Shingle and Shake Mills)"/>
    <s v="Scieries (sauf les usines de bardeaux et de bardeaux de fente)"/>
    <x v="3"/>
    <s v="11104-93-1"/>
    <x v="92"/>
    <x v="92"/>
    <x v="3"/>
    <s v="Rejets à l'air"/>
    <s v="Fugitive"/>
    <s v="Émissions fugitives"/>
    <n v="0"/>
    <x v="0"/>
    <s v="E2 - Published Emission Factors"/>
    <x v="1"/>
  </r>
  <r>
    <x v="11"/>
    <n v="3996"/>
    <x v="247"/>
    <x v="258"/>
    <n v="221112"/>
    <s v="Fossil-fuel electric power generation"/>
    <s v="Production d'électricité à partir de combustibles fossiles"/>
    <x v="7"/>
    <s v="11104-93-1"/>
    <x v="92"/>
    <x v="92"/>
    <x v="3"/>
    <s v="Rejets à l'air"/>
    <s v="Stack / Point"/>
    <s v="Rejets de cheminée ou ponctuels"/>
    <n v="4427"/>
    <x v="0"/>
    <s v="M1 - Continuous Emission Monitoring"/>
    <x v="1"/>
  </r>
  <r>
    <x v="27"/>
    <n v="853"/>
    <x v="473"/>
    <x v="513"/>
    <n v="325189"/>
    <s v="All Other Basic Inorganic Chemical Manufacturing"/>
    <s v="Fabrication de tous les autres produits chimiques inorganiques de base"/>
    <x v="4"/>
    <s v="11104-93-1"/>
    <x v="92"/>
    <x v="92"/>
    <x v="3"/>
    <s v="Rejets à l'air"/>
    <s v="Stack / Point"/>
    <s v="Rejets de cheminée ou ponctuels"/>
    <n v="6.3E-2"/>
    <x v="0"/>
    <s v="E2 - Published Emission Factors"/>
    <x v="1"/>
  </r>
  <r>
    <x v="12"/>
    <n v="23770"/>
    <x v="474"/>
    <x v="514"/>
    <n v="493110"/>
    <s v="General warehousing and storage"/>
    <s v="Entreposage et emmagasinage général"/>
    <x v="4"/>
    <s v="NA - M09"/>
    <x v="83"/>
    <x v="83"/>
    <x v="3"/>
    <s v="Rejets à l'air"/>
    <s v="Stack / Point"/>
    <s v="Rejets de cheminée ou ponctuels"/>
    <n v="3.1917900000000001"/>
    <x v="0"/>
    <s v="E2 - Published Emission Factors"/>
    <x v="1"/>
  </r>
  <r>
    <x v="14"/>
    <n v="2406"/>
    <x v="368"/>
    <x v="515"/>
    <n v="212396"/>
    <s v="Potash mining"/>
    <s v="Extraction de potasse"/>
    <x v="5"/>
    <s v="NA - M08"/>
    <x v="89"/>
    <x v="89"/>
    <x v="3"/>
    <s v="Rejets à l'air"/>
    <s v="Stack / Point"/>
    <s v="Rejets de cheminée ou ponctuels"/>
    <n v="405.67500000000001"/>
    <x v="0"/>
    <s v="M3 - Source Testing"/>
    <x v="1"/>
  </r>
  <r>
    <x v="21"/>
    <n v="1071"/>
    <x v="402"/>
    <x v="428"/>
    <n v="331313"/>
    <s v="Primary production of alumina and aluminum"/>
    <s v="Production primaire d'alumine et d'aluminium"/>
    <x v="3"/>
    <s v="463-58-1"/>
    <x v="84"/>
    <x v="84"/>
    <x v="3"/>
    <s v="Rejets à l'air"/>
    <s v="Stack / Point"/>
    <s v="Rejets de cheminée ou ponctuels"/>
    <n v="62.13"/>
    <x v="0"/>
    <s v="E2 - Published Emission Factors"/>
    <x v="1"/>
  </r>
  <r>
    <x v="2"/>
    <n v="3810"/>
    <x v="438"/>
    <x v="469"/>
    <n v="212220"/>
    <s v="Gold and silver ore mining"/>
    <s v="Extraction de minerais d'or et d'argent"/>
    <x v="0"/>
    <s v="NA - 05"/>
    <x v="16"/>
    <x v="16"/>
    <x v="3"/>
    <s v="Rejets à l'air"/>
    <s v="Fugitive"/>
    <s v="Émissions fugitives"/>
    <n v="1.3263"/>
    <x v="1"/>
    <s v="E2 - Published Emission Factors"/>
    <x v="1"/>
  </r>
  <r>
    <x v="12"/>
    <n v="658"/>
    <x v="475"/>
    <x v="516"/>
    <n v="311940"/>
    <s v="Seasoning and dressing manufacturing"/>
    <s v="Fabrication d'assaisonnements et de vinaigrettes"/>
    <x v="5"/>
    <s v="7446-09-5"/>
    <x v="85"/>
    <x v="85"/>
    <x v="3"/>
    <s v="Rejets à l'air"/>
    <s v="Stack / Point"/>
    <s v="Rejets de cheminée ou ponctuels"/>
    <n v="1.2999999999999999E-2"/>
    <x v="0"/>
    <s v="O - Engineering Estimates"/>
    <x v="1"/>
  </r>
  <r>
    <x v="19"/>
    <n v="3424"/>
    <x v="476"/>
    <x v="0"/>
    <n v="332810"/>
    <s v="Coating, Engraving, Heat Treating and Allied Activities"/>
    <s v="Revêtement, gravure, traitement thermique et activités analogues"/>
    <x v="4"/>
    <s v="7647-01-0"/>
    <x v="7"/>
    <x v="7"/>
    <x v="3"/>
    <s v="Rejets à l'air"/>
    <s v="Stack / Point"/>
    <s v="Rejets de cheminée ou ponctuels"/>
    <n v="0.34200000000000003"/>
    <x v="0"/>
    <s v="M3 - Source Testing"/>
    <x v="1"/>
  </r>
  <r>
    <x v="26"/>
    <n v="10639"/>
    <x v="477"/>
    <x v="517"/>
    <n v="323119"/>
    <s v="Other Printing"/>
    <s v="Autres activités d'impression"/>
    <x v="0"/>
    <s v="NA - M16"/>
    <x v="88"/>
    <x v="88"/>
    <x v="3"/>
    <s v="Rejets à l'air"/>
    <s v="Fugitive"/>
    <s v="Émissions fugitives"/>
    <n v="3.79"/>
    <x v="0"/>
    <s v="E2 - Published Emission Factors"/>
    <x v="1"/>
  </r>
  <r>
    <x v="21"/>
    <n v="22141"/>
    <x v="478"/>
    <x v="518"/>
    <n v="211141"/>
    <s v="In-situ oil sands extraction"/>
    <s v="Extraction in situ de sables bitumineux"/>
    <x v="4"/>
    <s v="1330-20-7"/>
    <x v="24"/>
    <x v="24"/>
    <x v="3"/>
    <s v="Rejets à l'air"/>
    <s v="Storage / Handling"/>
    <s v="Rejets de stockage ou manutention"/>
    <n v="1.9300000000000001E-2"/>
    <x v="0"/>
    <s v="O - Engineering Estimates"/>
    <x v="1"/>
  </r>
  <r>
    <x v="17"/>
    <n v="11454"/>
    <x v="479"/>
    <x v="519"/>
    <n v="212220"/>
    <s v="Gold and silver ore mining"/>
    <s v="Extraction de minerais d'or et d'argent"/>
    <x v="0"/>
    <s v="NA - 11"/>
    <x v="4"/>
    <x v="4"/>
    <x v="3"/>
    <s v="Rejets à l'air"/>
    <s v="Fugitive"/>
    <s v="Émissions fugitives"/>
    <n v="2.0000000000000001E-4"/>
    <x v="0"/>
    <s v="E2 - Published Emission Factors"/>
    <x v="1"/>
  </r>
  <r>
    <x v="17"/>
    <n v="27984"/>
    <x v="480"/>
    <x v="520"/>
    <n v="211110"/>
    <s v="Oil and gas extraction (except oil sands)"/>
    <s v="Extraction de pétrole et de gaz (à l'exception des sables bitumineux)"/>
    <x v="2"/>
    <s v="NA - M10"/>
    <x v="86"/>
    <x v="86"/>
    <x v="3"/>
    <s v="Rejets à l'air"/>
    <s v="Stack / Point"/>
    <s v="Rejets de cheminée ou ponctuels"/>
    <n v="2.74"/>
    <x v="0"/>
    <s v="E2 - Published Emission Factors"/>
    <x v="1"/>
  </r>
  <r>
    <x v="20"/>
    <n v="3698"/>
    <x v="12"/>
    <x v="274"/>
    <n v="324110"/>
    <s v="Petroleum Refineries"/>
    <s v="Raffineries de pétrole"/>
    <x v="7"/>
    <s v="1330-20-7"/>
    <x v="24"/>
    <x v="24"/>
    <x v="3"/>
    <s v="Rejets à l'air"/>
    <s v="Storage / Handling"/>
    <s v="Rejets de stockage ou manutention"/>
    <n v="2.3860000000000001"/>
    <x v="0"/>
    <s v="E2 - Published Emission Factors"/>
    <x v="1"/>
  </r>
  <r>
    <x v="21"/>
    <n v="1303"/>
    <x v="481"/>
    <x v="521"/>
    <n v="212233"/>
    <s v="Copper-zinc ore mining"/>
    <s v="Extraction de minerais de cuivre-zinc"/>
    <x v="2"/>
    <s v="NA - M09"/>
    <x v="83"/>
    <x v="83"/>
    <x v="3"/>
    <s v="Rejets à l'air"/>
    <s v="Road dust"/>
    <s v="Poussières de routes"/>
    <n v="1859.2038"/>
    <x v="0"/>
    <s v="O - Engineering Estimates"/>
    <x v="1"/>
  </r>
  <r>
    <x v="8"/>
    <n v="19903"/>
    <x v="482"/>
    <x v="522"/>
    <n v="211113"/>
    <s v="Conventional Oil and Gas Extraction"/>
    <s v="Extraction de pétrole et de gaz par des méthodes classiques"/>
    <x v="4"/>
    <s v="NA - M10"/>
    <x v="86"/>
    <x v="86"/>
    <x v="3"/>
    <s v="Rejets à l'air"/>
    <s v="Stack / Point"/>
    <s v="Rejets de cheminée ou ponctuels"/>
    <n v="0.56299999999999994"/>
    <x v="0"/>
    <s v="E2 - Published Emission Factors"/>
    <x v="1"/>
  </r>
  <r>
    <x v="14"/>
    <n v="23752"/>
    <x v="83"/>
    <x v="85"/>
    <n v="211110"/>
    <s v="Oil and gas extraction (except oil sands)"/>
    <s v="Extraction de pétrole et de gaz (à l'exception des sables bitumineux)"/>
    <x v="2"/>
    <s v="110-82-7"/>
    <x v="71"/>
    <x v="71"/>
    <x v="3"/>
    <s v="Rejets à l'air"/>
    <s v="Fugitive"/>
    <s v="Émissions fugitives"/>
    <n v="0"/>
    <x v="0"/>
    <s v="E1 - Site Specific Emission Factors"/>
    <x v="1"/>
  </r>
  <r>
    <x v="2"/>
    <n v="28323"/>
    <x v="250"/>
    <x v="523"/>
    <n v="211113"/>
    <s v="Conventional oil and gas extraction"/>
    <s v="Extraction de pétrole et de gaz par des méthodes classiques"/>
    <x v="4"/>
    <s v="630-08-0"/>
    <x v="87"/>
    <x v="87"/>
    <x v="3"/>
    <s v="Rejets à l'air"/>
    <s v="Stack / Point"/>
    <s v="Rejets de cheminée ou ponctuels"/>
    <n v="33.603999999999999"/>
    <x v="0"/>
    <s v="E2 - Published Emission Factors"/>
    <x v="1"/>
  </r>
  <r>
    <x v="28"/>
    <n v="1681"/>
    <x v="483"/>
    <x v="524"/>
    <n v="325210"/>
    <s v="Resin and Synthetic Rubber Manufacturing"/>
    <s v="Fabrication de résines et de caoutchouc synthétique"/>
    <x v="3"/>
    <s v="67-56-1"/>
    <x v="3"/>
    <x v="3"/>
    <x v="3"/>
    <s v="Rejets à l'air"/>
    <s v="Stack / Point"/>
    <s v="Rejets de cheminée ou ponctuels"/>
    <n v="0.53900000000000003"/>
    <x v="0"/>
    <s v="M - Monitoring or Direct Measurement"/>
    <x v="1"/>
  </r>
  <r>
    <x v="13"/>
    <n v="16720"/>
    <x v="484"/>
    <x v="525"/>
    <n v="211113"/>
    <s v="Conventional Oil and Gas Extraction"/>
    <s v="Extraction de pétrole et de gaz par des méthodes classiques"/>
    <x v="4"/>
    <s v="630-08-0"/>
    <x v="87"/>
    <x v="87"/>
    <x v="3"/>
    <s v="Rejets à l'air"/>
    <s v="Stack / Point"/>
    <s v="Rejets de cheminée ou ponctuels"/>
    <n v="270.39"/>
    <x v="0"/>
    <s v="E2 - Published Emission Factors"/>
    <x v="1"/>
  </r>
  <r>
    <x v="28"/>
    <n v="4761"/>
    <x v="485"/>
    <x v="0"/>
    <n v="331514"/>
    <s v="Steel Foundries"/>
    <s v="Fonderies d'acier"/>
    <x v="0"/>
    <s v="NA - 04"/>
    <x v="19"/>
    <x v="19"/>
    <x v="3"/>
    <s v="Rejets à l'air"/>
    <s v="Stack / Point"/>
    <s v="Rejets de cheminée ou ponctuels"/>
    <n v="0.52100000000000002"/>
    <x v="0"/>
    <s v="C - Mass Balance"/>
    <x v="1"/>
  </r>
  <r>
    <x v="18"/>
    <n v="15015"/>
    <x v="486"/>
    <x v="526"/>
    <n v="324121"/>
    <s v="Asphalt paving mixture and block manufacturing"/>
    <s v="Fabrication de mélanges d'asphaltage et de pavés d'asphalte"/>
    <x v="2"/>
    <s v="630-08-0"/>
    <x v="87"/>
    <x v="87"/>
    <x v="3"/>
    <s v="Rejets à l'air"/>
    <s v="Stack / Point"/>
    <s v="Rejets de cheminée ou ponctuels"/>
    <n v="33.120199999999997"/>
    <x v="0"/>
    <s v="E2 - Published Emission Factors"/>
    <x v="1"/>
  </r>
  <r>
    <x v="1"/>
    <n v="5656"/>
    <x v="450"/>
    <x v="527"/>
    <n v="212220"/>
    <s v="Gold and silver ore mining"/>
    <s v="Extraction de minerais d'or et d'argent"/>
    <x v="0"/>
    <s v="NA - 01"/>
    <x v="60"/>
    <x v="60"/>
    <x v="2"/>
    <s v="Total des rejets dans tous les milieux (&lt;1tonne)"/>
    <s v="All Media"/>
    <s v="Rejets à tous les médias"/>
    <n v="8.6999999999999994E-3"/>
    <x v="0"/>
    <s v="M3 - Source Testing"/>
    <x v="1"/>
  </r>
  <r>
    <x v="5"/>
    <n v="5739"/>
    <x v="487"/>
    <x v="528"/>
    <n v="325190"/>
    <s v="Other Basic Organic Chemical Manufacturing"/>
    <s v="Fabrication d'autres produits chimiques organiques de base"/>
    <x v="0"/>
    <s v="75-07-0"/>
    <x v="98"/>
    <x v="98"/>
    <x v="3"/>
    <s v="Rejets à l'air"/>
    <s v="Other Non-Point"/>
    <s v="Autres rejets non ponctuels"/>
    <n v="15.547000000000001"/>
    <x v="0"/>
    <s v="M3 - Source Testing"/>
    <x v="1"/>
  </r>
  <r>
    <x v="6"/>
    <n v="3416"/>
    <x v="62"/>
    <x v="122"/>
    <n v="331511"/>
    <s v="Iron Foundries"/>
    <s v="Fonderies de fer"/>
    <x v="0"/>
    <s v="NA - 14"/>
    <x v="13"/>
    <x v="13"/>
    <x v="4"/>
    <s v="Rejets dans l'eau"/>
    <s v="Direct Discharges"/>
    <s v="Évacuation directes"/>
    <n v="1"/>
    <x v="0"/>
    <s v="O - Engineering Estimates"/>
    <x v="1"/>
  </r>
  <r>
    <x v="21"/>
    <n v="3707"/>
    <x v="12"/>
    <x v="132"/>
    <n v="324110"/>
    <s v="Petroleum refineries"/>
    <s v="Raffineries de pétrole"/>
    <x v="4"/>
    <s v="71-43-2"/>
    <x v="31"/>
    <x v="31"/>
    <x v="3"/>
    <s v="Rejets à l'air"/>
    <s v="Fugitive"/>
    <s v="Émissions fugitives"/>
    <n v="0.9"/>
    <x v="0"/>
    <s v="E1 - Site Specific Emission Factors"/>
    <x v="1"/>
  </r>
  <r>
    <x v="11"/>
    <n v="17116"/>
    <x v="488"/>
    <x v="529"/>
    <n v="211113"/>
    <s v="Conventional oil and gas extraction"/>
    <s v="Extraction de pétrole et de gaz par des méthodes classiques"/>
    <x v="4"/>
    <s v="NA - M10"/>
    <x v="86"/>
    <x v="86"/>
    <x v="3"/>
    <s v="Rejets à l'air"/>
    <s v="Stack / Point"/>
    <s v="Rejets de cheminée ou ponctuels"/>
    <n v="0.74399999999999999"/>
    <x v="0"/>
    <s v="E2 - Published Emission Factors"/>
    <x v="1"/>
  </r>
  <r>
    <x v="2"/>
    <n v="10228"/>
    <x v="12"/>
    <x v="330"/>
    <n v="412110"/>
    <s v="Petroleum and petroleum products merchant wholesalers"/>
    <s v="Grossistes-marchands de pétrole et de produits pétroliers"/>
    <x v="5"/>
    <s v="50-32-8"/>
    <x v="80"/>
    <x v="80"/>
    <x v="3"/>
    <s v="Rejets à l'air"/>
    <s v="Fugitive"/>
    <s v="Émissions fugitives"/>
    <n v="2.9999999999999997E-4"/>
    <x v="1"/>
    <s v="E2 - Published Emission Factors"/>
    <x v="1"/>
  </r>
  <r>
    <x v="21"/>
    <n v="423"/>
    <x v="489"/>
    <x v="530"/>
    <n v="324190"/>
    <s v="Other petroleum and coal product manufacturing"/>
    <s v="Fabrication d'autres produits du pétrole et du charbon"/>
    <x v="0"/>
    <s v="NA - M10"/>
    <x v="86"/>
    <x v="86"/>
    <x v="3"/>
    <s v="Rejets à l'air"/>
    <s v="Stack / Point"/>
    <s v="Rejets de cheminée ou ponctuels"/>
    <n v="7.6899999999999996E-2"/>
    <x v="0"/>
    <s v="E2 - Published Emission Factors"/>
    <x v="1"/>
  </r>
  <r>
    <x v="8"/>
    <n v="7273"/>
    <x v="490"/>
    <x v="531"/>
    <n v="311814"/>
    <s v="Commercial Bakeries and Frozen Bakery Product Manufacturing"/>
    <s v="Boulangeries commerciales et fabrication de produits de boulangerie congelés"/>
    <x v="0"/>
    <s v="NA - M16"/>
    <x v="88"/>
    <x v="88"/>
    <x v="3"/>
    <s v="Rejets à l'air"/>
    <s v="Stack / Point"/>
    <s v="Rejets de cheminée ou ponctuels"/>
    <n v="41.14"/>
    <x v="0"/>
    <s v="E2 - Published Emission Factors"/>
    <x v="1"/>
  </r>
  <r>
    <x v="12"/>
    <n v="29897"/>
    <x v="491"/>
    <x v="532"/>
    <n v="212220"/>
    <s v="Gold and silver ore mining"/>
    <s v="Extraction de minerais d'or et d'argent"/>
    <x v="0"/>
    <s v="NA - 08"/>
    <x v="1"/>
    <x v="1"/>
    <x v="3"/>
    <s v="Rejets à l'air"/>
    <s v="Stack / Point"/>
    <s v="Rejets de cheminée ou ponctuels"/>
    <n v="1.68"/>
    <x v="1"/>
    <s v="E2 - Published Emission Factors"/>
    <x v="1"/>
  </r>
  <r>
    <x v="11"/>
    <n v="3899"/>
    <x v="492"/>
    <x v="533"/>
    <n v="324190"/>
    <s v="Other petroleum and coal product manufacturing"/>
    <s v="Fabrication d'autres produits du pétrole et du charbon"/>
    <x v="0"/>
    <s v="630-08-0"/>
    <x v="87"/>
    <x v="87"/>
    <x v="3"/>
    <s v="Rejets à l'air"/>
    <s v="Stack / Point"/>
    <s v="Rejets de cheminée ou ponctuels"/>
    <n v="64.905199999999994"/>
    <x v="0"/>
    <s v="E2 - Published Emission Factors"/>
    <x v="1"/>
  </r>
  <r>
    <x v="6"/>
    <n v="15512"/>
    <x v="493"/>
    <x v="534"/>
    <n v="211113"/>
    <s v="Conventional Oil and Gas Extraction"/>
    <s v="Extraction de pétrole et de gaz par des méthodes classiques"/>
    <x v="4"/>
    <s v="NA - M09"/>
    <x v="83"/>
    <x v="83"/>
    <x v="3"/>
    <s v="Rejets à l'air"/>
    <s v="Stack / Point"/>
    <s v="Rejets de cheminée ou ponctuels"/>
    <n v="3.44"/>
    <x v="0"/>
    <s v="E2 - Published Emission Factors"/>
    <x v="1"/>
  </r>
  <r>
    <x v="12"/>
    <n v="23386"/>
    <x v="494"/>
    <x v="535"/>
    <n v="211110"/>
    <s v="Oil and gas extraction (except oil sands)"/>
    <s v="Extraction de pétrole et de gaz (à l'exception des sables bitumineux)"/>
    <x v="4"/>
    <s v="7446-09-5"/>
    <x v="85"/>
    <x v="85"/>
    <x v="3"/>
    <s v="Rejets à l'air"/>
    <s v="Stack / Point"/>
    <s v="Rejets de cheminée ou ponctuels"/>
    <n v="0"/>
    <x v="0"/>
    <s v="O - Engineering Estimates"/>
    <x v="1"/>
  </r>
  <r>
    <x v="20"/>
    <n v="10163"/>
    <x v="495"/>
    <x v="536"/>
    <n v="221320"/>
    <s v="Sewage Treatment Facilities"/>
    <s v="Installations d'épuration des eaux usées"/>
    <x v="0"/>
    <s v="NA - 17"/>
    <x v="36"/>
    <x v="36"/>
    <x v="4"/>
    <s v="Rejets dans l'eau"/>
    <s v="Direct Discharges"/>
    <s v="Évacuation directes"/>
    <n v="123.748"/>
    <x v="0"/>
    <s v="M3 - Source Testing"/>
    <x v="1"/>
  </r>
  <r>
    <x v="1"/>
    <n v="7434"/>
    <x v="496"/>
    <x v="537"/>
    <n v="541990"/>
    <s v="All other professional, scientific and technical services"/>
    <s v="Tous les autres services professionnels, scientifiques et techniques"/>
    <x v="1"/>
    <s v="NA - M09"/>
    <x v="83"/>
    <x v="83"/>
    <x v="3"/>
    <s v="Rejets à l'air"/>
    <s v="Fugitive"/>
    <s v="Émissions fugitives"/>
    <n v="5.9999999999999995E-4"/>
    <x v="0"/>
    <s v="E2 - Published Emission Factors"/>
    <x v="1"/>
  </r>
  <r>
    <x v="16"/>
    <n v="7733"/>
    <x v="349"/>
    <x v="538"/>
    <n v="486210"/>
    <s v="Pipeline Transportation of Natural Gas"/>
    <s v="Transport du gaz naturel par gazoduc"/>
    <x v="2"/>
    <s v="630-08-0"/>
    <x v="87"/>
    <x v="87"/>
    <x v="3"/>
    <s v="Rejets à l'air"/>
    <s v="Stack / Point"/>
    <s v="Rejets de cheminée ou ponctuels"/>
    <n v="34.17"/>
    <x v="0"/>
    <s v="E2 - Published Emission Factors"/>
    <x v="1"/>
  </r>
  <r>
    <x v="11"/>
    <n v="26199"/>
    <x v="494"/>
    <x v="539"/>
    <n v="211113"/>
    <s v="Conventional oil and gas extraction"/>
    <s v="Extraction de pétrole et de gaz par des méthodes classiques"/>
    <x v="4"/>
    <s v="630-08-0"/>
    <x v="87"/>
    <x v="87"/>
    <x v="3"/>
    <s v="Rejets à l'air"/>
    <s v="Other Non-Point"/>
    <s v="Autres rejets non ponctuels"/>
    <n v="23.7151"/>
    <x v="0"/>
    <s v="O - Engineering Estimates"/>
    <x v="1"/>
  </r>
  <r>
    <x v="2"/>
    <n v="20213"/>
    <x v="497"/>
    <x v="540"/>
    <n v="211113"/>
    <s v="Conventional oil and gas extraction"/>
    <s v="Extraction de pétrole et de gaz par des méthodes classiques"/>
    <x v="2"/>
    <s v="NA - M10"/>
    <x v="86"/>
    <x v="86"/>
    <x v="3"/>
    <s v="Rejets à l'air"/>
    <s v="Stack / Point"/>
    <s v="Rejets de cheminée ou ponctuels"/>
    <n v="0.435"/>
    <x v="0"/>
    <s v="E2 - Published Emission Factors"/>
    <x v="1"/>
  </r>
  <r>
    <x v="7"/>
    <n v="8060"/>
    <x v="255"/>
    <x v="541"/>
    <n v="211110"/>
    <s v="Oil and gas extraction (except oil sands)"/>
    <s v="Extraction de pétrole et de gaz (à l'exception des sables bitumineux)"/>
    <x v="10"/>
    <s v="NA - M16"/>
    <x v="88"/>
    <x v="88"/>
    <x v="3"/>
    <s v="Rejets à l'air"/>
    <s v="Fugitive"/>
    <s v="Émissions fugitives"/>
    <n v="345.93200000000002"/>
    <x v="0"/>
    <s v="E2 - Published Emission Factors"/>
    <x v="1"/>
  </r>
  <r>
    <x v="10"/>
    <n v="280"/>
    <x v="498"/>
    <x v="542"/>
    <n v="325110"/>
    <s v="Petrochemical Manufacturing"/>
    <s v="Fabrication de produits pétrochimiques"/>
    <x v="4"/>
    <s v="7440-62-2"/>
    <x v="51"/>
    <x v="51"/>
    <x v="4"/>
    <s v="Rejets dans l'eau"/>
    <s v="Direct Discharges"/>
    <s v="Évacuation directes"/>
    <n v="0.66700000000000004"/>
    <x v="0"/>
    <s v="M - Monitoring or Direct Measurement"/>
    <x v="1"/>
  </r>
  <r>
    <x v="11"/>
    <n v="19550"/>
    <x v="375"/>
    <x v="543"/>
    <n v="211113"/>
    <s v="Conventional oil and gas extraction"/>
    <s v="Extraction de pétrole et de gaz par des méthodes classiques"/>
    <x v="4"/>
    <s v="11104-93-1"/>
    <x v="92"/>
    <x v="92"/>
    <x v="3"/>
    <s v="Rejets à l'air"/>
    <s v="Stack / Point"/>
    <s v="Rejets de cheminée ou ponctuels"/>
    <n v="123.877"/>
    <x v="0"/>
    <s v="E2 - Published Emission Factors"/>
    <x v="1"/>
  </r>
  <r>
    <x v="6"/>
    <n v="120"/>
    <x v="195"/>
    <x v="544"/>
    <n v="325210"/>
    <s v="Resin and Synthetic Rubber Manufacturing"/>
    <s v="Fabrication de résines et de caoutchouc synthétique"/>
    <x v="0"/>
    <s v="67-63-0"/>
    <x v="6"/>
    <x v="6"/>
    <x v="2"/>
    <s v="Total des rejets dans tous les milieux (&lt;1tonne)"/>
    <s v="All Media"/>
    <s v="Rejets à tous les médias"/>
    <n v="0.16900000000000001"/>
    <x v="0"/>
    <s v="E2 - Published Emission Factors"/>
    <x v="1"/>
  </r>
  <r>
    <x v="9"/>
    <n v="3994"/>
    <x v="247"/>
    <x v="545"/>
    <n v="221112"/>
    <s v="Fossil-fuel electric power generation"/>
    <s v="Production d'électricité à partir de combustibles fossiles"/>
    <x v="7"/>
    <s v="7664-93-9"/>
    <x v="30"/>
    <x v="30"/>
    <x v="3"/>
    <s v="Rejets à l'air"/>
    <s v="Stack / Point"/>
    <s v="Rejets de cheminée ou ponctuels"/>
    <n v="42.591999999999999"/>
    <x v="0"/>
    <s v="O - Engineering Estimates"/>
    <x v="1"/>
  </r>
  <r>
    <x v="1"/>
    <n v="10175"/>
    <x v="499"/>
    <x v="546"/>
    <n v="418390"/>
    <s v="Agricultural chemical and other farm supplies merchant wholesalers"/>
    <s v="Grossistes-marchands de produits chimiques et autres fournitures agricoles"/>
    <x v="0"/>
    <s v="NA - M08"/>
    <x v="89"/>
    <x v="89"/>
    <x v="3"/>
    <s v="Rejets à l'air"/>
    <s v="Road dust"/>
    <s v="Poussières de routes"/>
    <n v="11.893000000000001"/>
    <x v="0"/>
    <s v="E2 - Published Emission Factors"/>
    <x v="1"/>
  </r>
  <r>
    <x v="12"/>
    <n v="15401"/>
    <x v="250"/>
    <x v="547"/>
    <n v="211110"/>
    <s v="Oil and gas extraction (except oil sands)"/>
    <s v="Extraction de pétrole et de gaz (à l'exception des sables bitumineux)"/>
    <x v="5"/>
    <s v="7446-09-5"/>
    <x v="85"/>
    <x v="85"/>
    <x v="3"/>
    <s v="Rejets à l'air"/>
    <s v="Stack / Point"/>
    <s v="Rejets de cheminée ou ponctuels"/>
    <n v="0"/>
    <x v="0"/>
    <s v="O - Engineering Estimates"/>
    <x v="1"/>
  </r>
  <r>
    <x v="18"/>
    <n v="11012"/>
    <x v="500"/>
    <x v="548"/>
    <n v="493130"/>
    <s v="Farm product warehousing and storage"/>
    <s v="Entreposage de produits agricoles"/>
    <x v="3"/>
    <s v="NA - M09"/>
    <x v="83"/>
    <x v="83"/>
    <x v="3"/>
    <s v="Rejets à l'air"/>
    <s v="Stack / Point"/>
    <s v="Rejets de cheminée ou ponctuels"/>
    <n v="0.27200000000000002"/>
    <x v="0"/>
    <s v="E2 - Published Emission Factors"/>
    <x v="1"/>
  </r>
  <r>
    <x v="19"/>
    <n v="7705"/>
    <x v="501"/>
    <x v="549"/>
    <n v="321111"/>
    <s v="Sawmills (except Shingle and Shake Mills)"/>
    <s v="Scieries (sauf les usines de bardeaux et de bardeaux de fente)"/>
    <x v="2"/>
    <s v="NA - D/F"/>
    <x v="57"/>
    <x v="57"/>
    <x v="3"/>
    <s v="Rejets à l'air"/>
    <s v="Stack / Point"/>
    <s v="Rejets de cheminée ou ponctuels"/>
    <n v="0"/>
    <x v="2"/>
    <s v="E2 - Published Emission Factors"/>
    <x v="1"/>
  </r>
  <r>
    <x v="11"/>
    <n v="8742"/>
    <x v="502"/>
    <x v="550"/>
    <n v="325410"/>
    <s v="Pharmaceutical and medicine manufacturing"/>
    <s v="Fabrication de produits pharmaceutiques et de médicaments"/>
    <x v="3"/>
    <s v="NA - 16"/>
    <x v="49"/>
    <x v="49"/>
    <x v="5"/>
    <s v="Rejets dans le sol"/>
    <s v="Spills"/>
    <s v="Déversements"/>
    <n v="50.194000000000003"/>
    <x v="0"/>
    <s v="C - Mass Balance"/>
    <x v="1"/>
  </r>
  <r>
    <x v="1"/>
    <n v="8638"/>
    <x v="503"/>
    <x v="551"/>
    <n v="622111"/>
    <s v="General (except paediatric) hospitals"/>
    <s v="Hôpitaux généraux (sauf pédiatriques)"/>
    <x v="3"/>
    <s v="7446-09-5"/>
    <x v="85"/>
    <x v="85"/>
    <x v="3"/>
    <s v="Rejets à l'air"/>
    <s v="Stack / Point"/>
    <s v="Rejets de cheminée ou ponctuels"/>
    <n v="6.4399999999999999E-2"/>
    <x v="0"/>
    <s v="E2 - Published Emission Factors"/>
    <x v="1"/>
  </r>
  <r>
    <x v="15"/>
    <n v="29040"/>
    <x v="504"/>
    <x v="552"/>
    <n v="212314"/>
    <s v="Granite mining and quarrying"/>
    <s v="Extraction de granite"/>
    <x v="2"/>
    <s v="NA - M08"/>
    <x v="89"/>
    <x v="89"/>
    <x v="3"/>
    <s v="Rejets à l'air"/>
    <s v="Fugitive"/>
    <s v="Émissions fugitives"/>
    <n v="1.8640000000000001"/>
    <x v="0"/>
    <s v="E2 - Published Emission Factors"/>
    <x v="1"/>
  </r>
  <r>
    <x v="6"/>
    <n v="2788"/>
    <x v="505"/>
    <x v="553"/>
    <n v="331313"/>
    <s v="Primary Production of Alumina and Aluminum"/>
    <s v="Production primaire d'alumine et d'aluminium"/>
    <x v="2"/>
    <s v="56-55-3"/>
    <x v="32"/>
    <x v="32"/>
    <x v="3"/>
    <s v="Rejets à l'air"/>
    <s v="Other Non-Point"/>
    <s v="Autres rejets non ponctuels"/>
    <n v="2986.1619999999998"/>
    <x v="1"/>
    <s v="M3 - Source Testing"/>
    <x v="1"/>
  </r>
  <r>
    <x v="15"/>
    <n v="20182"/>
    <x v="506"/>
    <x v="554"/>
    <n v="332710"/>
    <s v="Machine shops"/>
    <s v="Ateliers d'usinage"/>
    <x v="2"/>
    <s v="NA - 08"/>
    <x v="1"/>
    <x v="1"/>
    <x v="3"/>
    <s v="Rejets à l'air"/>
    <s v="Stack / Point"/>
    <s v="Rejets de cheminée ou ponctuels"/>
    <n v="1.7999999999999999E-2"/>
    <x v="1"/>
    <s v="E2 - Published Emission Factors"/>
    <x v="1"/>
  </r>
  <r>
    <x v="3"/>
    <n v="781"/>
    <x v="507"/>
    <x v="555"/>
    <n v="339990"/>
    <s v="All Other Miscellaneous Manufacturing"/>
    <s v="Toutes les autres activités diverses de fabrication"/>
    <x v="3"/>
    <s v="78-93-3"/>
    <x v="0"/>
    <x v="0"/>
    <x v="2"/>
    <s v="Total des rejets dans tous les milieux (&lt;1tonne)"/>
    <s v="All Media"/>
    <s v="Rejets à tous les médias"/>
    <n v="0.1"/>
    <x v="0"/>
    <s v="C - Mass Balance"/>
    <x v="1"/>
  </r>
  <r>
    <x v="27"/>
    <n v="2216"/>
    <x v="508"/>
    <x v="556"/>
    <n v="325610"/>
    <s v="Soap and Cleaning Compound Manufacturing"/>
    <s v="Fabrication de savons et de détachants"/>
    <x v="0"/>
    <s v="NA - M10"/>
    <x v="86"/>
    <x v="86"/>
    <x v="3"/>
    <s v="Rejets à l'air"/>
    <s v="Fugitive"/>
    <s v="Émissions fugitives"/>
    <n v="6.3360000000000003"/>
    <x v="0"/>
    <s v="O - Engineering Estimates"/>
    <x v="1"/>
  </r>
  <r>
    <x v="6"/>
    <n v="7622"/>
    <x v="509"/>
    <x v="557"/>
    <n v="212315"/>
    <s v="Limestone Mining and Quarrying"/>
    <s v="Extraction de calcaire"/>
    <x v="0"/>
    <s v="NA - M08"/>
    <x v="89"/>
    <x v="89"/>
    <x v="3"/>
    <s v="Rejets à l'air"/>
    <s v="Stack / Point"/>
    <s v="Rejets de cheminée ou ponctuels"/>
    <n v="0.85299999999999998"/>
    <x v="0"/>
    <s v="E2 - Published Emission Factors"/>
    <x v="1"/>
  </r>
  <r>
    <x v="13"/>
    <n v="6670"/>
    <x v="171"/>
    <x v="241"/>
    <n v="412110"/>
    <s v="Petroleum Product Wholesaler-Distributors"/>
    <s v="Grossistes-distributeurs de produits pétroliers"/>
    <x v="3"/>
    <s v="95-63-6"/>
    <x v="40"/>
    <x v="40"/>
    <x v="3"/>
    <s v="Rejets à l'air"/>
    <s v="Fugitive"/>
    <s v="Émissions fugitives"/>
    <n v="1E-3"/>
    <x v="0"/>
    <s v="E2 - Published Emission Factors"/>
    <x v="1"/>
  </r>
  <r>
    <x v="8"/>
    <n v="2740"/>
    <x v="510"/>
    <x v="558"/>
    <n v="331110"/>
    <s v="Iron and Steel Mills and Ferro-Alloy Manufacturing"/>
    <s v="Sidérurgie"/>
    <x v="5"/>
    <s v="NA - M10"/>
    <x v="86"/>
    <x v="86"/>
    <x v="3"/>
    <s v="Rejets à l'air"/>
    <s v="Road dust"/>
    <s v="Poussières de routes"/>
    <n v="0.02"/>
    <x v="0"/>
    <s v="E2 - Published Emission Factors"/>
    <x v="1"/>
  </r>
  <r>
    <x v="13"/>
    <n v="5015"/>
    <x v="511"/>
    <x v="559"/>
    <n v="562210"/>
    <s v="Waste Treatment and Disposal"/>
    <s v="Traitement et élimination des déchets"/>
    <x v="9"/>
    <s v="NA - D/F"/>
    <x v="57"/>
    <x v="57"/>
    <x v="3"/>
    <s v="Rejets à l'air"/>
    <s v="Stack / Point"/>
    <s v="Rejets de cheminée ou ponctuels"/>
    <n v="0.56899999999999995"/>
    <x v="2"/>
    <s v="M3 - Source Testing"/>
    <x v="1"/>
  </r>
  <r>
    <x v="13"/>
    <n v="4045"/>
    <x v="512"/>
    <x v="560"/>
    <n v="331222"/>
    <s v="Steel Wire Drawing"/>
    <s v="Étirage de fils d'acier"/>
    <x v="0"/>
    <s v="NA - 16"/>
    <x v="49"/>
    <x v="49"/>
    <x v="3"/>
    <s v="Rejets à l'air"/>
    <s v="Stack / Point"/>
    <s v="Rejets de cheminée ou ponctuels"/>
    <n v="5.8000000000000003E-2"/>
    <x v="0"/>
    <s v="M3 - Source Testing"/>
    <x v="1"/>
  </r>
  <r>
    <x v="21"/>
    <n v="16739"/>
    <x v="513"/>
    <x v="561"/>
    <n v="211110"/>
    <s v="Oil and gas extraction (except oil sands)"/>
    <s v="Extraction de pétrole et de gaz (à l'exception des sables bitumineux)"/>
    <x v="4"/>
    <s v="NA - M16"/>
    <x v="88"/>
    <x v="88"/>
    <x v="3"/>
    <s v="Rejets à l'air"/>
    <s v="Stack / Point"/>
    <s v="Rejets de cheminée ou ponctuels"/>
    <n v="6.4850000000000003"/>
    <x v="0"/>
    <s v="E2 - Published Emission Factors"/>
    <x v="1"/>
  </r>
  <r>
    <x v="21"/>
    <n v="4896"/>
    <x v="514"/>
    <x v="562"/>
    <n v="311224"/>
    <s v="Oilseed processing"/>
    <s v="Transformation de graines oléagineuses"/>
    <x v="1"/>
    <s v="NA - M16"/>
    <x v="88"/>
    <x v="88"/>
    <x v="3"/>
    <s v="Rejets à l'air"/>
    <s v="Fugitive"/>
    <s v="Émissions fugitives"/>
    <n v="177.32"/>
    <x v="0"/>
    <s v="O - Engineering Estimates"/>
    <x v="1"/>
  </r>
  <r>
    <x v="17"/>
    <n v="2478"/>
    <x v="60"/>
    <x v="487"/>
    <n v="321114"/>
    <s v="Wood preservation"/>
    <s v="Préservation du bois"/>
    <x v="3"/>
    <s v="NA - 19"/>
    <x v="43"/>
    <x v="43"/>
    <x v="3"/>
    <s v="Rejets à l'air"/>
    <s v="Fugitive"/>
    <s v="Émissions fugitives"/>
    <n v="4.8799999999999999E-4"/>
    <x v="1"/>
    <s v="E2 - Published Emission Factors"/>
    <x v="1"/>
  </r>
  <r>
    <x v="14"/>
    <n v="18528"/>
    <x v="250"/>
    <x v="563"/>
    <n v="211110"/>
    <s v="Oil and gas extraction (except oil sands)"/>
    <s v="Extraction de pétrole et de gaz (à l'exception des sables bitumineux)"/>
    <x v="4"/>
    <s v="11104-93-1"/>
    <x v="92"/>
    <x v="92"/>
    <x v="3"/>
    <s v="Rejets à l'air"/>
    <s v="Stack / Point"/>
    <s v="Rejets de cheminée ou ponctuels"/>
    <n v="249.36084"/>
    <x v="0"/>
    <s v="E2 - Published Emission Factors"/>
    <x v="1"/>
  </r>
  <r>
    <x v="5"/>
    <n v="4181"/>
    <x v="515"/>
    <x v="564"/>
    <n v="311119"/>
    <s v="Other Animal Food Manufacturing"/>
    <s v="Fabrication d'autres aliments pour animaux"/>
    <x v="0"/>
    <s v="NA - M08"/>
    <x v="89"/>
    <x v="89"/>
    <x v="3"/>
    <s v="Rejets à l'air"/>
    <s v="Storage / Handling"/>
    <s v="Rejets de stockage ou manutention"/>
    <n v="18.283000000000001"/>
    <x v="0"/>
    <s v="E2 - Published Emission Factors"/>
    <x v="1"/>
  </r>
  <r>
    <x v="10"/>
    <n v="4904"/>
    <x v="516"/>
    <x v="565"/>
    <n v="221119"/>
    <s v="Other Electric Power Generation"/>
    <s v="Autres activités de production d'électricité"/>
    <x v="0"/>
    <s v="NA - M08"/>
    <x v="89"/>
    <x v="89"/>
    <x v="3"/>
    <s v="Rejets à l'air"/>
    <s v="Stack / Point"/>
    <s v="Rejets de cheminée ou ponctuels"/>
    <n v="20.399999999999999"/>
    <x v="0"/>
    <s v="E2 - Published Emission Factors"/>
    <x v="1"/>
  </r>
  <r>
    <x v="17"/>
    <n v="21454"/>
    <x v="513"/>
    <x v="566"/>
    <n v="211110"/>
    <s v="Oil and gas extraction (except oil sands)"/>
    <s v="Extraction de pétrole et de gaz (à l'exception des sables bitumineux)"/>
    <x v="4"/>
    <s v="NA - M09"/>
    <x v="83"/>
    <x v="83"/>
    <x v="3"/>
    <s v="Rejets à l'air"/>
    <s v="Stack / Point"/>
    <s v="Rejets de cheminée ou ponctuels"/>
    <n v="5.8369999999999998E-2"/>
    <x v="0"/>
    <s v="E2 - Published Emission Factors"/>
    <x v="1"/>
  </r>
  <r>
    <x v="7"/>
    <n v="8502"/>
    <x v="436"/>
    <x v="567"/>
    <n v="321111"/>
    <s v="Sawmills (except shingle and shake mills)"/>
    <s v="Scieries (sauf les usines de bardeaux et de bardeaux de fente)"/>
    <x v="3"/>
    <s v="NA - M16"/>
    <x v="88"/>
    <x v="88"/>
    <x v="3"/>
    <s v="Rejets à l'air"/>
    <s v="Other Non-Point"/>
    <s v="Autres rejets non ponctuels"/>
    <n v="35.420999999999999"/>
    <x v="0"/>
    <s v="E2 - Published Emission Factors"/>
    <x v="1"/>
  </r>
  <r>
    <x v="6"/>
    <n v="2386"/>
    <x v="517"/>
    <x v="568"/>
    <n v="326150"/>
    <s v="Urethane and Other Foam Product (except Polystyrene) Manufacturing"/>
    <s v="Fabrication de produits en mousse d'uréthane et en d'autres mousses plastiques (sauf de polystyrène)"/>
    <x v="0"/>
    <s v="101-68-8"/>
    <x v="99"/>
    <x v="99"/>
    <x v="5"/>
    <s v="Rejets dans le sol"/>
    <s v="Spills"/>
    <s v="Déversements"/>
    <n v="0"/>
    <x v="0"/>
    <s v="E1 - Site Specific Emission Factors"/>
    <x v="1"/>
  </r>
  <r>
    <x v="8"/>
    <n v="5739"/>
    <x v="518"/>
    <x v="569"/>
    <n v="325190"/>
    <s v="Other Basic Organic Chemical Manufacturing"/>
    <s v="Fabrication d'autres produits chimiques organiques de base"/>
    <x v="0"/>
    <s v="NA - M16"/>
    <x v="88"/>
    <x v="88"/>
    <x v="3"/>
    <s v="Rejets à l'air"/>
    <s v="Storage / Handling"/>
    <s v="Rejets de stockage ou manutention"/>
    <n v="187.584"/>
    <x v="0"/>
    <s v="E2 - Published Emission Factors"/>
    <x v="1"/>
  </r>
  <r>
    <x v="22"/>
    <n v="5029"/>
    <x v="519"/>
    <x v="570"/>
    <n v="562210"/>
    <s v="Waste Treatment and Disposal"/>
    <s v="Traitement et élimination des déchets"/>
    <x v="10"/>
    <s v="NA - D/F"/>
    <x v="57"/>
    <x v="57"/>
    <x v="3"/>
    <s v="Rejets à l'air"/>
    <s v="Stack / Point"/>
    <s v="Rejets de cheminée ou ponctuels"/>
    <n v="1.837"/>
    <x v="2"/>
    <s v="E - Emission Factor"/>
    <x v="1"/>
  </r>
  <r>
    <x v="29"/>
    <n v="18533"/>
    <x v="250"/>
    <x v="571"/>
    <n v="211110"/>
    <s v="Oil and gas extraction (except oil sands)"/>
    <s v="Extraction de pétrole et de gaz (à l'exception des sables bitumineux)"/>
    <x v="5"/>
    <s v="11104-93-1"/>
    <x v="92"/>
    <x v="92"/>
    <x v="3"/>
    <s v="Rejets à l'air"/>
    <s v="Stack / Point"/>
    <s v="Rejets de cheminée ou ponctuels"/>
    <n v="0.33657999999999999"/>
    <x v="0"/>
    <s v="E2 - Published Emission Factors"/>
    <x v="1"/>
  </r>
  <r>
    <x v="21"/>
    <n v="1492"/>
    <x v="520"/>
    <x v="156"/>
    <n v="325189"/>
    <s v="All other basic inorganic chemical manufacturing"/>
    <s v="Fabrication de tous les autres produits chimiques inorganiques de base"/>
    <x v="3"/>
    <s v="95-63-6"/>
    <x v="40"/>
    <x v="40"/>
    <x v="3"/>
    <s v="Rejets à l'air"/>
    <s v="Other Non-Point"/>
    <s v="Autres rejets non ponctuels"/>
    <n v="1.3999999999999999E-4"/>
    <x v="0"/>
    <s v="O - Engineering Estimates"/>
    <x v="1"/>
  </r>
  <r>
    <x v="7"/>
    <n v="6862"/>
    <x v="521"/>
    <x v="572"/>
    <n v="486110"/>
    <s v="Pipeline transportation of crude oil"/>
    <s v="Transport du pétrole brut par oléoduc"/>
    <x v="2"/>
    <s v="NA - M10"/>
    <x v="86"/>
    <x v="86"/>
    <x v="3"/>
    <s v="Rejets à l'air"/>
    <s v="Stack / Point"/>
    <s v="Rejets de cheminée ou ponctuels"/>
    <n v="14.414199999999999"/>
    <x v="0"/>
    <s v="E2 - Published Emission Factors"/>
    <x v="1"/>
  </r>
  <r>
    <x v="2"/>
    <n v="7619"/>
    <x v="394"/>
    <x v="573"/>
    <n v="212315"/>
    <s v="Limestone mining and quarrying"/>
    <s v="Extraction de calcaire"/>
    <x v="0"/>
    <s v="NA - M09"/>
    <x v="83"/>
    <x v="83"/>
    <x v="3"/>
    <s v="Rejets à l'air"/>
    <s v="Fugitive"/>
    <s v="Émissions fugitives"/>
    <n v="20.973700000000001"/>
    <x v="0"/>
    <s v="E2 - Published Emission Factors"/>
    <x v="1"/>
  </r>
  <r>
    <x v="24"/>
    <n v="656"/>
    <x v="522"/>
    <x v="0"/>
    <n v="325210"/>
    <s v="Resin and Synthetic Rubber Manufacturing"/>
    <s v="Fabrication de résines et de caoutchouc synthétique"/>
    <x v="0"/>
    <s v="108-95-2"/>
    <x v="58"/>
    <x v="58"/>
    <x v="4"/>
    <s v="Rejets dans l'eau"/>
    <s v="Direct Discharges"/>
    <s v="Évacuation directes"/>
    <n v="0"/>
    <x v="0"/>
    <s v="M - Monitoring or Direct Measurement"/>
    <x v="1"/>
  </r>
  <r>
    <x v="20"/>
    <n v="6548"/>
    <x v="416"/>
    <x v="574"/>
    <n v="324190"/>
    <s v="Other Petroleum and Coal Products Manufacturing"/>
    <s v="Fabrication d'autres produits du pétrole et du charbon"/>
    <x v="5"/>
    <s v="7647-01-0"/>
    <x v="7"/>
    <x v="7"/>
    <x v="5"/>
    <s v="Rejets dans le sol"/>
    <s v="Spills"/>
    <s v="Déversements"/>
    <n v="0"/>
    <x v="0"/>
    <s v="O - Engineering Estimates"/>
    <x v="1"/>
  </r>
  <r>
    <x v="4"/>
    <n v="494"/>
    <x v="523"/>
    <x v="575"/>
    <n v="325190"/>
    <s v="Other Basic Organic Chemical Manufacturing"/>
    <s v="Fabrication d'autres produits chimiques organiques de base"/>
    <x v="0"/>
    <s v="NA - 16"/>
    <x v="49"/>
    <x v="49"/>
    <x v="4"/>
    <s v="Rejets dans l'eau"/>
    <s v="Direct Discharges"/>
    <s v="Évacuation directes"/>
    <n v="0.90500000000000003"/>
    <x v="0"/>
    <s v="M - Monitoring or Direct Measurement"/>
    <x v="1"/>
  </r>
  <r>
    <x v="12"/>
    <n v="286"/>
    <x v="524"/>
    <x v="288"/>
    <n v="325510"/>
    <s v="Paint and coating manufacturing"/>
    <s v="Fabrication de peintures et de revêtements"/>
    <x v="0"/>
    <s v="110-82-7"/>
    <x v="71"/>
    <x v="71"/>
    <x v="3"/>
    <s v="Rejets à l'air"/>
    <s v="Storage / Handling"/>
    <s v="Rejets de stockage ou manutention"/>
    <n v="0"/>
    <x v="0"/>
    <s v="E2 - Published Emission Factors"/>
    <x v="1"/>
  </r>
  <r>
    <x v="15"/>
    <n v="4778"/>
    <x v="366"/>
    <x v="390"/>
    <n v="331313"/>
    <s v="Primary production of alumina and aluminum"/>
    <s v="Production primaire d'alumine et d'aluminium"/>
    <x v="3"/>
    <s v="7664-39-3"/>
    <x v="100"/>
    <x v="100"/>
    <x v="3"/>
    <s v="Rejets à l'air"/>
    <s v="Fugitive"/>
    <s v="Émissions fugitives"/>
    <n v="121.83199999999999"/>
    <x v="0"/>
    <s v="M3 - Source Testing"/>
    <x v="1"/>
  </r>
  <r>
    <x v="17"/>
    <n v="10228"/>
    <x v="12"/>
    <x v="330"/>
    <n v="412110"/>
    <s v="Petroleum, petroleum products, and other hydrocarbons merchant wholesalers"/>
    <s v="Grossistes-marchands de pétrole, de produits pétroliers, et d'autres hydrocarbures"/>
    <x v="5"/>
    <s v="193-39-5"/>
    <x v="101"/>
    <x v="101"/>
    <x v="3"/>
    <s v="Rejets à l'air"/>
    <s v="Storage / Handling"/>
    <s v="Rejets de stockage ou manutention"/>
    <n v="4.1999999999999998E-5"/>
    <x v="1"/>
    <s v="E2 - Published Emission Factors"/>
    <x v="1"/>
  </r>
  <r>
    <x v="5"/>
    <n v="3807"/>
    <x v="525"/>
    <x v="576"/>
    <n v="325313"/>
    <s v="Chemical Fertilizer (except Potash) Manufacturing"/>
    <s v="Fabrication d'engrais chimiques (sauf la potasse)"/>
    <x v="0"/>
    <s v="7782-50-5"/>
    <x v="102"/>
    <x v="102"/>
    <x v="3"/>
    <s v="Rejets à l'air"/>
    <s v="Fugitive"/>
    <s v="Émissions fugitives"/>
    <n v="0.5"/>
    <x v="0"/>
    <s v="O - Engineering Estimates"/>
    <x v="1"/>
  </r>
  <r>
    <x v="11"/>
    <n v="19175"/>
    <x v="526"/>
    <x v="577"/>
    <n v="339990"/>
    <s v="All other miscellaneous manufacturing"/>
    <s v="Toutes les autres activités diverses de fabrication"/>
    <x v="4"/>
    <s v="7429-90-5"/>
    <x v="10"/>
    <x v="10"/>
    <x v="3"/>
    <s v="Rejets à l'air"/>
    <s v="Stack / Point"/>
    <s v="Rejets de cheminée ou ponctuels"/>
    <n v="2.5999999999999999E-2"/>
    <x v="0"/>
    <s v="O - Engineering Estimates"/>
    <x v="1"/>
  </r>
  <r>
    <x v="15"/>
    <n v="1154"/>
    <x v="73"/>
    <x v="73"/>
    <n v="418410"/>
    <s v="Chemical (except agricultural) and allied product merchant wholesalers"/>
    <s v="Grossistes-marchands de produits chimiques et de produits analogues (sauf agricoles)"/>
    <x v="0"/>
    <s v="7647-01-0"/>
    <x v="7"/>
    <x v="7"/>
    <x v="3"/>
    <s v="Rejets à l'air"/>
    <s v="Storage / Handling"/>
    <s v="Rejets de stockage ou manutention"/>
    <n v="2.1000000000000001E-2"/>
    <x v="0"/>
    <s v="O - Engineering Estimates"/>
    <x v="1"/>
  </r>
  <r>
    <x v="29"/>
    <n v="27933"/>
    <x v="497"/>
    <x v="578"/>
    <n v="211110"/>
    <s v="Oil and gas extraction (except oil sands)"/>
    <s v="Extraction de pétrole et de gaz (à l'exception des sables bitumineux)"/>
    <x v="5"/>
    <s v="NA - M16"/>
    <x v="96"/>
    <x v="96"/>
    <x v="3"/>
    <s v="Rejets à l'air"/>
    <s v="Fugitive"/>
    <s v="Émissions fugitives"/>
    <n v="3.8303199999999999"/>
    <x v="0"/>
    <s v="O - Engineering Estimates"/>
    <x v="1"/>
  </r>
  <r>
    <x v="13"/>
    <n v="6642"/>
    <x v="527"/>
    <x v="579"/>
    <n v="311119"/>
    <s v="Other Animal Food Manufacturing"/>
    <s v="Fabrication d'autres aliments pour animaux"/>
    <x v="1"/>
    <s v="NA - M10"/>
    <x v="86"/>
    <x v="86"/>
    <x v="3"/>
    <s v="Rejets à l'air"/>
    <s v="Other Non-Point"/>
    <s v="Autres rejets non ponctuels"/>
    <n v="0.442"/>
    <x v="0"/>
    <s v="O - Engineering Estimates"/>
    <x v="1"/>
  </r>
  <r>
    <x v="19"/>
    <n v="2815"/>
    <x v="74"/>
    <x v="74"/>
    <n v="331410"/>
    <s v="Non-Ferrous Metal (except Aluminum) Smelting and Refining"/>
    <s v="Fonte et affinage de métaux non ferreux (sauf l'aluminium)"/>
    <x v="0"/>
    <s v="NA - M10"/>
    <x v="86"/>
    <x v="86"/>
    <x v="3"/>
    <s v="Rejets à l'air"/>
    <s v="Fugitive"/>
    <s v="Émissions fugitives"/>
    <n v="177.233"/>
    <x v="0"/>
    <s v="E2 - Published Emission Factors"/>
    <x v="1"/>
  </r>
  <r>
    <x v="15"/>
    <n v="5345"/>
    <x v="469"/>
    <x v="580"/>
    <n v="211110"/>
    <s v="Oil and gas extraction (except oil sands)"/>
    <s v="Extraction de pétrole et de gaz (à l'exception des sables bitumineux)"/>
    <x v="4"/>
    <s v="NA - M10"/>
    <x v="86"/>
    <x v="86"/>
    <x v="3"/>
    <s v="Rejets à l'air"/>
    <s v="Stack / Point"/>
    <s v="Rejets de cheminée ou ponctuels"/>
    <n v="0.875"/>
    <x v="0"/>
    <s v="E2 - Published Emission Factors"/>
    <x v="1"/>
  </r>
  <r>
    <x v="4"/>
    <n v="1492"/>
    <x v="528"/>
    <x v="581"/>
    <n v="325189"/>
    <s v="All Other Basic Inorganic Chemical Manufacturing"/>
    <s v="Fabrication de tous les autres produits chimiques inorganiques de base"/>
    <x v="3"/>
    <s v="95-63-6"/>
    <x v="40"/>
    <x v="40"/>
    <x v="3"/>
    <s v="Rejets à l'air"/>
    <s v="Fugitive"/>
    <s v="Émissions fugitives"/>
    <n v="6.024"/>
    <x v="0"/>
    <s v="O - Engineering Estimates"/>
    <x v="1"/>
  </r>
  <r>
    <x v="26"/>
    <n v="3599"/>
    <x v="192"/>
    <x v="582"/>
    <n v="325999"/>
    <s v="All Other Miscellaneous Chemical Product Manufacturing"/>
    <s v="Fabrication de tous les autres produits chimiques divers"/>
    <x v="0"/>
    <s v="67-56-1"/>
    <x v="3"/>
    <x v="3"/>
    <x v="3"/>
    <s v="Rejets à l'air"/>
    <s v="Storage / Handling"/>
    <s v="Rejets de stockage ou manutention"/>
    <n v="2.7010000000000001"/>
    <x v="0"/>
    <s v="E2 - Published Emission Factors"/>
    <x v="1"/>
  </r>
  <r>
    <x v="12"/>
    <n v="6887"/>
    <x v="529"/>
    <x v="583"/>
    <n v="326140"/>
    <s v="Polystyrene foam product manufacturing"/>
    <s v="Fabrication de produits en mousse de polystyrène"/>
    <x v="4"/>
    <s v="NA - M16"/>
    <x v="88"/>
    <x v="88"/>
    <x v="3"/>
    <s v="Rejets à l'air"/>
    <s v="Storage / Handling"/>
    <s v="Rejets de stockage ou manutention"/>
    <n v="98.617000000000004"/>
    <x v="0"/>
    <s v="C - Mass Balance"/>
    <x v="1"/>
  </r>
  <r>
    <x v="8"/>
    <n v="6905"/>
    <x v="530"/>
    <x v="584"/>
    <n v="486110"/>
    <s v="Pipeline Transportation of Crude Oil"/>
    <s v="Transport du pétrole brut par oléoduc"/>
    <x v="1"/>
    <s v="7783-06-4"/>
    <x v="93"/>
    <x v="93"/>
    <x v="3"/>
    <s v="Rejets à l'air"/>
    <s v="Storage / Handling"/>
    <s v="Rejets de stockage ou manutention"/>
    <n v="8.0000000000000002E-3"/>
    <x v="0"/>
    <s v="O - Engineering Estimates"/>
    <x v="1"/>
  </r>
  <r>
    <x v="1"/>
    <n v="10216"/>
    <x v="12"/>
    <x v="585"/>
    <n v="412110"/>
    <s v="Petroleum and petroleum products merchant wholesalers"/>
    <s v="Grossistes-marchands de pétrole et de produits pétroliers"/>
    <x v="10"/>
    <s v="108-88-3"/>
    <x v="5"/>
    <x v="5"/>
    <x v="2"/>
    <s v="Total des rejets dans tous les milieux (&lt;1tonne)"/>
    <s v="All Media"/>
    <s v="Rejets à tous les médias"/>
    <n v="0.222"/>
    <x v="0"/>
    <s v="E2 - Published Emission Factors"/>
    <x v="1"/>
  </r>
  <r>
    <x v="5"/>
    <n v="16793"/>
    <x v="531"/>
    <x v="586"/>
    <n v="211113"/>
    <s v="Conventional Oil and Gas Extraction"/>
    <s v="Extraction de pétrole et de gaz par des méthodes classiques"/>
    <x v="4"/>
    <s v="11104-93-1"/>
    <x v="92"/>
    <x v="92"/>
    <x v="3"/>
    <s v="Rejets à l'air"/>
    <s v="Stack / Point"/>
    <s v="Rejets de cheminée ou ponctuels"/>
    <n v="65.251999999999995"/>
    <x v="0"/>
    <s v="E1 - Site Specific Emission Factors"/>
    <x v="1"/>
  </r>
  <r>
    <x v="6"/>
    <n v="4157"/>
    <x v="532"/>
    <x v="587"/>
    <n v="211113"/>
    <s v="Conventional Oil and Gas Extraction"/>
    <s v="Extraction de pétrole et de gaz par des méthodes classiques"/>
    <x v="5"/>
    <s v="7446-09-5"/>
    <x v="85"/>
    <x v="85"/>
    <x v="3"/>
    <s v="Rejets à l'air"/>
    <s v="Stack / Point"/>
    <s v="Rejets de cheminée ou ponctuels"/>
    <n v="4090.73"/>
    <x v="0"/>
    <s v="O - Engineering Estimates"/>
    <x v="1"/>
  </r>
  <r>
    <x v="6"/>
    <n v="7302"/>
    <x v="533"/>
    <x v="588"/>
    <n v="327330"/>
    <s v="Concrete Pipe, Brick and Block Manufacturing"/>
    <s v="Fabrication de tuyaux, briques et blocs en béton"/>
    <x v="0"/>
    <s v="NA - M09"/>
    <x v="83"/>
    <x v="83"/>
    <x v="3"/>
    <s v="Rejets à l'air"/>
    <s v="Stack / Point"/>
    <s v="Rejets de cheminée ou ponctuels"/>
    <n v="61.863999999999997"/>
    <x v="0"/>
    <s v="E2 - Published Emission Factors"/>
    <x v="1"/>
  </r>
  <r>
    <x v="16"/>
    <n v="18153"/>
    <x v="534"/>
    <x v="589"/>
    <n v="211113"/>
    <s v="Conventional Oil and Gas Extraction"/>
    <s v="Extraction de pétrole et de gaz par des méthodes classiques"/>
    <x v="4"/>
    <s v="NA - M10"/>
    <x v="86"/>
    <x v="86"/>
    <x v="3"/>
    <s v="Rejets à l'air"/>
    <s v="Stack / Point"/>
    <s v="Rejets de cheminée ou ponctuels"/>
    <n v="0.46600000000000003"/>
    <x v="0"/>
    <s v="E2 - Published Emission Factors"/>
    <x v="1"/>
  </r>
  <r>
    <x v="5"/>
    <n v="6438"/>
    <x v="535"/>
    <x v="590"/>
    <n v="311119"/>
    <s v="Other Animal Food Manufacturing"/>
    <s v="Fabrication d'autres aliments pour animaux"/>
    <x v="3"/>
    <s v="NA - 22"/>
    <x v="8"/>
    <x v="8"/>
    <x v="3"/>
    <s v="Rejets à l'air"/>
    <s v="Storage / Handling"/>
    <s v="Rejets de stockage ou manutention"/>
    <n v="2.8E-3"/>
    <x v="0"/>
    <s v="C - Mass Balance"/>
    <x v="1"/>
  </r>
  <r>
    <x v="8"/>
    <n v="8083"/>
    <x v="536"/>
    <x v="591"/>
    <n v="212231"/>
    <s v="Lead-Zinc Ore Mining"/>
    <s v="Extraction de minerais de plomb-zinc"/>
    <x v="8"/>
    <s v="NA - M08"/>
    <x v="89"/>
    <x v="89"/>
    <x v="3"/>
    <s v="Rejets à l'air"/>
    <s v="Storage / Handling"/>
    <s v="Rejets de stockage ou manutention"/>
    <n v="9.0999999999999998E-2"/>
    <x v="0"/>
    <s v="E2 - Published Emission Factors"/>
    <x v="1"/>
  </r>
  <r>
    <x v="29"/>
    <n v="2852"/>
    <x v="537"/>
    <x v="592"/>
    <n v="325920"/>
    <s v="Explosives manufacturing"/>
    <s v="Fabrication d'explosifs"/>
    <x v="3"/>
    <s v="118-74-1"/>
    <x v="69"/>
    <x v="69"/>
    <x v="3"/>
    <s v="Rejets à l'air"/>
    <s v="Fugitive"/>
    <s v="Émissions fugitives"/>
    <n v="0"/>
    <x v="3"/>
    <s v="E2 - Published Emission Factors"/>
    <x v="1"/>
  </r>
  <r>
    <x v="19"/>
    <n v="2001"/>
    <x v="538"/>
    <x v="593"/>
    <n v="322122"/>
    <s v="Newsprint Mills"/>
    <s v="Usines de papier journal"/>
    <x v="3"/>
    <s v="NA - 16"/>
    <x v="49"/>
    <x v="49"/>
    <x v="4"/>
    <s v="Rejets dans l'eau"/>
    <s v="Direct Discharges"/>
    <s v="Évacuation directes"/>
    <n v="22.155999999999999"/>
    <x v="0"/>
    <s v="M3 - Source Testing"/>
    <x v="1"/>
  </r>
  <r>
    <x v="19"/>
    <n v="7888"/>
    <x v="539"/>
    <x v="594"/>
    <n v="327320"/>
    <s v="Ready-Mix Concrete Manufacturing"/>
    <s v="Fabrication de béton préparé"/>
    <x v="2"/>
    <s v="NA - M09"/>
    <x v="83"/>
    <x v="83"/>
    <x v="3"/>
    <s v="Rejets à l'air"/>
    <s v="Storage / Handling"/>
    <s v="Rejets de stockage ou manutention"/>
    <n v="0.64200000000000002"/>
    <x v="0"/>
    <s v="E2 - Published Emission Factors"/>
    <x v="1"/>
  </r>
  <r>
    <x v="10"/>
    <n v="5989"/>
    <x v="540"/>
    <x v="595"/>
    <n v="562210"/>
    <s v="Waste Treatment and Disposal"/>
    <s v="Traitement et élimination des déchets"/>
    <x v="0"/>
    <s v="NA - M08"/>
    <x v="89"/>
    <x v="89"/>
    <x v="3"/>
    <s v="Rejets à l'air"/>
    <s v="Storage / Handling"/>
    <s v="Rejets de stockage ou manutention"/>
    <n v="42.3"/>
    <x v="0"/>
    <s v="E2 - Published Emission Factors"/>
    <x v="1"/>
  </r>
  <r>
    <x v="12"/>
    <n v="27741"/>
    <x v="541"/>
    <x v="596"/>
    <n v="211110"/>
    <s v="Oil and gas extraction (except oil sands)"/>
    <s v="Extraction de pétrole et de gaz (à l'exception des sables bitumineux)"/>
    <x v="4"/>
    <s v="NA - M09"/>
    <x v="83"/>
    <x v="83"/>
    <x v="3"/>
    <s v="Rejets à l'air"/>
    <s v="Stack / Point"/>
    <s v="Rejets de cheminée ou ponctuels"/>
    <n v="1.17"/>
    <x v="0"/>
    <s v="E2 - Published Emission Factors"/>
    <x v="1"/>
  </r>
  <r>
    <x v="2"/>
    <n v="6536"/>
    <x v="5"/>
    <x v="597"/>
    <n v="562210"/>
    <s v="Waste treatment and disposal"/>
    <s v="Traitement et élimination des déchets"/>
    <x v="4"/>
    <s v="NA - M08"/>
    <x v="89"/>
    <x v="89"/>
    <x v="3"/>
    <s v="Rejets à l'air"/>
    <s v="Road dust"/>
    <s v="Poussières de routes"/>
    <n v="54.844999999999999"/>
    <x v="0"/>
    <s v="C - Mass Balance"/>
    <x v="1"/>
  </r>
  <r>
    <x v="1"/>
    <n v="8606"/>
    <x v="542"/>
    <x v="598"/>
    <n v="221112"/>
    <s v="Fossil-fuel electric power generation"/>
    <s v="Production d'électricité à partir de combustibles fossiles"/>
    <x v="3"/>
    <s v="NA - M10"/>
    <x v="86"/>
    <x v="86"/>
    <x v="3"/>
    <s v="Rejets à l'air"/>
    <s v="Stack / Point"/>
    <s v="Rejets de cheminée ou ponctuels"/>
    <n v="0.49"/>
    <x v="0"/>
    <s v="E2 - Published Emission Factors"/>
    <x v="1"/>
  </r>
  <r>
    <x v="16"/>
    <n v="4169"/>
    <x v="118"/>
    <x v="125"/>
    <n v="331110"/>
    <s v="Iron and Steel Mills and Ferro-Alloy Manufacturing"/>
    <s v="Sidérurgie"/>
    <x v="0"/>
    <s v="NA - M09"/>
    <x v="83"/>
    <x v="83"/>
    <x v="3"/>
    <s v="Rejets à l'air"/>
    <s v="Road dust"/>
    <s v="Poussières de routes"/>
    <n v="1.248"/>
    <x v="0"/>
    <s v="O - Engineering Estimates"/>
    <x v="1"/>
  </r>
  <r>
    <x v="21"/>
    <n v="25224"/>
    <x v="543"/>
    <x v="599"/>
    <n v="211110"/>
    <s v="Oil and gas extraction (except oil sands)"/>
    <s v="Extraction de pétrole et de gaz (à l'exception des sables bitumineux)"/>
    <x v="4"/>
    <s v="NA - M16"/>
    <x v="88"/>
    <x v="88"/>
    <x v="3"/>
    <s v="Rejets à l'air"/>
    <s v="Storage / Handling"/>
    <s v="Rejets de stockage ou manutention"/>
    <n v="35.706000000000003"/>
    <x v="0"/>
    <s v="O - Engineering Estimates"/>
    <x v="1"/>
  </r>
  <r>
    <x v="17"/>
    <n v="4150"/>
    <x v="544"/>
    <x v="494"/>
    <n v="211110"/>
    <s v="Oil and gas extraction (except oil sands)"/>
    <s v="Extraction de pétrole et de gaz (à l'exception des sables bitumineux)"/>
    <x v="4"/>
    <s v="NA - M16"/>
    <x v="96"/>
    <x v="96"/>
    <x v="3"/>
    <s v="Rejets à l'air"/>
    <s v="Stack / Point"/>
    <s v="Rejets de cheminée ou ponctuels"/>
    <n v="39.068899999999999"/>
    <x v="0"/>
    <s v="E1 - Site Specific Emission Factors"/>
    <x v="1"/>
  </r>
  <r>
    <x v="15"/>
    <n v="27335"/>
    <x v="545"/>
    <x v="600"/>
    <n v="211110"/>
    <s v="Oil and gas extraction (except oil sands)"/>
    <s v="Extraction de pétrole et de gaz (à l'exception des sables bitumineux)"/>
    <x v="5"/>
    <s v="NA - M09"/>
    <x v="83"/>
    <x v="83"/>
    <x v="3"/>
    <s v="Rejets à l'air"/>
    <s v="Stack / Point"/>
    <s v="Rejets de cheminée ou ponctuels"/>
    <n v="2.1440000000000001"/>
    <x v="0"/>
    <s v="E2 - Published Emission Factors"/>
    <x v="1"/>
  </r>
  <r>
    <x v="26"/>
    <n v="23762"/>
    <x v="546"/>
    <x v="601"/>
    <n v="211113"/>
    <s v="Conventional Oil and Gas Extraction"/>
    <s v="Extraction de pétrole et de gaz par des méthodes classiques"/>
    <x v="4"/>
    <s v="11104-93-1"/>
    <x v="92"/>
    <x v="92"/>
    <x v="3"/>
    <s v="Rejets à l'air"/>
    <s v="Stack / Point"/>
    <s v="Rejets de cheminée ou ponctuels"/>
    <n v="24.341000000000001"/>
    <x v="0"/>
    <s v="E2 - Published Emission Factors"/>
    <x v="1"/>
  </r>
  <r>
    <x v="29"/>
    <n v="30745"/>
    <x v="547"/>
    <x v="602"/>
    <n v="212220"/>
    <s v="Gold and silver ore mining"/>
    <s v="Extraction de minerais d'or et d'argent"/>
    <x v="7"/>
    <s v="NA - 08"/>
    <x v="1"/>
    <x v="1"/>
    <x v="3"/>
    <s v="Rejets à l'air"/>
    <s v="Fugitive"/>
    <s v="Émissions fugitives"/>
    <n v="0.16663600000000001"/>
    <x v="1"/>
    <s v="E2 - Published Emission Factors"/>
    <x v="1"/>
  </r>
  <r>
    <x v="5"/>
    <n v="19242"/>
    <x v="486"/>
    <x v="603"/>
    <n v="212315"/>
    <s v="Limestone Mining and Quarrying"/>
    <s v="Extraction de calcaire"/>
    <x v="2"/>
    <s v="NA - M09"/>
    <x v="83"/>
    <x v="83"/>
    <x v="3"/>
    <s v="Rejets à l'air"/>
    <s v="Fugitive"/>
    <s v="Émissions fugitives"/>
    <n v="35.569299999999998"/>
    <x v="0"/>
    <s v="E2 - Published Emission Factors"/>
    <x v="1"/>
  </r>
  <r>
    <x v="17"/>
    <n v="3928"/>
    <x v="31"/>
    <x v="32"/>
    <n v="324110"/>
    <s v="Petroleum refineries"/>
    <s v="Raffineries de pétrole"/>
    <x v="3"/>
    <s v="463-58-1"/>
    <x v="84"/>
    <x v="84"/>
    <x v="3"/>
    <s v="Rejets à l'air"/>
    <s v="Stack / Point"/>
    <s v="Rejets de cheminée ou ponctuels"/>
    <n v="0.109"/>
    <x v="0"/>
    <s v="M3 - Source Testing"/>
    <x v="1"/>
  </r>
  <r>
    <x v="30"/>
    <n v="2475"/>
    <x v="548"/>
    <x v="604"/>
    <n v="325181"/>
    <s v="Alkali and Chlorine Manufacturing"/>
    <s v="Fabrication d'alcalis et de chlore"/>
    <x v="3"/>
    <s v="10049-04-4"/>
    <x v="103"/>
    <x v="103"/>
    <x v="3"/>
    <s v="Rejets à l'air"/>
    <s v="Stack / Point"/>
    <s v="Rejets de cheminée ou ponctuels"/>
    <n v="2.19"/>
    <x v="0"/>
    <s v="M - Monitoring or Direct Measurement"/>
    <x v="1"/>
  </r>
  <r>
    <x v="18"/>
    <n v="8028"/>
    <x v="549"/>
    <x v="605"/>
    <n v="212395"/>
    <s v="Gypsum mining"/>
    <s v="Extraction de gypse"/>
    <x v="7"/>
    <s v="630-08-0"/>
    <x v="87"/>
    <x v="87"/>
    <x v="3"/>
    <s v="Rejets à l'air"/>
    <s v="Other Non-Point"/>
    <s v="Autres rejets non ponctuels"/>
    <n v="14.423"/>
    <x v="0"/>
    <s v="O - Engineering Estimates"/>
    <x v="1"/>
  </r>
  <r>
    <x v="26"/>
    <n v="3962"/>
    <x v="550"/>
    <x v="89"/>
    <n v="324110"/>
    <s v="Petroleum Refineries"/>
    <s v="Raffineries de pétrole"/>
    <x v="0"/>
    <s v="129-00-0"/>
    <x v="73"/>
    <x v="73"/>
    <x v="3"/>
    <s v="Rejets à l'air"/>
    <s v="Stack / Point"/>
    <s v="Rejets de cheminée ou ponctuels"/>
    <n v="7.2999999999999995E-2"/>
    <x v="1"/>
    <s v="E2 - Published Emission Factors"/>
    <x v="1"/>
  </r>
  <r>
    <x v="14"/>
    <n v="6552"/>
    <x v="551"/>
    <x v="606"/>
    <n v="311119"/>
    <s v="Other animal food manufacturing"/>
    <s v="Fabrication d'aliments pour autres animaux"/>
    <x v="1"/>
    <s v="NA - M09"/>
    <x v="83"/>
    <x v="83"/>
    <x v="3"/>
    <s v="Rejets à l'air"/>
    <s v="Fugitive"/>
    <s v="Émissions fugitives"/>
    <n v="3.2465999999999999"/>
    <x v="0"/>
    <s v="O - Engineering Estimates"/>
    <x v="1"/>
  </r>
  <r>
    <x v="4"/>
    <n v="2120"/>
    <x v="181"/>
    <x v="607"/>
    <n v="211113"/>
    <s v="Conventional Oil and Gas Extraction"/>
    <s v="Extraction de pétrole et de gaz par des méthodes classiques"/>
    <x v="4"/>
    <s v="110-82-7"/>
    <x v="71"/>
    <x v="71"/>
    <x v="3"/>
    <s v="Rejets à l'air"/>
    <s v="Fugitive"/>
    <s v="Émissions fugitives"/>
    <n v="4.3999999999999997E-2"/>
    <x v="0"/>
    <s v="E - Emission Factor"/>
    <x v="1"/>
  </r>
  <r>
    <x v="0"/>
    <n v="3713"/>
    <x v="54"/>
    <x v="0"/>
    <n v="331110"/>
    <s v="Iron and Steel Mills and Ferro-Alloy Manufacturing"/>
    <s v="Sidérurgie"/>
    <x v="0"/>
    <s v="NA - 08"/>
    <x v="1"/>
    <x v="1"/>
    <x v="3"/>
    <s v="Rejets à l'air"/>
    <s v="Fugitive"/>
    <s v="Émissions fugitives"/>
    <n v="0.33"/>
    <x v="0"/>
    <s v="O - Engineering Estimates"/>
    <x v="1"/>
  </r>
  <r>
    <x v="7"/>
    <n v="30943"/>
    <x v="552"/>
    <x v="608"/>
    <n v="311814"/>
    <s v="Commercial bakeries and frozen bakery product manufacturing"/>
    <s v="Boulangeries commerciales et fabrication de produits de boulangerie congelés"/>
    <x v="0"/>
    <s v="NA - M10"/>
    <x v="86"/>
    <x v="86"/>
    <x v="3"/>
    <s v="Rejets à l'air"/>
    <s v="Stack / Point"/>
    <s v="Rejets de cheminée ou ponctuels"/>
    <n v="5.6499999999999996E-3"/>
    <x v="0"/>
    <s v="E2 - Published Emission Factors"/>
    <x v="1"/>
  </r>
  <r>
    <x v="29"/>
    <n v="22587"/>
    <x v="499"/>
    <x v="609"/>
    <n v="418390"/>
    <s v="Agricultural chemical and other farm supplies merchant wholesalers"/>
    <s v="Grossistes-marchands de produits chimiques et autres fournitures agricoles"/>
    <x v="5"/>
    <s v="NA - M08"/>
    <x v="89"/>
    <x v="89"/>
    <x v="3"/>
    <s v="Rejets à l'air"/>
    <s v="Fugitive"/>
    <s v="Émissions fugitives"/>
    <n v="29.678000000000001"/>
    <x v="0"/>
    <s v="O - Engineering Estimates"/>
    <x v="1"/>
  </r>
  <r>
    <x v="13"/>
    <n v="7228"/>
    <x v="553"/>
    <x v="610"/>
    <n v="221112"/>
    <s v="Fossil-Fuel Electric Power Generation"/>
    <s v="Production d'électricité à partir de combustibles fossiles"/>
    <x v="0"/>
    <s v="NA - M10"/>
    <x v="86"/>
    <x v="86"/>
    <x v="3"/>
    <s v="Rejets à l'air"/>
    <s v="Stack / Point"/>
    <s v="Rejets de cheminée ou ponctuels"/>
    <n v="0.58599999999999997"/>
    <x v="0"/>
    <s v="E2 - Published Emission Factors"/>
    <x v="1"/>
  </r>
  <r>
    <x v="18"/>
    <n v="15180"/>
    <x v="33"/>
    <x v="611"/>
    <n v="211113"/>
    <s v="Conventional oil and gas extraction"/>
    <s v="Extraction de pétrole et de gaz par des méthodes classiques"/>
    <x v="4"/>
    <s v="11104-93-1"/>
    <x v="92"/>
    <x v="92"/>
    <x v="3"/>
    <s v="Rejets à l'air"/>
    <s v="Stack / Point"/>
    <s v="Rejets de cheminée ou ponctuels"/>
    <n v="68.259"/>
    <x v="0"/>
    <s v="E2 - Published Emission Factors"/>
    <x v="1"/>
  </r>
  <r>
    <x v="22"/>
    <n v="5650"/>
    <x v="554"/>
    <x v="612"/>
    <n v="323119"/>
    <s v="Other Printing"/>
    <s v="Autres activités d'impression"/>
    <x v="0"/>
    <s v="78-83-1"/>
    <x v="23"/>
    <x v="23"/>
    <x v="3"/>
    <s v="Rejets à l'air"/>
    <s v="Stack / Point"/>
    <s v="Rejets de cheminée ou ponctuels"/>
    <n v="0.05"/>
    <x v="0"/>
    <s v="O - Engineering Estimates"/>
    <x v="1"/>
  </r>
  <r>
    <x v="7"/>
    <n v="7659"/>
    <x v="555"/>
    <x v="613"/>
    <n v="411120"/>
    <s v="Oilseed and grain merchant wholesalers"/>
    <s v="Grossistes-marchands de graines oléagineuses et de grains céréaliers"/>
    <x v="0"/>
    <s v="NA - M09"/>
    <x v="83"/>
    <x v="83"/>
    <x v="3"/>
    <s v="Rejets à l'air"/>
    <s v="Storage / Handling"/>
    <s v="Rejets de stockage ou manutention"/>
    <n v="3.6219999999999999"/>
    <x v="0"/>
    <s v="E2 - Published Emission Factors"/>
    <x v="1"/>
  </r>
  <r>
    <x v="9"/>
    <n v="3897"/>
    <x v="319"/>
    <x v="41"/>
    <n v="324110"/>
    <s v="Petroleum refineries"/>
    <s v="Raffineries de pétrole"/>
    <x v="3"/>
    <s v="NA - 03"/>
    <x v="28"/>
    <x v="28"/>
    <x v="4"/>
    <s v="Rejets dans l'eau"/>
    <s v="Direct Discharges"/>
    <s v="Évacuation directes"/>
    <n v="24.94"/>
    <x v="1"/>
    <s v="O - Engineering Estimates"/>
    <x v="1"/>
  </r>
  <r>
    <x v="29"/>
    <n v="30720"/>
    <x v="556"/>
    <x v="614"/>
    <n v="211110"/>
    <s v="Oil and gas extraction (except oil sands)"/>
    <s v="Extraction de pétrole et de gaz (à l'exception des sables bitumineux)"/>
    <x v="5"/>
    <s v="NA - M16"/>
    <x v="96"/>
    <x v="96"/>
    <x v="3"/>
    <s v="Rejets à l'air"/>
    <s v="Storage / Handling"/>
    <s v="Rejets de stockage ou manutention"/>
    <n v="20.661000000000001"/>
    <x v="0"/>
    <s v="E2 - Published Emission Factors"/>
    <x v="1"/>
  </r>
  <r>
    <x v="6"/>
    <n v="1941"/>
    <x v="557"/>
    <x v="615"/>
    <n v="212220"/>
    <s v="Gold and Silver Ore Mining"/>
    <s v="Extraction de minerais d'or et d'argent"/>
    <x v="0"/>
    <s v="7647-01-0"/>
    <x v="7"/>
    <x v="7"/>
    <x v="3"/>
    <s v="Rejets à l'air"/>
    <s v="Fugitive"/>
    <s v="Émissions fugitives"/>
    <n v="0.1"/>
    <x v="0"/>
    <s v="O - Engineering Estimates"/>
    <x v="1"/>
  </r>
  <r>
    <x v="27"/>
    <n v="10019"/>
    <x v="558"/>
    <x v="616"/>
    <n v="212323"/>
    <s v="Sand and Gravel Mining and Quarrying"/>
    <s v="Extraction de sable et de gravier"/>
    <x v="0"/>
    <s v="NA - M08"/>
    <x v="89"/>
    <x v="89"/>
    <x v="3"/>
    <s v="Rejets à l'air"/>
    <s v="Road dust"/>
    <s v="Poussières de routes"/>
    <n v="137.477"/>
    <x v="0"/>
    <s v="E2 - Published Emission Factors"/>
    <x v="1"/>
  </r>
  <r>
    <x v="16"/>
    <n v="17813"/>
    <x v="418"/>
    <x v="617"/>
    <n v="211113"/>
    <s v="Conventional Oil and Gas Extraction"/>
    <s v="Extraction de pétrole et de gaz par des méthodes classiques"/>
    <x v="5"/>
    <s v="NA - M09"/>
    <x v="83"/>
    <x v="83"/>
    <x v="3"/>
    <s v="Rejets à l'air"/>
    <s v="Stack / Point"/>
    <s v="Rejets de cheminée ou ponctuels"/>
    <n v="1.6160000000000001"/>
    <x v="0"/>
    <s v="E2 - Published Emission Factors"/>
    <x v="1"/>
  </r>
  <r>
    <x v="13"/>
    <n v="10198"/>
    <x v="559"/>
    <x v="618"/>
    <n v="212315"/>
    <s v="Limestone Mining and Quarrying"/>
    <s v="Extraction de calcaire"/>
    <x v="0"/>
    <s v="NA - M10"/>
    <x v="86"/>
    <x v="86"/>
    <x v="3"/>
    <s v="Rejets à l'air"/>
    <s v="Stack / Point"/>
    <s v="Rejets de cheminée ou ponctuels"/>
    <n v="1.655"/>
    <x v="0"/>
    <s v="E1 - Site Specific Emission Factors"/>
    <x v="1"/>
  </r>
  <r>
    <x v="9"/>
    <n v="2173"/>
    <x v="560"/>
    <x v="619"/>
    <n v="322122"/>
    <s v="Newsprint mills"/>
    <s v="Usines de papier journal"/>
    <x v="0"/>
    <s v="NA - 16"/>
    <x v="49"/>
    <x v="49"/>
    <x v="4"/>
    <s v="Rejets dans l'eau"/>
    <s v="Direct Discharges"/>
    <s v="Évacuation directes"/>
    <n v="1.4330000000000001"/>
    <x v="0"/>
    <s v="M3 - Source Testing"/>
    <x v="1"/>
  </r>
  <r>
    <x v="22"/>
    <n v="3292"/>
    <x v="561"/>
    <x v="620"/>
    <n v="322130"/>
    <s v="Paperboard Mills"/>
    <s v="Usines de carton"/>
    <x v="3"/>
    <s v="7647-01-0"/>
    <x v="7"/>
    <x v="7"/>
    <x v="3"/>
    <s v="Rejets à l'air"/>
    <s v="Stack / Point"/>
    <s v="Rejets de cheminée ou ponctuels"/>
    <n v="12.9"/>
    <x v="0"/>
    <s v="E - Emission Factor"/>
    <x v="1"/>
  </r>
  <r>
    <x v="29"/>
    <n v="33007"/>
    <x v="562"/>
    <x v="621"/>
    <n v="211110"/>
    <s v="Oil and gas extraction (except oil sands)"/>
    <s v="Extraction de pétrole et de gaz (à l'exception des sables bitumineux)"/>
    <x v="4"/>
    <s v="NA - M16"/>
    <x v="96"/>
    <x v="96"/>
    <x v="3"/>
    <s v="Rejets à l'air"/>
    <s v="Stack / Point"/>
    <s v="Rejets de cheminée ou ponctuels"/>
    <n v="1.4092"/>
    <x v="0"/>
    <s v="E2 - Published Emission Factors"/>
    <x v="1"/>
  </r>
  <r>
    <x v="8"/>
    <n v="1147"/>
    <x v="563"/>
    <x v="622"/>
    <n v="212291"/>
    <s v="Uranium Ore Mining"/>
    <s v="Extraction de minerais d'uranium"/>
    <x v="5"/>
    <s v="NA - M10"/>
    <x v="86"/>
    <x v="86"/>
    <x v="3"/>
    <s v="Rejets à l'air"/>
    <s v="Road dust"/>
    <s v="Poussières de routes"/>
    <n v="13.997"/>
    <x v="0"/>
    <s v="E2 - Published Emission Factors"/>
    <x v="1"/>
  </r>
  <r>
    <x v="5"/>
    <n v="16304"/>
    <x v="218"/>
    <x v="623"/>
    <n v="211113"/>
    <s v="Conventional Oil and Gas Extraction"/>
    <s v="Extraction de pétrole et de gaz par des méthodes classiques"/>
    <x v="4"/>
    <s v="11104-93-1"/>
    <x v="92"/>
    <x v="92"/>
    <x v="3"/>
    <s v="Rejets à l'air"/>
    <s v="Stack / Point"/>
    <s v="Rejets de cheminée ou ponctuels"/>
    <n v="22.324999999999999"/>
    <x v="0"/>
    <s v="E2 - Published Emission Factors"/>
    <x v="1"/>
  </r>
  <r>
    <x v="9"/>
    <n v="28159"/>
    <x v="564"/>
    <x v="624"/>
    <n v="211113"/>
    <s v="Conventional oil and gas extraction"/>
    <s v="Extraction de pétrole et de gaz par des méthodes classiques"/>
    <x v="4"/>
    <s v="630-08-0"/>
    <x v="87"/>
    <x v="87"/>
    <x v="3"/>
    <s v="Rejets à l'air"/>
    <s v="Stack / Point"/>
    <s v="Rejets de cheminée ou ponctuels"/>
    <n v="21.498999999999999"/>
    <x v="0"/>
    <s v="E2 - Published Emission Factors"/>
    <x v="1"/>
  </r>
  <r>
    <x v="18"/>
    <n v="26545"/>
    <x v="565"/>
    <x v="625"/>
    <n v="211113"/>
    <s v="Conventional oil and gas extraction"/>
    <s v="Extraction de pétrole et de gaz par des méthodes classiques"/>
    <x v="5"/>
    <s v="NA - M09"/>
    <x v="83"/>
    <x v="83"/>
    <x v="3"/>
    <s v="Rejets à l'air"/>
    <s v="Stack / Point"/>
    <s v="Rejets de cheminée ou ponctuels"/>
    <n v="10.916"/>
    <x v="0"/>
    <s v="E2 - Published Emission Factors"/>
    <x v="1"/>
  </r>
  <r>
    <x v="1"/>
    <n v="11514"/>
    <x v="566"/>
    <x v="626"/>
    <n v="212232"/>
    <s v="Nickel-copper ore mining"/>
    <s v="Extraction de minerais de nickel-cuivre"/>
    <x v="0"/>
    <s v="NA - 05"/>
    <x v="16"/>
    <x v="16"/>
    <x v="3"/>
    <s v="Rejets à l'air"/>
    <s v="Stack / Point"/>
    <s v="Rejets de cheminée ou ponctuels"/>
    <n v="1E-4"/>
    <x v="0"/>
    <s v="C - Mass Balance"/>
    <x v="1"/>
  </r>
  <r>
    <x v="17"/>
    <n v="4097"/>
    <x v="567"/>
    <x v="627"/>
    <n v="325189"/>
    <s v="All other basic inorganic chemical manufacturing"/>
    <s v="Fabrication de tous les autres produits chimiques inorganiques de base"/>
    <x v="1"/>
    <s v="NA - M14"/>
    <x v="97"/>
    <x v="97"/>
    <x v="3"/>
    <s v="Rejets à l'air"/>
    <s v="Fugitive"/>
    <s v="Émissions fugitives"/>
    <n v="0.372"/>
    <x v="0"/>
    <s v="E2 - Published Emission Factors"/>
    <x v="1"/>
  </r>
  <r>
    <x v="8"/>
    <n v="15014"/>
    <x v="568"/>
    <x v="628"/>
    <n v="324121"/>
    <s v="Asphalt Paving Mixture and Block Manufacturing"/>
    <s v="Fabrication de mélanges d'asphaltage et de pavés d'asphalte"/>
    <x v="2"/>
    <s v="NA - M09"/>
    <x v="83"/>
    <x v="83"/>
    <x v="3"/>
    <s v="Rejets à l'air"/>
    <s v="Stack / Point"/>
    <s v="Rejets de cheminée ou ponctuels"/>
    <n v="1.4E-2"/>
    <x v="0"/>
    <s v="E2 - Published Emission Factors"/>
    <x v="1"/>
  </r>
  <r>
    <x v="19"/>
    <n v="4905"/>
    <x v="211"/>
    <x v="223"/>
    <n v="335920"/>
    <s v="Communication and Energy Wire and Cable Manufacturing"/>
    <s v="Fabrication de fils et de câbles électriques et de communication"/>
    <x v="3"/>
    <s v="NA - 14"/>
    <x v="13"/>
    <x v="13"/>
    <x v="2"/>
    <s v="Total des rejets dans tous les milieux (&lt;1tonne)"/>
    <s v="All Media"/>
    <s v="Rejets à tous les médias"/>
    <n v="1E-3"/>
    <x v="0"/>
    <s v="O - Engineering Estimates"/>
    <x v="1"/>
  </r>
  <r>
    <x v="9"/>
    <n v="5474"/>
    <x v="558"/>
    <x v="629"/>
    <n v="327310"/>
    <s v="Cement manufacturing"/>
    <s v="Fabrication de ciment"/>
    <x v="3"/>
    <s v="NA - 03"/>
    <x v="28"/>
    <x v="28"/>
    <x v="4"/>
    <s v="Rejets dans l'eau"/>
    <s v="Direct Discharges"/>
    <s v="Évacuation directes"/>
    <n v="3.5999999999999999E-3"/>
    <x v="1"/>
    <s v="M3 - Source Testing"/>
    <x v="1"/>
  </r>
  <r>
    <x v="8"/>
    <n v="3807"/>
    <x v="525"/>
    <x v="630"/>
    <n v="325313"/>
    <s v="Chemical Fertilizer (except Potash) Manufacturing"/>
    <s v="Fabrication d'engrais chimiques (sauf la potasse)"/>
    <x v="0"/>
    <s v="NA - 16"/>
    <x v="49"/>
    <x v="49"/>
    <x v="3"/>
    <s v="Rejets à l'air"/>
    <s v="Stack / Point"/>
    <s v="Rejets de cheminée ou ponctuels"/>
    <n v="914.86"/>
    <x v="0"/>
    <s v="M3 - Source Testing"/>
    <x v="1"/>
  </r>
  <r>
    <x v="18"/>
    <n v="2334"/>
    <x v="569"/>
    <x v="631"/>
    <n v="418410"/>
    <s v="Chemical (except agricultural) and allied product merchant wholesalers"/>
    <s v="Grossistes-marchands de produits chimiques et de produits analogues (sauf agricoles)"/>
    <x v="3"/>
    <s v="108-88-3"/>
    <x v="5"/>
    <x v="5"/>
    <x v="2"/>
    <s v="Total des rejets dans tous les milieux (&lt;1tonne)"/>
    <s v="All Media"/>
    <s v="Rejets à tous les médias"/>
    <n v="0.19400000000000001"/>
    <x v="0"/>
    <s v="O - Engineering Estimates"/>
    <x v="1"/>
  </r>
  <r>
    <x v="27"/>
    <n v="19410"/>
    <x v="250"/>
    <x v="632"/>
    <n v="211113"/>
    <s v="Conventional Oil and Gas Extraction"/>
    <s v="Extraction de pétrole et de gaz par des méthodes classiques"/>
    <x v="4"/>
    <s v="NA - M09"/>
    <x v="83"/>
    <x v="83"/>
    <x v="3"/>
    <s v="Rejets à l'air"/>
    <s v="Stack / Point"/>
    <s v="Rejets de cheminée ou ponctuels"/>
    <n v="0.60399999999999998"/>
    <x v="0"/>
    <s v="E2 - Published Emission Factors"/>
    <x v="1"/>
  </r>
  <r>
    <x v="8"/>
    <n v="7710"/>
    <x v="381"/>
    <x v="633"/>
    <n v="321111"/>
    <s v="Sawmills (except Shingle and Shake Mills)"/>
    <s v="Scieries (sauf les usines de bardeaux et de bardeaux de fente)"/>
    <x v="2"/>
    <s v="630-08-0"/>
    <x v="87"/>
    <x v="87"/>
    <x v="3"/>
    <s v="Rejets à l'air"/>
    <s v="Stack / Point"/>
    <s v="Rejets de cheminée ou ponctuels"/>
    <n v="7804.27"/>
    <x v="0"/>
    <s v="E2 - Published Emission Factors"/>
    <x v="1"/>
  </r>
  <r>
    <x v="20"/>
    <n v="4"/>
    <x v="570"/>
    <x v="634"/>
    <n v="322122"/>
    <s v="Newsprint Mills"/>
    <s v="Usines de papier journal"/>
    <x v="1"/>
    <s v="NA - 09"/>
    <x v="12"/>
    <x v="12"/>
    <x v="4"/>
    <s v="Rejets dans l'eau"/>
    <s v="Direct Discharges"/>
    <s v="Évacuation directes"/>
    <n v="3.07"/>
    <x v="0"/>
    <s v="M3 - Source Testing"/>
    <x v="1"/>
  </r>
  <r>
    <x v="12"/>
    <n v="15716"/>
    <x v="250"/>
    <x v="635"/>
    <n v="211110"/>
    <s v="Oil and gas extraction (except oil sands)"/>
    <s v="Extraction de pétrole et de gaz (à l'exception des sables bitumineux)"/>
    <x v="2"/>
    <s v="NA - M08"/>
    <x v="89"/>
    <x v="89"/>
    <x v="3"/>
    <s v="Rejets à l'air"/>
    <s v="Stack / Point"/>
    <s v="Rejets de cheminée ou ponctuels"/>
    <n v="0.128"/>
    <x v="0"/>
    <s v="E2 - Published Emission Factors"/>
    <x v="1"/>
  </r>
  <r>
    <x v="9"/>
    <n v="28717"/>
    <x v="571"/>
    <x v="636"/>
    <n v="211113"/>
    <s v="Conventional oil and gas extraction"/>
    <s v="Extraction de pétrole et de gaz par des méthodes classiques"/>
    <x v="2"/>
    <s v="630-08-0"/>
    <x v="87"/>
    <x v="87"/>
    <x v="3"/>
    <s v="Rejets à l'air"/>
    <s v="Stack / Point"/>
    <s v="Rejets de cheminée ou ponctuels"/>
    <n v="44.871000000000002"/>
    <x v="0"/>
    <s v="E2 - Published Emission Factors"/>
    <x v="1"/>
  </r>
  <r>
    <x v="1"/>
    <n v="4743"/>
    <x v="377"/>
    <x v="401"/>
    <n v="221320"/>
    <s v="Sewage treatment facilities"/>
    <s v="Installations d'épuration des eaux usées"/>
    <x v="0"/>
    <s v="NA - 10"/>
    <x v="9"/>
    <x v="9"/>
    <x v="3"/>
    <s v="Rejets à l'air"/>
    <s v="Stack / Point"/>
    <s v="Rejets de cheminée ou ponctuels"/>
    <n v="4.6260000000000003"/>
    <x v="1"/>
    <s v="M3 - Source Testing"/>
    <x v="1"/>
  </r>
  <r>
    <x v="7"/>
    <n v="28320"/>
    <x v="250"/>
    <x v="637"/>
    <n v="211110"/>
    <s v="Oil and gas extraction (except oil sands)"/>
    <s v="Extraction de pétrole et de gaz (à l'exception des sables bitumineux)"/>
    <x v="4"/>
    <s v="NA - M08"/>
    <x v="89"/>
    <x v="89"/>
    <x v="3"/>
    <s v="Rejets à l'air"/>
    <s v="Stack / Point"/>
    <s v="Rejets de cheminée ou ponctuels"/>
    <n v="0.41"/>
    <x v="0"/>
    <s v="E2 - Published Emission Factors"/>
    <x v="1"/>
  </r>
  <r>
    <x v="19"/>
    <n v="16656"/>
    <x v="375"/>
    <x v="638"/>
    <n v="211113"/>
    <s v="Conventional Oil and Gas Extraction"/>
    <s v="Extraction de pétrole et de gaz par des méthodes classiques"/>
    <x v="4"/>
    <s v="NA - M10"/>
    <x v="86"/>
    <x v="86"/>
    <x v="3"/>
    <s v="Rejets à l'air"/>
    <s v="Stack / Point"/>
    <s v="Rejets de cheminée ou ponctuels"/>
    <n v="1.21"/>
    <x v="0"/>
    <s v="E2 - Published Emission Factors"/>
    <x v="1"/>
  </r>
  <r>
    <x v="9"/>
    <n v="27853"/>
    <x v="279"/>
    <x v="639"/>
    <n v="331313"/>
    <s v="Primary production of alumina and aluminum"/>
    <s v="Production primaire d'alumine et d'aluminium"/>
    <x v="3"/>
    <s v="7446-09-5"/>
    <x v="85"/>
    <x v="85"/>
    <x v="3"/>
    <s v="Rejets à l'air"/>
    <s v="Stack / Point"/>
    <s v="Rejets de cheminée ou ponctuels"/>
    <n v="716.99199999999996"/>
    <x v="0"/>
    <s v="C - Mass Balance"/>
    <x v="1"/>
  </r>
  <r>
    <x v="17"/>
    <n v="28540"/>
    <x v="572"/>
    <x v="640"/>
    <n v="321211"/>
    <s v="Hardwood veneer and plywood mills"/>
    <s v="Usines de placages et de contreplaqués de feuillus"/>
    <x v="3"/>
    <s v="NA - M10"/>
    <x v="86"/>
    <x v="86"/>
    <x v="3"/>
    <s v="Rejets à l'air"/>
    <s v="Stack / Point"/>
    <s v="Rejets de cheminée ou ponctuels"/>
    <n v="0.15"/>
    <x v="0"/>
    <s v="E2 - Published Emission Factors"/>
    <x v="1"/>
  </r>
  <r>
    <x v="12"/>
    <n v="5366"/>
    <x v="573"/>
    <x v="641"/>
    <n v="321111"/>
    <s v="Sawmills (except shingle and shake mills)"/>
    <s v="Scieries (sauf les usines de bardeaux et de bardeaux de fente)"/>
    <x v="4"/>
    <s v="630-08-0"/>
    <x v="87"/>
    <x v="87"/>
    <x v="3"/>
    <s v="Rejets à l'air"/>
    <s v="Stack / Point"/>
    <s v="Rejets de cheminée ou ponctuels"/>
    <n v="247.8"/>
    <x v="0"/>
    <s v="E2 - Published Emission Factors"/>
    <x v="1"/>
  </r>
  <r>
    <x v="11"/>
    <n v="3927"/>
    <x v="574"/>
    <x v="642"/>
    <n v="336390"/>
    <s v="Other motor vehicle parts manufacturing"/>
    <s v="Fabrication d'autres pièces pour véhicules automobiles"/>
    <x v="0"/>
    <s v="NA - 06"/>
    <x v="15"/>
    <x v="15"/>
    <x v="3"/>
    <s v="Rejets à l'air"/>
    <s v="Stack / Point"/>
    <s v="Rejets de cheminée ou ponctuels"/>
    <n v="4.1000000000000002E-2"/>
    <x v="0"/>
    <s v="O - Engineering Estimates"/>
    <x v="1"/>
  </r>
  <r>
    <x v="2"/>
    <n v="28047"/>
    <x v="494"/>
    <x v="643"/>
    <n v="211113"/>
    <s v="Conventional oil and gas extraction"/>
    <s v="Extraction de pétrole et de gaz par des méthodes classiques"/>
    <x v="4"/>
    <s v="NA - M09"/>
    <x v="83"/>
    <x v="83"/>
    <x v="3"/>
    <s v="Rejets à l'air"/>
    <s v="Stack / Point"/>
    <s v="Rejets de cheminée ou ponctuels"/>
    <n v="1.1758999999999999"/>
    <x v="0"/>
    <s v="O - Engineering Estimates"/>
    <x v="1"/>
  </r>
  <r>
    <x v="21"/>
    <n v="28716"/>
    <x v="250"/>
    <x v="644"/>
    <n v="211110"/>
    <s v="Oil and gas extraction (except oil sands)"/>
    <s v="Extraction de pétrole et de gaz (à l'exception des sables bitumineux)"/>
    <x v="4"/>
    <s v="NA - M08"/>
    <x v="89"/>
    <x v="89"/>
    <x v="3"/>
    <s v="Rejets à l'air"/>
    <s v="Stack / Point"/>
    <s v="Rejets de cheminée ou ponctuels"/>
    <n v="0.35299999999999998"/>
    <x v="0"/>
    <s v="E2 - Published Emission Factors"/>
    <x v="1"/>
  </r>
  <r>
    <x v="11"/>
    <n v="15437"/>
    <x v="575"/>
    <x v="645"/>
    <n v="221210"/>
    <s v="Natural gas distribution"/>
    <s v="Distribution de gaz naturel"/>
    <x v="4"/>
    <s v="NA - M16"/>
    <x v="88"/>
    <x v="88"/>
    <x v="3"/>
    <s v="Rejets à l'air"/>
    <s v="Stack / Point"/>
    <s v="Rejets de cheminée ou ponctuels"/>
    <n v="7.548"/>
    <x v="0"/>
    <s v="E2 - Published Emission Factors"/>
    <x v="1"/>
  </r>
  <r>
    <x v="29"/>
    <n v="18480"/>
    <x v="474"/>
    <x v="646"/>
    <n v="211110"/>
    <s v="Oil and gas extraction (except oil sands)"/>
    <s v="Extraction de pétrole et de gaz (à l'exception des sables bitumineux)"/>
    <x v="4"/>
    <s v="NA - M16"/>
    <x v="96"/>
    <x v="96"/>
    <x v="3"/>
    <s v="Rejets à l'air"/>
    <s v="Stack / Point"/>
    <s v="Rejets de cheminée ou ponctuels"/>
    <n v="0.31330000000000002"/>
    <x v="0"/>
    <s v="E2 - Published Emission Factors"/>
    <x v="1"/>
  </r>
  <r>
    <x v="14"/>
    <n v="5513"/>
    <x v="576"/>
    <x v="647"/>
    <n v="321211"/>
    <s v="Hardwood veneer and plywood mills"/>
    <s v="Usines de placages et de contreplaqués de feuillus"/>
    <x v="3"/>
    <s v="NA - M10"/>
    <x v="86"/>
    <x v="86"/>
    <x v="3"/>
    <s v="Rejets à l'air"/>
    <s v="Fugitive"/>
    <s v="Émissions fugitives"/>
    <n v="0.74"/>
    <x v="0"/>
    <s v="E1 - Site Specific Emission Factors"/>
    <x v="1"/>
  </r>
  <r>
    <x v="19"/>
    <n v="1162"/>
    <x v="345"/>
    <x v="365"/>
    <n v="325110"/>
    <s v="Petrochemical Manufacturing"/>
    <s v="Fabrication de produits pétrochimiques"/>
    <x v="4"/>
    <s v="115-07-1"/>
    <x v="104"/>
    <x v="104"/>
    <x v="3"/>
    <s v="Rejets à l'air"/>
    <s v="Spills"/>
    <s v="Déversements"/>
    <n v="3.0000000000000001E-3"/>
    <x v="0"/>
    <s v="O - Engineering Estimates"/>
    <x v="1"/>
  </r>
  <r>
    <x v="7"/>
    <n v="27944"/>
    <x v="446"/>
    <x v="648"/>
    <n v="211110"/>
    <s v="Oil and gas extraction (except oil sands)"/>
    <s v="Extraction de pétrole et de gaz (à l'exception des sables bitumineux)"/>
    <x v="4"/>
    <s v="NA - M09"/>
    <x v="83"/>
    <x v="83"/>
    <x v="3"/>
    <s v="Rejets à l'air"/>
    <s v="Stack / Point"/>
    <s v="Rejets de cheminée ou ponctuels"/>
    <n v="0.114"/>
    <x v="0"/>
    <s v="E2 - Published Emission Factors"/>
    <x v="1"/>
  </r>
  <r>
    <x v="11"/>
    <n v="10215"/>
    <x v="12"/>
    <x v="309"/>
    <n v="412110"/>
    <s v="Petroleum and petroleum products merchant wholesalers"/>
    <s v="Grossistes-marchands de pétrole et de produits pétroliers"/>
    <x v="4"/>
    <s v="192-97-2"/>
    <x v="42"/>
    <x v="42"/>
    <x v="3"/>
    <s v="Rejets à l'air"/>
    <s v="Storage / Handling"/>
    <s v="Rejets de stockage ou manutention"/>
    <n v="2.0999999999999999E-3"/>
    <x v="1"/>
    <s v="E2 - Published Emission Factors"/>
    <x v="1"/>
  </r>
  <r>
    <x v="3"/>
    <n v="1785"/>
    <x v="70"/>
    <x v="649"/>
    <n v="325110"/>
    <s v="Petrochemical Manufacturing"/>
    <s v="Fabrication de produits pétrochimiques"/>
    <x v="0"/>
    <s v="NA - 10"/>
    <x v="9"/>
    <x v="9"/>
    <x v="3"/>
    <s v="Rejets à l'air"/>
    <s v="Stack / Point"/>
    <s v="Rejets de cheminée ou ponctuels"/>
    <n v="0.32"/>
    <x v="1"/>
    <s v="E - Emission Factor"/>
    <x v="1"/>
  </r>
  <r>
    <x v="26"/>
    <n v="2567"/>
    <x v="577"/>
    <x v="650"/>
    <n v="326150"/>
    <s v="Urethane and Other Foam Product (except Polystyrene) Manufacturing"/>
    <s v="Fabrication de produits en mousse d'uréthane et en d'autres mousses plastiques (sauf de polystyrène)"/>
    <x v="0"/>
    <s v="26471-62-5"/>
    <x v="94"/>
    <x v="94"/>
    <x v="3"/>
    <s v="Rejets à l'air"/>
    <s v="Other Non-Point"/>
    <s v="Autres rejets non ponctuels"/>
    <n v="3.1E-2"/>
    <x v="0"/>
    <s v="C - Mass Balance"/>
    <x v="1"/>
  </r>
  <r>
    <x v="19"/>
    <n v="10399"/>
    <x v="578"/>
    <x v="651"/>
    <n v="562210"/>
    <s v="Waste Treatment and Disposal"/>
    <s v="Traitement et élimination des déchets"/>
    <x v="0"/>
    <s v="NA - M09"/>
    <x v="83"/>
    <x v="83"/>
    <x v="3"/>
    <s v="Rejets à l'air"/>
    <s v="Stack / Point"/>
    <s v="Rejets de cheminée ou ponctuels"/>
    <n v="2.1000000000000001E-2"/>
    <x v="0"/>
    <s v="E2 - Published Emission Factors"/>
    <x v="1"/>
  </r>
  <r>
    <x v="9"/>
    <n v="6671"/>
    <x v="579"/>
    <x v="652"/>
    <n v="212114"/>
    <s v="Bituminous coal mining"/>
    <s v="Extraction de charbon bitumineux"/>
    <x v="2"/>
    <s v="NA - M08"/>
    <x v="89"/>
    <x v="89"/>
    <x v="3"/>
    <s v="Rejets à l'air"/>
    <s v="Road dust"/>
    <s v="Poussières de routes"/>
    <n v="2752.05"/>
    <x v="0"/>
    <s v="E2 - Published Emission Factors"/>
    <x v="1"/>
  </r>
  <r>
    <x v="29"/>
    <n v="2855"/>
    <x v="146"/>
    <x v="156"/>
    <n v="325181"/>
    <s v="Alkali and chlorine manufacturing"/>
    <s v="Fabrication d'alcalis et de chlore"/>
    <x v="3"/>
    <s v="NA - M08"/>
    <x v="89"/>
    <x v="89"/>
    <x v="3"/>
    <s v="Rejets à l'air"/>
    <s v="Stack / Point"/>
    <s v="Rejets de cheminée ou ponctuels"/>
    <n v="4.9349999999999996"/>
    <x v="0"/>
    <s v="E2 - Published Emission Factors"/>
    <x v="1"/>
  </r>
  <r>
    <x v="9"/>
    <n v="2233"/>
    <x v="580"/>
    <x v="653"/>
    <n v="325313"/>
    <s v="Chemical fertilizer (except potash) manufacturing"/>
    <s v="Fabrication d'engrais chimiques (sauf la potasse)"/>
    <x v="0"/>
    <s v="NA - 11"/>
    <x v="4"/>
    <x v="4"/>
    <x v="3"/>
    <s v="Rejets à l'air"/>
    <s v="Stack / Point"/>
    <s v="Rejets de cheminée ou ponctuels"/>
    <n v="3.2000000000000002E-3"/>
    <x v="0"/>
    <s v="E2 - Published Emission Factors"/>
    <x v="1"/>
  </r>
  <r>
    <x v="26"/>
    <n v="4808"/>
    <x v="279"/>
    <x v="654"/>
    <n v="331313"/>
    <s v="Primary Production of Alumina and Aluminum"/>
    <s v="Production primaire d'alumine et d'aluminium"/>
    <x v="3"/>
    <s v="463-58-1"/>
    <x v="84"/>
    <x v="84"/>
    <x v="3"/>
    <s v="Rejets à l'air"/>
    <s v="Fugitive"/>
    <s v="Émissions fugitives"/>
    <n v="0.36"/>
    <x v="0"/>
    <s v="E2 - Published Emission Factors"/>
    <x v="1"/>
  </r>
  <r>
    <x v="14"/>
    <n v="6924"/>
    <x v="581"/>
    <x v="330"/>
    <n v="486110"/>
    <s v="Pipeline transportation of crude oil"/>
    <s v="Transport du pétrole brut par oléoduc"/>
    <x v="5"/>
    <s v="110-54-3"/>
    <x v="47"/>
    <x v="47"/>
    <x v="3"/>
    <s v="Rejets à l'air"/>
    <s v="Other Non-Point"/>
    <s v="Autres rejets non ponctuels"/>
    <n v="7.22E-2"/>
    <x v="0"/>
    <s v="O - Engineering Estimates"/>
    <x v="1"/>
  </r>
  <r>
    <x v="21"/>
    <n v="21075"/>
    <x v="582"/>
    <x v="655"/>
    <n v="237310"/>
    <s v="Highway, street and bridge construction"/>
    <s v="Construction de routes, de rues et de ponts"/>
    <x v="4"/>
    <s v="630-08-0"/>
    <x v="87"/>
    <x v="87"/>
    <x v="3"/>
    <s v="Rejets à l'air"/>
    <s v="Storage / Handling"/>
    <s v="Rejets de stockage ou manutention"/>
    <n v="8.9999999999999993E-3"/>
    <x v="0"/>
    <s v="E2 - Published Emission Factors"/>
    <x v="1"/>
  </r>
  <r>
    <x v="13"/>
    <n v="7861"/>
    <x v="583"/>
    <x v="656"/>
    <n v="321212"/>
    <s v="Softwood Veneer and Plywood Mills"/>
    <s v="Usines de placages et de contreplaqués de résineux"/>
    <x v="2"/>
    <s v="7446-09-5"/>
    <x v="85"/>
    <x v="85"/>
    <x v="3"/>
    <s v="Rejets à l'air"/>
    <s v="Stack / Point"/>
    <s v="Rejets de cheminée ou ponctuels"/>
    <n v="0.97799999999999998"/>
    <x v="0"/>
    <s v="E2 - Published Emission Factors"/>
    <x v="1"/>
  </r>
  <r>
    <x v="16"/>
    <n v="3928"/>
    <x v="376"/>
    <x v="32"/>
    <n v="324110"/>
    <s v="Petroleum Refineries"/>
    <s v="Raffineries de pétrole"/>
    <x v="3"/>
    <s v="NA - M10"/>
    <x v="86"/>
    <x v="86"/>
    <x v="3"/>
    <s v="Rejets à l'air"/>
    <s v="Fugitive"/>
    <s v="Émissions fugitives"/>
    <n v="4.8899999999999997"/>
    <x v="0"/>
    <s v="M3 - Source Testing"/>
    <x v="1"/>
  </r>
  <r>
    <x v="10"/>
    <n v="3653"/>
    <x v="584"/>
    <x v="657"/>
    <n v="332619"/>
    <s v="Other Fabricated Wire Product Manufacturing"/>
    <s v="Fabrication d'autres produits en fil métallique"/>
    <x v="3"/>
    <s v="7664-93-9"/>
    <x v="30"/>
    <x v="30"/>
    <x v="3"/>
    <s v="Rejets à l'air"/>
    <s v="Stack / Point"/>
    <s v="Rejets de cheminée ou ponctuels"/>
    <n v="1.2E-2"/>
    <x v="0"/>
    <s v="M - Monitoring or Direct Measurement"/>
    <x v="1"/>
  </r>
  <r>
    <x v="2"/>
    <n v="27914"/>
    <x v="585"/>
    <x v="658"/>
    <n v="562210"/>
    <s v="Waste treatment and disposal"/>
    <s v="Traitement et élimination des déchets"/>
    <x v="2"/>
    <s v="NA - M09"/>
    <x v="83"/>
    <x v="83"/>
    <x v="3"/>
    <s v="Rejets à l'air"/>
    <s v="Road dust"/>
    <s v="Poussières de routes"/>
    <n v="60.64"/>
    <x v="0"/>
    <s v="E2 - Published Emission Factors"/>
    <x v="1"/>
  </r>
  <r>
    <x v="28"/>
    <n v="3385"/>
    <x v="586"/>
    <x v="659"/>
    <n v="212233"/>
    <s v="Copper-Zinc Ore Mining"/>
    <s v="Extraction de minerais de cuivre-zinc"/>
    <x v="3"/>
    <s v="NA - 14"/>
    <x v="13"/>
    <x v="13"/>
    <x v="4"/>
    <s v="Rejets dans l'eau"/>
    <s v="Direct Discharges"/>
    <s v="Évacuation directes"/>
    <n v="0.70499999999999996"/>
    <x v="0"/>
    <s v="M - Monitoring or Direct Measurement"/>
    <x v="1"/>
  </r>
  <r>
    <x v="29"/>
    <n v="1779"/>
    <x v="36"/>
    <x v="660"/>
    <n v="325110"/>
    <s v="Petrochemical manufacturing"/>
    <s v="Fabrication de produits pétrochimiques"/>
    <x v="4"/>
    <s v="106-99-0"/>
    <x v="105"/>
    <x v="105"/>
    <x v="3"/>
    <s v="Rejets à l'air"/>
    <s v="Fugitive"/>
    <s v="Émissions fugitives"/>
    <n v="1.0152000000000001"/>
    <x v="0"/>
    <s v="E2 - Published Emission Factors"/>
    <x v="1"/>
  </r>
  <r>
    <x v="16"/>
    <n v="5236"/>
    <x v="587"/>
    <x v="661"/>
    <n v="212392"/>
    <s v="Diamond Mining"/>
    <s v="Extraction de diamant"/>
    <x v="6"/>
    <s v="NA - M10"/>
    <x v="86"/>
    <x v="86"/>
    <x v="3"/>
    <s v="Rejets à l'air"/>
    <s v="Road dust"/>
    <s v="Poussières de routes"/>
    <n v="13.75"/>
    <x v="0"/>
    <s v="O - Engineering Estimates"/>
    <x v="1"/>
  </r>
  <r>
    <x v="29"/>
    <n v="1748"/>
    <x v="588"/>
    <x v="662"/>
    <n v="321217"/>
    <s v="Waferboard mills"/>
    <s v="Usines de panneaux de copeaux"/>
    <x v="3"/>
    <s v="NA - M08"/>
    <x v="89"/>
    <x v="89"/>
    <x v="3"/>
    <s v="Rejets à l'air"/>
    <s v="Road dust"/>
    <s v="Poussières de routes"/>
    <n v="10.40254"/>
    <x v="0"/>
    <s v="E2 - Published Emission Factors"/>
    <x v="1"/>
  </r>
  <r>
    <x v="10"/>
    <n v="5169"/>
    <x v="381"/>
    <x v="663"/>
    <n v="321111"/>
    <s v="Sawmills (except Shingle and Shake Mills)"/>
    <s v="Scieries (sauf les usines de bardeaux et de bardeaux de fente)"/>
    <x v="2"/>
    <s v="630-08-0"/>
    <x v="87"/>
    <x v="87"/>
    <x v="3"/>
    <s v="Rejets à l'air"/>
    <s v="Stack / Point"/>
    <s v="Rejets de cheminée ou ponctuels"/>
    <n v="0"/>
    <x v="0"/>
    <s v="E - Emission Factor"/>
    <x v="1"/>
  </r>
  <r>
    <x v="17"/>
    <n v="18453"/>
    <x v="250"/>
    <x v="664"/>
    <n v="211110"/>
    <s v="Oil and gas extraction (except oil sands)"/>
    <s v="Extraction de pétrole et de gaz (à l'exception des sables bitumineux)"/>
    <x v="5"/>
    <s v="NA - M16"/>
    <x v="96"/>
    <x v="96"/>
    <x v="3"/>
    <s v="Rejets à l'air"/>
    <s v="Stack / Point"/>
    <s v="Rejets de cheminée ou ponctuels"/>
    <n v="0.12661"/>
    <x v="0"/>
    <s v="E2 - Published Emission Factors"/>
    <x v="1"/>
  </r>
  <r>
    <x v="11"/>
    <n v="8060"/>
    <x v="255"/>
    <x v="541"/>
    <n v="211113"/>
    <s v="Conventional oil and gas extraction"/>
    <s v="Extraction de pétrole et de gaz par des méthodes classiques"/>
    <x v="10"/>
    <s v="NA - M16"/>
    <x v="88"/>
    <x v="88"/>
    <x v="3"/>
    <s v="Rejets à l'air"/>
    <s v="Storage / Handling"/>
    <s v="Rejets de stockage ou manutention"/>
    <n v="18.82"/>
    <x v="0"/>
    <s v="E1 - Site Specific Emission Factors"/>
    <x v="1"/>
  </r>
  <r>
    <x v="6"/>
    <n v="3707"/>
    <x v="12"/>
    <x v="24"/>
    <n v="324110"/>
    <s v="Petroleum Refineries"/>
    <s v="Raffineries de pétrole"/>
    <x v="4"/>
    <s v="1319-77-3"/>
    <x v="75"/>
    <x v="75"/>
    <x v="3"/>
    <s v="Rejets à l'air"/>
    <s v="Storage / Handling"/>
    <s v="Rejets de stockage ou manutention"/>
    <n v="1E-3"/>
    <x v="0"/>
    <s v="E1 - Site Specific Emission Factors"/>
    <x v="1"/>
  </r>
  <r>
    <x v="24"/>
    <n v="793"/>
    <x v="422"/>
    <x v="453"/>
    <n v="325999"/>
    <s v="All Other Miscellaneous Chemical Product Manufacturing"/>
    <s v="Fabrication de tous les autres produits chimiques divers"/>
    <x v="2"/>
    <s v="108-05-4"/>
    <x v="74"/>
    <x v="74"/>
    <x v="2"/>
    <s v="Total des rejets dans tous les milieux (&lt;1tonne)"/>
    <s v="All Media"/>
    <s v="Rejets à tous les médias"/>
    <n v="0.1"/>
    <x v="0"/>
    <s v="O - Engineering Estimates"/>
    <x v="1"/>
  </r>
  <r>
    <x v="17"/>
    <n v="800"/>
    <x v="343"/>
    <x v="363"/>
    <n v="325190"/>
    <s v="Other basic organic chemical manufacturing"/>
    <s v="Fabrication d'autres produits chimiques organiques de base"/>
    <x v="0"/>
    <s v="1330-20-7"/>
    <x v="24"/>
    <x v="24"/>
    <x v="3"/>
    <s v="Rejets à l'air"/>
    <s v="Stack / Point"/>
    <s v="Rejets de cheminée ou ponctuels"/>
    <n v="0.37630000000000002"/>
    <x v="0"/>
    <s v="O - Engineering Estimates"/>
    <x v="1"/>
  </r>
  <r>
    <x v="5"/>
    <n v="3707"/>
    <x v="12"/>
    <x v="24"/>
    <n v="324110"/>
    <s v="Petroleum Refineries"/>
    <s v="Raffineries de pétrole"/>
    <x v="4"/>
    <s v="191-24-2"/>
    <x v="44"/>
    <x v="44"/>
    <x v="3"/>
    <s v="Rejets à l'air"/>
    <s v="Storage / Handling"/>
    <s v="Rejets de stockage ou manutention"/>
    <n v="0.03"/>
    <x v="1"/>
    <s v="E1 - Site Specific Emission Factors"/>
    <x v="1"/>
  </r>
  <r>
    <x v="9"/>
    <n v="11479"/>
    <x v="589"/>
    <x v="665"/>
    <n v="327320"/>
    <s v="Ready-mix concrete manufacturing"/>
    <s v="Fabrication de béton préparé"/>
    <x v="0"/>
    <s v="NA - M09"/>
    <x v="83"/>
    <x v="83"/>
    <x v="3"/>
    <s v="Rejets à l'air"/>
    <s v="Fugitive"/>
    <s v="Émissions fugitives"/>
    <n v="1.4646999999999999"/>
    <x v="0"/>
    <s v="E2 - Published Emission Factors"/>
    <x v="1"/>
  </r>
  <r>
    <x v="21"/>
    <n v="23177"/>
    <x v="590"/>
    <x v="666"/>
    <n v="493110"/>
    <s v="General warehousing and storage"/>
    <s v="Entreposage et emmagasinage général"/>
    <x v="1"/>
    <s v="NA - M10"/>
    <x v="86"/>
    <x v="86"/>
    <x v="3"/>
    <s v="Rejets à l'air"/>
    <s v="Stack / Point"/>
    <s v="Rejets de cheminée ou ponctuels"/>
    <n v="2.3E-3"/>
    <x v="0"/>
    <s v="E2 - Published Emission Factors"/>
    <x v="1"/>
  </r>
  <r>
    <x v="29"/>
    <n v="10201"/>
    <x v="379"/>
    <x v="667"/>
    <n v="212232"/>
    <s v="Nickel-copper ore mining"/>
    <s v="Extraction de minerais de nickel-cuivre"/>
    <x v="0"/>
    <s v="NA - 05"/>
    <x v="16"/>
    <x v="16"/>
    <x v="3"/>
    <s v="Rejets à l'air"/>
    <s v="Stack / Point"/>
    <s v="Rejets de cheminée ou ponctuels"/>
    <n v="4.9800000000000004"/>
    <x v="1"/>
    <s v="O - Engineering Estimates"/>
    <x v="1"/>
  </r>
  <r>
    <x v="11"/>
    <n v="21255"/>
    <x v="218"/>
    <x v="668"/>
    <n v="211113"/>
    <s v="Conventional oil and gas extraction"/>
    <s v="Extraction de pétrole et de gaz par des méthodes classiques"/>
    <x v="2"/>
    <s v="630-08-0"/>
    <x v="87"/>
    <x v="87"/>
    <x v="3"/>
    <s v="Rejets à l'air"/>
    <s v="Stack / Point"/>
    <s v="Rejets de cheminée ou ponctuels"/>
    <n v="42.347000000000001"/>
    <x v="0"/>
    <s v="E2 - Published Emission Factors"/>
    <x v="1"/>
  </r>
  <r>
    <x v="26"/>
    <n v="1148"/>
    <x v="563"/>
    <x v="36"/>
    <n v="212291"/>
    <s v="Uranium Ore Mining"/>
    <s v="Extraction de minerais d'uranium"/>
    <x v="5"/>
    <s v="7440-62-2"/>
    <x v="51"/>
    <x v="51"/>
    <x v="4"/>
    <s v="Rejets dans l'eau"/>
    <s v="Direct Discharges"/>
    <s v="Évacuation directes"/>
    <n v="4.8000000000000001E-2"/>
    <x v="0"/>
    <s v="M3 - Source Testing"/>
    <x v="1"/>
  </r>
  <r>
    <x v="21"/>
    <n v="4743"/>
    <x v="377"/>
    <x v="401"/>
    <n v="221320"/>
    <s v="Sewage treatment facilities"/>
    <s v="Installations d'épuration des eaux usées"/>
    <x v="0"/>
    <s v="NA - 10"/>
    <x v="9"/>
    <x v="9"/>
    <x v="3"/>
    <s v="Rejets à l'air"/>
    <s v="Stack / Point"/>
    <s v="Rejets de cheminée ou ponctuels"/>
    <n v="5.1050000000000004"/>
    <x v="1"/>
    <s v="M3 - Source Testing"/>
    <x v="1"/>
  </r>
  <r>
    <x v="12"/>
    <n v="28456"/>
    <x v="591"/>
    <x v="669"/>
    <n v="212210"/>
    <s v="Iron ore mining"/>
    <s v="Extraction de minerais de fer"/>
    <x v="11"/>
    <s v="NA - 03"/>
    <x v="28"/>
    <x v="28"/>
    <x v="3"/>
    <s v="Rejets à l'air"/>
    <s v="Stack / Point"/>
    <s v="Rejets de cheminée ou ponctuels"/>
    <n v="8.3500000000000005E-2"/>
    <x v="1"/>
    <s v="E2 - Published Emission Factors"/>
    <x v="1"/>
  </r>
  <r>
    <x v="6"/>
    <n v="17268"/>
    <x v="592"/>
    <x v="670"/>
    <n v="211113"/>
    <s v="Conventional Oil and Gas Extraction"/>
    <s v="Extraction de pétrole et de gaz par des méthodes classiques"/>
    <x v="4"/>
    <s v="NA - M10"/>
    <x v="86"/>
    <x v="86"/>
    <x v="3"/>
    <s v="Rejets à l'air"/>
    <s v="Stack / Point"/>
    <s v="Rejets de cheminée ou ponctuels"/>
    <n v="1.1519999999999999"/>
    <x v="0"/>
    <s v="E2 - Published Emission Factors"/>
    <x v="1"/>
  </r>
  <r>
    <x v="6"/>
    <n v="6767"/>
    <x v="593"/>
    <x v="671"/>
    <n v="486210"/>
    <s v="Pipeline Transportation of Natural Gas"/>
    <s v="Transport du gaz naturel par gazoduc"/>
    <x v="0"/>
    <s v="11104-93-1"/>
    <x v="92"/>
    <x v="92"/>
    <x v="3"/>
    <s v="Rejets à l'air"/>
    <s v="Stack / Point"/>
    <s v="Rejets de cheminée ou ponctuels"/>
    <n v="77.923000000000002"/>
    <x v="0"/>
    <s v="E2 - Published Emission Factors"/>
    <x v="1"/>
  </r>
  <r>
    <x v="29"/>
    <n v="7626"/>
    <x v="594"/>
    <x v="672"/>
    <n v="212315"/>
    <s v="Limestone mining and quarrying"/>
    <s v="Extraction de calcaire"/>
    <x v="0"/>
    <s v="NA - M10"/>
    <x v="86"/>
    <x v="86"/>
    <x v="3"/>
    <s v="Rejets à l'air"/>
    <s v="Stack / Point"/>
    <s v="Rejets de cheminée ou ponctuels"/>
    <n v="0.487315"/>
    <x v="0"/>
    <s v="RQ - Remote Quantification"/>
    <x v="1"/>
  </r>
  <r>
    <x v="7"/>
    <n v="8698"/>
    <x v="595"/>
    <x v="673"/>
    <n v="913910"/>
    <s v="Other local, municipal and regional public administration"/>
    <s v="Autres services des administrations publiques locales, municipales et régionales"/>
    <x v="3"/>
    <s v="NA - 16"/>
    <x v="49"/>
    <x v="49"/>
    <x v="4"/>
    <s v="Rejets dans l'eau"/>
    <s v="Direct Discharges"/>
    <s v="Évacuation directes"/>
    <n v="8.07"/>
    <x v="0"/>
    <s v="O - Engineering Estimates"/>
    <x v="1"/>
  </r>
  <r>
    <x v="9"/>
    <n v="22991"/>
    <x v="499"/>
    <x v="674"/>
    <n v="418390"/>
    <s v="Agricultural chemical and other farm supplies merchant wholesalers"/>
    <s v="Grossistes-marchands de produits chimiques et autres fournitures agricoles"/>
    <x v="5"/>
    <s v="NA - M08"/>
    <x v="89"/>
    <x v="89"/>
    <x v="3"/>
    <s v="Rejets à l'air"/>
    <s v="Stack / Point"/>
    <s v="Rejets de cheminée ou ponctuels"/>
    <n v="2E-3"/>
    <x v="0"/>
    <s v="E2 - Published Emission Factors"/>
    <x v="1"/>
  </r>
  <r>
    <x v="12"/>
    <n v="28898"/>
    <x v="250"/>
    <x v="675"/>
    <n v="211110"/>
    <s v="Oil and gas extraction (except oil sands)"/>
    <s v="Extraction de pétrole et de gaz (à l'exception des sables bitumineux)"/>
    <x v="4"/>
    <s v="11104-93-1"/>
    <x v="92"/>
    <x v="92"/>
    <x v="3"/>
    <s v="Rejets à l'air"/>
    <s v="Stack / Point"/>
    <s v="Rejets de cheminée ou ponctuels"/>
    <n v="35.329000000000001"/>
    <x v="0"/>
    <s v="E2 - Published Emission Factors"/>
    <x v="1"/>
  </r>
  <r>
    <x v="12"/>
    <n v="21799"/>
    <x v="596"/>
    <x v="676"/>
    <n v="418410"/>
    <s v="Chemical (except agricultural) and allied product merchant wholesalers"/>
    <s v="Grossistes-marchands de produits chimiques et de produits analogues (sauf agricoles)"/>
    <x v="4"/>
    <s v="67-56-1"/>
    <x v="3"/>
    <x v="3"/>
    <x v="3"/>
    <s v="Rejets à l'air"/>
    <s v="Storage / Handling"/>
    <s v="Rejets de stockage ou manutention"/>
    <n v="2.0880000000000001"/>
    <x v="0"/>
    <s v="O - Engineering Estimates"/>
    <x v="1"/>
  </r>
  <r>
    <x v="20"/>
    <n v="15789"/>
    <x v="597"/>
    <x v="677"/>
    <n v="211113"/>
    <s v="Conventional Oil and Gas Extraction"/>
    <s v="Extraction de pétrole et de gaz par des méthodes classiques"/>
    <x v="4"/>
    <s v="NA - M10"/>
    <x v="86"/>
    <x v="86"/>
    <x v="3"/>
    <s v="Rejets à l'air"/>
    <s v="Stack / Point"/>
    <s v="Rejets de cheminée ou ponctuels"/>
    <n v="0.45900000000000002"/>
    <x v="0"/>
    <s v="E2 - Published Emission Factors"/>
    <x v="1"/>
  </r>
  <r>
    <x v="0"/>
    <n v="4751"/>
    <x v="598"/>
    <x v="678"/>
    <n v="337213"/>
    <s v="Wood Office Furniture, including Custom Architectural Woodwork, Manufacturing"/>
    <s v="Fabrication de meubles de bureau en bois, y compris les boiseries architecturales faites sur commande"/>
    <x v="0"/>
    <s v="71-36-3"/>
    <x v="50"/>
    <x v="50"/>
    <x v="3"/>
    <s v="Rejets à l'air"/>
    <s v="Stack / Point"/>
    <s v="Rejets de cheminée ou ponctuels"/>
    <n v="14.981"/>
    <x v="0"/>
    <s v="O - Engineering Estimates"/>
    <x v="1"/>
  </r>
  <r>
    <x v="3"/>
    <n v="3897"/>
    <x v="120"/>
    <x v="41"/>
    <n v="324110"/>
    <s v="Petroleum Refineries"/>
    <s v="Raffineries de pétrole"/>
    <x v="3"/>
    <s v="206-44-0"/>
    <x v="68"/>
    <x v="68"/>
    <x v="5"/>
    <s v="Rejets dans le sol"/>
    <s v="Spills"/>
    <s v="Déversements"/>
    <n v="1.0999999999999999E-2"/>
    <x v="1"/>
    <s v="O - Engineering Estimates"/>
    <x v="1"/>
  </r>
  <r>
    <x v="10"/>
    <n v="1885"/>
    <x v="599"/>
    <x v="0"/>
    <n v="212396"/>
    <s v="Potash Mining"/>
    <s v="Extraction de potasse"/>
    <x v="5"/>
    <s v="NA - M09"/>
    <x v="83"/>
    <x v="83"/>
    <x v="3"/>
    <s v="Rejets à l'air"/>
    <s v="Fugitive"/>
    <s v="Émissions fugitives"/>
    <n v="36"/>
    <x v="0"/>
    <s v="E - Emission Factor"/>
    <x v="1"/>
  </r>
  <r>
    <x v="21"/>
    <n v="21416"/>
    <x v="276"/>
    <x v="679"/>
    <n v="211110"/>
    <s v="Oil and gas extraction (except oil sands)"/>
    <s v="Extraction de pétrole et de gaz (à l'exception des sables bitumineux)"/>
    <x v="2"/>
    <s v="NA - M16"/>
    <x v="88"/>
    <x v="88"/>
    <x v="3"/>
    <s v="Rejets à l'air"/>
    <s v="Fugitive"/>
    <s v="Émissions fugitives"/>
    <n v="7.0000000000000001E-3"/>
    <x v="0"/>
    <s v="C - Mass Balance"/>
    <x v="1"/>
  </r>
  <r>
    <x v="1"/>
    <n v="10211"/>
    <x v="12"/>
    <x v="680"/>
    <n v="412110"/>
    <s v="Petroleum and petroleum products merchant wholesalers"/>
    <s v="Grossistes-marchands de pétrole et de produits pétroliers"/>
    <x v="2"/>
    <s v="NA - M16"/>
    <x v="88"/>
    <x v="88"/>
    <x v="3"/>
    <s v="Rejets à l'air"/>
    <s v="Storage / Handling"/>
    <s v="Rejets de stockage ou manutention"/>
    <n v="158.97130000000001"/>
    <x v="0"/>
    <s v="E2 - Published Emission Factors"/>
    <x v="1"/>
  </r>
  <r>
    <x v="13"/>
    <n v="17489"/>
    <x v="600"/>
    <x v="681"/>
    <n v="213118"/>
    <s v="Services to Oil and Gas Extraction"/>
    <s v="Services relatifs à l'extraction de pétrole et de gaz"/>
    <x v="4"/>
    <s v="630-08-0"/>
    <x v="87"/>
    <x v="87"/>
    <x v="3"/>
    <s v="Rejets à l'air"/>
    <s v="Stack / Point"/>
    <s v="Rejets de cheminée ou ponctuels"/>
    <n v="40.691000000000003"/>
    <x v="0"/>
    <s v="E2 - Published Emission Factors"/>
    <x v="1"/>
  </r>
  <r>
    <x v="19"/>
    <n v="577"/>
    <x v="601"/>
    <x v="0"/>
    <n v="325410"/>
    <s v="Pharmaceutical and Medicine Manufacturing"/>
    <s v="Fabrication de produits pharmaceutiques et de médicaments"/>
    <x v="0"/>
    <s v="67-63-0"/>
    <x v="6"/>
    <x v="6"/>
    <x v="3"/>
    <s v="Rejets à l'air"/>
    <s v="Fugitive"/>
    <s v="Émissions fugitives"/>
    <n v="2.9"/>
    <x v="0"/>
    <s v="M3 - Source Testing"/>
    <x v="1"/>
  </r>
  <r>
    <x v="17"/>
    <n v="32269"/>
    <x v="83"/>
    <x v="682"/>
    <n v="211110"/>
    <s v="Oil and gas extraction (except oil sands)"/>
    <s v="Extraction de pétrole et de gaz (à l'exception des sables bitumineux)"/>
    <x v="4"/>
    <s v="11104-93-1"/>
    <x v="92"/>
    <x v="92"/>
    <x v="3"/>
    <s v="Rejets à l'air"/>
    <s v="Stack / Point"/>
    <s v="Rejets de cheminée ou ponctuels"/>
    <n v="12.53229"/>
    <x v="0"/>
    <s v="E2 - Published Emission Factors"/>
    <x v="1"/>
  </r>
  <r>
    <x v="8"/>
    <n v="3713"/>
    <x v="602"/>
    <x v="95"/>
    <n v="331110"/>
    <s v="Iron and Steel Mills and Ferro-Alloy Manufacturing"/>
    <s v="Sidérurgie"/>
    <x v="0"/>
    <s v="NA - M16"/>
    <x v="88"/>
    <x v="88"/>
    <x v="3"/>
    <s v="Rejets à l'air"/>
    <s v="Fugitive"/>
    <s v="Émissions fugitives"/>
    <n v="129.66"/>
    <x v="0"/>
    <s v="E2 - Published Emission Factors"/>
    <x v="1"/>
  </r>
  <r>
    <x v="12"/>
    <n v="15909"/>
    <x v="250"/>
    <x v="683"/>
    <n v="211110"/>
    <s v="Oil and gas extraction (except oil sands)"/>
    <s v="Extraction de pétrole et de gaz (à l'exception des sables bitumineux)"/>
    <x v="4"/>
    <s v="NA - M09"/>
    <x v="83"/>
    <x v="83"/>
    <x v="3"/>
    <s v="Rejets à l'air"/>
    <s v="Stack / Point"/>
    <s v="Rejets de cheminée ou ponctuels"/>
    <n v="1.403"/>
    <x v="0"/>
    <s v="E2 - Published Emission Factors"/>
    <x v="1"/>
  </r>
  <r>
    <x v="15"/>
    <n v="6332"/>
    <x v="603"/>
    <x v="684"/>
    <n v="321215"/>
    <s v="Structural wood product manufacturing"/>
    <s v="Fabrication de produits de charpente en bois"/>
    <x v="3"/>
    <s v="NA - M09"/>
    <x v="83"/>
    <x v="83"/>
    <x v="3"/>
    <s v="Rejets à l'air"/>
    <s v="Road dust"/>
    <s v="Poussières de routes"/>
    <n v="5.2039999999999997"/>
    <x v="0"/>
    <s v="E2 - Published Emission Factors"/>
    <x v="1"/>
  </r>
  <r>
    <x v="0"/>
    <n v="1779"/>
    <x v="36"/>
    <x v="685"/>
    <n v="325110"/>
    <s v="Petrochemical Manufacturing"/>
    <s v="Fabrication de produits pétrochimiques"/>
    <x v="4"/>
    <s v="91-20-3"/>
    <x v="67"/>
    <x v="67"/>
    <x v="3"/>
    <s v="Rejets à l'air"/>
    <s v="Fugitive"/>
    <s v="Émissions fugitives"/>
    <n v="0.40300000000000002"/>
    <x v="0"/>
    <s v="O - Engineering Estimates"/>
    <x v="1"/>
  </r>
  <r>
    <x v="17"/>
    <n v="4743"/>
    <x v="377"/>
    <x v="401"/>
    <n v="221320"/>
    <s v="Sewage treatment facilities"/>
    <s v="Installations d'épuration des eaux usées"/>
    <x v="0"/>
    <s v="NA - 16"/>
    <x v="49"/>
    <x v="49"/>
    <x v="4"/>
    <s v="Rejets dans l'eau"/>
    <s v="Spills"/>
    <s v="Déversements"/>
    <n v="13.141"/>
    <x v="0"/>
    <s v="M3 - Source Testing"/>
    <x v="1"/>
  </r>
  <r>
    <x v="7"/>
    <n v="11606"/>
    <x v="604"/>
    <x v="686"/>
    <n v="334410"/>
    <s v="Semiconductor and other electronic component manufacturing"/>
    <s v="Fabrication de semi-conducteurs et d'autres composants électroniques"/>
    <x v="0"/>
    <s v="NA - 08"/>
    <x v="1"/>
    <x v="1"/>
    <x v="3"/>
    <s v="Rejets à l'air"/>
    <s v="Stack / Point"/>
    <s v="Rejets de cheminée ou ponctuels"/>
    <n v="0.08"/>
    <x v="1"/>
    <s v="O - Engineering Estimates"/>
    <x v="1"/>
  </r>
  <r>
    <x v="17"/>
    <n v="22905"/>
    <x v="250"/>
    <x v="687"/>
    <n v="211110"/>
    <s v="Oil and gas extraction (except oil sands)"/>
    <s v="Extraction de pétrole et de gaz (à l'exception des sables bitumineux)"/>
    <x v="4"/>
    <s v="7446-09-5"/>
    <x v="85"/>
    <x v="85"/>
    <x v="3"/>
    <s v="Rejets à l'air"/>
    <s v="Stack / Point"/>
    <s v="Rejets de cheminée ou ponctuels"/>
    <n v="0"/>
    <x v="0"/>
    <m/>
    <x v="1"/>
  </r>
  <r>
    <x v="12"/>
    <n v="30812"/>
    <x v="605"/>
    <x v="688"/>
    <n v="211110"/>
    <s v="Oil and gas extraction (except oil sands)"/>
    <s v="Extraction de pétrole et de gaz (à l'exception des sables bitumineux)"/>
    <x v="4"/>
    <s v="630-08-0"/>
    <x v="87"/>
    <x v="87"/>
    <x v="3"/>
    <s v="Rejets à l'air"/>
    <s v="Stack / Point"/>
    <s v="Rejets de cheminée ou ponctuels"/>
    <n v="19.072099999999999"/>
    <x v="0"/>
    <s v="E2 - Published Emission Factors"/>
    <x v="1"/>
  </r>
  <r>
    <x v="15"/>
    <n v="17870"/>
    <x v="606"/>
    <x v="689"/>
    <n v="211110"/>
    <s v="Oil and gas extraction (except oil sands)"/>
    <s v="Extraction de pétrole et de gaz (à l'exception des sables bitumineux)"/>
    <x v="2"/>
    <s v="630-08-0"/>
    <x v="87"/>
    <x v="87"/>
    <x v="3"/>
    <s v="Rejets à l'air"/>
    <s v="Stack / Point"/>
    <s v="Rejets de cheminée ou ponctuels"/>
    <n v="37.639000000000003"/>
    <x v="0"/>
    <s v="E2 - Published Emission Factors"/>
    <x v="1"/>
  </r>
  <r>
    <x v="15"/>
    <n v="210"/>
    <x v="487"/>
    <x v="56"/>
    <n v="418410"/>
    <s v="Chemical (except agricultural) and allied product merchant wholesalers"/>
    <s v="Grossistes-marchands de produits chimiques et de produits analogues (sauf agricoles)"/>
    <x v="0"/>
    <s v="67-63-0"/>
    <x v="6"/>
    <x v="6"/>
    <x v="2"/>
    <s v="Total des rejets dans tous les milieux (&lt;1tonne)"/>
    <s v="All Media"/>
    <s v="Rejets à tous les médias"/>
    <n v="0.21"/>
    <x v="0"/>
    <s v="O - Engineering Estimates"/>
    <x v="1"/>
  </r>
  <r>
    <x v="20"/>
    <n v="5927"/>
    <x v="607"/>
    <x v="690"/>
    <n v="332999"/>
    <s v="All Other Miscellaneous Fabricated Metal Product Manufacturing"/>
    <s v="Fabrication de tous les autres produits métalliques divers"/>
    <x v="0"/>
    <s v="7664-93-9"/>
    <x v="30"/>
    <x v="30"/>
    <x v="3"/>
    <s v="Rejets à l'air"/>
    <s v="Storage / Handling"/>
    <s v="Rejets de stockage ou manutention"/>
    <n v="3.0000000000000001E-3"/>
    <x v="0"/>
    <s v="E1 - Site Specific Emission Factors"/>
    <x v="1"/>
  </r>
  <r>
    <x v="27"/>
    <n v="30723"/>
    <x v="608"/>
    <x v="691"/>
    <n v="211113"/>
    <s v="Conventional Oil and Gas Extraction"/>
    <s v="Extraction de pétrole et de gaz par des méthodes classiques"/>
    <x v="5"/>
    <s v="630-08-0"/>
    <x v="87"/>
    <x v="87"/>
    <x v="3"/>
    <s v="Rejets à l'air"/>
    <s v="Stack / Point"/>
    <s v="Rejets de cheminée ou ponctuels"/>
    <n v="52.067999999999998"/>
    <x v="0"/>
    <s v="E2 - Published Emission Factors"/>
    <x v="1"/>
  </r>
  <r>
    <x v="29"/>
    <n v="16763"/>
    <x v="609"/>
    <x v="692"/>
    <n v="211110"/>
    <s v="Oil and gas extraction (except oil sands)"/>
    <s v="Extraction de pétrole et de gaz (à l'exception des sables bitumineux)"/>
    <x v="4"/>
    <s v="11104-93-1"/>
    <x v="92"/>
    <x v="92"/>
    <x v="3"/>
    <s v="Rejets à l'air"/>
    <s v="Stack / Point"/>
    <s v="Rejets de cheminée ou ponctuels"/>
    <n v="11.714119999999999"/>
    <x v="0"/>
    <s v="E2 - Published Emission Factors"/>
    <x v="1"/>
  </r>
  <r>
    <x v="20"/>
    <n v="1039"/>
    <x v="610"/>
    <x v="484"/>
    <n v="221112"/>
    <s v="Fossil-Fuel Electric Power Generation"/>
    <s v="Production d'électricité à partir de combustibles fossiles"/>
    <x v="4"/>
    <s v="NA - M09"/>
    <x v="83"/>
    <x v="83"/>
    <x v="3"/>
    <s v="Rejets à l'air"/>
    <s v="Stack / Point"/>
    <s v="Rejets de cheminée ou ponctuels"/>
    <n v="94.65"/>
    <x v="0"/>
    <s v="O - Engineering Estimates"/>
    <x v="1"/>
  </r>
  <r>
    <x v="10"/>
    <n v="3790"/>
    <x v="42"/>
    <x v="0"/>
    <n v="336110"/>
    <s v="Automobile and Light-Duty Motor Vehicle Manufacturing"/>
    <s v="Fabrication de voitures et de véhicules automobiles légers"/>
    <x v="0"/>
    <s v="NA - M09"/>
    <x v="83"/>
    <x v="83"/>
    <x v="3"/>
    <s v="Rejets à l'air"/>
    <s v="Stack / Point"/>
    <s v="Rejets de cheminée ou ponctuels"/>
    <n v="2.87"/>
    <x v="0"/>
    <s v="O - Engineering Estimates"/>
    <x v="1"/>
  </r>
  <r>
    <x v="29"/>
    <n v="16410"/>
    <x v="250"/>
    <x v="693"/>
    <n v="211110"/>
    <s v="Oil and gas extraction (except oil sands)"/>
    <s v="Extraction de pétrole et de gaz (à l'exception des sables bitumineux)"/>
    <x v="2"/>
    <s v="NA - M10"/>
    <x v="86"/>
    <x v="86"/>
    <x v="3"/>
    <s v="Rejets à l'air"/>
    <s v="Stack / Point"/>
    <s v="Rejets de cheminée ou ponctuels"/>
    <n v="0.19464000000000001"/>
    <x v="0"/>
    <s v="E2 - Published Emission Factors"/>
    <x v="1"/>
  </r>
  <r>
    <x v="16"/>
    <n v="2984"/>
    <x v="611"/>
    <x v="694"/>
    <n v="331110"/>
    <s v="Iron and Steel Mills and Ferro-Alloy Manufacturing"/>
    <s v="Sidérurgie"/>
    <x v="0"/>
    <s v="208-96-8"/>
    <x v="64"/>
    <x v="64"/>
    <x v="3"/>
    <s v="Rejets à l'air"/>
    <s v="Stack / Point"/>
    <s v="Rejets de cheminée ou ponctuels"/>
    <n v="8.0000000000000002E-3"/>
    <x v="1"/>
    <s v="E1 - Site Specific Emission Factors"/>
    <x v="1"/>
  </r>
  <r>
    <x v="21"/>
    <n v="7920"/>
    <x v="612"/>
    <x v="695"/>
    <n v="321111"/>
    <s v="Sawmills (except shingle and shake mills)"/>
    <s v="Scieries (sauf les usines de bardeaux et de bardeaux de fente)"/>
    <x v="2"/>
    <s v="NA - M08"/>
    <x v="89"/>
    <x v="89"/>
    <x v="3"/>
    <s v="Rejets à l'air"/>
    <s v="Stack / Point"/>
    <s v="Rejets de cheminée ou ponctuels"/>
    <n v="90.67"/>
    <x v="0"/>
    <s v="E2 - Published Emission Factors"/>
    <x v="1"/>
  </r>
  <r>
    <x v="1"/>
    <n v="1236"/>
    <x v="275"/>
    <x v="696"/>
    <n v="331410"/>
    <s v="Non-ferrous metal (except aluminum) smelting and refining"/>
    <s v="Fonte et affinage de métaux non ferreux (sauf l'aluminium)"/>
    <x v="0"/>
    <s v="NA - 11"/>
    <x v="4"/>
    <x v="4"/>
    <x v="3"/>
    <s v="Rejets à l'air"/>
    <s v="Stack / Point"/>
    <s v="Rejets de cheminée ou ponctuels"/>
    <n v="9.1130999999999993"/>
    <x v="0"/>
    <s v="C - Mass Balance"/>
    <x v="1"/>
  </r>
  <r>
    <x v="5"/>
    <n v="25072"/>
    <x v="255"/>
    <x v="697"/>
    <n v="211113"/>
    <s v="Conventional Oil and Gas Extraction"/>
    <s v="Extraction de pétrole et de gaz par des méthodes classiques"/>
    <x v="5"/>
    <s v="NA - M09"/>
    <x v="83"/>
    <x v="83"/>
    <x v="3"/>
    <s v="Rejets à l'air"/>
    <s v="Stack / Point"/>
    <s v="Rejets de cheminée ou ponctuels"/>
    <n v="1.94"/>
    <x v="0"/>
    <s v="E2 - Published Emission Factors"/>
    <x v="1"/>
  </r>
  <r>
    <x v="17"/>
    <n v="929"/>
    <x v="436"/>
    <x v="442"/>
    <n v="322122"/>
    <s v="Newsprint mills"/>
    <s v="Usines de papier journal"/>
    <x v="3"/>
    <s v="108-10-1"/>
    <x v="63"/>
    <x v="63"/>
    <x v="3"/>
    <s v="Rejets à l'air"/>
    <s v="Stack / Point"/>
    <s v="Rejets de cheminée ou ponctuels"/>
    <n v="1.0999999999999999E-2"/>
    <x v="0"/>
    <s v="M3 - Source Testing"/>
    <x v="1"/>
  </r>
  <r>
    <x v="11"/>
    <n v="2537"/>
    <x v="61"/>
    <x v="698"/>
    <n v="562210"/>
    <s v="Waste treatment and disposal"/>
    <s v="Traitement et élimination des déchets"/>
    <x v="0"/>
    <s v="80-05-7"/>
    <x v="106"/>
    <x v="106"/>
    <x v="3"/>
    <s v="Rejets à l'air"/>
    <s v="Stack / Point"/>
    <s v="Rejets de cheminée ou ponctuels"/>
    <n v="1.01E-2"/>
    <x v="0"/>
    <s v="O - Engineering Estimates"/>
    <x v="1"/>
  </r>
  <r>
    <x v="18"/>
    <n v="4896"/>
    <x v="500"/>
    <x v="562"/>
    <n v="311224"/>
    <s v="Oilseed processing"/>
    <s v="Transformation de graines oléagineuses"/>
    <x v="1"/>
    <s v="NA - M16"/>
    <x v="88"/>
    <x v="88"/>
    <x v="3"/>
    <s v="Rejets à l'air"/>
    <s v="Fugitive"/>
    <s v="Émissions fugitives"/>
    <n v="43.780999999999999"/>
    <x v="0"/>
    <s v="C - Mass Balance"/>
    <x v="1"/>
  </r>
  <r>
    <x v="20"/>
    <n v="16069"/>
    <x v="250"/>
    <x v="699"/>
    <n v="211113"/>
    <s v="Conventional Oil and Gas Extraction"/>
    <s v="Extraction de pétrole et de gaz par des méthodes classiques"/>
    <x v="2"/>
    <s v="630-08-0"/>
    <x v="87"/>
    <x v="87"/>
    <x v="3"/>
    <s v="Rejets à l'air"/>
    <s v="Stack / Point"/>
    <s v="Rejets de cheminée ou ponctuels"/>
    <n v="22.472000000000001"/>
    <x v="0"/>
    <s v="E2 - Published Emission Factors"/>
    <x v="1"/>
  </r>
  <r>
    <x v="16"/>
    <n v="1383"/>
    <x v="465"/>
    <x v="504"/>
    <n v="322112"/>
    <s v="Chemical Pulp Mills"/>
    <s v="Usines de pâte chimique"/>
    <x v="2"/>
    <s v="NA - 03"/>
    <x v="28"/>
    <x v="28"/>
    <x v="4"/>
    <s v="Rejets dans l'eau"/>
    <s v="Direct Discharges"/>
    <s v="Évacuation directes"/>
    <n v="6.0250000000000004"/>
    <x v="1"/>
    <s v="E2 - Published Emission Factors"/>
    <x v="1"/>
  </r>
  <r>
    <x v="3"/>
    <n v="5569"/>
    <x v="613"/>
    <x v="700"/>
    <n v="327990"/>
    <s v="All Other Non-Metallic Mineral Product Manufacturing"/>
    <s v="Fabrication de tous les autres produits minéraux non métalliques"/>
    <x v="3"/>
    <s v="85-01-8"/>
    <x v="54"/>
    <x v="54"/>
    <x v="3"/>
    <s v="Rejets à l'air"/>
    <s v="Stack / Point"/>
    <s v="Rejets de cheminée ou ponctuels"/>
    <n v="24.34"/>
    <x v="1"/>
    <s v="M - Monitoring or Direct Measurement"/>
    <x v="1"/>
  </r>
  <r>
    <x v="19"/>
    <n v="10155"/>
    <x v="614"/>
    <x v="0"/>
    <n v="326122"/>
    <s v="Plastic Pipe and Pipe Fitting Manufacturing"/>
    <s v="Fabrication de tuyaux et de raccords de tuyauterie en plastique"/>
    <x v="0"/>
    <s v="7446-09-5"/>
    <x v="85"/>
    <x v="85"/>
    <x v="3"/>
    <s v="Rejets à l'air"/>
    <s v="Other Non-Point"/>
    <s v="Autres rejets non ponctuels"/>
    <n v="5.0999999999999997E-2"/>
    <x v="0"/>
    <s v="O - Engineering Estimates"/>
    <x v="1"/>
  </r>
  <r>
    <x v="5"/>
    <n v="16309"/>
    <x v="218"/>
    <x v="701"/>
    <n v="211113"/>
    <s v="Conventional Oil and Gas Extraction"/>
    <s v="Extraction de pétrole et de gaz par des méthodes classiques"/>
    <x v="4"/>
    <s v="11104-93-1"/>
    <x v="92"/>
    <x v="92"/>
    <x v="3"/>
    <s v="Rejets à l'air"/>
    <s v="Stack / Point"/>
    <s v="Rejets de cheminée ou ponctuels"/>
    <n v="73.361000000000004"/>
    <x v="0"/>
    <s v="E2 - Published Emission Factors"/>
    <x v="1"/>
  </r>
  <r>
    <x v="29"/>
    <n v="23810"/>
    <x v="615"/>
    <x v="702"/>
    <n v="211110"/>
    <s v="Oil and gas extraction (except oil sands)"/>
    <s v="Extraction de pétrole et de gaz (à l'exception des sables bitumineux)"/>
    <x v="4"/>
    <s v="7446-09-5"/>
    <x v="85"/>
    <x v="85"/>
    <x v="3"/>
    <s v="Rejets à l'air"/>
    <s v="Stack / Point"/>
    <s v="Rejets de cheminée ou ponctuels"/>
    <n v="0"/>
    <x v="0"/>
    <m/>
    <x v="1"/>
  </r>
  <r>
    <x v="12"/>
    <n v="3751"/>
    <x v="390"/>
    <x v="703"/>
    <n v="211110"/>
    <s v="Oil and gas extraction (except oil sands)"/>
    <s v="Extraction de pétrole et de gaz (à l'exception des sables bitumineux)"/>
    <x v="4"/>
    <s v="108-88-3"/>
    <x v="5"/>
    <x v="5"/>
    <x v="2"/>
    <s v="Total des rejets dans tous les milieux (&lt;1tonne)"/>
    <s v="All Media"/>
    <s v="Rejets à tous les médias"/>
    <n v="0.1075"/>
    <x v="0"/>
    <s v="E2 - Published Emission Factors"/>
    <x v="1"/>
  </r>
  <r>
    <x v="20"/>
    <n v="11224"/>
    <x v="616"/>
    <x v="704"/>
    <n v="327320"/>
    <s v="Ready-Mix Concrete Manufacturing"/>
    <s v="Fabrication de béton préparé"/>
    <x v="0"/>
    <s v="NA - M09"/>
    <x v="83"/>
    <x v="83"/>
    <x v="3"/>
    <s v="Rejets à l'air"/>
    <s v="Fugitive"/>
    <s v="Émissions fugitives"/>
    <n v="0.876"/>
    <x v="0"/>
    <s v="E2 - Published Emission Factors"/>
    <x v="1"/>
  </r>
  <r>
    <x v="16"/>
    <n v="18113"/>
    <x v="546"/>
    <x v="705"/>
    <n v="211113"/>
    <s v="Conventional Oil and Gas Extraction"/>
    <s v="Extraction de pétrole et de gaz par des méthodes classiques"/>
    <x v="5"/>
    <s v="NA - M10"/>
    <x v="86"/>
    <x v="86"/>
    <x v="3"/>
    <s v="Rejets à l'air"/>
    <s v="Stack / Point"/>
    <s v="Rejets de cheminée ou ponctuels"/>
    <n v="1.5469999999999999"/>
    <x v="0"/>
    <s v="E2 - Published Emission Factors"/>
    <x v="1"/>
  </r>
  <r>
    <x v="8"/>
    <n v="2051"/>
    <x v="460"/>
    <x v="706"/>
    <n v="322121"/>
    <s v="Paper (except Newsprint) Mills"/>
    <s v="Usines de papier (sauf le papier journal)"/>
    <x v="1"/>
    <s v="NA - 19"/>
    <x v="43"/>
    <x v="43"/>
    <x v="3"/>
    <s v="Rejets à l'air"/>
    <s v="Stack / Point"/>
    <s v="Rejets de cheminée ou ponctuels"/>
    <n v="3.18"/>
    <x v="1"/>
    <s v="E2 - Published Emission Factors"/>
    <x v="1"/>
  </r>
  <r>
    <x v="2"/>
    <n v="29384"/>
    <x v="53"/>
    <x v="707"/>
    <n v="562110"/>
    <s v="Waste collection"/>
    <s v="Collecte de déchets"/>
    <x v="4"/>
    <s v="1330-20-7"/>
    <x v="24"/>
    <x v="24"/>
    <x v="2"/>
    <s v="Total des rejets dans tous les milieux (&lt;1tonne)"/>
    <s v="All Media"/>
    <s v="Rejets à tous les médias"/>
    <n v="2.9999999999999997E-4"/>
    <x v="0"/>
    <s v="C - Mass Balance"/>
    <x v="1"/>
  </r>
  <r>
    <x v="8"/>
    <n v="6379"/>
    <x v="617"/>
    <x v="708"/>
    <n v="221320"/>
    <s v="Sewage Treatment Facilities"/>
    <s v="Installations d'épuration des eaux usées"/>
    <x v="3"/>
    <s v="NA - 22"/>
    <x v="8"/>
    <x v="8"/>
    <x v="4"/>
    <s v="Rejets dans l'eau"/>
    <s v="Direct Discharges"/>
    <s v="Évacuation directes"/>
    <n v="3.08"/>
    <x v="0"/>
    <s v="M2 - Predictive Emission Monitoring"/>
    <x v="1"/>
  </r>
  <r>
    <x v="3"/>
    <n v="5446"/>
    <x v="618"/>
    <x v="0"/>
    <n v="325999"/>
    <s v="All Other Miscellaneous Chemical Product Manufacturing"/>
    <s v="Fabrication de tous les autres produits chimiques divers"/>
    <x v="3"/>
    <s v="68-12-2"/>
    <x v="20"/>
    <x v="20"/>
    <x v="3"/>
    <s v="Rejets à l'air"/>
    <s v="Fugitive"/>
    <s v="Émissions fugitives"/>
    <n v="6.6000000000000003E-2"/>
    <x v="0"/>
    <s v="O - Engineering Estimates"/>
    <x v="1"/>
  </r>
  <r>
    <x v="14"/>
    <n v="4511"/>
    <x v="619"/>
    <x v="709"/>
    <n v="311919"/>
    <s v="Other snack food manufacturing"/>
    <s v="Fabrication d'autres aliments à grignoter"/>
    <x v="0"/>
    <s v="NA - M10"/>
    <x v="86"/>
    <x v="86"/>
    <x v="3"/>
    <s v="Rejets à l'air"/>
    <s v="Stack / Point"/>
    <s v="Rejets de cheminée ou ponctuels"/>
    <n v="10.718999999999999"/>
    <x v="0"/>
    <s v="E2 - Published Emission Factors"/>
    <x v="1"/>
  </r>
  <r>
    <x v="8"/>
    <n v="21637"/>
    <x v="620"/>
    <x v="710"/>
    <n v="211113"/>
    <s v="Conventional Oil and Gas Extraction"/>
    <s v="Extraction de pétrole et de gaz par des méthodes classiques"/>
    <x v="4"/>
    <s v="NA - M09"/>
    <x v="83"/>
    <x v="83"/>
    <x v="3"/>
    <s v="Rejets à l'air"/>
    <s v="Stack / Point"/>
    <s v="Rejets de cheminée ou ponctuels"/>
    <n v="0.55300000000000005"/>
    <x v="0"/>
    <s v="E2 - Published Emission Factors"/>
    <x v="1"/>
  </r>
  <r>
    <x v="17"/>
    <n v="25434"/>
    <x v="621"/>
    <x v="711"/>
    <n v="212220"/>
    <s v="Gold and silver ore mining"/>
    <s v="Extraction de minerais d'or et d'argent"/>
    <x v="2"/>
    <s v="NA - 04"/>
    <x v="19"/>
    <x v="19"/>
    <x v="3"/>
    <s v="Rejets à l'air"/>
    <s v="Fugitive"/>
    <s v="Émissions fugitives"/>
    <n v="4.64E-4"/>
    <x v="0"/>
    <s v="M3 - Source Testing"/>
    <x v="1"/>
  </r>
  <r>
    <x v="13"/>
    <n v="18470"/>
    <x v="250"/>
    <x v="712"/>
    <n v="211113"/>
    <s v="Conventional Oil and Gas Extraction"/>
    <s v="Extraction de pétrole et de gaz par des méthodes classiques"/>
    <x v="4"/>
    <s v="NA - M09"/>
    <x v="83"/>
    <x v="83"/>
    <x v="3"/>
    <s v="Rejets à l'air"/>
    <s v="Stack / Point"/>
    <s v="Rejets de cheminée ou ponctuels"/>
    <n v="0.57699999999999996"/>
    <x v="0"/>
    <s v="E2 - Published Emission Factors"/>
    <x v="1"/>
  </r>
  <r>
    <x v="12"/>
    <n v="6226"/>
    <x v="360"/>
    <x v="713"/>
    <n v="321111"/>
    <s v="Sawmills (except shingle and shake mills)"/>
    <s v="Scieries (sauf les usines de bardeaux et de bardeaux de fente)"/>
    <x v="3"/>
    <s v="11104-93-1"/>
    <x v="92"/>
    <x v="92"/>
    <x v="3"/>
    <s v="Rejets à l'air"/>
    <s v="Stack / Point"/>
    <s v="Rejets de cheminée ou ponctuels"/>
    <n v="27.8"/>
    <x v="0"/>
    <s v="E2 - Published Emission Factors"/>
    <x v="1"/>
  </r>
  <r>
    <x v="4"/>
    <n v="3707"/>
    <x v="12"/>
    <x v="183"/>
    <n v="324110"/>
    <s v="Petroleum Refineries"/>
    <s v="Raffineries de pétrole"/>
    <x v="4"/>
    <s v="1330-20-7"/>
    <x v="34"/>
    <x v="34"/>
    <x v="3"/>
    <s v="Rejets à l'air"/>
    <s v="Other Non-Point"/>
    <s v="Autres rejets non ponctuels"/>
    <n v="4.5999999999999999E-2"/>
    <x v="0"/>
    <s v="O - Engineering Estimates"/>
    <x v="1"/>
  </r>
  <r>
    <x v="16"/>
    <n v="764"/>
    <x v="622"/>
    <x v="714"/>
    <n v="326140"/>
    <s v="Polystyrene Foam Product Manufacturing"/>
    <s v="Fabrication de produits en mousse de polystyrène"/>
    <x v="4"/>
    <s v="100-42-5"/>
    <x v="107"/>
    <x v="107"/>
    <x v="3"/>
    <s v="Rejets à l'air"/>
    <s v="Stack / Point"/>
    <s v="Rejets de cheminée ou ponctuels"/>
    <n v="2.0529999999999999"/>
    <x v="0"/>
    <s v="O - Engineering Estimates"/>
    <x v="1"/>
  </r>
  <r>
    <x v="0"/>
    <n v="2022"/>
    <x v="422"/>
    <x v="715"/>
    <n v="325510"/>
    <s v="Paint and Coating Manufacturing"/>
    <s v="Fabrication de peintures et de revêtements"/>
    <x v="0"/>
    <s v="95-63-6"/>
    <x v="40"/>
    <x v="40"/>
    <x v="2"/>
    <s v="Total des rejets dans tous les milieux (&lt;1tonne)"/>
    <s v="All Media"/>
    <s v="Rejets à tous les médias"/>
    <n v="3.6999999999999998E-2"/>
    <x v="0"/>
    <s v="O - Engineering Estimates"/>
    <x v="1"/>
  </r>
  <r>
    <x v="26"/>
    <n v="11765"/>
    <x v="623"/>
    <x v="716"/>
    <n v="321911"/>
    <s v="Wood Window and Door Manufacturing"/>
    <s v="Fabrication de fenêtres et de portes en bois"/>
    <x v="0"/>
    <s v="108-10-1"/>
    <x v="63"/>
    <x v="63"/>
    <x v="2"/>
    <s v="Total des rejets dans tous les milieux (&lt;1tonne)"/>
    <s v="All Media"/>
    <s v="Rejets à tous les médias"/>
    <n v="0.21199999999999999"/>
    <x v="0"/>
    <s v="O - Engineering Estimates"/>
    <x v="1"/>
  </r>
  <r>
    <x v="29"/>
    <n v="20077"/>
    <x v="624"/>
    <x v="717"/>
    <n v="321111"/>
    <s v="Sawmills (except shingle and shake mills)"/>
    <s v="Scieries (sauf les usines de bardeaux et de bardeaux de fente)"/>
    <x v="2"/>
    <s v="NA - M10"/>
    <x v="86"/>
    <x v="86"/>
    <x v="3"/>
    <s v="Rejets à l'air"/>
    <s v="Stack / Point"/>
    <s v="Rejets de cheminée ou ponctuels"/>
    <n v="0.74580000000000002"/>
    <x v="0"/>
    <s v="E2 - Published Emission Factors"/>
    <x v="1"/>
  </r>
  <r>
    <x v="14"/>
    <n v="4449"/>
    <x v="625"/>
    <x v="718"/>
    <n v="327214"/>
    <s v="Glass manufacturing"/>
    <s v="Fabrication de verre"/>
    <x v="3"/>
    <s v="NA - 12"/>
    <x v="48"/>
    <x v="48"/>
    <x v="5"/>
    <s v="Rejets dans le sol"/>
    <s v="Leaks"/>
    <s v="Fuites"/>
    <n v="1.82"/>
    <x v="1"/>
    <s v="C - Mass Balance"/>
    <x v="1"/>
  </r>
  <r>
    <x v="21"/>
    <n v="2960"/>
    <x v="86"/>
    <x v="182"/>
    <n v="324110"/>
    <s v="Petroleum refineries"/>
    <s v="Raffineries de pétrole"/>
    <x v="4"/>
    <s v="NA - M16"/>
    <x v="88"/>
    <x v="88"/>
    <x v="3"/>
    <s v="Rejets à l'air"/>
    <s v="Fugitive"/>
    <s v="Émissions fugitives"/>
    <n v="59.83"/>
    <x v="0"/>
    <s v="M2 - Predictive Emission Monitoring"/>
    <x v="1"/>
  </r>
  <r>
    <x v="24"/>
    <n v="679"/>
    <x v="626"/>
    <x v="0"/>
    <n v="325520"/>
    <s v="Adhesive Manufacturing"/>
    <s v="Fabrication d'adhésifs"/>
    <x v="0"/>
    <s v="78-93-3"/>
    <x v="0"/>
    <x v="0"/>
    <x v="2"/>
    <s v="Total des rejets dans tous les milieux (&lt;1tonne)"/>
    <s v="All Media"/>
    <s v="Rejets à tous les médias"/>
    <n v="0.7"/>
    <x v="0"/>
    <s v="C - Mass Balance"/>
    <x v="1"/>
  </r>
  <r>
    <x v="17"/>
    <n v="23412"/>
    <x v="442"/>
    <x v="719"/>
    <n v="211110"/>
    <s v="Oil and gas extraction (except oil sands)"/>
    <s v="Extraction de pétrole et de gaz (à l'exception des sables bitumineux)"/>
    <x v="4"/>
    <s v="NA - M10"/>
    <x v="86"/>
    <x v="86"/>
    <x v="3"/>
    <s v="Rejets à l'air"/>
    <s v="Stack / Point"/>
    <s v="Rejets de cheminée ou ponctuels"/>
    <n v="0.11958000000000001"/>
    <x v="0"/>
    <s v="E2 - Published Emission Factors"/>
    <x v="1"/>
  </r>
  <r>
    <x v="29"/>
    <n v="30386"/>
    <x v="426"/>
    <x v="720"/>
    <n v="211110"/>
    <s v="Oil and gas extraction (except oil sands)"/>
    <s v="Extraction de pétrole et de gaz (à l'exception des sables bitumineux)"/>
    <x v="4"/>
    <s v="NA - M09"/>
    <x v="83"/>
    <x v="83"/>
    <x v="3"/>
    <s v="Rejets à l'air"/>
    <s v="Stack / Point"/>
    <s v="Rejets de cheminée ou ponctuels"/>
    <n v="0.63449999999999995"/>
    <x v="0"/>
    <s v="E2 - Published Emission Factors"/>
    <x v="1"/>
  </r>
  <r>
    <x v="27"/>
    <n v="18241"/>
    <x v="627"/>
    <x v="721"/>
    <n v="212392"/>
    <s v="Diamond Mining"/>
    <s v="Extraction de diamant"/>
    <x v="6"/>
    <s v="NA - M09"/>
    <x v="83"/>
    <x v="83"/>
    <x v="3"/>
    <s v="Rejets à l'air"/>
    <s v="Other Non-Point"/>
    <s v="Autres rejets non ponctuels"/>
    <n v="175"/>
    <x v="0"/>
    <s v="E2 - Published Emission Factors"/>
    <x v="1"/>
  </r>
  <r>
    <x v="5"/>
    <n v="5375"/>
    <x v="628"/>
    <x v="722"/>
    <n v="321111"/>
    <s v="Sawmills (except Shingle and Shake Mills)"/>
    <s v="Scieries (sauf les usines de bardeaux et de bardeaux de fente)"/>
    <x v="4"/>
    <s v="75-07-0"/>
    <x v="98"/>
    <x v="98"/>
    <x v="3"/>
    <s v="Rejets à l'air"/>
    <s v="Stack / Point"/>
    <s v="Rejets de cheminée ou ponctuels"/>
    <n v="6.2E-2"/>
    <x v="0"/>
    <s v="E2 - Published Emission Factors"/>
    <x v="1"/>
  </r>
  <r>
    <x v="9"/>
    <n v="6591"/>
    <x v="36"/>
    <x v="459"/>
    <n v="221112"/>
    <s v="Fossil-fuel electric power generation"/>
    <s v="Production d'électricité à partir de combustibles fossiles"/>
    <x v="4"/>
    <s v="NA - M08"/>
    <x v="89"/>
    <x v="89"/>
    <x v="3"/>
    <s v="Rejets à l'air"/>
    <s v="Other Non-Point"/>
    <s v="Autres rejets non ponctuels"/>
    <n v="1.8660000000000001"/>
    <x v="0"/>
    <s v="O - Engineering Estimates"/>
    <x v="1"/>
  </r>
  <r>
    <x v="14"/>
    <n v="10087"/>
    <x v="629"/>
    <x v="723"/>
    <n v="411120"/>
    <s v="Oilseed and grain merchant wholesalers"/>
    <s v="Grossistes-marchands de graines oléagineuses et de grains céréaliers"/>
    <x v="0"/>
    <s v="NA - M10"/>
    <x v="86"/>
    <x v="86"/>
    <x v="3"/>
    <s v="Rejets à l'air"/>
    <s v="Stack / Point"/>
    <s v="Rejets de cheminée ou ponctuels"/>
    <n v="8.0000000000000002E-3"/>
    <x v="0"/>
    <s v="E2 - Published Emission Factors"/>
    <x v="1"/>
  </r>
  <r>
    <x v="14"/>
    <n v="4324"/>
    <x v="630"/>
    <x v="724"/>
    <n v="326191"/>
    <s v="Plastic plumbing fixture manufacturing"/>
    <s v="Fabrication d'appareils sanitaires en plastique"/>
    <x v="3"/>
    <s v="NA - M16"/>
    <x v="88"/>
    <x v="88"/>
    <x v="3"/>
    <s v="Rejets à l'air"/>
    <s v="Stack / Point"/>
    <s v="Rejets de cheminée ou ponctuels"/>
    <n v="42.22"/>
    <x v="0"/>
    <s v="E2 - Published Emission Factors"/>
    <x v="1"/>
  </r>
  <r>
    <x v="8"/>
    <n v="3845"/>
    <x v="631"/>
    <x v="725"/>
    <n v="332810"/>
    <s v="Coating, Engraving, Heat Treating and Allied Activities"/>
    <s v="Revêtement, gravure, traitement thermique et activités analogues"/>
    <x v="0"/>
    <s v="NA - M09"/>
    <x v="83"/>
    <x v="83"/>
    <x v="3"/>
    <s v="Rejets à l'air"/>
    <s v="Road dust"/>
    <s v="Poussières de routes"/>
    <n v="0"/>
    <x v="0"/>
    <s v="O - Engineering Estimates"/>
    <x v="1"/>
  </r>
  <r>
    <x v="20"/>
    <n v="4378"/>
    <x v="632"/>
    <x v="726"/>
    <n v="322299"/>
    <s v="All Other Converted Paper Product Manufacturing"/>
    <s v="Fabrication de tous les autres produits en papier transformé"/>
    <x v="3"/>
    <s v="108-95-2"/>
    <x v="58"/>
    <x v="58"/>
    <x v="3"/>
    <s v="Rejets à l'air"/>
    <s v="Stack / Point"/>
    <s v="Rejets de cheminée ou ponctuels"/>
    <n v="128.6"/>
    <x v="0"/>
    <s v="M3 - Source Testing"/>
    <x v="1"/>
  </r>
  <r>
    <x v="5"/>
    <n v="4649"/>
    <x v="633"/>
    <x v="56"/>
    <n v="325910"/>
    <s v="Printing Ink Manufacturing"/>
    <s v="Fabrication d'encre d'imprimerie"/>
    <x v="0"/>
    <s v="NA - M09"/>
    <x v="83"/>
    <x v="83"/>
    <x v="3"/>
    <s v="Rejets à l'air"/>
    <s v="Stack / Point"/>
    <s v="Rejets de cheminée ou ponctuels"/>
    <n v="3.2730000000000001"/>
    <x v="0"/>
    <s v="O - Engineering Estimates"/>
    <x v="1"/>
  </r>
  <r>
    <x v="21"/>
    <n v="1077"/>
    <x v="390"/>
    <x v="727"/>
    <n v="211110"/>
    <s v="Oil and gas extraction (except oil sands)"/>
    <s v="Extraction de pétrole et de gaz (à l'exception des sables bitumineux)"/>
    <x v="4"/>
    <s v="NA - M08"/>
    <x v="89"/>
    <x v="89"/>
    <x v="3"/>
    <s v="Rejets à l'air"/>
    <s v="Stack / Point"/>
    <s v="Rejets de cheminée ou ponctuels"/>
    <n v="2.7570000000000001"/>
    <x v="0"/>
    <s v="E2 - Published Emission Factors"/>
    <x v="1"/>
  </r>
  <r>
    <x v="21"/>
    <n v="2122"/>
    <x v="181"/>
    <x v="728"/>
    <n v="324190"/>
    <s v="Other petroleum and coal product manufacturing"/>
    <s v="Fabrication d'autres produits du pétrole et du charbon"/>
    <x v="0"/>
    <s v="NA - 14"/>
    <x v="13"/>
    <x v="13"/>
    <x v="2"/>
    <s v="Total des rejets dans tous les milieux (&lt;1tonne)"/>
    <s v="All Media"/>
    <s v="Rejets à tous les médias"/>
    <n v="0"/>
    <x v="0"/>
    <s v="E2 - Published Emission Factors"/>
    <x v="1"/>
  </r>
  <r>
    <x v="9"/>
    <n v="6631"/>
    <x v="469"/>
    <x v="729"/>
    <n v="211113"/>
    <s v="Conventional oil and gas extraction"/>
    <s v="Extraction de pétrole et de gaz par des méthodes classiques"/>
    <x v="5"/>
    <s v="7783-06-4"/>
    <x v="93"/>
    <x v="93"/>
    <x v="3"/>
    <s v="Rejets à l'air"/>
    <s v="Fugitive"/>
    <s v="Émissions fugitives"/>
    <n v="17.841999999999999"/>
    <x v="0"/>
    <s v="O - Engineering Estimates"/>
    <x v="1"/>
  </r>
  <r>
    <x v="16"/>
    <n v="2963"/>
    <x v="634"/>
    <x v="420"/>
    <n v="325110"/>
    <s v="Petrochemical Manufacturing"/>
    <s v="Fabrication de produits pétrochimiques"/>
    <x v="4"/>
    <s v="NA - M10"/>
    <x v="86"/>
    <x v="86"/>
    <x v="3"/>
    <s v="Rejets à l'air"/>
    <s v="Stack / Point"/>
    <s v="Rejets de cheminée ou ponctuels"/>
    <n v="8.8510000000000009"/>
    <x v="0"/>
    <s v="E2 - Published Emission Factors"/>
    <x v="1"/>
  </r>
  <r>
    <x v="15"/>
    <n v="6647"/>
    <x v="635"/>
    <x v="730"/>
    <n v="211142"/>
    <s v="Mined oil sands extraction"/>
    <s v="Extraction minière de sables bitumineux"/>
    <x v="4"/>
    <s v="108-88-3"/>
    <x v="5"/>
    <x v="5"/>
    <x v="3"/>
    <s v="Rejets à l'air"/>
    <s v="Storage / Handling"/>
    <s v="Rejets de stockage ou manutention"/>
    <n v="0"/>
    <x v="0"/>
    <s v="O - Engineering Estimates"/>
    <x v="1"/>
  </r>
  <r>
    <x v="11"/>
    <n v="2083"/>
    <x v="85"/>
    <x v="87"/>
    <n v="221112"/>
    <s v="Fossil-fuel electric power generation"/>
    <s v="Production d'électricité à partir de combustibles fossiles"/>
    <x v="5"/>
    <s v="NA - M08"/>
    <x v="89"/>
    <x v="89"/>
    <x v="3"/>
    <s v="Rejets à l'air"/>
    <s v="Storage / Handling"/>
    <s v="Rejets de stockage ou manutention"/>
    <n v="7.0000000000000007E-2"/>
    <x v="0"/>
    <s v="O - Engineering Estimates"/>
    <x v="1"/>
  </r>
  <r>
    <x v="16"/>
    <n v="6647"/>
    <x v="636"/>
    <x v="731"/>
    <n v="211114"/>
    <s v="Non-Conventional Oil Extraction"/>
    <s v="Extraction de pétrole par des méthodes non classiques"/>
    <x v="4"/>
    <s v="NA - 09"/>
    <x v="12"/>
    <x v="12"/>
    <x v="3"/>
    <s v="Rejets à l'air"/>
    <s v="Other Non-Point"/>
    <s v="Autres rejets non ponctuels"/>
    <n v="1E-3"/>
    <x v="0"/>
    <s v="E2 - Published Emission Factors"/>
    <x v="1"/>
  </r>
  <r>
    <x v="17"/>
    <n v="23408"/>
    <x v="637"/>
    <x v="732"/>
    <n v="211110"/>
    <s v="Oil and gas extraction (except oil sands)"/>
    <s v="Extraction de pétrole et de gaz (à l'exception des sables bitumineux)"/>
    <x v="4"/>
    <s v="11104-93-1"/>
    <x v="92"/>
    <x v="92"/>
    <x v="3"/>
    <s v="Rejets à l'air"/>
    <s v="Stack / Point"/>
    <s v="Rejets de cheminée ou ponctuels"/>
    <n v="23.954899999999999"/>
    <x v="0"/>
    <s v="E2 - Published Emission Factors"/>
    <x v="1"/>
  </r>
  <r>
    <x v="14"/>
    <n v="161"/>
    <x v="514"/>
    <x v="733"/>
    <n v="311224"/>
    <s v="Oilseed processing"/>
    <s v="Transformation de graines oléagineuses"/>
    <x v="0"/>
    <s v="NA - M16"/>
    <x v="88"/>
    <x v="88"/>
    <x v="3"/>
    <s v="Rejets à l'air"/>
    <s v="Stack / Point"/>
    <s v="Rejets de cheminée ou ponctuels"/>
    <n v="72.775000000000006"/>
    <x v="0"/>
    <s v="C - Mass Balance"/>
    <x v="1"/>
  </r>
  <r>
    <x v="16"/>
    <n v="5871"/>
    <x v="638"/>
    <x v="734"/>
    <n v="327310"/>
    <s v="Cement Manufacturing"/>
    <s v="Fabrication de ciment"/>
    <x v="0"/>
    <s v="NA - 09"/>
    <x v="12"/>
    <x v="12"/>
    <x v="3"/>
    <s v="Rejets à l'air"/>
    <s v="Stack / Point"/>
    <s v="Rejets de cheminée ou ponctuels"/>
    <n v="4.2000000000000003E-2"/>
    <x v="0"/>
    <s v="M3 - Source Testing"/>
    <x v="1"/>
  </r>
  <r>
    <x v="7"/>
    <n v="7755"/>
    <x v="639"/>
    <x v="735"/>
    <n v="221320"/>
    <s v="Sewage treatment facilities"/>
    <s v="Installations d'épuration des eaux usées"/>
    <x v="2"/>
    <s v="NA - 22"/>
    <x v="8"/>
    <x v="8"/>
    <x v="4"/>
    <s v="Rejets dans l'eau"/>
    <s v="Direct Discharges"/>
    <s v="Évacuation directes"/>
    <n v="121.05"/>
    <x v="0"/>
    <s v="M2 - Predictive Emission Monitoring"/>
    <x v="1"/>
  </r>
  <r>
    <x v="7"/>
    <n v="7838"/>
    <x v="579"/>
    <x v="736"/>
    <n v="212114"/>
    <s v="Bituminous coal mining"/>
    <s v="Extraction de charbon bitumineux"/>
    <x v="2"/>
    <s v="NA - 08"/>
    <x v="1"/>
    <x v="1"/>
    <x v="4"/>
    <s v="Rejets dans l'eau"/>
    <s v="Direct Discharges"/>
    <s v="Évacuation directes"/>
    <n v="0.76600000000000001"/>
    <x v="1"/>
    <s v="M3 - Source Testing"/>
    <x v="1"/>
  </r>
  <r>
    <x v="8"/>
    <n v="7010"/>
    <x v="640"/>
    <x v="737"/>
    <n v="327320"/>
    <s v="Ready-Mix Concrete Manufacturing"/>
    <s v="Fabrication de béton préparé"/>
    <x v="0"/>
    <s v="NA - M09"/>
    <x v="83"/>
    <x v="83"/>
    <x v="3"/>
    <s v="Rejets à l'air"/>
    <s v="Storage / Handling"/>
    <s v="Rejets de stockage ou manutention"/>
    <n v="0.32"/>
    <x v="0"/>
    <s v="E2 - Published Emission Factors"/>
    <x v="1"/>
  </r>
  <r>
    <x v="19"/>
    <n v="1233"/>
    <x v="641"/>
    <x v="738"/>
    <n v="212232"/>
    <s v="Nickel-Copper Ore Mining"/>
    <s v="Extraction de minerais de nickel-cuivre"/>
    <x v="0"/>
    <s v="7664-93-9"/>
    <x v="30"/>
    <x v="30"/>
    <x v="3"/>
    <s v="Rejets à l'air"/>
    <s v="Storage / Handling"/>
    <s v="Rejets de stockage ou manutention"/>
    <n v="2.4E-2"/>
    <x v="0"/>
    <s v="O - Engineering Estimates"/>
    <x v="1"/>
  </r>
  <r>
    <x v="12"/>
    <n v="10238"/>
    <x v="12"/>
    <x v="12"/>
    <n v="412110"/>
    <s v="Petroleum and petroleum products merchant wholesalers"/>
    <s v="Grossistes-marchands de pétrole et de produits pétroliers"/>
    <x v="2"/>
    <s v="71-43-2"/>
    <x v="31"/>
    <x v="31"/>
    <x v="2"/>
    <s v="Total des rejets dans tous les milieux (&lt;1tonne)"/>
    <s v="All Media"/>
    <s v="Rejets à tous les médias"/>
    <n v="6.0400000000000002E-2"/>
    <x v="0"/>
    <s v="E2 - Published Emission Factors"/>
    <x v="1"/>
  </r>
  <r>
    <x v="11"/>
    <n v="11030"/>
    <x v="642"/>
    <x v="739"/>
    <n v="337110"/>
    <s v="Wood kitchen cabinet and counter top manufacturing"/>
    <s v="Fabrication d'armoires et de comptoirs de cuisine en bois"/>
    <x v="0"/>
    <s v="1330-20-7"/>
    <x v="24"/>
    <x v="24"/>
    <x v="3"/>
    <s v="Rejets à l'air"/>
    <s v="Stack / Point"/>
    <s v="Rejets de cheminée ou ponctuels"/>
    <n v="9.65"/>
    <x v="0"/>
    <s v="O - Engineering Estimates"/>
    <x v="1"/>
  </r>
  <r>
    <x v="27"/>
    <n v="979"/>
    <x v="643"/>
    <x v="740"/>
    <n v="322122"/>
    <s v="Newsprint Mills"/>
    <s v="Usines de papier journal"/>
    <x v="3"/>
    <s v="NA - M10"/>
    <x v="86"/>
    <x v="86"/>
    <x v="3"/>
    <s v="Rejets à l'air"/>
    <s v="Stack / Point"/>
    <s v="Rejets de cheminée ou ponctuels"/>
    <n v="1.3566"/>
    <x v="0"/>
    <s v="M3 - Source Testing"/>
    <x v="1"/>
  </r>
  <r>
    <x v="12"/>
    <n v="19600"/>
    <x v="250"/>
    <x v="741"/>
    <n v="211110"/>
    <s v="Oil and gas extraction (except oil sands)"/>
    <s v="Extraction de pétrole et de gaz (à l'exception des sables bitumineux)"/>
    <x v="4"/>
    <s v="11104-93-1"/>
    <x v="92"/>
    <x v="92"/>
    <x v="3"/>
    <s v="Rejets à l'air"/>
    <s v="Stack / Point"/>
    <s v="Rejets de cheminée ou ponctuels"/>
    <n v="41.784999999999997"/>
    <x v="0"/>
    <s v="E2 - Published Emission Factors"/>
    <x v="1"/>
  </r>
  <r>
    <x v="6"/>
    <n v="3283"/>
    <x v="644"/>
    <x v="742"/>
    <n v="336390"/>
    <s v="Other Motor Vehicle Parts Manufacturing"/>
    <s v="Fabrication d'autres pièces pour véhicules automobiles"/>
    <x v="0"/>
    <s v="NA - M09"/>
    <x v="83"/>
    <x v="83"/>
    <x v="3"/>
    <s v="Rejets à l'air"/>
    <s v="Other Non-Point"/>
    <s v="Autres rejets non ponctuels"/>
    <n v="1.2E-2"/>
    <x v="0"/>
    <s v="E2 - Published Emission Factors"/>
    <x v="1"/>
  </r>
  <r>
    <x v="14"/>
    <n v="5157"/>
    <x v="645"/>
    <x v="743"/>
    <n v="321212"/>
    <s v="Softwood veneer and plywood mills"/>
    <s v="Usines de placages et de contreplaqués de résineux"/>
    <x v="4"/>
    <s v="NA - M10"/>
    <x v="86"/>
    <x v="86"/>
    <x v="3"/>
    <s v="Rejets à l'air"/>
    <s v="Road dust"/>
    <s v="Poussières de routes"/>
    <n v="2.2242999999999999"/>
    <x v="0"/>
    <s v="E2 - Published Emission Factors"/>
    <x v="1"/>
  </r>
  <r>
    <x v="10"/>
    <n v="5841"/>
    <x v="646"/>
    <x v="744"/>
    <n v="327310"/>
    <s v="Cement Manufacturing"/>
    <s v="Fabrication de ciment"/>
    <x v="0"/>
    <s v="207-08-9"/>
    <x v="18"/>
    <x v="18"/>
    <x v="3"/>
    <s v="Rejets à l'air"/>
    <s v="Stack / Point"/>
    <s v="Rejets de cheminée ou ponctuels"/>
    <n v="0.129"/>
    <x v="1"/>
    <s v="E - Emission Factor"/>
    <x v="1"/>
  </r>
  <r>
    <x v="8"/>
    <n v="17422"/>
    <x v="647"/>
    <x v="745"/>
    <n v="211113"/>
    <s v="Conventional Oil and Gas Extraction"/>
    <s v="Extraction de pétrole et de gaz par des méthodes classiques"/>
    <x v="4"/>
    <s v="11104-93-1"/>
    <x v="92"/>
    <x v="92"/>
    <x v="3"/>
    <s v="Rejets à l'air"/>
    <s v="Stack / Point"/>
    <s v="Rejets de cheminée ou ponctuels"/>
    <n v="393.89800000000002"/>
    <x v="0"/>
    <s v="E2 - Published Emission Factors"/>
    <x v="1"/>
  </r>
  <r>
    <x v="6"/>
    <n v="2182"/>
    <x v="364"/>
    <x v="746"/>
    <n v="327310"/>
    <s v="Cement Manufacturing"/>
    <s v="Fabrication de ciment"/>
    <x v="0"/>
    <s v="NA - M16"/>
    <x v="88"/>
    <x v="88"/>
    <x v="3"/>
    <s v="Rejets à l'air"/>
    <s v="Storage / Handling"/>
    <s v="Rejets de stockage ou manutention"/>
    <n v="0"/>
    <x v="0"/>
    <s v="E1 - Site Specific Emission Factors"/>
    <x v="1"/>
  </r>
  <r>
    <x v="27"/>
    <n v="1755"/>
    <x v="250"/>
    <x v="747"/>
    <n v="211113"/>
    <s v="Conventional Oil and Gas Extraction"/>
    <s v="Extraction de pétrole et de gaz par des méthodes classiques"/>
    <x v="4"/>
    <s v="108-88-3"/>
    <x v="5"/>
    <x v="5"/>
    <x v="3"/>
    <s v="Rejets à l'air"/>
    <s v="Fugitive"/>
    <s v="Émissions fugitives"/>
    <n v="0.442"/>
    <x v="0"/>
    <s v="E2 - Published Emission Factors"/>
    <x v="1"/>
  </r>
  <r>
    <x v="19"/>
    <n v="1748"/>
    <x v="648"/>
    <x v="748"/>
    <n v="321217"/>
    <s v="Waferboard Mills"/>
    <s v="Usines de panneaux de copeaux"/>
    <x v="3"/>
    <s v="11104-93-1"/>
    <x v="92"/>
    <x v="92"/>
    <x v="3"/>
    <s v="Rejets à l'air"/>
    <s v="Stack / Point"/>
    <s v="Rejets de cheminée ou ponctuels"/>
    <n v="115.752"/>
    <x v="0"/>
    <s v="M3 - Source Testing"/>
    <x v="1"/>
  </r>
  <r>
    <x v="16"/>
    <n v="18993"/>
    <x v="649"/>
    <x v="749"/>
    <n v="221119"/>
    <s v="Other Electric Power Generation"/>
    <s v="Autres activités de production d'électricité"/>
    <x v="2"/>
    <s v="630-08-0"/>
    <x v="87"/>
    <x v="87"/>
    <x v="3"/>
    <s v="Rejets à l'air"/>
    <s v="Stack / Point"/>
    <s v="Rejets de cheminée ou ponctuels"/>
    <n v="41.682000000000002"/>
    <x v="0"/>
    <s v="M3 - Source Testing"/>
    <x v="1"/>
  </r>
  <r>
    <x v="15"/>
    <n v="8596"/>
    <x v="650"/>
    <x v="750"/>
    <n v="311614"/>
    <s v="Rendering and meat processing from carcasses"/>
    <s v="Fonte de graisses animales et transformation de la viande provenant de carcasses"/>
    <x v="3"/>
    <s v="NA - M10"/>
    <x v="86"/>
    <x v="86"/>
    <x v="3"/>
    <s v="Rejets à l'air"/>
    <s v="Stack / Point"/>
    <s v="Rejets de cheminée ou ponctuels"/>
    <n v="1.99"/>
    <x v="0"/>
    <s v="M3 - Source Testing"/>
    <x v="1"/>
  </r>
  <r>
    <x v="1"/>
    <n v="28437"/>
    <x v="383"/>
    <x v="751"/>
    <n v="211113"/>
    <s v="Conventional oil and gas extraction"/>
    <s v="Extraction de pétrole et de gaz par des méthodes classiques"/>
    <x v="4"/>
    <s v="NA - M10"/>
    <x v="86"/>
    <x v="86"/>
    <x v="3"/>
    <s v="Rejets à l'air"/>
    <s v="Stack / Point"/>
    <s v="Rejets de cheminée ou ponctuels"/>
    <n v="0.36099999999999999"/>
    <x v="0"/>
    <s v="E2 - Published Emission Factors"/>
    <x v="1"/>
  </r>
  <r>
    <x v="29"/>
    <n v="31525"/>
    <x v="651"/>
    <x v="752"/>
    <n v="211110"/>
    <s v="Oil and gas extraction (except oil sands)"/>
    <s v="Extraction de pétrole et de gaz (à l'exception des sables bitumineux)"/>
    <x v="4"/>
    <s v="NA - M08"/>
    <x v="89"/>
    <x v="89"/>
    <x v="3"/>
    <s v="Rejets à l'air"/>
    <s v="Stack / Point"/>
    <s v="Rejets de cheminée ou ponctuels"/>
    <n v="2.8E-3"/>
    <x v="0"/>
    <s v="E2 - Published Emission Factors"/>
    <x v="1"/>
  </r>
  <r>
    <x v="14"/>
    <n v="18381"/>
    <x v="250"/>
    <x v="753"/>
    <n v="211110"/>
    <s v="Oil and gas extraction (except oil sands)"/>
    <s v="Extraction de pétrole et de gaz (à l'exception des sables bitumineux)"/>
    <x v="2"/>
    <s v="NA - M16"/>
    <x v="88"/>
    <x v="88"/>
    <x v="3"/>
    <s v="Rejets à l'air"/>
    <s v="Fugitive"/>
    <s v="Émissions fugitives"/>
    <n v="0.40953000000000001"/>
    <x v="0"/>
    <s v="O - Engineering Estimates"/>
    <x v="1"/>
  </r>
  <r>
    <x v="10"/>
    <n v="3701"/>
    <x v="56"/>
    <x v="142"/>
    <n v="324110"/>
    <s v="Petroleum Refineries"/>
    <s v="Raffineries de pétrole"/>
    <x v="0"/>
    <s v="189-55-9"/>
    <x v="108"/>
    <x v="108"/>
    <x v="3"/>
    <s v="Rejets à l'air"/>
    <s v="Storage / Handling"/>
    <s v="Rejets de stockage ou manutention"/>
    <n v="0"/>
    <x v="1"/>
    <s v="E - Emission Factor"/>
    <x v="1"/>
  </r>
  <r>
    <x v="1"/>
    <n v="2776"/>
    <x v="8"/>
    <x v="7"/>
    <n v="324110"/>
    <s v="Petroleum refineries"/>
    <s v="Raffineries de pétrole"/>
    <x v="2"/>
    <s v="74-85-1"/>
    <x v="91"/>
    <x v="91"/>
    <x v="3"/>
    <s v="Rejets à l'air"/>
    <s v="Fugitive"/>
    <s v="Émissions fugitives"/>
    <n v="5.0000000000000001E-3"/>
    <x v="0"/>
    <s v="O - Engineering Estimates"/>
    <x v="1"/>
  </r>
  <r>
    <x v="1"/>
    <n v="5015"/>
    <x v="652"/>
    <x v="754"/>
    <n v="562210"/>
    <s v="Waste treatment and disposal"/>
    <s v="Traitement et élimination des déchets"/>
    <x v="9"/>
    <s v="7647-01-0"/>
    <x v="7"/>
    <x v="7"/>
    <x v="3"/>
    <s v="Rejets à l'air"/>
    <s v="Stack / Point"/>
    <s v="Rejets de cheminée ou ponctuels"/>
    <n v="3.9119999999999999"/>
    <x v="0"/>
    <s v="M3 - Source Testing"/>
    <x v="1"/>
  </r>
  <r>
    <x v="29"/>
    <n v="11552"/>
    <x v="260"/>
    <x v="755"/>
    <n v="562110"/>
    <s v="Waste collection"/>
    <s v="Collecte de déchets"/>
    <x v="0"/>
    <s v="NA - M10"/>
    <x v="86"/>
    <x v="86"/>
    <x v="3"/>
    <s v="Rejets à l'air"/>
    <s v="Road dust"/>
    <s v="Poussières de routes"/>
    <n v="0.06"/>
    <x v="0"/>
    <s v="E2 - Published Emission Factors"/>
    <x v="1"/>
  </r>
  <r>
    <x v="21"/>
    <n v="28516"/>
    <x v="653"/>
    <x v="756"/>
    <n v="211110"/>
    <s v="Oil and gas extraction (except oil sands)"/>
    <s v="Extraction de pétrole et de gaz (à l'exception des sables bitumineux)"/>
    <x v="2"/>
    <s v="7446-09-5"/>
    <x v="85"/>
    <x v="85"/>
    <x v="3"/>
    <s v="Rejets à l'air"/>
    <s v="Stack / Point"/>
    <s v="Rejets de cheminée ou ponctuels"/>
    <n v="42.866"/>
    <x v="0"/>
    <s v="O - Engineering Estimates"/>
    <x v="1"/>
  </r>
  <r>
    <x v="8"/>
    <n v="407"/>
    <x v="654"/>
    <x v="757"/>
    <n v="211113"/>
    <s v="Conventional Oil and Gas Extraction"/>
    <s v="Extraction de pétrole et de gaz par des méthodes classiques"/>
    <x v="4"/>
    <s v="7783-06-4"/>
    <x v="93"/>
    <x v="93"/>
    <x v="3"/>
    <s v="Rejets à l'air"/>
    <s v="Storage / Handling"/>
    <s v="Rejets de stockage ou manutention"/>
    <n v="51"/>
    <x v="0"/>
    <s v="O - Engineering Estimates"/>
    <x v="1"/>
  </r>
  <r>
    <x v="18"/>
    <n v="4566"/>
    <x v="431"/>
    <x v="758"/>
    <n v="211113"/>
    <s v="Conventional oil and gas extraction"/>
    <s v="Extraction de pétrole et de gaz par des méthodes classiques"/>
    <x v="4"/>
    <s v="95-63-6"/>
    <x v="40"/>
    <x v="40"/>
    <x v="2"/>
    <s v="Total des rejets dans tous les milieux (&lt;1tonne)"/>
    <s v="All Media"/>
    <s v="Rejets à tous les médias"/>
    <n v="0.111"/>
    <x v="0"/>
    <s v="E2 - Published Emission Factors"/>
    <x v="1"/>
  </r>
  <r>
    <x v="3"/>
    <n v="2984"/>
    <x v="655"/>
    <x v="759"/>
    <n v="331110"/>
    <s v="Iron and Steel Mills and Ferro-Alloy Manufacturing"/>
    <s v="Sidérurgie"/>
    <x v="0"/>
    <s v="NA - D/F"/>
    <x v="57"/>
    <x v="57"/>
    <x v="3"/>
    <s v="Rejets à l'air"/>
    <s v="Stack / Point"/>
    <s v="Rejets de cheminée ou ponctuels"/>
    <n v="1.73"/>
    <x v="2"/>
    <s v="E - Emission Factor"/>
    <x v="1"/>
  </r>
  <r>
    <x v="14"/>
    <n v="32084"/>
    <x v="656"/>
    <x v="760"/>
    <n v="211110"/>
    <s v="Oil and gas extraction (except oil sands)"/>
    <s v="Extraction de pétrole et de gaz (à l'exception des sables bitumineux)"/>
    <x v="4"/>
    <s v="NA - M09"/>
    <x v="83"/>
    <x v="83"/>
    <x v="3"/>
    <s v="Rejets à l'air"/>
    <s v="Stack / Point"/>
    <s v="Rejets de cheminée ou ponctuels"/>
    <n v="0.35799999999999998"/>
    <x v="0"/>
    <s v="E2 - Published Emission Factors"/>
    <x v="1"/>
  </r>
  <r>
    <x v="19"/>
    <n v="6074"/>
    <x v="657"/>
    <x v="761"/>
    <n v="314110"/>
    <s v="Carpet and Rug Mills"/>
    <s v="Usines de tapis et de carpettes"/>
    <x v="7"/>
    <s v="11104-93-1"/>
    <x v="92"/>
    <x v="92"/>
    <x v="3"/>
    <s v="Rejets à l'air"/>
    <s v="Stack / Point"/>
    <s v="Rejets de cheminée ou ponctuels"/>
    <n v="19.64"/>
    <x v="0"/>
    <s v="E2 - Published Emission Factors"/>
    <x v="1"/>
  </r>
  <r>
    <x v="27"/>
    <n v="7051"/>
    <x v="658"/>
    <x v="762"/>
    <n v="212220"/>
    <s v="Gold and Silver Ore Mining"/>
    <s v="Extraction de minerais d'or et d'argent"/>
    <x v="0"/>
    <s v="NA - M09"/>
    <x v="83"/>
    <x v="83"/>
    <x v="3"/>
    <s v="Rejets à l'air"/>
    <s v="Road dust"/>
    <s v="Poussières de routes"/>
    <n v="2.0199999999999999E-2"/>
    <x v="0"/>
    <s v="E2 - Published Emission Factors"/>
    <x v="1"/>
  </r>
  <r>
    <x v="10"/>
    <n v="6290"/>
    <x v="659"/>
    <x v="763"/>
    <n v="412110"/>
    <s v="Petroleum Product Wholesaler-Distributors"/>
    <s v="Grossistes-distributeurs de produits pétroliers"/>
    <x v="3"/>
    <s v="7446-09-5"/>
    <x v="85"/>
    <x v="85"/>
    <x v="3"/>
    <s v="Rejets à l'air"/>
    <s v="Stack / Point"/>
    <s v="Rejets de cheminée ou ponctuels"/>
    <n v="48.35"/>
    <x v="0"/>
    <s v="E - Emission Factor"/>
    <x v="1"/>
  </r>
  <r>
    <x v="26"/>
    <n v="1684"/>
    <x v="660"/>
    <x v="764"/>
    <n v="325210"/>
    <s v="Resin and Synthetic Rubber Manufacturing"/>
    <s v="Fabrication de résines et de caoutchouc synthétique"/>
    <x v="0"/>
    <s v="50-00-0"/>
    <x v="17"/>
    <x v="17"/>
    <x v="3"/>
    <s v="Rejets à l'air"/>
    <s v="Stack / Point"/>
    <s v="Rejets de cheminée ou ponctuels"/>
    <n v="0.75"/>
    <x v="0"/>
    <s v="M2 - Predictive Emission Monitoring"/>
    <x v="1"/>
  </r>
  <r>
    <x v="21"/>
    <n v="5158"/>
    <x v="661"/>
    <x v="765"/>
    <n v="321111"/>
    <s v="Sawmills (except shingle and shake mills)"/>
    <s v="Scieries (sauf les usines de bardeaux et de bardeaux de fente)"/>
    <x v="2"/>
    <s v="630-08-0"/>
    <x v="87"/>
    <x v="87"/>
    <x v="3"/>
    <s v="Rejets à l'air"/>
    <s v="Stack / Point"/>
    <s v="Rejets de cheminée ou ponctuels"/>
    <n v="319.52300000000002"/>
    <x v="0"/>
    <s v="E2 - Published Emission Factors"/>
    <x v="1"/>
  </r>
  <r>
    <x v="21"/>
    <n v="31261"/>
    <x v="662"/>
    <x v="766"/>
    <n v="324121"/>
    <s v="Asphalt paving mixture and block manufacturing"/>
    <s v="Fabrication de mélanges d'asphaltage et de pavés d'asphalte"/>
    <x v="4"/>
    <s v="7446-09-5"/>
    <x v="85"/>
    <x v="85"/>
    <x v="3"/>
    <s v="Rejets à l'air"/>
    <s v="Stack / Point"/>
    <s v="Rejets de cheminée ou ponctuels"/>
    <n v="5.8890000000000001E-3"/>
    <x v="0"/>
    <s v="O - Engineering Estimates"/>
    <x v="1"/>
  </r>
  <r>
    <x v="29"/>
    <n v="33456"/>
    <x v="497"/>
    <x v="767"/>
    <n v="211110"/>
    <s v="Oil and gas extraction (except oil sands)"/>
    <s v="Extraction de pétrole et de gaz (à l'exception des sables bitumineux)"/>
    <x v="5"/>
    <s v="NA - M16"/>
    <x v="96"/>
    <x v="96"/>
    <x v="3"/>
    <s v="Rejets à l'air"/>
    <s v="Fugitive"/>
    <s v="Émissions fugitives"/>
    <n v="9.5899999999999999E-2"/>
    <x v="0"/>
    <s v="O - Engineering Estimates"/>
    <x v="1"/>
  </r>
  <r>
    <x v="20"/>
    <n v="17327"/>
    <x v="663"/>
    <x v="768"/>
    <n v="211113"/>
    <s v="Conventional Oil and Gas Extraction"/>
    <s v="Extraction de pétrole et de gaz par des méthodes classiques"/>
    <x v="4"/>
    <s v="11104-93-1"/>
    <x v="92"/>
    <x v="92"/>
    <x v="3"/>
    <s v="Rejets à l'air"/>
    <s v="Stack / Point"/>
    <s v="Rejets de cheminée ou ponctuels"/>
    <n v="158.49700000000001"/>
    <x v="0"/>
    <s v="E2 - Published Emission Factors"/>
    <x v="1"/>
  </r>
  <r>
    <x v="14"/>
    <n v="31267"/>
    <x v="664"/>
    <x v="769"/>
    <n v="212323"/>
    <s v="Sand and gravel mining and quarrying"/>
    <s v="Extraction de sable et de gravier"/>
    <x v="0"/>
    <s v="NA - M10"/>
    <x v="86"/>
    <x v="86"/>
    <x v="3"/>
    <s v="Rejets à l'air"/>
    <s v="Fugitive"/>
    <s v="Émissions fugitives"/>
    <n v="3.9300000000000002E-2"/>
    <x v="0"/>
    <s v="O - Engineering Estimates"/>
    <x v="1"/>
  </r>
  <r>
    <x v="17"/>
    <n v="3897"/>
    <x v="319"/>
    <x v="41"/>
    <n v="324110"/>
    <s v="Petroleum refineries"/>
    <s v="Raffineries de pétrole"/>
    <x v="3"/>
    <s v="NA - 40"/>
    <x v="81"/>
    <x v="81"/>
    <x v="3"/>
    <s v="Rejets à l'air"/>
    <s v="Stack / Point"/>
    <s v="Rejets de cheminée ou ponctuels"/>
    <n v="0.63966699999999999"/>
    <x v="0"/>
    <s v="E2 - Published Emission Factors"/>
    <x v="1"/>
  </r>
  <r>
    <x v="17"/>
    <n v="30639"/>
    <x v="665"/>
    <x v="770"/>
    <n v="332999"/>
    <s v="All other miscellaneous fabricated metal product manufacturing"/>
    <s v="Fabrication de tous les autres produits métalliques divers"/>
    <x v="0"/>
    <s v="NA - 09"/>
    <x v="12"/>
    <x v="12"/>
    <x v="3"/>
    <s v="Rejets à l'air"/>
    <s v="Stack / Point"/>
    <s v="Rejets de cheminée ou ponctuels"/>
    <n v="2.9999999999999997E-4"/>
    <x v="0"/>
    <s v="E2 - Published Emission Factors"/>
    <x v="1"/>
  </r>
  <r>
    <x v="18"/>
    <n v="6185"/>
    <x v="666"/>
    <x v="387"/>
    <n v="327410"/>
    <s v="Lime manufacturing"/>
    <s v="Fabrication de chaux"/>
    <x v="3"/>
    <s v="NA - M10"/>
    <x v="86"/>
    <x v="86"/>
    <x v="3"/>
    <s v="Rejets à l'air"/>
    <s v="Stack / Point"/>
    <s v="Rejets de cheminée ou ponctuels"/>
    <n v="1.468"/>
    <x v="0"/>
    <s v="M3 - Source Testing"/>
    <x v="1"/>
  </r>
  <r>
    <x v="18"/>
    <n v="5684"/>
    <x v="277"/>
    <x v="771"/>
    <n v="212398"/>
    <s v="All other non-metallic mineral mining and quarrying"/>
    <s v="Extraction de tous les autres minerais non métalliques"/>
    <x v="0"/>
    <s v="NA - 11"/>
    <x v="4"/>
    <x v="4"/>
    <x v="4"/>
    <s v="Rejets dans l'eau"/>
    <s v="Direct Discharges"/>
    <s v="Évacuation directes"/>
    <n v="1.3599999999999999E-2"/>
    <x v="0"/>
    <s v="M3 - Source Testing"/>
    <x v="1"/>
  </r>
  <r>
    <x v="18"/>
    <n v="11763"/>
    <x v="667"/>
    <x v="772"/>
    <n v="327330"/>
    <s v="Concrete pipe, brick and block manufacturing"/>
    <s v="Fabrication de tuyaux, briques et blocs en béton"/>
    <x v="0"/>
    <s v="NA - M10"/>
    <x v="86"/>
    <x v="86"/>
    <x v="3"/>
    <s v="Rejets à l'air"/>
    <s v="Stack / Point"/>
    <s v="Rejets de cheminée ou ponctuels"/>
    <n v="1.5660000000000001"/>
    <x v="0"/>
    <s v="E2 - Published Emission Factors"/>
    <x v="1"/>
  </r>
  <r>
    <x v="20"/>
    <n v="1779"/>
    <x v="36"/>
    <x v="773"/>
    <n v="325110"/>
    <s v="Petrochemical Manufacturing"/>
    <s v="Fabrication de produits pétrochimiques"/>
    <x v="4"/>
    <s v="110-54-3"/>
    <x v="47"/>
    <x v="47"/>
    <x v="3"/>
    <s v="Rejets à l'air"/>
    <s v="Stack / Point"/>
    <s v="Rejets de cheminée ou ponctuels"/>
    <n v="0.40100000000000002"/>
    <x v="0"/>
    <s v="O - Engineering Estimates"/>
    <x v="1"/>
  </r>
  <r>
    <x v="17"/>
    <n v="26403"/>
    <x v="293"/>
    <x v="311"/>
    <n v="211142"/>
    <s v="Mined oil sands extraction"/>
    <s v="Extraction minière de sables bitumineux"/>
    <x v="4"/>
    <s v="NA - M10"/>
    <x v="86"/>
    <x v="86"/>
    <x v="3"/>
    <s v="Rejets à l'air"/>
    <s v="Fugitive"/>
    <s v="Émissions fugitives"/>
    <n v="27.376835"/>
    <x v="0"/>
    <s v="E2 - Published Emission Factors"/>
    <x v="1"/>
  </r>
  <r>
    <x v="4"/>
    <n v="2322"/>
    <x v="668"/>
    <x v="0"/>
    <n v="325999"/>
    <s v="All Other Miscellaneous Chemical Product Manufacturing"/>
    <s v="Fabrication de tous les autres produits chimiques divers"/>
    <x v="0"/>
    <s v="NA - 16"/>
    <x v="49"/>
    <x v="49"/>
    <x v="3"/>
    <s v="Rejets à l'air"/>
    <s v="Stack / Point"/>
    <s v="Rejets de cheminée ou ponctuels"/>
    <n v="2.0939999999999999"/>
    <x v="0"/>
    <s v="E - Emission Factor"/>
    <x v="1"/>
  </r>
  <r>
    <x v="1"/>
    <n v="18000"/>
    <x v="250"/>
    <x v="774"/>
    <n v="211113"/>
    <s v="Conventional oil and gas extraction"/>
    <s v="Extraction de pétrole et de gaz par des méthodes classiques"/>
    <x v="4"/>
    <s v="11104-93-1"/>
    <x v="92"/>
    <x v="92"/>
    <x v="3"/>
    <s v="Rejets à l'air"/>
    <s v="Stack / Point"/>
    <s v="Rejets de cheminée ou ponctuels"/>
    <n v="64.987499999999997"/>
    <x v="0"/>
    <s v="E2 - Published Emission Factors"/>
    <x v="1"/>
  </r>
  <r>
    <x v="2"/>
    <n v="2230"/>
    <x v="410"/>
    <x v="425"/>
    <n v="211114"/>
    <s v="Non-conventional oil extraction"/>
    <s v="Extraction de pétrole par des méthodes non classiques"/>
    <x v="4"/>
    <s v="129-00-0"/>
    <x v="73"/>
    <x v="73"/>
    <x v="3"/>
    <s v="Rejets à l'air"/>
    <s v="Fugitive"/>
    <s v="Émissions fugitives"/>
    <n v="2.2997000000000001"/>
    <x v="1"/>
    <s v="M3 - Source Testing"/>
    <x v="1"/>
  </r>
  <r>
    <x v="2"/>
    <n v="24145"/>
    <x v="669"/>
    <x v="775"/>
    <n v="211114"/>
    <s v="Non-conventional oil extraction"/>
    <s v="Extraction de pétrole par des méthodes non classiques"/>
    <x v="4"/>
    <s v="NA - M10"/>
    <x v="86"/>
    <x v="86"/>
    <x v="3"/>
    <s v="Rejets à l'air"/>
    <s v="Road dust"/>
    <s v="Poussières de routes"/>
    <n v="2.637"/>
    <x v="0"/>
    <s v="O - Engineering Estimates"/>
    <x v="1"/>
  </r>
  <r>
    <x v="17"/>
    <n v="31705"/>
    <x v="670"/>
    <x v="776"/>
    <n v="324121"/>
    <s v="Asphalt paving mixture and block manufacturing"/>
    <s v="Fabrication de mélanges d'asphaltage et de pavés d'asphalte"/>
    <x v="2"/>
    <s v="NA - M09"/>
    <x v="83"/>
    <x v="83"/>
    <x v="3"/>
    <s v="Rejets à l'air"/>
    <s v="Spills"/>
    <s v="Déversements"/>
    <n v="0"/>
    <x v="0"/>
    <s v="O - Engineering Estimates"/>
    <x v="1"/>
  </r>
  <r>
    <x v="14"/>
    <n v="15120"/>
    <x v="671"/>
    <x v="777"/>
    <n v="211110"/>
    <s v="Oil and gas extraction (except oil sands)"/>
    <s v="Extraction de pétrole et de gaz (à l'exception des sables bitumineux)"/>
    <x v="4"/>
    <s v="630-08-0"/>
    <x v="87"/>
    <x v="87"/>
    <x v="3"/>
    <s v="Rejets à l'air"/>
    <s v="Stack / Point"/>
    <s v="Rejets de cheminée ou ponctuels"/>
    <n v="64.584199999999996"/>
    <x v="0"/>
    <s v="E2 - Published Emission Factors"/>
    <x v="1"/>
  </r>
  <r>
    <x v="17"/>
    <n v="29053"/>
    <x v="672"/>
    <x v="778"/>
    <n v="221112"/>
    <s v="Fossil-fuel electric power generation"/>
    <s v="Production d'électricité à partir de combustibles fossiles"/>
    <x v="10"/>
    <s v="11104-93-1"/>
    <x v="92"/>
    <x v="92"/>
    <x v="3"/>
    <s v="Rejets à l'air"/>
    <s v="Stack / Point"/>
    <s v="Rejets de cheminée ou ponctuels"/>
    <n v="30.83"/>
    <x v="0"/>
    <s v="E1 - Site Specific Emission Factors"/>
    <x v="1"/>
  </r>
  <r>
    <x v="17"/>
    <n v="34493"/>
    <x v="497"/>
    <x v="779"/>
    <n v="211110"/>
    <s v="Oil and gas extraction (except oil sands)"/>
    <s v="Extraction de pétrole et de gaz (à l'exception des sables bitumineux)"/>
    <x v="5"/>
    <s v="11104-93-1"/>
    <x v="92"/>
    <x v="92"/>
    <x v="3"/>
    <s v="Rejets à l'air"/>
    <s v="Stack / Point"/>
    <s v="Rejets de cheminée ou ponctuels"/>
    <n v="0.17566000000000001"/>
    <x v="0"/>
    <s v="E2 - Published Emission Factors"/>
    <x v="1"/>
  </r>
  <r>
    <x v="13"/>
    <n v="6374"/>
    <x v="673"/>
    <x v="780"/>
    <n v="221320"/>
    <s v="Sewage Treatment Facilities"/>
    <s v="Installations d'épuration des eaux usées"/>
    <x v="3"/>
    <s v="NA - 16"/>
    <x v="49"/>
    <x v="49"/>
    <x v="4"/>
    <s v="Rejets dans l'eau"/>
    <s v="Direct Discharges"/>
    <s v="Évacuation directes"/>
    <n v="176"/>
    <x v="0"/>
    <s v="O - Engineering Estimates"/>
    <x v="1"/>
  </r>
  <r>
    <x v="21"/>
    <n v="5739"/>
    <x v="674"/>
    <x v="781"/>
    <n v="325190"/>
    <s v="Other basic organic chemical manufacturing"/>
    <s v="Fabrication d'autres produits chimiques organiques de base"/>
    <x v="0"/>
    <s v="110-82-7"/>
    <x v="71"/>
    <x v="71"/>
    <x v="3"/>
    <s v="Rejets à l'air"/>
    <s v="Storage / Handling"/>
    <s v="Rejets de stockage ou manutention"/>
    <n v="1.9099999999999999E-2"/>
    <x v="0"/>
    <s v="O - Engineering Estimates"/>
    <x v="1"/>
  </r>
  <r>
    <x v="15"/>
    <n v="3394"/>
    <x v="675"/>
    <x v="782"/>
    <n v="322121"/>
    <s v="Paper (except newsprint) mills"/>
    <s v="Usines de papier (sauf le papier journal)"/>
    <x v="8"/>
    <s v="67-56-1"/>
    <x v="3"/>
    <x v="3"/>
    <x v="4"/>
    <s v="Rejets dans l'eau"/>
    <s v="Direct Discharges"/>
    <s v="Évacuation directes"/>
    <n v="0.1065"/>
    <x v="0"/>
    <s v="E2 - Published Emission Factors"/>
    <x v="1"/>
  </r>
  <r>
    <x v="17"/>
    <n v="29526"/>
    <x v="165"/>
    <x v="176"/>
    <n v="336212"/>
    <s v="Truck trailer manufacturing"/>
    <s v="Fabrication de remorques de camions"/>
    <x v="0"/>
    <s v="NA - M10"/>
    <x v="86"/>
    <x v="86"/>
    <x v="3"/>
    <s v="Rejets à l'air"/>
    <s v="Stack / Point"/>
    <s v="Rejets de cheminée ou ponctuels"/>
    <n v="0.34173599999999998"/>
    <x v="0"/>
    <s v="E2 - Published Emission Factors"/>
    <x v="1"/>
  </r>
  <r>
    <x v="2"/>
    <n v="6647"/>
    <x v="636"/>
    <x v="783"/>
    <n v="211114"/>
    <s v="Non-conventional oil extraction"/>
    <s v="Extraction de pétrole par des méthodes non classiques"/>
    <x v="4"/>
    <s v="NA - 04"/>
    <x v="19"/>
    <x v="19"/>
    <x v="2"/>
    <s v="Total des rejets dans tous les milieux (&lt;1tonne)"/>
    <s v="All Media"/>
    <s v="Rejets à tous les médias"/>
    <n v="2.9999999999999997E-4"/>
    <x v="0"/>
    <s v="E2 - Published Emission Factors"/>
    <x v="1"/>
  </r>
  <r>
    <x v="17"/>
    <n v="4872"/>
    <x v="676"/>
    <x v="784"/>
    <n v="221112"/>
    <s v="Fossil-fuel electric power generation"/>
    <s v="Production d'électricité à partir de combustibles fossiles"/>
    <x v="0"/>
    <s v="NA - M08"/>
    <x v="89"/>
    <x v="89"/>
    <x v="3"/>
    <s v="Rejets à l'air"/>
    <s v="Fugitive"/>
    <s v="Émissions fugitives"/>
    <n v="3.7999999999999999E-2"/>
    <x v="0"/>
    <s v="O - Engineering Estimates"/>
    <x v="1"/>
  </r>
  <r>
    <x v="21"/>
    <n v="18584"/>
    <x v="677"/>
    <x v="785"/>
    <n v="211110"/>
    <s v="Oil and gas extraction (except oil sands)"/>
    <s v="Extraction de pétrole et de gaz (à l'exception des sables bitumineux)"/>
    <x v="4"/>
    <s v="NA - M09"/>
    <x v="83"/>
    <x v="83"/>
    <x v="3"/>
    <s v="Rejets à l'air"/>
    <s v="Stack / Point"/>
    <s v="Rejets de cheminée ou ponctuels"/>
    <n v="0.45500000000000002"/>
    <x v="0"/>
    <s v="E2 - Published Emission Factors"/>
    <x v="1"/>
  </r>
  <r>
    <x v="20"/>
    <n v="3713"/>
    <x v="678"/>
    <x v="95"/>
    <n v="331110"/>
    <s v="Iron and Steel Mills and Ferro-Alloy Manufacturing"/>
    <s v="Sidérurgie"/>
    <x v="0"/>
    <s v="1332-21-4"/>
    <x v="70"/>
    <x v="70"/>
    <x v="6"/>
    <s v="Élimination hors site"/>
    <s v="Landfill"/>
    <s v="Enfouissement"/>
    <n v="46.3"/>
    <x v="0"/>
    <s v="C - Mass Balance"/>
    <x v="2"/>
  </r>
  <r>
    <x v="8"/>
    <n v="2388"/>
    <x v="517"/>
    <x v="786"/>
    <n v="326150"/>
    <s v="Urethane and Other Foam Product (except Polystyrene) Manufacturing"/>
    <s v="Fabrication de produits en mousse d'uréthane et en d'autres mousses plastiques (sauf de polystyrène)"/>
    <x v="0"/>
    <s v="91-08-7"/>
    <x v="109"/>
    <x v="109"/>
    <x v="6"/>
    <s v="Élimination hors site"/>
    <s v="Land Treatment"/>
    <s v="Épandage"/>
    <n v="0.27"/>
    <x v="0"/>
    <s v="C - Mass Balance"/>
    <x v="2"/>
  </r>
  <r>
    <x v="14"/>
    <n v="25207"/>
    <x v="679"/>
    <x v="787"/>
    <n v="213118"/>
    <s v="Services to oil and gas extraction"/>
    <s v="Services relatifs à l'extraction de pétrole et de gaz"/>
    <x v="4"/>
    <s v="64-18-6"/>
    <x v="110"/>
    <x v="110"/>
    <x v="6"/>
    <s v="Élimination hors site"/>
    <s v="Landfill"/>
    <s v="Enfouissement"/>
    <n v="3.8000000000000002E-4"/>
    <x v="0"/>
    <s v="O - Engineering Estimates"/>
    <x v="2"/>
  </r>
  <r>
    <x v="21"/>
    <n v="2815"/>
    <x v="275"/>
    <x v="74"/>
    <n v="212233"/>
    <s v="Copper-zinc ore mining"/>
    <s v="Extraction de minerais de cuivre-zinc"/>
    <x v="0"/>
    <s v="NA - 06"/>
    <x v="15"/>
    <x v="15"/>
    <x v="7"/>
    <s v="Élimination sur le site"/>
    <s v="Tailings Management"/>
    <s v="Gestion des résidus miniers"/>
    <n v="868.85"/>
    <x v="0"/>
    <s v="C - Mass Balance"/>
    <x v="2"/>
  </r>
  <r>
    <x v="1"/>
    <n v="29021"/>
    <x v="680"/>
    <x v="788"/>
    <n v="221111"/>
    <s v="Hydro-electric power generation"/>
    <s v="Production d'hydroélectricité"/>
    <x v="2"/>
    <s v="NA - 08"/>
    <x v="1"/>
    <x v="1"/>
    <x v="6"/>
    <s v="Élimination hors site"/>
    <s v="Landfill"/>
    <s v="Enfouissement"/>
    <n v="27.8"/>
    <x v="1"/>
    <s v="C - Mass Balance"/>
    <x v="2"/>
  </r>
  <r>
    <x v="2"/>
    <n v="3707"/>
    <x v="12"/>
    <x v="24"/>
    <n v="324110"/>
    <s v="Petroleum refineries"/>
    <s v="Raffineries de pétrole"/>
    <x v="4"/>
    <s v="85-01-8"/>
    <x v="54"/>
    <x v="54"/>
    <x v="6"/>
    <s v="Élimination hors site"/>
    <s v="Landfill"/>
    <s v="Enfouissement"/>
    <n v="106.255"/>
    <x v="1"/>
    <s v="O - Engineering Estimates"/>
    <x v="2"/>
  </r>
  <r>
    <x v="0"/>
    <n v="2134"/>
    <x v="681"/>
    <x v="372"/>
    <n v="325313"/>
    <s v="Chemical Fertilizer (except Potash) Manufacturing"/>
    <s v="Fabrication d'engrais chimiques, sauf la potasse"/>
    <x v="4"/>
    <s v="1332-21-4"/>
    <x v="70"/>
    <x v="70"/>
    <x v="6"/>
    <s v="Élimination hors site"/>
    <s v="Landfill"/>
    <s v="Enfouissement"/>
    <n v="33.020000000000003"/>
    <x v="0"/>
    <s v="M - Monitoring or Direct Measurement"/>
    <x v="2"/>
  </r>
  <r>
    <x v="21"/>
    <n v="16103"/>
    <x v="682"/>
    <x v="789"/>
    <n v="562210"/>
    <s v="Waste treatment and disposal"/>
    <s v="Traitement et élimination des déchets"/>
    <x v="4"/>
    <s v="NA - 08"/>
    <x v="1"/>
    <x v="1"/>
    <x v="7"/>
    <s v="Élimination sur le site"/>
    <s v="Underground Injection"/>
    <s v="Injection souterraine"/>
    <n v="761.43499999999995"/>
    <x v="1"/>
    <s v="C - Mass Balance"/>
    <x v="2"/>
  </r>
  <r>
    <x v="9"/>
    <n v="2537"/>
    <x v="61"/>
    <x v="790"/>
    <n v="562210"/>
    <s v="Waste treatment and disposal"/>
    <s v="Traitement et élimination des déchets"/>
    <x v="0"/>
    <s v="1319-77-3"/>
    <x v="75"/>
    <x v="75"/>
    <x v="7"/>
    <s v="Élimination sur le site"/>
    <s v="Landfill"/>
    <s v="Enfouissement"/>
    <n v="3.0150000000000001"/>
    <x v="0"/>
    <s v="O - Engineering Estimates"/>
    <x v="2"/>
  </r>
  <r>
    <x v="19"/>
    <n v="4788"/>
    <x v="683"/>
    <x v="0"/>
    <n v="322111"/>
    <s v="Mechanical Pulp Mills"/>
    <s v="Usines de pâte mécanique"/>
    <x v="3"/>
    <s v="NA - 02"/>
    <x v="21"/>
    <x v="21"/>
    <x v="7"/>
    <s v="Élimination sur le site"/>
    <s v="Landfill"/>
    <s v="Enfouissement"/>
    <n v="113.181"/>
    <x v="1"/>
    <s v="E2 - Published Emission Factors"/>
    <x v="2"/>
  </r>
  <r>
    <x v="20"/>
    <n v="20081"/>
    <x v="684"/>
    <x v="791"/>
    <n v="331221"/>
    <s v="Cold-Rolled Steel Shape Manufacturing"/>
    <s v="Fabrication de formes en acier laminé à froid"/>
    <x v="2"/>
    <s v="NA - 19"/>
    <x v="43"/>
    <x v="43"/>
    <x v="6"/>
    <s v="Élimination hors site"/>
    <s v="Landfill"/>
    <s v="Enfouissement"/>
    <n v="5000"/>
    <x v="1"/>
    <s v="O - Engineering Estimates"/>
    <x v="2"/>
  </r>
  <r>
    <x v="6"/>
    <n v="442"/>
    <x v="12"/>
    <x v="333"/>
    <n v="211114"/>
    <s v="Non-Conventional Oil Extraction"/>
    <s v="Extraction de pétrole par des méthodes non classiques"/>
    <x v="4"/>
    <s v="67-56-1"/>
    <x v="3"/>
    <x v="3"/>
    <x v="7"/>
    <s v="Élimination sur le site"/>
    <s v="Underground Injection"/>
    <s v="Injection souterraine"/>
    <n v="0"/>
    <x v="0"/>
    <s v="O - Engineering Estimates"/>
    <x v="2"/>
  </r>
  <r>
    <x v="13"/>
    <n v="2872"/>
    <x v="685"/>
    <x v="792"/>
    <n v="322112"/>
    <s v="Chemical Pulp Mills"/>
    <s v="Usines de pâte chimique"/>
    <x v="2"/>
    <s v="NA - 19"/>
    <x v="43"/>
    <x v="43"/>
    <x v="7"/>
    <s v="Élimination sur le site"/>
    <s v="Landfill"/>
    <s v="Enfouissement"/>
    <n v="30.89"/>
    <x v="1"/>
    <s v="E2 - Published Emission Factors"/>
    <x v="2"/>
  </r>
  <r>
    <x v="26"/>
    <n v="3916"/>
    <x v="641"/>
    <x v="793"/>
    <n v="331410"/>
    <s v="Non-Ferrous Metal (except Aluminum) Smelting and Refining"/>
    <s v="Fonte et affinage de métaux non ferreux (sauf l'aluminium)"/>
    <x v="3"/>
    <s v="NA - 04"/>
    <x v="19"/>
    <x v="19"/>
    <x v="6"/>
    <s v="Élimination hors site"/>
    <s v="Landfill"/>
    <s v="Enfouissement"/>
    <n v="0.128"/>
    <x v="0"/>
    <s v="M3 - Source Testing"/>
    <x v="2"/>
  </r>
  <r>
    <x v="23"/>
    <n v="5645"/>
    <x v="344"/>
    <x v="794"/>
    <n v="562210"/>
    <s v="Waste Treatment and Disposal"/>
    <s v="Traitement et élimination des déchets"/>
    <x v="0"/>
    <s v="67-64-1"/>
    <x v="111"/>
    <x v="111"/>
    <x v="6"/>
    <s v="Élimination hors site"/>
    <s v="Landfill"/>
    <s v="Enfouissement"/>
    <n v="56.320999999999998"/>
    <x v="0"/>
    <s v="O - Engineering Estimates"/>
    <x v="2"/>
  </r>
  <r>
    <x v="29"/>
    <n v="5232"/>
    <x v="686"/>
    <x v="795"/>
    <n v="311616"/>
    <s v="Beef cattle slaughtering"/>
    <s v="Abattage de bovins de boucherie"/>
    <x v="4"/>
    <s v="NA - 22"/>
    <x v="8"/>
    <x v="8"/>
    <x v="7"/>
    <s v="Élimination sur le site"/>
    <s v="Land Treatment"/>
    <s v="Épandage"/>
    <n v="44.511000000000003"/>
    <x v="0"/>
    <s v="O - Engineering Estimates"/>
    <x v="2"/>
  </r>
  <r>
    <x v="28"/>
    <n v="1221"/>
    <x v="687"/>
    <x v="796"/>
    <n v="322112"/>
    <s v="Chemical Pulp Mills"/>
    <s v="Usines de pâte chimique"/>
    <x v="8"/>
    <s v="67-56-1"/>
    <x v="3"/>
    <x v="3"/>
    <x v="6"/>
    <s v="Élimination hors site"/>
    <s v="Landfill"/>
    <s v="Enfouissement"/>
    <n v="5.8000000000000003E-2"/>
    <x v="0"/>
    <s v="O - Engineering Estimates"/>
    <x v="2"/>
  </r>
  <r>
    <x v="26"/>
    <n v="629"/>
    <x v="688"/>
    <x v="797"/>
    <n v="336410"/>
    <s v="Aerospace Product and Parts Manufacturing"/>
    <s v="Fabrication de produits aérospatiaux et de leurs pièces"/>
    <x v="1"/>
    <s v="NA - 19"/>
    <x v="43"/>
    <x v="43"/>
    <x v="6"/>
    <s v="Élimination hors site"/>
    <s v="Landfill"/>
    <s v="Enfouissement"/>
    <n v="12.84"/>
    <x v="1"/>
    <s v="O - Engineering Estimates"/>
    <x v="2"/>
  </r>
  <r>
    <x v="22"/>
    <n v="3941"/>
    <x v="689"/>
    <x v="798"/>
    <n v="211113"/>
    <s v="Conventional Oil and Gas Extraction"/>
    <s v="Extraction de pétrole et de gaz par des méthodes classiques"/>
    <x v="4"/>
    <s v="7783-06-4"/>
    <x v="93"/>
    <x v="93"/>
    <x v="6"/>
    <s v="Élimination hors site"/>
    <s v="Underground Injection"/>
    <s v="Injection souterraine"/>
    <n v="8.0000000000000002E-3"/>
    <x v="0"/>
    <s v="O - Engineering Estimates"/>
    <x v="2"/>
  </r>
  <r>
    <x v="27"/>
    <n v="2181"/>
    <x v="127"/>
    <x v="135"/>
    <n v="322112"/>
    <s v="Chemical Pulp Mills"/>
    <s v="Usines de pâte chimique"/>
    <x v="8"/>
    <s v="206-44-0"/>
    <x v="68"/>
    <x v="68"/>
    <x v="7"/>
    <s v="Élimination sur le site"/>
    <s v="Landfill"/>
    <s v="Enfouissement"/>
    <n v="3.4599999999999999E-2"/>
    <x v="1"/>
    <s v="E2 - Published Emission Factors"/>
    <x v="2"/>
  </r>
  <r>
    <x v="7"/>
    <n v="10228"/>
    <x v="12"/>
    <x v="330"/>
    <n v="412110"/>
    <s v="Petroleum and petroleum products merchant wholesalers"/>
    <s v="Grossistes-marchands de pétrole et de produits pétroliers"/>
    <x v="5"/>
    <s v="95-63-6"/>
    <x v="40"/>
    <x v="40"/>
    <x v="6"/>
    <s v="Élimination hors site"/>
    <s v="Landfill"/>
    <s v="Enfouissement"/>
    <n v="2.0200000000000001E-3"/>
    <x v="0"/>
    <s v="O - Engineering Estimates"/>
    <x v="2"/>
  </r>
  <r>
    <x v="19"/>
    <n v="5008"/>
    <x v="690"/>
    <x v="0"/>
    <n v="322112"/>
    <s v="Chemical Pulp Mills"/>
    <s v="Usines de pâte chimique"/>
    <x v="8"/>
    <s v="67-66-3"/>
    <x v="62"/>
    <x v="62"/>
    <x v="7"/>
    <s v="Élimination sur le site"/>
    <s v="Landfill"/>
    <s v="Enfouissement"/>
    <n v="0"/>
    <x v="0"/>
    <s v="E2 - Published Emission Factors"/>
    <x v="2"/>
  </r>
  <r>
    <x v="16"/>
    <n v="17137"/>
    <x v="691"/>
    <x v="799"/>
    <n v="311611"/>
    <s v="Animal (except Poultry) Slaughtering"/>
    <s v="Abattage d'animaux (sauf les volailles)"/>
    <x v="5"/>
    <s v="NA - 16"/>
    <x v="49"/>
    <x v="49"/>
    <x v="6"/>
    <s v="Élimination hors site"/>
    <s v="Storage"/>
    <s v="Stockage"/>
    <n v="1.2370000000000001"/>
    <x v="0"/>
    <s v="C - Mass Balance"/>
    <x v="2"/>
  </r>
  <r>
    <x v="14"/>
    <n v="23275"/>
    <x v="250"/>
    <x v="427"/>
    <n v="211142"/>
    <s v="Mined oil sands extraction"/>
    <s v="Extraction minière de sables bitumineux"/>
    <x v="4"/>
    <s v="NA - 04"/>
    <x v="19"/>
    <x v="19"/>
    <x v="7"/>
    <s v="Élimination sur le site"/>
    <s v="Tailings Management"/>
    <s v="Gestion des résidus miniers"/>
    <n v="403.005"/>
    <x v="0"/>
    <s v="M3 - Source Testing"/>
    <x v="2"/>
  </r>
  <r>
    <x v="7"/>
    <n v="8783"/>
    <x v="692"/>
    <x v="458"/>
    <n v="212210"/>
    <s v="Iron ore mining"/>
    <s v="Extraction de minerais de fer"/>
    <x v="3"/>
    <s v="NA - 05"/>
    <x v="16"/>
    <x v="16"/>
    <x v="7"/>
    <s v="Élimination sur le site"/>
    <s v="Tailings Management"/>
    <s v="Gestion des résidus miniers"/>
    <n v="33933.75"/>
    <x v="1"/>
    <s v="C - Mass Balance"/>
    <x v="2"/>
  </r>
  <r>
    <x v="17"/>
    <n v="5460"/>
    <x v="693"/>
    <x v="800"/>
    <n v="212210"/>
    <s v="Iron ore mining"/>
    <s v="Extraction de minerais de fer"/>
    <x v="10"/>
    <s v="NA - 17"/>
    <x v="36"/>
    <x v="36"/>
    <x v="7"/>
    <s v="Élimination sur le site"/>
    <s v="Tailings Management"/>
    <s v="Gestion des résidus miniers"/>
    <n v="50.704999999999998"/>
    <x v="0"/>
    <s v="M3 - Source Testing"/>
    <x v="2"/>
  </r>
  <r>
    <x v="2"/>
    <n v="5472"/>
    <x v="694"/>
    <x v="801"/>
    <n v="322130"/>
    <s v="Paperboard mills"/>
    <s v="Usines de carton"/>
    <x v="3"/>
    <s v="107-21-1"/>
    <x v="29"/>
    <x v="29"/>
    <x v="6"/>
    <s v="Élimination hors site"/>
    <s v="Landfill"/>
    <s v="Enfouissement"/>
    <n v="0"/>
    <x v="0"/>
    <s v="O - Engineering Estimates"/>
    <x v="2"/>
  </r>
  <r>
    <x v="12"/>
    <n v="29384"/>
    <x v="53"/>
    <x v="707"/>
    <n v="562110"/>
    <s v="Waste collection"/>
    <s v="Collecte de déchets"/>
    <x v="4"/>
    <s v="108-88-3"/>
    <x v="5"/>
    <x v="5"/>
    <x v="6"/>
    <s v="Élimination hors site"/>
    <s v="Underground Injection"/>
    <s v="Injection souterraine"/>
    <n v="3.3999999999999998E-3"/>
    <x v="0"/>
    <s v="C - Mass Balance"/>
    <x v="2"/>
  </r>
  <r>
    <x v="11"/>
    <n v="2991"/>
    <x v="661"/>
    <x v="802"/>
    <n v="322112"/>
    <s v="Chemical pulp mills"/>
    <s v="Usines de pâte chimique"/>
    <x v="4"/>
    <s v="129-00-0"/>
    <x v="73"/>
    <x v="73"/>
    <x v="7"/>
    <s v="Élimination sur le site"/>
    <s v="Landfill"/>
    <s v="Enfouissement"/>
    <n v="0.70199999999999996"/>
    <x v="1"/>
    <s v="E2 - Published Emission Factors"/>
    <x v="2"/>
  </r>
  <r>
    <x v="5"/>
    <n v="2372"/>
    <x v="374"/>
    <x v="399"/>
    <n v="212233"/>
    <s v="Copper-Zinc Ore Mining"/>
    <s v="Extraction de minerais de cuivre-zinc"/>
    <x v="2"/>
    <s v="NA - 14"/>
    <x v="13"/>
    <x v="13"/>
    <x v="7"/>
    <s v="Élimination sur le site"/>
    <s v="Tailings Management"/>
    <s v="Gestion des résidus miniers"/>
    <n v="767.63599999999997"/>
    <x v="0"/>
    <s v="M3 - Source Testing"/>
    <x v="2"/>
  </r>
  <r>
    <x v="9"/>
    <n v="99"/>
    <x v="695"/>
    <x v="803"/>
    <n v="212220"/>
    <s v="Gold and silver ore mining"/>
    <s v="Extraction de minerais d'or et d'argent"/>
    <x v="3"/>
    <s v="NA - 08"/>
    <x v="1"/>
    <x v="1"/>
    <x v="7"/>
    <s v="Élimination sur le site"/>
    <s v="Tailings Management"/>
    <s v="Gestion des résidus miniers"/>
    <n v="474769.33"/>
    <x v="1"/>
    <s v="C - Mass Balance"/>
    <x v="2"/>
  </r>
  <r>
    <x v="13"/>
    <n v="11219"/>
    <x v="696"/>
    <x v="804"/>
    <n v="332810"/>
    <s v="Coating, Engraving, Heat Treating and Allied Activities"/>
    <s v="Revêtement, gravure, traitement thermique et activités analogues"/>
    <x v="0"/>
    <s v="NA - 14"/>
    <x v="13"/>
    <x v="13"/>
    <x v="6"/>
    <s v="Élimination hors site"/>
    <s v="Landfill"/>
    <s v="Enfouissement"/>
    <n v="0.88600000000000001"/>
    <x v="0"/>
    <s v="C - Mass Balance"/>
    <x v="2"/>
  </r>
  <r>
    <x v="19"/>
    <n v="3475"/>
    <x v="697"/>
    <x v="0"/>
    <n v="326114"/>
    <s v="Plastic Film and Sheet Manufacturing"/>
    <s v="Fabrication de pellicules et de feuilles en plastique"/>
    <x v="0"/>
    <s v="NA - 14"/>
    <x v="13"/>
    <x v="13"/>
    <x v="6"/>
    <s v="Élimination hors site"/>
    <s v="Landfill"/>
    <s v="Enfouissement"/>
    <n v="1.34"/>
    <x v="0"/>
    <s v="O - Engineering Estimates"/>
    <x v="2"/>
  </r>
  <r>
    <x v="23"/>
    <n v="2852"/>
    <x v="698"/>
    <x v="805"/>
    <n v="339990"/>
    <s v="All Other Miscellaneous Manufacturing"/>
    <s v="Toutes les autres activités diverses de fabrication"/>
    <x v="3"/>
    <s v="NA - 06"/>
    <x v="15"/>
    <x v="15"/>
    <x v="7"/>
    <s v="Élimination sur le site"/>
    <s v="Landfill"/>
    <s v="Enfouissement"/>
    <n v="0.4"/>
    <x v="0"/>
    <s v="C - Mass Balance"/>
    <x v="2"/>
  </r>
  <r>
    <x v="8"/>
    <n v="5430"/>
    <x v="699"/>
    <x v="806"/>
    <n v="325999"/>
    <s v="All Other Miscellaneous Chemical Product Manufacturing"/>
    <s v="Fabrication de tous les autres produits chimiques divers"/>
    <x v="3"/>
    <s v="108-95-2"/>
    <x v="58"/>
    <x v="58"/>
    <x v="6"/>
    <s v="Élimination hors site"/>
    <s v="Landfill"/>
    <s v="Enfouissement"/>
    <n v="0.17"/>
    <x v="0"/>
    <s v="C - Mass Balance"/>
    <x v="2"/>
  </r>
  <r>
    <x v="14"/>
    <n v="3707"/>
    <x v="12"/>
    <x v="132"/>
    <n v="324110"/>
    <s v="Petroleum refineries"/>
    <s v="Raffineries de pétrole"/>
    <x v="4"/>
    <s v="100-41-4"/>
    <x v="11"/>
    <x v="11"/>
    <x v="6"/>
    <s v="Élimination hors site"/>
    <s v="Underground Injection"/>
    <s v="Injection souterraine"/>
    <n v="5.0000000000000001E-3"/>
    <x v="0"/>
    <s v="O - Engineering Estimates"/>
    <x v="2"/>
  </r>
  <r>
    <x v="27"/>
    <n v="4316"/>
    <x v="700"/>
    <x v="807"/>
    <n v="324110"/>
    <s v="Petroleum Refineries"/>
    <s v="Raffineries de pétrole"/>
    <x v="10"/>
    <s v="207-08-9"/>
    <x v="18"/>
    <x v="18"/>
    <x v="6"/>
    <s v="Élimination hors site"/>
    <s v="Landfill"/>
    <s v="Enfouissement"/>
    <n v="0.223"/>
    <x v="1"/>
    <s v="C - Mass Balance"/>
    <x v="2"/>
  </r>
  <r>
    <x v="9"/>
    <n v="10219"/>
    <x v="12"/>
    <x v="163"/>
    <n v="412110"/>
    <s v="Petroleum and petroleum products merchant wholesalers"/>
    <s v="Grossistes-marchands de pétrole et de produits pétroliers"/>
    <x v="0"/>
    <s v="192-97-2"/>
    <x v="42"/>
    <x v="42"/>
    <x v="6"/>
    <s v="Élimination hors site"/>
    <s v="Storage"/>
    <s v="Stockage"/>
    <n v="0"/>
    <x v="1"/>
    <s v="O - Engineering Estimates"/>
    <x v="2"/>
  </r>
  <r>
    <x v="13"/>
    <n v="333"/>
    <x v="701"/>
    <x v="808"/>
    <n v="322122"/>
    <s v="Newsprint Mills"/>
    <s v="Usines de papier journal"/>
    <x v="2"/>
    <s v="NA - D/F"/>
    <x v="57"/>
    <x v="57"/>
    <x v="6"/>
    <s v="Élimination hors site"/>
    <s v="Landfill"/>
    <s v="Enfouissement"/>
    <n v="3.456"/>
    <x v="2"/>
    <s v="E1 - Site Specific Emission Factors"/>
    <x v="2"/>
  </r>
  <r>
    <x v="26"/>
    <n v="1809"/>
    <x v="205"/>
    <x v="809"/>
    <n v="221112"/>
    <s v="Fossil-Fuel Electric Power Generation"/>
    <s v="Production d'électricité à partir de combustibles fossiles"/>
    <x v="0"/>
    <s v="NA - 22"/>
    <x v="8"/>
    <x v="8"/>
    <x v="7"/>
    <s v="Élimination sur le site"/>
    <s v="Landfill"/>
    <s v="Enfouissement"/>
    <n v="83"/>
    <x v="0"/>
    <s v="C - Mass Balance"/>
    <x v="2"/>
  </r>
  <r>
    <x v="20"/>
    <n v="2915"/>
    <x v="702"/>
    <x v="810"/>
    <n v="335990"/>
    <s v="All Other Electrical Equipment and Component Manufacturing"/>
    <s v="Fabrication de tous les autres types de matériel et composants électriques"/>
    <x v="0"/>
    <s v="NA - 08"/>
    <x v="1"/>
    <x v="1"/>
    <x v="6"/>
    <s v="Élimination hors site"/>
    <s v="Landfill"/>
    <s v="Enfouissement"/>
    <n v="1E-3"/>
    <x v="1"/>
    <s v="O - Engineering Estimates"/>
    <x v="2"/>
  </r>
  <r>
    <x v="5"/>
    <n v="1236"/>
    <x v="641"/>
    <x v="811"/>
    <n v="331410"/>
    <s v="Non-Ferrous Metal (except Aluminum) Smelting and Refining"/>
    <s v="Fonte et affinage de métaux non ferreux (sauf l'aluminium)"/>
    <x v="0"/>
    <s v="NA - 09"/>
    <x v="12"/>
    <x v="12"/>
    <x v="7"/>
    <s v="Élimination sur le site"/>
    <s v="Landfill"/>
    <s v="Enfouissement"/>
    <n v="5.0000000000000001E-4"/>
    <x v="0"/>
    <s v="E1 - Site Specific Emission Factors"/>
    <x v="2"/>
  </r>
  <r>
    <x v="6"/>
    <n v="7709"/>
    <x v="703"/>
    <x v="812"/>
    <n v="321111"/>
    <s v="Sawmills (except Shingle and Shake Mills)"/>
    <s v="Scieries (sauf les usines de bardeaux et de bardeaux de fente)"/>
    <x v="2"/>
    <s v="NA - D/F"/>
    <x v="57"/>
    <x v="57"/>
    <x v="6"/>
    <s v="Élimination hors site"/>
    <s v="Landfill"/>
    <s v="Enfouissement"/>
    <n v="0"/>
    <x v="2"/>
    <s v="E2 - Published Emission Factors"/>
    <x v="2"/>
  </r>
  <r>
    <x v="19"/>
    <n v="1861"/>
    <x v="205"/>
    <x v="191"/>
    <n v="221112"/>
    <s v="Fossil-Fuel Electric Power Generation"/>
    <s v="Production d'électricité à partir de combustibles fossiles"/>
    <x v="0"/>
    <s v="NA - 03"/>
    <x v="28"/>
    <x v="28"/>
    <x v="7"/>
    <s v="Élimination sur le site"/>
    <s v="Landfill"/>
    <s v="Enfouissement"/>
    <n v="231"/>
    <x v="1"/>
    <s v="C - Mass Balance"/>
    <x v="2"/>
  </r>
  <r>
    <x v="21"/>
    <n v="27957"/>
    <x v="704"/>
    <x v="813"/>
    <n v="325999"/>
    <s v="All other miscellaneous chemical product manufacturing"/>
    <s v="Fabrication de tous les autres produits chimiques divers"/>
    <x v="0"/>
    <s v="NA - 22"/>
    <x v="8"/>
    <x v="8"/>
    <x v="6"/>
    <s v="Élimination hors site"/>
    <s v="Land Treatment"/>
    <s v="Épandage"/>
    <n v="14.087"/>
    <x v="0"/>
    <s v="C - Mass Balance"/>
    <x v="2"/>
  </r>
  <r>
    <x v="21"/>
    <n v="1585"/>
    <x v="705"/>
    <x v="814"/>
    <n v="212114"/>
    <s v="Bituminous coal mining"/>
    <s v="Extraction de charbon bitumineux"/>
    <x v="4"/>
    <s v="NA - 10"/>
    <x v="9"/>
    <x v="9"/>
    <x v="7"/>
    <s v="Élimination sur le site"/>
    <s v="Waste Rock management"/>
    <s v="Gestion des stériles"/>
    <n v="80"/>
    <x v="1"/>
    <s v="E1 - Site Specific Emission Factors"/>
    <x v="2"/>
  </r>
  <r>
    <x v="29"/>
    <n v="3242"/>
    <x v="706"/>
    <x v="815"/>
    <n v="322112"/>
    <s v="Chemical pulp mills"/>
    <s v="Usines de pâte chimique"/>
    <x v="3"/>
    <s v="NA - 02"/>
    <x v="21"/>
    <x v="21"/>
    <x v="7"/>
    <s v="Élimination sur le site"/>
    <s v="Landfill"/>
    <s v="Enfouissement"/>
    <n v="2.71"/>
    <x v="1"/>
    <s v="M3 - Source Testing"/>
    <x v="2"/>
  </r>
  <r>
    <x v="15"/>
    <n v="4922"/>
    <x v="707"/>
    <x v="816"/>
    <n v="212233"/>
    <s v="Copper-zinc ore mining"/>
    <s v="Extraction de minerais de cuivre-zinc"/>
    <x v="3"/>
    <s v="NA - 12"/>
    <x v="48"/>
    <x v="48"/>
    <x v="7"/>
    <s v="Élimination sur le site"/>
    <s v="Tailings Management"/>
    <s v="Gestion des résidus miniers"/>
    <n v="2042"/>
    <x v="1"/>
    <s v="M3 - Source Testing"/>
    <x v="2"/>
  </r>
  <r>
    <x v="4"/>
    <n v="308"/>
    <x v="708"/>
    <x v="0"/>
    <n v="325999"/>
    <s v="All Other Miscellaneous Chemical Product Manufacturing"/>
    <s v="Fabrication de tous les autres produits chimiques divers"/>
    <x v="3"/>
    <s v="7647-01-0"/>
    <x v="7"/>
    <x v="7"/>
    <x v="6"/>
    <s v="Élimination hors site"/>
    <s v="Landfill"/>
    <s v="Enfouissement"/>
    <n v="1E-3"/>
    <x v="0"/>
    <s v="C - Mass Balance"/>
    <x v="2"/>
  </r>
  <r>
    <x v="9"/>
    <n v="5453"/>
    <x v="709"/>
    <x v="387"/>
    <n v="326210"/>
    <s v="Tire manufacturing"/>
    <s v="Fabrication de pneus"/>
    <x v="3"/>
    <s v="NA - 05"/>
    <x v="16"/>
    <x v="16"/>
    <x v="6"/>
    <s v="Élimination hors site"/>
    <s v="Landfill"/>
    <s v="Enfouissement"/>
    <n v="0"/>
    <x v="0"/>
    <s v="C - Mass Balance"/>
    <x v="2"/>
  </r>
  <r>
    <x v="26"/>
    <n v="22378"/>
    <x v="663"/>
    <x v="338"/>
    <n v="211114"/>
    <s v="Non-Conventional Oil Extraction"/>
    <s v="Extraction de pétrole par des méthodes non classiques"/>
    <x v="4"/>
    <s v="100-41-4"/>
    <x v="11"/>
    <x v="11"/>
    <x v="6"/>
    <s v="Élimination hors site"/>
    <s v="Landfill"/>
    <s v="Enfouissement"/>
    <n v="3.4000000000000002E-2"/>
    <x v="0"/>
    <s v="O - Engineering Estimates"/>
    <x v="2"/>
  </r>
  <r>
    <x v="12"/>
    <n v="7858"/>
    <x v="710"/>
    <x v="817"/>
    <n v="221320"/>
    <s v="Sewage treatment facilities"/>
    <s v="Installations d'épuration des eaux usées"/>
    <x v="2"/>
    <s v="NA - 03"/>
    <x v="28"/>
    <x v="28"/>
    <x v="7"/>
    <s v="Élimination sur le site"/>
    <s v="Land Treatment"/>
    <s v="Épandage"/>
    <n v="8.9999999999999993E-3"/>
    <x v="1"/>
    <s v="M3 - Source Testing"/>
    <x v="2"/>
  </r>
  <r>
    <x v="2"/>
    <n v="3701"/>
    <x v="12"/>
    <x v="142"/>
    <n v="324110"/>
    <s v="Petroleum refineries"/>
    <s v="Raffineries de pétrole"/>
    <x v="0"/>
    <s v="108-95-2"/>
    <x v="58"/>
    <x v="58"/>
    <x v="6"/>
    <s v="Élimination hors site"/>
    <s v="Landfill"/>
    <s v="Enfouissement"/>
    <n v="1.1999999999999999E-3"/>
    <x v="0"/>
    <s v="O - Engineering Estimates"/>
    <x v="2"/>
  </r>
  <r>
    <x v="22"/>
    <n v="5645"/>
    <x v="292"/>
    <x v="794"/>
    <n v="562210"/>
    <s v="Waste Treatment and Disposal"/>
    <s v="Traitement et élimination des déchets"/>
    <x v="0"/>
    <s v="67-63-0"/>
    <x v="6"/>
    <x v="6"/>
    <x v="6"/>
    <s v="Élimination hors site"/>
    <s v="Storage"/>
    <s v="Stockage"/>
    <n v="0.7"/>
    <x v="0"/>
    <s v="M - Monitoring or Direct Measurement"/>
    <x v="2"/>
  </r>
  <r>
    <x v="1"/>
    <n v="4140"/>
    <x v="474"/>
    <x v="818"/>
    <n v="211113"/>
    <s v="Conventional oil and gas extraction"/>
    <s v="Extraction de pétrole et de gaz par des méthodes classiques"/>
    <x v="4"/>
    <s v="108-88-3"/>
    <x v="5"/>
    <x v="5"/>
    <x v="6"/>
    <s v="Élimination hors site"/>
    <s v="Underground Injection"/>
    <s v="Injection souterraine"/>
    <n v="1.609"/>
    <x v="0"/>
    <s v="O - Engineering Estimates"/>
    <x v="2"/>
  </r>
  <r>
    <x v="1"/>
    <n v="3962"/>
    <x v="86"/>
    <x v="89"/>
    <n v="324110"/>
    <s v="Petroleum refineries"/>
    <s v="Raffineries de pétrole"/>
    <x v="0"/>
    <s v="56-55-3"/>
    <x v="32"/>
    <x v="32"/>
    <x v="6"/>
    <s v="Élimination hors site"/>
    <s v="Landfill"/>
    <s v="Enfouissement"/>
    <n v="27.018899999999999"/>
    <x v="1"/>
    <s v="M3 - Source Testing"/>
    <x v="2"/>
  </r>
  <r>
    <x v="0"/>
    <n v="3845"/>
    <x v="711"/>
    <x v="0"/>
    <n v="332210"/>
    <s v="Cutlery and Hand Tool Manufacturing"/>
    <s v="Fabrication de coutellerie et d'outils à main"/>
    <x v="0"/>
    <s v="NA - 09"/>
    <x v="12"/>
    <x v="12"/>
    <x v="6"/>
    <s v="Élimination hors site"/>
    <s v="Landfill"/>
    <s v="Enfouissement"/>
    <n v="4.7E-2"/>
    <x v="0"/>
    <s v="O - Engineering Estimates"/>
    <x v="2"/>
  </r>
  <r>
    <x v="12"/>
    <n v="5015"/>
    <x v="511"/>
    <x v="559"/>
    <n v="562210"/>
    <s v="Waste treatment and disposal"/>
    <s v="Traitement et élimination des déchets"/>
    <x v="9"/>
    <s v="NA - 02"/>
    <x v="21"/>
    <x v="21"/>
    <x v="6"/>
    <s v="Élimination hors site"/>
    <s v="Landfill"/>
    <s v="Enfouissement"/>
    <n v="77.052999999999997"/>
    <x v="1"/>
    <s v="M3 - Source Testing"/>
    <x v="2"/>
  </r>
  <r>
    <x v="5"/>
    <n v="6669"/>
    <x v="579"/>
    <x v="819"/>
    <n v="212114"/>
    <s v="Bituminous Coal Mining"/>
    <s v="Extraction de charbon bitumineux"/>
    <x v="2"/>
    <s v="NA - 10"/>
    <x v="9"/>
    <x v="9"/>
    <x v="7"/>
    <s v="Élimination sur le site"/>
    <s v="Tailings Management"/>
    <s v="Gestion des résidus miniers"/>
    <n v="286.83"/>
    <x v="1"/>
    <s v="O - Engineering Estimates"/>
    <x v="2"/>
  </r>
  <r>
    <x v="5"/>
    <n v="979"/>
    <x v="712"/>
    <x v="740"/>
    <n v="322122"/>
    <s v="Newsprint Mills"/>
    <s v="Usines de papier journal"/>
    <x v="3"/>
    <s v="NA - 22"/>
    <x v="8"/>
    <x v="8"/>
    <x v="6"/>
    <s v="Élimination hors site"/>
    <s v="Land Treatment"/>
    <s v="Épandage"/>
    <n v="20.701000000000001"/>
    <x v="0"/>
    <s v="M3 - Source Testing"/>
    <x v="2"/>
  </r>
  <r>
    <x v="7"/>
    <n v="11454"/>
    <x v="713"/>
    <x v="519"/>
    <n v="212220"/>
    <s v="Gold and silver ore mining"/>
    <s v="Extraction de minerais d'or et d'argent"/>
    <x v="0"/>
    <s v="NA - 14"/>
    <x v="13"/>
    <x v="13"/>
    <x v="7"/>
    <s v="Élimination sur le site"/>
    <s v="Tailings Management"/>
    <s v="Gestion des résidus miniers"/>
    <n v="18.353999999999999"/>
    <x v="0"/>
    <s v="M3 - Source Testing"/>
    <x v="2"/>
  </r>
  <r>
    <x v="14"/>
    <n v="1585"/>
    <x v="705"/>
    <x v="814"/>
    <n v="212114"/>
    <s v="Bituminous coal mining"/>
    <s v="Extraction de charbon bitumineux"/>
    <x v="4"/>
    <s v="85-01-8"/>
    <x v="54"/>
    <x v="54"/>
    <x v="7"/>
    <s v="Élimination sur le site"/>
    <s v="Tailings Management"/>
    <s v="Gestion des résidus miniers"/>
    <n v="36"/>
    <x v="1"/>
    <s v="E1 - Site Specific Emission Factors"/>
    <x v="2"/>
  </r>
  <r>
    <x v="5"/>
    <n v="5392"/>
    <x v="3"/>
    <x v="820"/>
    <n v="562210"/>
    <s v="Waste Treatment and Disposal"/>
    <s v="Traitement et élimination des déchets"/>
    <x v="1"/>
    <s v="NA - 08"/>
    <x v="1"/>
    <x v="1"/>
    <x v="6"/>
    <s v="Élimination hors site"/>
    <s v="Landfill"/>
    <s v="Enfouissement"/>
    <n v="3841.6954000000001"/>
    <x v="1"/>
    <s v="O - Engineering Estimates"/>
    <x v="2"/>
  </r>
  <r>
    <x v="29"/>
    <n v="3962"/>
    <x v="171"/>
    <x v="89"/>
    <n v="324110"/>
    <s v="Petroleum refineries"/>
    <s v="Raffineries de pétrole"/>
    <x v="0"/>
    <s v="NA - 08"/>
    <x v="1"/>
    <x v="1"/>
    <x v="6"/>
    <s v="Élimination hors site"/>
    <s v="Landfill"/>
    <s v="Enfouissement"/>
    <n v="7.7663000000000002"/>
    <x v="1"/>
    <s v="SP - Speciation profile"/>
    <x v="2"/>
  </r>
  <r>
    <x v="25"/>
    <n v="4485"/>
    <x v="714"/>
    <x v="821"/>
    <n v="334610"/>
    <s v="Manufacturing and Reproducing Magnetic and Optical Media"/>
    <s v="Fabrication et reproduction de supports magnétiques et optiques"/>
    <x v="0"/>
    <s v="1344-28-1"/>
    <x v="76"/>
    <x v="76"/>
    <x v="6"/>
    <s v="Élimination hors site"/>
    <s v="Landfill"/>
    <s v="Enfouissement"/>
    <n v="1.68"/>
    <x v="0"/>
    <s v="O - Engineering Estimates"/>
    <x v="2"/>
  </r>
  <r>
    <x v="5"/>
    <n v="17420"/>
    <x v="405"/>
    <x v="822"/>
    <n v="211113"/>
    <s v="Conventional Oil and Gas Extraction"/>
    <s v="Extraction de pétrole et de gaz par des méthodes classiques"/>
    <x v="4"/>
    <s v="7783-06-4"/>
    <x v="93"/>
    <x v="93"/>
    <x v="6"/>
    <s v="Élimination hors site"/>
    <s v="Underground Injection"/>
    <s v="Injection souterraine"/>
    <n v="2088.4969999999998"/>
    <x v="0"/>
    <s v="O - Engineering Estimates"/>
    <x v="2"/>
  </r>
  <r>
    <x v="11"/>
    <n v="1812"/>
    <x v="26"/>
    <x v="823"/>
    <n v="221112"/>
    <s v="Fossil-fuel electric power generation"/>
    <s v="Production d'électricité à partir de combustibles fossiles"/>
    <x v="0"/>
    <s v="NA - D/F"/>
    <x v="57"/>
    <x v="57"/>
    <x v="7"/>
    <s v="Élimination sur le site"/>
    <s v="Landfill"/>
    <s v="Enfouissement"/>
    <n v="2.0000000000000001E-4"/>
    <x v="2"/>
    <s v="C - Mass Balance"/>
    <x v="2"/>
  </r>
  <r>
    <x v="12"/>
    <n v="5392"/>
    <x v="3"/>
    <x v="820"/>
    <n v="562210"/>
    <s v="Waste treatment and disposal"/>
    <s v="Traitement et élimination des déchets"/>
    <x v="1"/>
    <s v="NA - 04"/>
    <x v="19"/>
    <x v="19"/>
    <x v="7"/>
    <s v="Élimination sur le site"/>
    <s v="Landfill"/>
    <s v="Enfouissement"/>
    <n v="11.5609"/>
    <x v="0"/>
    <s v="O - Engineering Estimates"/>
    <x v="2"/>
  </r>
  <r>
    <x v="27"/>
    <n v="7182"/>
    <x v="715"/>
    <x v="824"/>
    <n v="311520"/>
    <s v="Ice Cream and Frozen Dessert Manufacturing"/>
    <s v="Fabrication de crème glacée et de desserts congelés"/>
    <x v="0"/>
    <s v="NA - 16"/>
    <x v="49"/>
    <x v="49"/>
    <x v="6"/>
    <s v="Élimination hors site"/>
    <s v="Land Treatment"/>
    <s v="Épandage"/>
    <n v="3.4200000000000001E-2"/>
    <x v="0"/>
    <s v="O - Engineering Estimates"/>
    <x v="2"/>
  </r>
  <r>
    <x v="8"/>
    <n v="1"/>
    <x v="716"/>
    <x v="825"/>
    <n v="322112"/>
    <s v="Chemical Pulp Mills"/>
    <s v="Usines de pâte chimique"/>
    <x v="4"/>
    <s v="NA - D/F"/>
    <x v="57"/>
    <x v="57"/>
    <x v="7"/>
    <s v="Élimination sur le site"/>
    <s v="Land Treatment"/>
    <s v="Épandage"/>
    <n v="0"/>
    <x v="2"/>
    <s v="M3 - Source Testing"/>
    <x v="2"/>
  </r>
  <r>
    <x v="2"/>
    <n v="2776"/>
    <x v="8"/>
    <x v="7"/>
    <n v="324110"/>
    <s v="Petroleum refineries"/>
    <s v="Raffineries de pétrole"/>
    <x v="2"/>
    <s v="218-01-9"/>
    <x v="66"/>
    <x v="66"/>
    <x v="6"/>
    <s v="Élimination hors site"/>
    <s v="Landfill"/>
    <s v="Enfouissement"/>
    <n v="2.5"/>
    <x v="1"/>
    <s v="M3 - Source Testing"/>
    <x v="2"/>
  </r>
  <r>
    <x v="15"/>
    <n v="22267"/>
    <x v="218"/>
    <x v="826"/>
    <n v="211141"/>
    <s v="In-situ oil sands extraction"/>
    <s v="Extraction in situ de sables bitumineux"/>
    <x v="4"/>
    <s v="67-56-1"/>
    <x v="3"/>
    <x v="3"/>
    <x v="7"/>
    <s v="Élimination sur le site"/>
    <s v="Landfill"/>
    <s v="Enfouissement"/>
    <n v="1.6799999999999999E-2"/>
    <x v="0"/>
    <s v="O - Engineering Estimates"/>
    <x v="2"/>
  </r>
  <r>
    <x v="29"/>
    <n v="5647"/>
    <x v="25"/>
    <x v="26"/>
    <n v="562210"/>
    <s v="Waste treatment and disposal"/>
    <s v="Traitement et élimination des déchets"/>
    <x v="0"/>
    <s v="NA - 13"/>
    <x v="22"/>
    <x v="22"/>
    <x v="6"/>
    <s v="Élimination hors site"/>
    <s v="Landfill"/>
    <s v="Enfouissement"/>
    <n v="0.04"/>
    <x v="0"/>
    <s v="C - Mass Balance"/>
    <x v="2"/>
  </r>
  <r>
    <x v="8"/>
    <n v="390"/>
    <x v="717"/>
    <x v="139"/>
    <n v="336410"/>
    <s v="Aerospace Product and Parts Manufacturing"/>
    <s v="Fabrication de produits aérospatiaux et de leurs pièces"/>
    <x v="3"/>
    <s v="NA - 08"/>
    <x v="1"/>
    <x v="1"/>
    <x v="6"/>
    <s v="Élimination hors site"/>
    <s v="Landfill"/>
    <s v="Enfouissement"/>
    <n v="607.79999999999995"/>
    <x v="1"/>
    <s v="M3 - Source Testing"/>
    <x v="2"/>
  </r>
  <r>
    <x v="27"/>
    <n v="2100"/>
    <x v="718"/>
    <x v="827"/>
    <n v="212299"/>
    <s v="All Other Metal Ore Mining"/>
    <s v="Extraction de tous les autres minerais métalliques"/>
    <x v="3"/>
    <s v="NA - 02"/>
    <x v="21"/>
    <x v="21"/>
    <x v="7"/>
    <s v="Élimination sur le site"/>
    <s v="Land Treatment"/>
    <s v="Épandage"/>
    <n v="8322.5"/>
    <x v="1"/>
    <s v="C - Mass Balance"/>
    <x v="2"/>
  </r>
  <r>
    <x v="19"/>
    <n v="479"/>
    <x v="661"/>
    <x v="828"/>
    <n v="322112"/>
    <s v="Chemical Pulp Mills"/>
    <s v="Usines de pâte chimique"/>
    <x v="2"/>
    <s v="53-70-3"/>
    <x v="112"/>
    <x v="112"/>
    <x v="7"/>
    <s v="Élimination sur le site"/>
    <s v="Landfill"/>
    <s v="Enfouissement"/>
    <n v="0.03"/>
    <x v="1"/>
    <s v="E2 - Published Emission Factors"/>
    <x v="2"/>
  </r>
  <r>
    <x v="10"/>
    <n v="5838"/>
    <x v="719"/>
    <x v="829"/>
    <n v="326191"/>
    <s v="Plastic Plumbing Fixture Manufacturing"/>
    <s v="Fabrication d'appareils sanitaires en plastique"/>
    <x v="0"/>
    <s v="100-42-5"/>
    <x v="107"/>
    <x v="107"/>
    <x v="6"/>
    <s v="Élimination hors site"/>
    <s v="Landfill"/>
    <s v="Enfouissement"/>
    <n v="0.85199999999999998"/>
    <x v="0"/>
    <s v="M - Monitoring or Direct Measurement"/>
    <x v="2"/>
  </r>
  <r>
    <x v="8"/>
    <n v="5448"/>
    <x v="641"/>
    <x v="830"/>
    <n v="212232"/>
    <s v="Nickel-Copper Ore Mining"/>
    <s v="Extraction de minerais de nickel-cuivre"/>
    <x v="3"/>
    <s v="NA - 02"/>
    <x v="21"/>
    <x v="21"/>
    <x v="7"/>
    <s v="Élimination sur le site"/>
    <s v="Waste Rock management"/>
    <s v="Gestion des stériles"/>
    <n v="4716"/>
    <x v="1"/>
    <s v="M3 - Source Testing"/>
    <x v="2"/>
  </r>
  <r>
    <x v="14"/>
    <n v="3754"/>
    <x v="405"/>
    <x v="127"/>
    <n v="211110"/>
    <s v="Oil and gas extraction (except oil sands)"/>
    <s v="Extraction de pétrole et de gaz (à l'exception des sables bitumineux)"/>
    <x v="4"/>
    <s v="71-43-2"/>
    <x v="31"/>
    <x v="31"/>
    <x v="6"/>
    <s v="Élimination hors site"/>
    <s v="Land Treatment"/>
    <s v="Épandage"/>
    <n v="7.7000000000000002E-3"/>
    <x v="0"/>
    <s v="O - Engineering Estimates"/>
    <x v="2"/>
  </r>
  <r>
    <x v="7"/>
    <n v="30830"/>
    <x v="720"/>
    <x v="831"/>
    <n v="211141"/>
    <s v="In-situ oil sands extraction"/>
    <s v="Extraction in situ de sables bitumineux"/>
    <x v="4"/>
    <s v="110-54-3"/>
    <x v="47"/>
    <x v="47"/>
    <x v="6"/>
    <s v="Élimination hors site"/>
    <s v="Landfill"/>
    <s v="Enfouissement"/>
    <n v="2.0000000000000001E-4"/>
    <x v="0"/>
    <s v="O - Engineering Estimates"/>
    <x v="2"/>
  </r>
  <r>
    <x v="21"/>
    <n v="5390"/>
    <x v="119"/>
    <x v="126"/>
    <n v="221320"/>
    <s v="Sewage treatment facilities"/>
    <s v="Installations d'épuration des eaux usées"/>
    <x v="4"/>
    <s v="NA - 08"/>
    <x v="1"/>
    <x v="1"/>
    <x v="6"/>
    <s v="Élimination hors site"/>
    <s v="Land Treatment"/>
    <s v="Épandage"/>
    <n v="1091.6600000000001"/>
    <x v="1"/>
    <s v="M3 - Source Testing"/>
    <x v="2"/>
  </r>
  <r>
    <x v="5"/>
    <n v="3571"/>
    <x v="721"/>
    <x v="832"/>
    <n v="221320"/>
    <s v="Sewage Treatment Facilities"/>
    <s v="Installations d'épuration des eaux usées"/>
    <x v="3"/>
    <s v="NA - 14"/>
    <x v="13"/>
    <x v="13"/>
    <x v="6"/>
    <s v="Élimination hors site"/>
    <s v="Landfill"/>
    <s v="Enfouissement"/>
    <n v="37.268999999999998"/>
    <x v="0"/>
    <s v="M3 - Source Testing"/>
    <x v="2"/>
  </r>
  <r>
    <x v="5"/>
    <n v="20225"/>
    <x v="722"/>
    <x v="833"/>
    <n v="212299"/>
    <s v="All Other Metal Ore Mining"/>
    <s v="Extraction de tous les autres minerais métalliques"/>
    <x v="6"/>
    <s v="NA - 17"/>
    <x v="36"/>
    <x v="36"/>
    <x v="7"/>
    <s v="Élimination sur le site"/>
    <s v="Waste Rock management"/>
    <s v="Gestion des stériles"/>
    <n v="0"/>
    <x v="0"/>
    <s v="O - Engineering Estimates"/>
    <x v="2"/>
  </r>
  <r>
    <x v="10"/>
    <n v="2587"/>
    <x v="723"/>
    <x v="834"/>
    <n v="322121"/>
    <s v="Paper (except Newsprint) Mills"/>
    <s v="Usines de papier (sauf le papier journal)"/>
    <x v="3"/>
    <s v="NA - 09"/>
    <x v="12"/>
    <x v="12"/>
    <x v="7"/>
    <s v="Élimination sur le site"/>
    <s v="Land Treatment"/>
    <s v="Épandage"/>
    <n v="0.31"/>
    <x v="0"/>
    <s v="M - Monitoring or Direct Measurement"/>
    <x v="2"/>
  </r>
  <r>
    <x v="15"/>
    <n v="5189"/>
    <x v="27"/>
    <x v="192"/>
    <n v="221320"/>
    <s v="Sewage treatment facilities"/>
    <s v="Installations d'épuration des eaux usées"/>
    <x v="2"/>
    <s v="NA - 10"/>
    <x v="9"/>
    <x v="9"/>
    <x v="6"/>
    <s v="Élimination hors site"/>
    <s v="Landfill"/>
    <s v="Enfouissement"/>
    <n v="20.461500000000001"/>
    <x v="1"/>
    <s v="M3 - Source Testing"/>
    <x v="2"/>
  </r>
  <r>
    <x v="20"/>
    <n v="1344"/>
    <x v="724"/>
    <x v="45"/>
    <n v="331514"/>
    <s v="Steel Foundries"/>
    <s v="Fonderies d'acier"/>
    <x v="1"/>
    <s v="NA - 03"/>
    <x v="28"/>
    <x v="28"/>
    <x v="6"/>
    <s v="Élimination hors site"/>
    <s v="Landfill"/>
    <s v="Enfouissement"/>
    <n v="21.096"/>
    <x v="1"/>
    <s v="O - Engineering Estimates"/>
    <x v="2"/>
  </r>
  <r>
    <x v="16"/>
    <n v="8518"/>
    <x v="725"/>
    <x v="835"/>
    <n v="221320"/>
    <s v="Sewage Treatment Facilities"/>
    <s v="Installations d'épuration des eaux usées"/>
    <x v="3"/>
    <s v="NA - 22"/>
    <x v="8"/>
    <x v="8"/>
    <x v="6"/>
    <s v="Élimination hors site"/>
    <s v="Land Treatment"/>
    <s v="Épandage"/>
    <n v="9.0719999999999992"/>
    <x v="0"/>
    <s v="M3 - Source Testing"/>
    <x v="2"/>
  </r>
  <r>
    <x v="21"/>
    <n v="1221"/>
    <x v="726"/>
    <x v="836"/>
    <n v="322112"/>
    <s v="Chemical pulp mills"/>
    <s v="Usines de pâte chimique"/>
    <x v="8"/>
    <s v="NA - 14"/>
    <x v="13"/>
    <x v="13"/>
    <x v="6"/>
    <s v="Élimination hors site"/>
    <s v="Landfill"/>
    <s v="Enfouissement"/>
    <n v="1.78"/>
    <x v="0"/>
    <s v="M3 - Source Testing"/>
    <x v="2"/>
  </r>
  <r>
    <x v="17"/>
    <n v="2924"/>
    <x v="694"/>
    <x v="837"/>
    <n v="322112"/>
    <s v="Chemical pulp mills"/>
    <s v="Usines de pâte chimique"/>
    <x v="2"/>
    <s v="85-01-8"/>
    <x v="54"/>
    <x v="54"/>
    <x v="6"/>
    <s v="Élimination hors site"/>
    <s v="Landfill"/>
    <s v="Enfouissement"/>
    <n v="18.05"/>
    <x v="1"/>
    <s v="E2 - Published Emission Factors"/>
    <x v="2"/>
  </r>
  <r>
    <x v="19"/>
    <n v="1162"/>
    <x v="345"/>
    <x v="365"/>
    <n v="325110"/>
    <s v="Petrochemical Manufacturing"/>
    <s v="Fabrication de produits pétrochimiques"/>
    <x v="4"/>
    <s v="67-56-1"/>
    <x v="3"/>
    <x v="3"/>
    <x v="7"/>
    <s v="Élimination sur le site"/>
    <s v="Underground Injection"/>
    <s v="Injection souterraine"/>
    <n v="231.48400000000001"/>
    <x v="0"/>
    <s v="M3 - Source Testing"/>
    <x v="2"/>
  </r>
  <r>
    <x v="14"/>
    <n v="4065"/>
    <x v="86"/>
    <x v="838"/>
    <n v="412110"/>
    <s v="Petroleum and petroleum products merchant wholesalers"/>
    <s v="Grossistes-marchands de pétrole et de produits pétroliers"/>
    <x v="2"/>
    <s v="1330-20-7"/>
    <x v="24"/>
    <x v="24"/>
    <x v="6"/>
    <s v="Élimination hors site"/>
    <s v="Landfill"/>
    <s v="Enfouissement"/>
    <n v="1.12E-4"/>
    <x v="0"/>
    <s v="O - Engineering Estimates"/>
    <x v="2"/>
  </r>
  <r>
    <x v="22"/>
    <n v="2493"/>
    <x v="727"/>
    <x v="839"/>
    <n v="321114"/>
    <s v="Wood Preservation"/>
    <s v="Préservation du bois"/>
    <x v="2"/>
    <s v="NA - 04"/>
    <x v="19"/>
    <x v="19"/>
    <x v="6"/>
    <s v="Élimination hors site"/>
    <s v="Landfill"/>
    <s v="Enfouissement"/>
    <n v="0.22500000000000001"/>
    <x v="0"/>
    <s v="M - Monitoring or Direct Measurement"/>
    <x v="2"/>
  </r>
  <r>
    <x v="21"/>
    <n v="16491"/>
    <x v="464"/>
    <x v="840"/>
    <n v="211110"/>
    <s v="Oil and gas extraction (except oil sands)"/>
    <s v="Extraction de pétrole et de gaz (à l'exception des sables bitumineux)"/>
    <x v="4"/>
    <s v="110-54-3"/>
    <x v="47"/>
    <x v="47"/>
    <x v="6"/>
    <s v="Élimination hors site"/>
    <s v="Underground Injection"/>
    <s v="Injection souterraine"/>
    <n v="0.56699999999999995"/>
    <x v="0"/>
    <s v="C - Mass Balance"/>
    <x v="2"/>
  </r>
  <r>
    <x v="1"/>
    <n v="2710"/>
    <x v="728"/>
    <x v="841"/>
    <n v="212220"/>
    <s v="Gold and silver ore mining"/>
    <s v="Extraction de minerais d'or et d'argent"/>
    <x v="0"/>
    <s v="NA - 08"/>
    <x v="1"/>
    <x v="1"/>
    <x v="7"/>
    <s v="Élimination sur le site"/>
    <s v="Waste Rock management"/>
    <s v="Gestion des stériles"/>
    <n v="4576.9065000000001"/>
    <x v="1"/>
    <s v="C - Mass Balance"/>
    <x v="2"/>
  </r>
  <r>
    <x v="20"/>
    <n v="477"/>
    <x v="729"/>
    <x v="101"/>
    <n v="325999"/>
    <s v="All Other Miscellaneous Chemical Product Manufacturing"/>
    <s v="Fabrication de tous les autres produits chimiques divers"/>
    <x v="0"/>
    <s v="75-09-2"/>
    <x v="41"/>
    <x v="41"/>
    <x v="7"/>
    <s v="Élimination sur le site"/>
    <s v="Underground Injection"/>
    <s v="Injection souterraine"/>
    <n v="0"/>
    <x v="0"/>
    <s v="M3 - Source Testing"/>
    <x v="2"/>
  </r>
  <r>
    <x v="8"/>
    <n v="6688"/>
    <x v="730"/>
    <x v="842"/>
    <n v="221119"/>
    <s v="Other Electric Power Generation"/>
    <s v="Autres activités de production d'électricité"/>
    <x v="2"/>
    <s v="NA - 14"/>
    <x v="13"/>
    <x v="13"/>
    <x v="7"/>
    <s v="Élimination sur le site"/>
    <s v="Landfill"/>
    <s v="Enfouissement"/>
    <n v="66.021000000000001"/>
    <x v="0"/>
    <s v="M3 - Source Testing"/>
    <x v="2"/>
  </r>
  <r>
    <x v="21"/>
    <n v="5189"/>
    <x v="27"/>
    <x v="192"/>
    <n v="221320"/>
    <s v="Sewage treatment facilities"/>
    <s v="Installations d'épuration des eaux usées"/>
    <x v="2"/>
    <s v="NA - 14"/>
    <x v="13"/>
    <x v="13"/>
    <x v="6"/>
    <s v="Élimination hors site"/>
    <s v="Landfill"/>
    <s v="Enfouissement"/>
    <n v="7.4917999999999996"/>
    <x v="0"/>
    <s v="M3 - Source Testing"/>
    <x v="2"/>
  </r>
  <r>
    <x v="5"/>
    <n v="2984"/>
    <x v="731"/>
    <x v="694"/>
    <n v="331110"/>
    <s v="Iron and Steel Mills and Ferro-Alloy Manufacturing"/>
    <s v="Sidérurgie"/>
    <x v="0"/>
    <s v="224-42-0"/>
    <x v="113"/>
    <x v="113"/>
    <x v="6"/>
    <s v="Élimination hors site"/>
    <s v="Landfill"/>
    <s v="Enfouissement"/>
    <n v="0.20169999999999999"/>
    <x v="1"/>
    <s v="M3 - Source Testing"/>
    <x v="2"/>
  </r>
  <r>
    <x v="30"/>
    <n v="658"/>
    <x v="732"/>
    <x v="516"/>
    <n v="325189"/>
    <s v="All Other Basic Inorganic Chemical Manufacturing"/>
    <s v="Fabrication de tous les autres produits chimiques inorganiques de base"/>
    <x v="5"/>
    <s v="NA - 09"/>
    <x v="12"/>
    <x v="12"/>
    <x v="6"/>
    <s v="Élimination hors site"/>
    <s v="Landfill"/>
    <s v="Enfouissement"/>
    <n v="0.437"/>
    <x v="0"/>
    <m/>
    <x v="2"/>
  </r>
  <r>
    <x v="8"/>
    <n v="4063"/>
    <x v="361"/>
    <x v="843"/>
    <n v="322112"/>
    <s v="Chemical Pulp Mills"/>
    <s v="Usines de pâte chimique"/>
    <x v="2"/>
    <s v="NA - 19"/>
    <x v="43"/>
    <x v="43"/>
    <x v="7"/>
    <s v="Élimination sur le site"/>
    <s v="Landfill"/>
    <s v="Enfouissement"/>
    <n v="456.68"/>
    <x v="1"/>
    <s v="E2 - Published Emission Factors"/>
    <x v="2"/>
  </r>
  <r>
    <x v="8"/>
    <n v="3476"/>
    <x v="312"/>
    <x v="146"/>
    <n v="336110"/>
    <s v="Automobile and Light-Duty Motor Vehicle Manufacturing"/>
    <s v="Fabrication de voitures et de véhicules automobiles légers"/>
    <x v="0"/>
    <s v="67-63-0"/>
    <x v="6"/>
    <x v="6"/>
    <x v="6"/>
    <s v="Élimination hors site"/>
    <s v="Landfill"/>
    <s v="Enfouissement"/>
    <n v="0"/>
    <x v="0"/>
    <s v="O - Engineering Estimates"/>
    <x v="2"/>
  </r>
  <r>
    <x v="13"/>
    <n v="7844"/>
    <x v="727"/>
    <x v="844"/>
    <n v="321111"/>
    <s v="Sawmills (except Shingle and Shake Mills)"/>
    <s v="Scieries (sauf les usines de bardeaux et de bardeaux de fente)"/>
    <x v="2"/>
    <s v="NA - 08"/>
    <x v="1"/>
    <x v="1"/>
    <x v="7"/>
    <s v="Élimination sur le site"/>
    <s v="Landfill"/>
    <s v="Enfouissement"/>
    <n v="95.382999999999996"/>
    <x v="1"/>
    <s v="E2 - Published Emission Factors"/>
    <x v="2"/>
  </r>
  <r>
    <x v="7"/>
    <n v="2960"/>
    <x v="86"/>
    <x v="182"/>
    <n v="324110"/>
    <s v="Petroleum refineries"/>
    <s v="Raffineries de pétrole"/>
    <x v="4"/>
    <s v="100-41-4"/>
    <x v="11"/>
    <x v="11"/>
    <x v="7"/>
    <s v="Élimination sur le site"/>
    <s v="Underground Injection"/>
    <s v="Injection souterraine"/>
    <n v="0.29599999999999999"/>
    <x v="0"/>
    <s v="C - Mass Balance"/>
    <x v="2"/>
  </r>
  <r>
    <x v="15"/>
    <n v="3959"/>
    <x v="733"/>
    <x v="845"/>
    <n v="322111"/>
    <s v="Mechanical pulp mills"/>
    <s v="Usines de pâte mécanique"/>
    <x v="4"/>
    <s v="NA - 05"/>
    <x v="16"/>
    <x v="16"/>
    <x v="6"/>
    <s v="Élimination hors site"/>
    <s v="Land Treatment"/>
    <s v="Épandage"/>
    <n v="12.048"/>
    <x v="1"/>
    <s v="M3 - Source Testing"/>
    <x v="2"/>
  </r>
  <r>
    <x v="2"/>
    <n v="3571"/>
    <x v="721"/>
    <x v="832"/>
    <n v="221320"/>
    <s v="Sewage treatment facilities"/>
    <s v="Installations d'épuration des eaux usées"/>
    <x v="3"/>
    <s v="NA - 08"/>
    <x v="1"/>
    <x v="1"/>
    <x v="6"/>
    <s v="Élimination hors site"/>
    <s v="Landfill"/>
    <s v="Enfouissement"/>
    <n v="4231"/>
    <x v="1"/>
    <s v="M3 - Source Testing"/>
    <x v="2"/>
  </r>
  <r>
    <x v="21"/>
    <n v="10233"/>
    <x v="12"/>
    <x v="846"/>
    <n v="412110"/>
    <s v="Petroleum and petroleum products merchant wholesalers"/>
    <s v="Grossistes-marchands de pétrole et de produits pétroliers"/>
    <x v="0"/>
    <s v="108-88-3"/>
    <x v="5"/>
    <x v="5"/>
    <x v="6"/>
    <s v="Élimination hors site"/>
    <s v="Storage"/>
    <s v="Stockage"/>
    <n v="9.9731E-2"/>
    <x v="0"/>
    <s v="O - Engineering Estimates"/>
    <x v="2"/>
  </r>
  <r>
    <x v="5"/>
    <n v="10258"/>
    <x v="734"/>
    <x v="847"/>
    <n v="221320"/>
    <s v="Sewage Treatment Facilities"/>
    <s v="Installations d'épuration des eaux usées"/>
    <x v="0"/>
    <s v="NA - 03"/>
    <x v="28"/>
    <x v="28"/>
    <x v="6"/>
    <s v="Élimination hors site"/>
    <s v="Storage"/>
    <s v="Stockage"/>
    <n v="0.80600000000000005"/>
    <x v="1"/>
    <s v="M3 - Source Testing"/>
    <x v="2"/>
  </r>
  <r>
    <x v="0"/>
    <n v="3753"/>
    <x v="207"/>
    <x v="219"/>
    <n v="211113"/>
    <s v="Conventional Oil and Gas Extraction"/>
    <s v="Extraction de pétrole et de gaz par des méthodes classiques"/>
    <x v="4"/>
    <s v="67-63-0"/>
    <x v="6"/>
    <x v="6"/>
    <x v="6"/>
    <s v="Élimination hors site"/>
    <s v="Underground Injection"/>
    <s v="Injection souterraine"/>
    <n v="11.676"/>
    <x v="0"/>
    <s v="O - Engineering Estimates"/>
    <x v="2"/>
  </r>
  <r>
    <x v="29"/>
    <n v="5182"/>
    <x v="735"/>
    <x v="848"/>
    <n v="325189"/>
    <s v="All other basic inorganic chemical manufacturing"/>
    <s v="Fabrication de tous les autres produits chimiques inorganiques de base"/>
    <x v="2"/>
    <s v="7664-93-9"/>
    <x v="30"/>
    <x v="30"/>
    <x v="6"/>
    <s v="Élimination hors site"/>
    <s v="Landfill"/>
    <s v="Enfouissement"/>
    <n v="1.472"/>
    <x v="0"/>
    <s v="O - Engineering Estimates"/>
    <x v="2"/>
  </r>
  <r>
    <x v="6"/>
    <n v="7294"/>
    <x v="736"/>
    <x v="849"/>
    <n v="541990"/>
    <s v="All Other Professional, Scientific and Technical Services"/>
    <s v="Tous les autres services professionnels, scientifiques et techniques"/>
    <x v="0"/>
    <s v="NA - 08"/>
    <x v="1"/>
    <x v="1"/>
    <x v="6"/>
    <s v="Élimination hors site"/>
    <s v="Landfill"/>
    <s v="Enfouissement"/>
    <n v="1.17"/>
    <x v="1"/>
    <s v="O - Engineering Estimates"/>
    <x v="2"/>
  </r>
  <r>
    <x v="8"/>
    <n v="7858"/>
    <x v="710"/>
    <x v="817"/>
    <n v="221320"/>
    <s v="Sewage Treatment Facilities"/>
    <s v="Installations d'épuration des eaux usées"/>
    <x v="2"/>
    <s v="NA - 02"/>
    <x v="21"/>
    <x v="21"/>
    <x v="6"/>
    <s v="Élimination hors site"/>
    <s v="Land Treatment"/>
    <s v="Épandage"/>
    <n v="1.2010000000000001"/>
    <x v="1"/>
    <s v="M3 - Source Testing"/>
    <x v="2"/>
  </r>
  <r>
    <x v="14"/>
    <n v="7838"/>
    <x v="579"/>
    <x v="736"/>
    <n v="212114"/>
    <s v="Bituminous coal mining"/>
    <s v="Extraction de charbon bitumineux"/>
    <x v="2"/>
    <s v="NA - 11"/>
    <x v="4"/>
    <x v="4"/>
    <x v="7"/>
    <s v="Élimination sur le site"/>
    <s v="Tailings Management"/>
    <s v="Gestion des résidus miniers"/>
    <n v="18.4892"/>
    <x v="0"/>
    <s v="M3 - Source Testing"/>
    <x v="2"/>
  </r>
  <r>
    <x v="5"/>
    <n v="930"/>
    <x v="712"/>
    <x v="850"/>
    <n v="322112"/>
    <s v="Chemical Pulp Mills"/>
    <s v="Usines de pâte chimique"/>
    <x v="0"/>
    <s v="NA - 03"/>
    <x v="28"/>
    <x v="28"/>
    <x v="6"/>
    <s v="Élimination hors site"/>
    <s v="Landfill"/>
    <s v="Enfouissement"/>
    <n v="28.313800000000001"/>
    <x v="1"/>
    <s v="E1 - Site Specific Emission Factors"/>
    <x v="2"/>
  </r>
  <r>
    <x v="12"/>
    <n v="2776"/>
    <x v="737"/>
    <x v="7"/>
    <n v="324110"/>
    <s v="Petroleum refineries"/>
    <s v="Raffineries de pétrole"/>
    <x v="2"/>
    <s v="91-20-3"/>
    <x v="67"/>
    <x v="67"/>
    <x v="6"/>
    <s v="Élimination hors site"/>
    <s v="Landfill"/>
    <s v="Enfouissement"/>
    <n v="0.28100000000000003"/>
    <x v="0"/>
    <s v="M3 - Source Testing"/>
    <x v="2"/>
  </r>
  <r>
    <x v="9"/>
    <n v="27506"/>
    <x v="348"/>
    <x v="381"/>
    <n v="211114"/>
    <s v="Non-conventional oil extraction"/>
    <s v="Extraction de pétrole par des méthodes non classiques"/>
    <x v="4"/>
    <s v="71-43-2"/>
    <x v="31"/>
    <x v="31"/>
    <x v="6"/>
    <s v="Élimination hors site"/>
    <s v="Landfill"/>
    <s v="Enfouissement"/>
    <n v="1E-3"/>
    <x v="0"/>
    <s v="O - Engineering Estimates"/>
    <x v="2"/>
  </r>
  <r>
    <x v="14"/>
    <n v="5614"/>
    <x v="403"/>
    <x v="430"/>
    <n v="221320"/>
    <s v="Sewage treatment facilities"/>
    <s v="Installations d'épuration des eaux usées"/>
    <x v="0"/>
    <s v="NA - 19"/>
    <x v="43"/>
    <x v="43"/>
    <x v="6"/>
    <s v="Élimination hors site"/>
    <s v="Land Treatment"/>
    <s v="Épandage"/>
    <n v="52.99"/>
    <x v="1"/>
    <s v="M3 - Source Testing"/>
    <x v="2"/>
  </r>
  <r>
    <x v="22"/>
    <n v="5429"/>
    <x v="738"/>
    <x v="851"/>
    <n v="325999"/>
    <s v="All Other Miscellaneous Chemical Product Manufacturing"/>
    <s v="Fabrication de tous les autres produits chimiques divers"/>
    <x v="3"/>
    <s v="50-00-0"/>
    <x v="17"/>
    <x v="17"/>
    <x v="6"/>
    <s v="Élimination hors site"/>
    <s v="Landfill"/>
    <s v="Enfouissement"/>
    <n v="4.3999999999999997E-2"/>
    <x v="0"/>
    <s v="M - Monitoring or Direct Measurement"/>
    <x v="2"/>
  </r>
  <r>
    <x v="11"/>
    <n v="2230"/>
    <x v="410"/>
    <x v="425"/>
    <n v="211114"/>
    <s v="Non-conventional oil extraction"/>
    <s v="Extraction de pétrole par des méthodes non classiques"/>
    <x v="4"/>
    <s v="86-73-7"/>
    <x v="114"/>
    <x v="114"/>
    <x v="7"/>
    <s v="Élimination sur le site"/>
    <s v="Tailings Management"/>
    <s v="Gestion des résidus miniers"/>
    <n v="6732.5909000000001"/>
    <x v="1"/>
    <s v="M3 - Source Testing"/>
    <x v="2"/>
  </r>
  <r>
    <x v="8"/>
    <n v="4925"/>
    <x v="739"/>
    <x v="852"/>
    <n v="331529"/>
    <s v="Non-Ferrous Foundries (except Die-Casting)"/>
    <s v="Fonderies de métaux non ferreux (sauf moulage sous pression)"/>
    <x v="3"/>
    <s v="NA - 06"/>
    <x v="15"/>
    <x v="15"/>
    <x v="6"/>
    <s v="Élimination hors site"/>
    <s v="Landfill"/>
    <s v="Enfouissement"/>
    <n v="0.15"/>
    <x v="0"/>
    <s v="O - Engineering Estimates"/>
    <x v="2"/>
  </r>
  <r>
    <x v="29"/>
    <n v="5448"/>
    <x v="275"/>
    <x v="853"/>
    <n v="212232"/>
    <s v="Nickel-copper ore mining"/>
    <s v="Extraction de minerais de nickel-cuivre"/>
    <x v="3"/>
    <s v="NA - 12"/>
    <x v="48"/>
    <x v="48"/>
    <x v="7"/>
    <s v="Élimination sur le site"/>
    <s v="Tailings Management"/>
    <s v="Gestion des résidus miniers"/>
    <n v="8044.7381100000002"/>
    <x v="1"/>
    <s v="M3 - Source Testing"/>
    <x v="2"/>
  </r>
  <r>
    <x v="21"/>
    <n v="2607"/>
    <x v="740"/>
    <x v="854"/>
    <n v="322112"/>
    <s v="Chemical pulp mills"/>
    <s v="Usines de pâte chimique"/>
    <x v="0"/>
    <s v="NA - 09"/>
    <x v="12"/>
    <x v="12"/>
    <x v="6"/>
    <s v="Élimination hors site"/>
    <s v="Storage"/>
    <s v="Stockage"/>
    <n v="0"/>
    <x v="0"/>
    <s v="O - Engineering Estimates"/>
    <x v="2"/>
  </r>
  <r>
    <x v="3"/>
    <n v="5211"/>
    <x v="218"/>
    <x v="855"/>
    <n v="211113"/>
    <s v="Conventional Oil and Gas Extraction"/>
    <s v="Extraction de pétrole et de gaz par des méthodes classiques"/>
    <x v="4"/>
    <s v="110-54-3"/>
    <x v="47"/>
    <x v="47"/>
    <x v="6"/>
    <s v="Élimination hors site"/>
    <s v="Landfill"/>
    <s v="Enfouissement"/>
    <n v="7.0000000000000007E-2"/>
    <x v="0"/>
    <s v="O - Engineering Estimates"/>
    <x v="2"/>
  </r>
  <r>
    <x v="2"/>
    <n v="22493"/>
    <x v="741"/>
    <x v="856"/>
    <n v="211114"/>
    <s v="Non-conventional oil extraction"/>
    <s v="Extraction de pétrole par des méthodes non classiques"/>
    <x v="4"/>
    <s v="67-56-1"/>
    <x v="3"/>
    <x v="3"/>
    <x v="7"/>
    <s v="Élimination sur le site"/>
    <s v="Underground Injection"/>
    <s v="Injection souterraine"/>
    <n v="16.913"/>
    <x v="0"/>
    <s v="O - Engineering Estimates"/>
    <x v="2"/>
  </r>
  <r>
    <x v="28"/>
    <n v="2360"/>
    <x v="742"/>
    <x v="857"/>
    <n v="326290"/>
    <s v="Other Rubber Product Manufacturing"/>
    <s v="Fabrication d'autres produits en caoutchouc"/>
    <x v="3"/>
    <s v="NA - 14"/>
    <x v="13"/>
    <x v="13"/>
    <x v="6"/>
    <s v="Élimination hors site"/>
    <s v="Landfill"/>
    <s v="Enfouissement"/>
    <n v="2.46"/>
    <x v="0"/>
    <s v="O - Engineering Estimates"/>
    <x v="2"/>
  </r>
  <r>
    <x v="18"/>
    <n v="21096"/>
    <x v="250"/>
    <x v="858"/>
    <n v="211113"/>
    <s v="Conventional oil and gas extraction"/>
    <s v="Extraction de pétrole et de gaz par des méthodes classiques"/>
    <x v="4"/>
    <s v="100-41-4"/>
    <x v="11"/>
    <x v="11"/>
    <x v="7"/>
    <s v="Élimination sur le site"/>
    <s v="Underground Injection"/>
    <s v="Injection souterraine"/>
    <n v="4.2500000000000003E-2"/>
    <x v="0"/>
    <s v="O - Engineering Estimates"/>
    <x v="2"/>
  </r>
  <r>
    <x v="15"/>
    <n v="4063"/>
    <x v="361"/>
    <x v="859"/>
    <n v="322112"/>
    <s v="Chemical pulp mills"/>
    <s v="Usines de pâte chimique"/>
    <x v="2"/>
    <s v="NA - 02"/>
    <x v="21"/>
    <x v="21"/>
    <x v="7"/>
    <s v="Élimination sur le site"/>
    <s v="Landfill"/>
    <s v="Enfouissement"/>
    <n v="111.88"/>
    <x v="1"/>
    <s v="E2 - Published Emission Factors"/>
    <x v="2"/>
  </r>
  <r>
    <x v="11"/>
    <n v="2712"/>
    <x v="743"/>
    <x v="306"/>
    <n v="324110"/>
    <s v="Petroleum refineries"/>
    <s v="Raffineries de pétrole"/>
    <x v="5"/>
    <s v="1332-21-4"/>
    <x v="70"/>
    <x v="70"/>
    <x v="6"/>
    <s v="Élimination hors site"/>
    <s v="Landfill"/>
    <s v="Enfouissement"/>
    <n v="10.71"/>
    <x v="0"/>
    <s v="C - Mass Balance"/>
    <x v="2"/>
  </r>
  <r>
    <x v="3"/>
    <n v="308"/>
    <x v="708"/>
    <x v="0"/>
    <n v="325999"/>
    <s v="All Other Miscellaneous Chemical Product Manufacturing"/>
    <s v="Fabrication de tous les autres produits chimiques divers"/>
    <x v="3"/>
    <s v="7647-01-0"/>
    <x v="7"/>
    <x v="7"/>
    <x v="6"/>
    <s v="Élimination hors site"/>
    <s v="Landfill"/>
    <s v="Enfouissement"/>
    <n v="0.29599999999999999"/>
    <x v="0"/>
    <s v="C - Mass Balance"/>
    <x v="2"/>
  </r>
  <r>
    <x v="16"/>
    <n v="2070"/>
    <x v="744"/>
    <x v="356"/>
    <n v="325190"/>
    <s v="Other Basic Organic Chemical Manufacturing"/>
    <s v="Fabrication d'autres produits chimiques organiques de base"/>
    <x v="0"/>
    <s v="50-32-8"/>
    <x v="80"/>
    <x v="80"/>
    <x v="6"/>
    <s v="Élimination hors site"/>
    <s v="Landfill"/>
    <s v="Enfouissement"/>
    <n v="3229.3"/>
    <x v="1"/>
    <s v="O - Engineering Estimates"/>
    <x v="2"/>
  </r>
  <r>
    <x v="29"/>
    <n v="26132"/>
    <x v="479"/>
    <x v="860"/>
    <n v="212220"/>
    <s v="Gold and silver ore mining"/>
    <s v="Extraction de minerais d'or et d'argent"/>
    <x v="0"/>
    <s v="NA - 14"/>
    <x v="13"/>
    <x v="13"/>
    <x v="7"/>
    <s v="Élimination sur le site"/>
    <s v="Waste Rock management"/>
    <s v="Gestion des stériles"/>
    <n v="0"/>
    <x v="0"/>
    <s v="M3 - Source Testing"/>
    <x v="2"/>
  </r>
  <r>
    <x v="14"/>
    <n v="25284"/>
    <x v="434"/>
    <x v="861"/>
    <n v="211110"/>
    <s v="Oil and gas extraction (except oil sands)"/>
    <s v="Extraction de pétrole et de gaz (à l'exception des sables bitumineux)"/>
    <x v="4"/>
    <s v="108-88-3"/>
    <x v="5"/>
    <x v="5"/>
    <x v="6"/>
    <s v="Élimination hors site"/>
    <s v="Landfill"/>
    <s v="Enfouissement"/>
    <n v="10.843299999999999"/>
    <x v="0"/>
    <s v="O - Engineering Estimates"/>
    <x v="2"/>
  </r>
  <r>
    <x v="18"/>
    <n v="1928"/>
    <x v="5"/>
    <x v="862"/>
    <n v="562210"/>
    <s v="Waste treatment and disposal"/>
    <s v="Traitement et élimination des déchets"/>
    <x v="0"/>
    <s v="NA - 04"/>
    <x v="19"/>
    <x v="19"/>
    <x v="6"/>
    <s v="Élimination hors site"/>
    <s v="Landfill"/>
    <s v="Enfouissement"/>
    <n v="16.364999999999998"/>
    <x v="0"/>
    <s v="M3 - Source Testing"/>
    <x v="2"/>
  </r>
  <r>
    <x v="19"/>
    <n v="1861"/>
    <x v="205"/>
    <x v="191"/>
    <n v="221112"/>
    <s v="Fossil-Fuel Electric Power Generation"/>
    <s v="Production d'électricité à partir de combustibles fossiles"/>
    <x v="0"/>
    <s v="206-44-0"/>
    <x v="68"/>
    <x v="68"/>
    <x v="7"/>
    <s v="Élimination sur le site"/>
    <s v="Landfill"/>
    <s v="Enfouissement"/>
    <n v="7"/>
    <x v="1"/>
    <s v="C - Mass Balance"/>
    <x v="2"/>
  </r>
  <r>
    <x v="22"/>
    <n v="2088"/>
    <x v="745"/>
    <x v="0"/>
    <n v="335315"/>
    <s v="Switchgear and Switchboard, and Relay and Industrial Control Apparatus Manufacturing"/>
    <s v="Fabrication d'appareillage de connexion, de commutation et de relais et de commandes d'usage industriel"/>
    <x v="0"/>
    <s v="NA - 06"/>
    <x v="15"/>
    <x v="15"/>
    <x v="6"/>
    <s v="Élimination hors site"/>
    <s v="Landfill"/>
    <s v="Enfouissement"/>
    <n v="7.0000000000000001E-3"/>
    <x v="0"/>
    <s v="C - Mass Balance"/>
    <x v="2"/>
  </r>
  <r>
    <x v="10"/>
    <n v="3161"/>
    <x v="26"/>
    <x v="216"/>
    <n v="221113"/>
    <s v="Nuclear Electric Power Generation"/>
    <s v="Production d'électricité d'origine nucléaire"/>
    <x v="0"/>
    <s v="NA - 10"/>
    <x v="9"/>
    <x v="9"/>
    <x v="6"/>
    <s v="Élimination hors site"/>
    <s v="Storage"/>
    <s v="Stockage"/>
    <n v="3.5999999999999997E-2"/>
    <x v="1"/>
    <s v="O - Engineering Estimates"/>
    <x v="2"/>
  </r>
  <r>
    <x v="2"/>
    <n v="22103"/>
    <x v="682"/>
    <x v="863"/>
    <n v="213118"/>
    <s v="Services to oil and gas extraction"/>
    <s v="Services relatifs à l'extraction de pétrole et de gaz"/>
    <x v="4"/>
    <s v="1330-20-7"/>
    <x v="24"/>
    <x v="24"/>
    <x v="6"/>
    <s v="Élimination hors site"/>
    <s v="Landfill"/>
    <s v="Enfouissement"/>
    <n v="2.06"/>
    <x v="0"/>
    <s v="O - Engineering Estimates"/>
    <x v="2"/>
  </r>
  <r>
    <x v="1"/>
    <n v="23575"/>
    <x v="445"/>
    <x v="864"/>
    <n v="211113"/>
    <s v="Conventional oil and gas extraction"/>
    <s v="Extraction de pétrole et de gaz par des méthodes classiques"/>
    <x v="4"/>
    <s v="108-88-3"/>
    <x v="5"/>
    <x v="5"/>
    <x v="6"/>
    <s v="Élimination hors site"/>
    <s v="Landfill"/>
    <s v="Enfouissement"/>
    <n v="3.1259999999999999"/>
    <x v="0"/>
    <s v="O - Engineering Estimates"/>
    <x v="2"/>
  </r>
  <r>
    <x v="30"/>
    <n v="520"/>
    <x v="746"/>
    <x v="865"/>
    <n v="327214"/>
    <s v="Glass Manufacturing"/>
    <s v="Fabrication de verre"/>
    <x v="8"/>
    <s v="NA - 04"/>
    <x v="19"/>
    <x v="19"/>
    <x v="6"/>
    <s v="Élimination hors site"/>
    <s v="Landfill"/>
    <s v="Enfouissement"/>
    <n v="0.54500000000000004"/>
    <x v="0"/>
    <m/>
    <x v="2"/>
  </r>
  <r>
    <x v="1"/>
    <n v="3935"/>
    <x v="255"/>
    <x v="866"/>
    <n v="211113"/>
    <s v="Conventional oil and gas extraction"/>
    <s v="Extraction de pétrole et de gaz par des méthodes classiques"/>
    <x v="2"/>
    <s v="67-56-1"/>
    <x v="3"/>
    <x v="3"/>
    <x v="7"/>
    <s v="Élimination sur le site"/>
    <s v="Underground Injection"/>
    <s v="Injection souterraine"/>
    <n v="43.469099999999997"/>
    <x v="0"/>
    <s v="O - Engineering Estimates"/>
    <x v="2"/>
  </r>
  <r>
    <x v="14"/>
    <n v="16103"/>
    <x v="747"/>
    <x v="789"/>
    <n v="562210"/>
    <s v="Waste treatment and disposal"/>
    <s v="Traitement et élimination des déchets"/>
    <x v="4"/>
    <s v="95-63-6"/>
    <x v="40"/>
    <x v="40"/>
    <x v="7"/>
    <s v="Élimination sur le site"/>
    <s v="Underground Injection"/>
    <s v="Injection souterraine"/>
    <n v="566.65315099999998"/>
    <x v="0"/>
    <s v="C - Mass Balance"/>
    <x v="2"/>
  </r>
  <r>
    <x v="27"/>
    <n v="5351"/>
    <x v="679"/>
    <x v="371"/>
    <n v="213118"/>
    <s v="Services to Oil and Gas Extraction"/>
    <s v="Services relatifs à l'extraction de pétrole et de gaz"/>
    <x v="4"/>
    <s v="108-88-3"/>
    <x v="5"/>
    <x v="5"/>
    <x v="6"/>
    <s v="Élimination hors site"/>
    <s v="Underground Injection"/>
    <s v="Injection souterraine"/>
    <n v="2.1999999999999999E-2"/>
    <x v="0"/>
    <s v="O - Engineering Estimates"/>
    <x v="2"/>
  </r>
  <r>
    <x v="29"/>
    <n v="930"/>
    <x v="436"/>
    <x v="867"/>
    <n v="322112"/>
    <s v="Chemical pulp mills"/>
    <s v="Usines de pâte chimique"/>
    <x v="0"/>
    <s v="NA - 12"/>
    <x v="48"/>
    <x v="48"/>
    <x v="6"/>
    <s v="Élimination hors site"/>
    <s v="Landfill"/>
    <s v="Enfouissement"/>
    <n v="13.503"/>
    <x v="1"/>
    <s v="E1 - Site Specific Emission Factors"/>
    <x v="2"/>
  </r>
  <r>
    <x v="2"/>
    <n v="1338"/>
    <x v="27"/>
    <x v="66"/>
    <n v="221320"/>
    <s v="Sewage treatment facilities"/>
    <s v="Installations d'épuration des eaux usées"/>
    <x v="2"/>
    <s v="NA - 22"/>
    <x v="8"/>
    <x v="8"/>
    <x v="6"/>
    <s v="Élimination hors site"/>
    <s v="Landfill"/>
    <s v="Enfouissement"/>
    <n v="73.787199999999999"/>
    <x v="0"/>
    <s v="M3 - Source Testing"/>
    <x v="2"/>
  </r>
  <r>
    <x v="12"/>
    <n v="3992"/>
    <x v="247"/>
    <x v="470"/>
    <n v="221112"/>
    <s v="Fossil-fuel electric power generation"/>
    <s v="Production d'électricité à partir de combustibles fossiles"/>
    <x v="7"/>
    <s v="NA - 02"/>
    <x v="21"/>
    <x v="21"/>
    <x v="7"/>
    <s v="Élimination sur le site"/>
    <s v="Landfill"/>
    <s v="Enfouissement"/>
    <n v="6281.9"/>
    <x v="1"/>
    <s v="O - Engineering Estimates"/>
    <x v="2"/>
  </r>
  <r>
    <x v="14"/>
    <n v="6831"/>
    <x v="277"/>
    <x v="868"/>
    <n v="418390"/>
    <s v="Agricultural chemical and other farm supplies merchant wholesalers"/>
    <s v="Grossistes-marchands de produits chimiques et autres fournitures agricoles"/>
    <x v="5"/>
    <s v="NA - 16"/>
    <x v="49"/>
    <x v="49"/>
    <x v="6"/>
    <s v="Élimination hors site"/>
    <s v="Underground Injection"/>
    <s v="Injection souterraine"/>
    <n v="287.01"/>
    <x v="0"/>
    <s v="M3 - Source Testing"/>
    <x v="2"/>
  </r>
  <r>
    <x v="3"/>
    <n v="5907"/>
    <x v="748"/>
    <x v="0"/>
    <n v="211114"/>
    <s v="Non-Conventional Oil Extraction"/>
    <s v="Extraction de pétrole par des méthodes non classiques"/>
    <x v="0"/>
    <s v="91-20-3"/>
    <x v="67"/>
    <x v="67"/>
    <x v="6"/>
    <s v="Élimination hors site"/>
    <s v="Landfill"/>
    <s v="Enfouissement"/>
    <n v="1E-3"/>
    <x v="0"/>
    <s v="C - Mass Balance"/>
    <x v="2"/>
  </r>
  <r>
    <x v="4"/>
    <n v="5130"/>
    <x v="749"/>
    <x v="0"/>
    <n v="321999"/>
    <s v="All Other Miscellaneous Wood Product Manufacturing"/>
    <s v="Fabrication de tous les autres produits divers en bois"/>
    <x v="2"/>
    <s v="NA - 04"/>
    <x v="19"/>
    <x v="19"/>
    <x v="6"/>
    <s v="Élimination hors site"/>
    <s v="Landfill"/>
    <s v="Enfouissement"/>
    <n v="4.53"/>
    <x v="0"/>
    <s v="M - Monitoring or Direct Measurement"/>
    <x v="2"/>
  </r>
  <r>
    <x v="20"/>
    <n v="5188"/>
    <x v="750"/>
    <x v="869"/>
    <n v="321111"/>
    <s v="Sawmills (except Shingle and Shake Mills)"/>
    <s v="Scieries (sauf les usines de bardeaux et de bardeaux de fente)"/>
    <x v="2"/>
    <s v="NA - 03"/>
    <x v="28"/>
    <x v="28"/>
    <x v="7"/>
    <s v="Élimination sur le site"/>
    <s v="Landfill"/>
    <s v="Enfouissement"/>
    <n v="31.099"/>
    <x v="1"/>
    <s v="E2 - Published Emission Factors"/>
    <x v="2"/>
  </r>
  <r>
    <x v="0"/>
    <n v="4906"/>
    <x v="751"/>
    <x v="870"/>
    <n v="324190"/>
    <s v="Other Petroleum and Coal Products Manufacturing"/>
    <s v="Fabrication d'autres produits du pétrole et du charbon"/>
    <x v="4"/>
    <s v="NA - 01"/>
    <x v="60"/>
    <x v="60"/>
    <x v="6"/>
    <s v="Élimination hors site"/>
    <s v="Landfill"/>
    <s v="Enfouissement"/>
    <n v="4.0000000000000001E-3"/>
    <x v="0"/>
    <s v="M - Monitoring or Direct Measurement"/>
    <x v="2"/>
  </r>
  <r>
    <x v="9"/>
    <n v="23560"/>
    <x v="752"/>
    <x v="871"/>
    <n v="212114"/>
    <s v="Bituminous coal mining"/>
    <s v="Extraction de charbon bitumineux"/>
    <x v="4"/>
    <s v="NA - 22"/>
    <x v="8"/>
    <x v="8"/>
    <x v="7"/>
    <s v="Élimination sur le site"/>
    <s v="Landfill"/>
    <s v="Enfouissement"/>
    <n v="1.2E-2"/>
    <x v="0"/>
    <s v="E1 - Site Specific Emission Factors"/>
    <x v="2"/>
  </r>
  <r>
    <x v="26"/>
    <n v="11392"/>
    <x v="753"/>
    <x v="872"/>
    <n v="336390"/>
    <s v="Other Motor Vehicle Parts Manufacturing"/>
    <s v="Fabrication d'autres pièces pour véhicules automobiles"/>
    <x v="0"/>
    <s v="7723-14-0"/>
    <x v="115"/>
    <x v="115"/>
    <x v="6"/>
    <s v="Élimination hors site"/>
    <s v="Landfill"/>
    <s v="Enfouissement"/>
    <n v="1.7000000000000001E-2"/>
    <x v="0"/>
    <s v="O - Engineering Estimates"/>
    <x v="2"/>
  </r>
  <r>
    <x v="25"/>
    <n v="3895"/>
    <x v="754"/>
    <x v="873"/>
    <n v="336110"/>
    <s v="Automobile and Light-Duty Motor Vehicle Manufacturing"/>
    <s v="Fabrication de voitures et de véhicules automobiles légers"/>
    <x v="3"/>
    <s v="71-36-3"/>
    <x v="50"/>
    <x v="50"/>
    <x v="6"/>
    <s v="Élimination hors site"/>
    <s v="Storage"/>
    <s v="Stockage"/>
    <n v="0.60111400000000004"/>
    <x v="0"/>
    <s v="O - Engineering Estimates"/>
    <x v="2"/>
  </r>
  <r>
    <x v="3"/>
    <n v="928"/>
    <x v="612"/>
    <x v="874"/>
    <n v="322112"/>
    <s v="Chemical Pulp Mills"/>
    <s v="Usines de pâte chimique"/>
    <x v="0"/>
    <s v="206-44-0"/>
    <x v="68"/>
    <x v="68"/>
    <x v="7"/>
    <s v="Élimination sur le site"/>
    <s v="Landfill"/>
    <s v="Enfouissement"/>
    <n v="0.14699999999999999"/>
    <x v="1"/>
    <s v="E - Emission Factor"/>
    <x v="2"/>
  </r>
  <r>
    <x v="0"/>
    <n v="3032"/>
    <x v="755"/>
    <x v="0"/>
    <n v="331221"/>
    <s v="Cold-Rolled Steel Shape Manufacturing"/>
    <s v="Fabrication de formes en acier laminé à froid"/>
    <x v="0"/>
    <s v="7647-01-0"/>
    <x v="7"/>
    <x v="7"/>
    <x v="6"/>
    <s v="Élimination hors site"/>
    <s v="Landfill"/>
    <s v="Enfouissement"/>
    <n v="0"/>
    <x v="0"/>
    <s v="C - Mass Balance"/>
    <x v="2"/>
  </r>
  <r>
    <x v="29"/>
    <n v="2372"/>
    <x v="756"/>
    <x v="875"/>
    <n v="212233"/>
    <s v="Copper-zinc ore mining"/>
    <s v="Extraction de minerais de cuivre-zinc"/>
    <x v="2"/>
    <s v="NA - 10"/>
    <x v="9"/>
    <x v="9"/>
    <x v="7"/>
    <s v="Élimination sur le site"/>
    <s v="Tailings Management"/>
    <s v="Gestion des résidus miniers"/>
    <n v="91.377399999999994"/>
    <x v="1"/>
    <s v="M3 - Source Testing"/>
    <x v="2"/>
  </r>
  <r>
    <x v="17"/>
    <n v="11879"/>
    <x v="757"/>
    <x v="876"/>
    <n v="562210"/>
    <s v="Waste treatment and disposal"/>
    <s v="Traitement et élimination des déchets"/>
    <x v="0"/>
    <s v="1332-21-4"/>
    <x v="70"/>
    <x v="70"/>
    <x v="7"/>
    <s v="Élimination sur le site"/>
    <s v="Landfill"/>
    <s v="Enfouissement"/>
    <n v="327.8"/>
    <x v="0"/>
    <s v="C - Mass Balance"/>
    <x v="2"/>
  </r>
  <r>
    <x v="7"/>
    <n v="3571"/>
    <x v="721"/>
    <x v="832"/>
    <n v="221320"/>
    <s v="Sewage treatment facilities"/>
    <s v="Installations d'épuration des eaux usées"/>
    <x v="3"/>
    <s v="NA - 08"/>
    <x v="1"/>
    <x v="1"/>
    <x v="6"/>
    <s v="Élimination hors site"/>
    <s v="Land Treatment"/>
    <s v="Épandage"/>
    <n v="452.87"/>
    <x v="1"/>
    <s v="M3 - Source Testing"/>
    <x v="2"/>
  </r>
  <r>
    <x v="3"/>
    <n v="3941"/>
    <x v="758"/>
    <x v="798"/>
    <n v="211113"/>
    <s v="Conventional Oil and Gas Extraction"/>
    <s v="Extraction de pétrole et de gaz par des méthodes classiques"/>
    <x v="4"/>
    <s v="110-54-3"/>
    <x v="47"/>
    <x v="47"/>
    <x v="6"/>
    <s v="Élimination hors site"/>
    <s v="Landfill"/>
    <s v="Enfouissement"/>
    <n v="5.8999999999999997E-2"/>
    <x v="0"/>
    <s v="M - Monitoring or Direct Measurement"/>
    <x v="2"/>
  </r>
  <r>
    <x v="19"/>
    <n v="2604"/>
    <x v="759"/>
    <x v="0"/>
    <n v="322112"/>
    <s v="Chemical Pulp Mills"/>
    <s v="Usines de pâte chimique"/>
    <x v="8"/>
    <s v="207-08-9"/>
    <x v="18"/>
    <x v="18"/>
    <x v="7"/>
    <s v="Élimination sur le site"/>
    <s v="Landfill"/>
    <s v="Enfouissement"/>
    <n v="0.52800000000000002"/>
    <x v="1"/>
    <s v="E2 - Published Emission Factors"/>
    <x v="2"/>
  </r>
  <r>
    <x v="9"/>
    <n v="2134"/>
    <x v="277"/>
    <x v="372"/>
    <n v="325313"/>
    <s v="Chemical fertilizer (except potash) manufacturing"/>
    <s v="Fabrication d'engrais chimiques (sauf la potasse)"/>
    <x v="4"/>
    <s v="NA - 14"/>
    <x v="13"/>
    <x v="13"/>
    <x v="7"/>
    <s v="Élimination sur le site"/>
    <s v="Tailings Management"/>
    <s v="Gestion des résidus miniers"/>
    <n v="72.849999999999994"/>
    <x v="0"/>
    <s v="M3 - Source Testing"/>
    <x v="2"/>
  </r>
  <r>
    <x v="7"/>
    <n v="20147"/>
    <x v="27"/>
    <x v="877"/>
    <n v="221320"/>
    <s v="Sewage treatment facilities"/>
    <s v="Installations d'épuration des eaux usées"/>
    <x v="2"/>
    <s v="NA - 08"/>
    <x v="1"/>
    <x v="1"/>
    <x v="6"/>
    <s v="Élimination hors site"/>
    <s v="Landfill"/>
    <s v="Enfouissement"/>
    <n v="2.1399999999999999E-2"/>
    <x v="1"/>
    <s v="M3 - Source Testing"/>
    <x v="2"/>
  </r>
  <r>
    <x v="16"/>
    <n v="6862"/>
    <x v="760"/>
    <x v="572"/>
    <n v="486110"/>
    <s v="Pipeline Transportation of Crude Oil"/>
    <s v="Transport du pétrole brut par oléoduc"/>
    <x v="2"/>
    <s v="1330-20-7"/>
    <x v="24"/>
    <x v="24"/>
    <x v="6"/>
    <s v="Élimination hors site"/>
    <s v="Landfill"/>
    <s v="Enfouissement"/>
    <n v="9.8000000000000004E-2"/>
    <x v="0"/>
    <s v="O - Engineering Estimates"/>
    <x v="2"/>
  </r>
  <r>
    <x v="12"/>
    <n v="5647"/>
    <x v="20"/>
    <x v="878"/>
    <n v="562210"/>
    <s v="Waste treatment and disposal"/>
    <s v="Traitement et élimination des déchets"/>
    <x v="0"/>
    <s v="NA - 09"/>
    <x v="12"/>
    <x v="12"/>
    <x v="6"/>
    <s v="Élimination hors site"/>
    <s v="Landfill"/>
    <s v="Enfouissement"/>
    <n v="6.87"/>
    <x v="0"/>
    <s v="C - Mass Balance"/>
    <x v="2"/>
  </r>
  <r>
    <x v="6"/>
    <n v="5014"/>
    <x v="761"/>
    <x v="879"/>
    <n v="221119"/>
    <s v="Other Electric Power Generation"/>
    <s v="Autres activités de production d'électricité"/>
    <x v="7"/>
    <s v="NA - 09"/>
    <x v="12"/>
    <x v="12"/>
    <x v="6"/>
    <s v="Élimination hors site"/>
    <s v="Landfill"/>
    <s v="Enfouissement"/>
    <n v="59.85"/>
    <x v="0"/>
    <s v="M3 - Source Testing"/>
    <x v="2"/>
  </r>
  <r>
    <x v="6"/>
    <n v="2274"/>
    <x v="762"/>
    <x v="880"/>
    <n v="211114"/>
    <s v="Non-Conventional Oil Extraction"/>
    <s v="Extraction de pétrole par des méthodes non classiques"/>
    <x v="4"/>
    <s v="205-99-2"/>
    <x v="35"/>
    <x v="35"/>
    <x v="7"/>
    <s v="Élimination sur le site"/>
    <s v="Tailings Management"/>
    <s v="Gestion des résidus miniers"/>
    <n v="0.37"/>
    <x v="1"/>
    <s v="M3 - Source Testing"/>
    <x v="2"/>
  </r>
  <r>
    <x v="21"/>
    <n v="442"/>
    <x v="348"/>
    <x v="881"/>
    <n v="211141"/>
    <s v="In-situ oil sands extraction"/>
    <s v="Extraction in situ de sables bitumineux"/>
    <x v="4"/>
    <s v="1330-20-7"/>
    <x v="24"/>
    <x v="24"/>
    <x v="6"/>
    <s v="Élimination hors site"/>
    <s v="Landfill"/>
    <s v="Enfouissement"/>
    <n v="9.5370999999999997E-2"/>
    <x v="0"/>
    <s v="O - Engineering Estimates"/>
    <x v="2"/>
  </r>
  <r>
    <x v="27"/>
    <n v="21219"/>
    <x v="218"/>
    <x v="882"/>
    <n v="211113"/>
    <s v="Conventional Oil and Gas Extraction"/>
    <s v="Extraction de pétrole et de gaz par des méthodes classiques"/>
    <x v="4"/>
    <s v="108-88-3"/>
    <x v="5"/>
    <x v="5"/>
    <x v="7"/>
    <s v="Élimination sur le site"/>
    <s v="Underground Injection"/>
    <s v="Injection souterraine"/>
    <n v="5.7999999999999996E-3"/>
    <x v="0"/>
    <s v="O - Engineering Estimates"/>
    <x v="2"/>
  </r>
  <r>
    <x v="1"/>
    <n v="6389"/>
    <x v="763"/>
    <x v="883"/>
    <n v="221320"/>
    <s v="Sewage treatment facilities"/>
    <s v="Installations d'épuration des eaux usées"/>
    <x v="3"/>
    <s v="NA - 22"/>
    <x v="8"/>
    <x v="8"/>
    <x v="6"/>
    <s v="Élimination hors site"/>
    <s v="Land Treatment"/>
    <s v="Épandage"/>
    <n v="6.29"/>
    <x v="0"/>
    <s v="M3 - Source Testing"/>
    <x v="2"/>
  </r>
  <r>
    <x v="14"/>
    <n v="5539"/>
    <x v="764"/>
    <x v="884"/>
    <n v="493190"/>
    <s v="Other warehousing and storage"/>
    <s v="Autres activités d'entreposage"/>
    <x v="3"/>
    <s v="67-56-1"/>
    <x v="3"/>
    <x v="3"/>
    <x v="6"/>
    <s v="Élimination hors site"/>
    <s v="Landfill"/>
    <s v="Enfouissement"/>
    <n v="1.2E-2"/>
    <x v="0"/>
    <s v="O - Engineering Estimates"/>
    <x v="2"/>
  </r>
  <r>
    <x v="29"/>
    <n v="1303"/>
    <x v="481"/>
    <x v="521"/>
    <n v="212233"/>
    <s v="Copper-zinc ore mining"/>
    <s v="Extraction de minerais de cuivre-zinc"/>
    <x v="2"/>
    <s v="NA - 05"/>
    <x v="16"/>
    <x v="16"/>
    <x v="7"/>
    <s v="Élimination sur le site"/>
    <s v="Waste Rock management"/>
    <s v="Gestion des stériles"/>
    <n v="621992.95835500001"/>
    <x v="1"/>
    <s v="M3 - Source Testing"/>
    <x v="2"/>
  </r>
  <r>
    <x v="2"/>
    <n v="29386"/>
    <x v="255"/>
    <x v="266"/>
    <n v="211114"/>
    <s v="Non-conventional oil extraction"/>
    <s v="Extraction de pétrole par des méthodes non classiques"/>
    <x v="5"/>
    <s v="110-54-3"/>
    <x v="47"/>
    <x v="47"/>
    <x v="6"/>
    <s v="Élimination hors site"/>
    <s v="Underground Injection"/>
    <s v="Injection souterraine"/>
    <n v="1.41E-2"/>
    <x v="0"/>
    <s v="O - Engineering Estimates"/>
    <x v="2"/>
  </r>
  <r>
    <x v="9"/>
    <n v="1303"/>
    <x v="481"/>
    <x v="521"/>
    <n v="212233"/>
    <s v="Copper-zinc ore mining"/>
    <s v="Extraction de minerais de cuivre-zinc"/>
    <x v="2"/>
    <s v="NA - 12"/>
    <x v="48"/>
    <x v="48"/>
    <x v="7"/>
    <s v="Élimination sur le site"/>
    <s v="Tailings Management"/>
    <s v="Gestion des résidus miniers"/>
    <n v="33028.577700000002"/>
    <x v="1"/>
    <s v="M3 - Source Testing"/>
    <x v="2"/>
  </r>
  <r>
    <x v="2"/>
    <n v="2274"/>
    <x v="765"/>
    <x v="880"/>
    <n v="211114"/>
    <s v="Non-conventional oil extraction"/>
    <s v="Extraction de pétrole par des méthodes non classiques"/>
    <x v="4"/>
    <s v="71-43-2"/>
    <x v="31"/>
    <x v="31"/>
    <x v="7"/>
    <s v="Élimination sur le site"/>
    <s v="Tailings Management"/>
    <s v="Gestion des résidus miniers"/>
    <n v="17.77"/>
    <x v="0"/>
    <s v="O - Engineering Estimates"/>
    <x v="2"/>
  </r>
  <r>
    <x v="14"/>
    <n v="1471"/>
    <x v="379"/>
    <x v="885"/>
    <n v="331410"/>
    <s v="Non-ferrous metal (except aluminum) smelting and refining"/>
    <s v="Fonte et affinage de métaux non ferreux (sauf l'aluminium)"/>
    <x v="0"/>
    <s v="NA - 08"/>
    <x v="1"/>
    <x v="1"/>
    <x v="6"/>
    <s v="Élimination hors site"/>
    <s v="Underground Injection"/>
    <s v="Injection souterraine"/>
    <n v="0.3"/>
    <x v="1"/>
    <s v="M3 - Source Testing"/>
    <x v="2"/>
  </r>
  <r>
    <x v="12"/>
    <n v="11588"/>
    <x v="275"/>
    <x v="886"/>
    <n v="212232"/>
    <s v="Nickel-copper ore mining"/>
    <s v="Extraction de minerais de nickel-cuivre"/>
    <x v="0"/>
    <s v="NA - 37"/>
    <x v="72"/>
    <x v="72"/>
    <x v="6"/>
    <s v="Élimination hors site"/>
    <s v="Waste Rock management"/>
    <s v="Gestion des stériles"/>
    <n v="24.81"/>
    <x v="1"/>
    <s v="E2 - Published Emission Factors"/>
    <x v="2"/>
  </r>
  <r>
    <x v="29"/>
    <n v="31681"/>
    <x v="469"/>
    <x v="887"/>
    <n v="211110"/>
    <s v="Oil and gas extraction (except oil sands)"/>
    <s v="Extraction de pétrole et de gaz (à l'exception des sables bitumineux)"/>
    <x v="5"/>
    <s v="85-01-8"/>
    <x v="54"/>
    <x v="54"/>
    <x v="7"/>
    <s v="Élimination sur le site"/>
    <s v="Underground Injection"/>
    <s v="Injection souterraine"/>
    <n v="74.995146000000005"/>
    <x v="1"/>
    <s v="O - Engineering Estimates"/>
    <x v="2"/>
  </r>
  <r>
    <x v="10"/>
    <n v="5839"/>
    <x v="766"/>
    <x v="888"/>
    <n v="326121"/>
    <s v="Unlaminated Plastics Profile Shape Manufacturing"/>
    <s v="Fabrication de profilés non stratifiés en plastique"/>
    <x v="0"/>
    <s v="117-81-7"/>
    <x v="37"/>
    <x v="37"/>
    <x v="6"/>
    <s v="Élimination hors site"/>
    <s v="Landfill"/>
    <s v="Enfouissement"/>
    <n v="0.36499999999999999"/>
    <x v="0"/>
    <s v="O - Engineering Estimates"/>
    <x v="2"/>
  </r>
  <r>
    <x v="25"/>
    <n v="2740"/>
    <x v="767"/>
    <x v="889"/>
    <n v="331110"/>
    <s v="Iron and Steel Mills and Ferro-Alloy Manufacturing"/>
    <s v="Sidérurgie"/>
    <x v="5"/>
    <s v="NA - 03"/>
    <x v="28"/>
    <x v="28"/>
    <x v="6"/>
    <s v="Élimination hors site"/>
    <s v="Landfill"/>
    <s v="Enfouissement"/>
    <n v="7.7"/>
    <x v="0"/>
    <s v="O - Engineering Estimates"/>
    <x v="2"/>
  </r>
  <r>
    <x v="8"/>
    <n v="4908"/>
    <x v="235"/>
    <x v="890"/>
    <n v="221320"/>
    <s v="Sewage Treatment Facilities"/>
    <s v="Installations d'épuration des eaux usées"/>
    <x v="0"/>
    <s v="NA - 16"/>
    <x v="49"/>
    <x v="49"/>
    <x v="6"/>
    <s v="Élimination hors site"/>
    <s v="Landfill"/>
    <s v="Enfouissement"/>
    <n v="15.029"/>
    <x v="0"/>
    <s v="M3 - Source Testing"/>
    <x v="2"/>
  </r>
  <r>
    <x v="17"/>
    <n v="4743"/>
    <x v="377"/>
    <x v="401"/>
    <n v="221320"/>
    <s v="Sewage treatment facilities"/>
    <s v="Installations d'épuration des eaux usées"/>
    <x v="0"/>
    <s v="NA - 16"/>
    <x v="49"/>
    <x v="49"/>
    <x v="6"/>
    <s v="Élimination hors site"/>
    <s v="Landfill"/>
    <s v="Enfouissement"/>
    <n v="3.6230000000000002"/>
    <x v="0"/>
    <s v="M3 - Source Testing"/>
    <x v="2"/>
  </r>
  <r>
    <x v="10"/>
    <n v="2776"/>
    <x v="8"/>
    <x v="7"/>
    <n v="324110"/>
    <s v="Petroleum Refineries"/>
    <s v="Raffineries de pétrole"/>
    <x v="2"/>
    <s v="NA - 11"/>
    <x v="4"/>
    <x v="4"/>
    <x v="6"/>
    <s v="Élimination hors site"/>
    <s v="Landfill"/>
    <s v="Enfouissement"/>
    <n v="8.6999999999999994E-2"/>
    <x v="0"/>
    <s v="O - Engineering Estimates"/>
    <x v="2"/>
  </r>
  <r>
    <x v="23"/>
    <n v="3707"/>
    <x v="12"/>
    <x v="183"/>
    <n v="324110"/>
    <s v="Petroleum Refineries"/>
    <s v="Raffineries de pétrole"/>
    <x v="4"/>
    <s v="107-21-1"/>
    <x v="29"/>
    <x v="29"/>
    <x v="7"/>
    <s v="Élimination sur le site"/>
    <s v="Underground Injection"/>
    <s v="Injection souterraine"/>
    <n v="2E-3"/>
    <x v="0"/>
    <s v="C - Mass Balance"/>
    <x v="2"/>
  </r>
  <r>
    <x v="26"/>
    <n v="3933"/>
    <x v="768"/>
    <x v="891"/>
    <n v="211113"/>
    <s v="Conventional Oil and Gas Extraction"/>
    <s v="Extraction de pétrole et de gaz par des méthodes classiques"/>
    <x v="4"/>
    <s v="71-43-2"/>
    <x v="31"/>
    <x v="31"/>
    <x v="6"/>
    <s v="Élimination hors site"/>
    <s v="Landfill"/>
    <s v="Enfouissement"/>
    <n v="4.0000000000000001E-3"/>
    <x v="0"/>
    <s v="O - Engineering Estimates"/>
    <x v="2"/>
  </r>
  <r>
    <x v="13"/>
    <n v="5100"/>
    <x v="271"/>
    <x v="892"/>
    <n v="562210"/>
    <s v="Waste Treatment and Disposal"/>
    <s v="Traitement et élimination des déchets"/>
    <x v="2"/>
    <s v="127-18-4"/>
    <x v="27"/>
    <x v="27"/>
    <x v="6"/>
    <s v="Élimination hors site"/>
    <s v="Landfill"/>
    <s v="Enfouissement"/>
    <n v="0.03"/>
    <x v="0"/>
    <s v="C - Mass Balance"/>
    <x v="2"/>
  </r>
  <r>
    <x v="9"/>
    <n v="23956"/>
    <x v="769"/>
    <x v="893"/>
    <n v="211113"/>
    <s v="Conventional oil and gas extraction"/>
    <s v="Extraction de pétrole et de gaz par des méthodes classiques"/>
    <x v="4"/>
    <s v="1330-20-7"/>
    <x v="24"/>
    <x v="24"/>
    <x v="6"/>
    <s v="Élimination hors site"/>
    <s v="Land Treatment"/>
    <s v="Épandage"/>
    <n v="5.7000000000000002E-2"/>
    <x v="0"/>
    <s v="O - Engineering Estimates"/>
    <x v="2"/>
  </r>
  <r>
    <x v="28"/>
    <n v="1755"/>
    <x v="770"/>
    <x v="894"/>
    <n v="211113"/>
    <s v="Conventional Oil and Gas Extraction"/>
    <s v="Extraction de pétrole et de gaz par des méthodes classiques"/>
    <x v="4"/>
    <s v="67-56-1"/>
    <x v="3"/>
    <x v="3"/>
    <x v="6"/>
    <s v="Élimination hors site"/>
    <s v="Underground Injection"/>
    <s v="Injection souterraine"/>
    <n v="111.97199999999999"/>
    <x v="0"/>
    <s v="O - Engineering Estimates"/>
    <x v="2"/>
  </r>
  <r>
    <x v="20"/>
    <n v="5608"/>
    <x v="771"/>
    <x v="895"/>
    <n v="335990"/>
    <s v="All Other Electrical Equipment and Component Manufacturing"/>
    <s v="Fabrication de tous les autres types de matériel et composants électriques"/>
    <x v="0"/>
    <s v="NA - 16"/>
    <x v="49"/>
    <x v="49"/>
    <x v="6"/>
    <s v="Élimination hors site"/>
    <s v="Landfill"/>
    <s v="Enfouissement"/>
    <n v="0.31"/>
    <x v="0"/>
    <s v="C - Mass Balance"/>
    <x v="2"/>
  </r>
  <r>
    <x v="15"/>
    <n v="1195"/>
    <x v="772"/>
    <x v="896"/>
    <n v="322121"/>
    <s v="Paper (except newsprint) mills"/>
    <s v="Usines de papier (sauf le papier journal)"/>
    <x v="3"/>
    <s v="208-96-8"/>
    <x v="64"/>
    <x v="64"/>
    <x v="6"/>
    <s v="Élimination hors site"/>
    <s v="Land Treatment"/>
    <s v="Épandage"/>
    <n v="4.13"/>
    <x v="1"/>
    <s v="E2 - Published Emission Factors"/>
    <x v="2"/>
  </r>
  <r>
    <x v="22"/>
    <n v="3478"/>
    <x v="773"/>
    <x v="897"/>
    <n v="336110"/>
    <s v="Automobile and Light-Duty Motor Vehicle Manufacturing"/>
    <s v="Fabrication de voitures et de véhicules automobiles légers"/>
    <x v="0"/>
    <s v="1330-20-7"/>
    <x v="24"/>
    <x v="24"/>
    <x v="6"/>
    <s v="Élimination hors site"/>
    <s v="Landfill"/>
    <s v="Enfouissement"/>
    <n v="1.0999999999999999E-2"/>
    <x v="0"/>
    <s v="O - Engineering Estimates"/>
    <x v="2"/>
  </r>
  <r>
    <x v="5"/>
    <n v="6654"/>
    <x v="171"/>
    <x v="898"/>
    <n v="412110"/>
    <s v="Petroleum Product Wholesaler-Distributors"/>
    <s v="Grossistes-distributeurs de produits pétroliers"/>
    <x v="2"/>
    <s v="95-63-6"/>
    <x v="40"/>
    <x v="40"/>
    <x v="6"/>
    <s v="Élimination hors site"/>
    <s v="Landfill"/>
    <s v="Enfouissement"/>
    <n v="3.141"/>
    <x v="0"/>
    <s v="O - Engineering Estimates"/>
    <x v="2"/>
  </r>
  <r>
    <x v="5"/>
    <n v="2161"/>
    <x v="774"/>
    <x v="899"/>
    <n v="331110"/>
    <s v="Iron and Steel Mills and Ferro-Alloy Manufacturing"/>
    <s v="Sidérurgie"/>
    <x v="0"/>
    <s v="NA - 11"/>
    <x v="4"/>
    <x v="4"/>
    <x v="6"/>
    <s v="Élimination hors site"/>
    <s v="Landfill"/>
    <s v="Enfouissement"/>
    <n v="0.94269999999999998"/>
    <x v="0"/>
    <s v="O - Engineering Estimates"/>
    <x v="2"/>
  </r>
  <r>
    <x v="14"/>
    <n v="3147"/>
    <x v="496"/>
    <x v="900"/>
    <n v="541990"/>
    <s v="All other professional, scientific and technical services"/>
    <s v="Tous les autres services professionnels, scientifiques et techniques"/>
    <x v="0"/>
    <s v="NA - 08"/>
    <x v="1"/>
    <x v="1"/>
    <x v="6"/>
    <s v="Élimination hors site"/>
    <s v="Landfill"/>
    <s v="Enfouissement"/>
    <n v="1155.4000000000001"/>
    <x v="1"/>
    <s v="C - Mass Balance"/>
    <x v="2"/>
  </r>
  <r>
    <x v="8"/>
    <n v="8770"/>
    <x v="775"/>
    <x v="901"/>
    <n v="331110"/>
    <s v="Iron and Steel Mills and Ferro-Alloy Manufacturing"/>
    <s v="Sidérurgie"/>
    <x v="3"/>
    <s v="7440-62-2"/>
    <x v="51"/>
    <x v="51"/>
    <x v="7"/>
    <s v="Élimination sur le site"/>
    <s v="Tailings Management"/>
    <s v="Gestion des résidus miniers"/>
    <n v="535"/>
    <x v="0"/>
    <s v="M3 - Source Testing"/>
    <x v="2"/>
  </r>
  <r>
    <x v="10"/>
    <n v="3242"/>
    <x v="776"/>
    <x v="902"/>
    <n v="322112"/>
    <s v="Chemical Pulp Mills"/>
    <s v="Usines de pâte chimique"/>
    <x v="3"/>
    <s v="NA - 14"/>
    <x v="13"/>
    <x v="13"/>
    <x v="7"/>
    <s v="Élimination sur le site"/>
    <s v="Landfill"/>
    <s v="Enfouissement"/>
    <n v="5"/>
    <x v="0"/>
    <s v="M - Monitoring or Direct Measurement"/>
    <x v="2"/>
  </r>
  <r>
    <x v="11"/>
    <n v="407"/>
    <x v="255"/>
    <x v="757"/>
    <n v="211113"/>
    <s v="Conventional oil and gas extraction"/>
    <s v="Extraction de pétrole et de gaz par des méthodes classiques"/>
    <x v="4"/>
    <s v="110-82-7"/>
    <x v="71"/>
    <x v="71"/>
    <x v="6"/>
    <s v="Élimination hors site"/>
    <s v="Underground Injection"/>
    <s v="Injection souterraine"/>
    <n v="0.83509999999999995"/>
    <x v="0"/>
    <s v="O - Engineering Estimates"/>
    <x v="2"/>
  </r>
  <r>
    <x v="9"/>
    <n v="26416"/>
    <x v="747"/>
    <x v="903"/>
    <n v="562210"/>
    <s v="Waste treatment and disposal"/>
    <s v="Traitement et élimination des déchets"/>
    <x v="4"/>
    <s v="1330-20-7"/>
    <x v="24"/>
    <x v="24"/>
    <x v="7"/>
    <s v="Élimination sur le site"/>
    <s v="Underground Injection"/>
    <s v="Injection souterraine"/>
    <n v="1.8946000000000001"/>
    <x v="0"/>
    <s v="E2 - Published Emission Factors"/>
    <x v="2"/>
  </r>
  <r>
    <x v="29"/>
    <n v="29004"/>
    <x v="777"/>
    <x v="904"/>
    <n v="212392"/>
    <s v="Diamond mining"/>
    <s v="Extraction de diamant"/>
    <x v="6"/>
    <s v="NA - 05"/>
    <x v="16"/>
    <x v="16"/>
    <x v="7"/>
    <s v="Élimination sur le site"/>
    <s v="Tailings Management"/>
    <s v="Gestion des résidus miniers"/>
    <n v="171653.9"/>
    <x v="1"/>
    <s v="M3 - Source Testing"/>
    <x v="2"/>
  </r>
  <r>
    <x v="21"/>
    <n v="1979"/>
    <x v="436"/>
    <x v="905"/>
    <n v="322121"/>
    <s v="Paper (except newsprint) mills"/>
    <s v="Usines de papier (sauf le papier journal)"/>
    <x v="3"/>
    <s v="NA - 02"/>
    <x v="21"/>
    <x v="21"/>
    <x v="7"/>
    <s v="Élimination sur le site"/>
    <s v="Landfill"/>
    <s v="Enfouissement"/>
    <n v="435"/>
    <x v="1"/>
    <s v="M3 - Source Testing"/>
    <x v="2"/>
  </r>
  <r>
    <x v="14"/>
    <n v="6664"/>
    <x v="86"/>
    <x v="906"/>
    <n v="412110"/>
    <s v="Petroleum and petroleum products merchant wholesalers"/>
    <s v="Grossistes-marchands de pétrole et de produits pétroliers"/>
    <x v="0"/>
    <s v="92-52-4"/>
    <x v="14"/>
    <x v="14"/>
    <x v="6"/>
    <s v="Élimination hors site"/>
    <s v="Landfill"/>
    <s v="Enfouissement"/>
    <n v="2.0000000000000002E-5"/>
    <x v="0"/>
    <s v="O - Engineering Estimates"/>
    <x v="2"/>
  </r>
  <r>
    <x v="6"/>
    <n v="3416"/>
    <x v="62"/>
    <x v="122"/>
    <n v="331511"/>
    <s v="Iron Foundries"/>
    <s v="Fonderies de fer"/>
    <x v="0"/>
    <s v="9016-87-9"/>
    <x v="79"/>
    <x v="79"/>
    <x v="6"/>
    <s v="Élimination hors site"/>
    <s v="Landfill"/>
    <s v="Enfouissement"/>
    <n v="0.04"/>
    <x v="0"/>
    <s v="O - Engineering Estimates"/>
    <x v="2"/>
  </r>
  <r>
    <x v="17"/>
    <n v="32912"/>
    <x v="33"/>
    <x v="907"/>
    <n v="211110"/>
    <s v="Oil and gas extraction (except oil sands)"/>
    <s v="Extraction de pétrole et de gaz (à l'exception des sables bitumineux)"/>
    <x v="4"/>
    <s v="110-82-7"/>
    <x v="71"/>
    <x v="71"/>
    <x v="6"/>
    <s v="Élimination hors site"/>
    <s v="Underground Injection"/>
    <s v="Injection souterraine"/>
    <n v="3.9100000000000002E-4"/>
    <x v="0"/>
    <s v="O - Engineering Estimates"/>
    <x v="2"/>
  </r>
  <r>
    <x v="1"/>
    <n v="27506"/>
    <x v="348"/>
    <x v="381"/>
    <n v="211114"/>
    <s v="Non-conventional oil extraction"/>
    <s v="Extraction de pétrole par des méthodes non classiques"/>
    <x v="4"/>
    <s v="110-54-3"/>
    <x v="47"/>
    <x v="47"/>
    <x v="6"/>
    <s v="Élimination hors site"/>
    <s v="Landfill"/>
    <s v="Enfouissement"/>
    <n v="2.7000000000000001E-3"/>
    <x v="0"/>
    <s v="O - Engineering Estimates"/>
    <x v="2"/>
  </r>
  <r>
    <x v="5"/>
    <n v="5236"/>
    <x v="587"/>
    <x v="661"/>
    <n v="212392"/>
    <s v="Diamond Mining"/>
    <s v="Extraction de diamant"/>
    <x v="6"/>
    <s v="NA - 06"/>
    <x v="15"/>
    <x v="15"/>
    <x v="7"/>
    <s v="Élimination sur le site"/>
    <s v="Tailings Management"/>
    <s v="Gestion des résidus miniers"/>
    <n v="143.821"/>
    <x v="0"/>
    <s v="M3 - Source Testing"/>
    <x v="2"/>
  </r>
  <r>
    <x v="6"/>
    <n v="4892"/>
    <x v="612"/>
    <x v="908"/>
    <n v="321217"/>
    <s v="Waferboard Mills"/>
    <s v="Usines de panneaux de copeaux"/>
    <x v="0"/>
    <s v="NA - 08"/>
    <x v="1"/>
    <x v="1"/>
    <x v="6"/>
    <s v="Élimination hors site"/>
    <s v="Landfill"/>
    <s v="Enfouissement"/>
    <n v="85.1"/>
    <x v="1"/>
    <s v="E2 - Published Emission Factors"/>
    <x v="2"/>
  </r>
  <r>
    <x v="7"/>
    <n v="1"/>
    <x v="778"/>
    <x v="909"/>
    <n v="322112"/>
    <s v="Chemical pulp mills"/>
    <s v="Usines de pâte chimique"/>
    <x v="4"/>
    <s v="50-00-0"/>
    <x v="17"/>
    <x v="17"/>
    <x v="7"/>
    <s v="Élimination sur le site"/>
    <s v="Landfill"/>
    <s v="Enfouissement"/>
    <n v="0.36"/>
    <x v="0"/>
    <s v="M3 - Source Testing"/>
    <x v="2"/>
  </r>
  <r>
    <x v="14"/>
    <n v="2372"/>
    <x v="756"/>
    <x v="875"/>
    <n v="212233"/>
    <s v="Copper-zinc ore mining"/>
    <s v="Extraction de minerais de cuivre-zinc"/>
    <x v="2"/>
    <s v="NA - 08"/>
    <x v="1"/>
    <x v="1"/>
    <x v="7"/>
    <s v="Élimination sur le site"/>
    <s v="Tailings Management"/>
    <s v="Gestion des résidus miniers"/>
    <n v="363763.45"/>
    <x v="1"/>
    <s v="M3 - Source Testing"/>
    <x v="2"/>
  </r>
  <r>
    <x v="7"/>
    <n v="28761"/>
    <x v="779"/>
    <x v="910"/>
    <n v="331410"/>
    <s v="Non-ferrous metal (except aluminum) smelting and refining"/>
    <s v="Fonte et affinage de métaux non ferreux (sauf l'aluminium)"/>
    <x v="10"/>
    <s v="1344-28-1"/>
    <x v="76"/>
    <x v="76"/>
    <x v="6"/>
    <s v="Élimination hors site"/>
    <s v="Landfill"/>
    <s v="Enfouissement"/>
    <n v="15.911"/>
    <x v="0"/>
    <s v="M3 - Source Testing"/>
    <x v="2"/>
  </r>
  <r>
    <x v="1"/>
    <n v="5112"/>
    <x v="780"/>
    <x v="911"/>
    <n v="321114"/>
    <s v="Wood preservation"/>
    <s v="Préservation du bois"/>
    <x v="2"/>
    <s v="NA - 02"/>
    <x v="21"/>
    <x v="21"/>
    <x v="6"/>
    <s v="Élimination hors site"/>
    <s v="Landfill"/>
    <s v="Enfouissement"/>
    <n v="589.14499999999998"/>
    <x v="1"/>
    <s v="C - Mass Balance"/>
    <x v="2"/>
  </r>
  <r>
    <x v="21"/>
    <n v="3571"/>
    <x v="721"/>
    <x v="832"/>
    <n v="221320"/>
    <s v="Sewage treatment facilities"/>
    <s v="Installations d'épuration des eaux usées"/>
    <x v="3"/>
    <s v="NA - 05"/>
    <x v="16"/>
    <x v="16"/>
    <x v="6"/>
    <s v="Élimination hors site"/>
    <s v="Landfill"/>
    <s v="Enfouissement"/>
    <n v="3100.64"/>
    <x v="1"/>
    <s v="M3 - Source Testing"/>
    <x v="2"/>
  </r>
  <r>
    <x v="27"/>
    <n v="4566"/>
    <x v="431"/>
    <x v="758"/>
    <n v="211113"/>
    <s v="Conventional Oil and Gas Extraction"/>
    <s v="Extraction de pétrole et de gaz par des méthodes classiques"/>
    <x v="4"/>
    <s v="1330-20-7"/>
    <x v="24"/>
    <x v="24"/>
    <x v="6"/>
    <s v="Élimination hors site"/>
    <s v="Landfill"/>
    <s v="Enfouissement"/>
    <n v="0.01"/>
    <x v="0"/>
    <s v="O - Engineering Estimates"/>
    <x v="2"/>
  </r>
  <r>
    <x v="9"/>
    <n v="6796"/>
    <x v="781"/>
    <x v="912"/>
    <n v="221320"/>
    <s v="Sewage treatment facilities"/>
    <s v="Installations d'épuration des eaux usées"/>
    <x v="5"/>
    <s v="NA - 16"/>
    <x v="49"/>
    <x v="49"/>
    <x v="7"/>
    <s v="Élimination sur le site"/>
    <s v="Landfill"/>
    <s v="Enfouissement"/>
    <n v="0"/>
    <x v="0"/>
    <s v="O - Engineering Estimates"/>
    <x v="2"/>
  </r>
  <r>
    <x v="23"/>
    <n v="5668"/>
    <x v="782"/>
    <x v="0"/>
    <n v="331511"/>
    <s v="Iron Foundries"/>
    <s v="Fonderies de fer"/>
    <x v="0"/>
    <s v="NA - 02"/>
    <x v="21"/>
    <x v="21"/>
    <x v="6"/>
    <s v="Élimination hors site"/>
    <s v="Landfill"/>
    <s v="Enfouissement"/>
    <n v="0.40500000000000003"/>
    <x v="0"/>
    <s v="O - Engineering Estimates"/>
    <x v="2"/>
  </r>
  <r>
    <x v="1"/>
    <n v="11514"/>
    <x v="566"/>
    <x v="626"/>
    <n v="212232"/>
    <s v="Nickel-copper ore mining"/>
    <s v="Extraction de minerais de nickel-cuivre"/>
    <x v="0"/>
    <s v="NA - 14"/>
    <x v="13"/>
    <x v="13"/>
    <x v="7"/>
    <s v="Élimination sur le site"/>
    <s v="Tailings Management"/>
    <s v="Gestion des résidus miniers"/>
    <n v="11.435"/>
    <x v="0"/>
    <s v="C - Mass Balance"/>
    <x v="2"/>
  </r>
  <r>
    <x v="4"/>
    <n v="5336"/>
    <x v="783"/>
    <x v="913"/>
    <n v="211113"/>
    <s v="Conventional Oil and Gas Extraction"/>
    <s v="Extraction de pétrole et de gaz par des méthodes classiques"/>
    <x v="4"/>
    <s v="NA - 14"/>
    <x v="13"/>
    <x v="13"/>
    <x v="6"/>
    <s v="Élimination hors site"/>
    <s v="Landfill"/>
    <s v="Enfouissement"/>
    <n v="1.61"/>
    <x v="0"/>
    <s v="C - Mass Balance"/>
    <x v="2"/>
  </r>
  <r>
    <x v="17"/>
    <n v="27099"/>
    <x v="469"/>
    <x v="914"/>
    <n v="211110"/>
    <s v="Oil and gas extraction (except oil sands)"/>
    <s v="Extraction de pétrole et de gaz (à l'exception des sables bitumineux)"/>
    <x v="5"/>
    <s v="86-73-7"/>
    <x v="114"/>
    <x v="114"/>
    <x v="7"/>
    <s v="Élimination sur le site"/>
    <s v="Underground Injection"/>
    <s v="Injection souterraine"/>
    <n v="47.768506000000002"/>
    <x v="1"/>
    <s v="O - Engineering Estimates"/>
    <x v="2"/>
  </r>
  <r>
    <x v="22"/>
    <n v="2161"/>
    <x v="784"/>
    <x v="915"/>
    <n v="331110"/>
    <s v="Iron and Steel Mills and Ferro-Alloy Manufacturing"/>
    <s v="Sidérurgie"/>
    <x v="0"/>
    <s v="NA - 09"/>
    <x v="12"/>
    <x v="12"/>
    <x v="6"/>
    <s v="Élimination hors site"/>
    <s v="Landfill"/>
    <s v="Enfouissement"/>
    <n v="313.34100000000001"/>
    <x v="0"/>
    <s v="M - Monitoring or Direct Measurement"/>
    <x v="2"/>
  </r>
  <r>
    <x v="5"/>
    <n v="4161"/>
    <x v="785"/>
    <x v="916"/>
    <n v="211113"/>
    <s v="Conventional Oil and Gas Extraction"/>
    <s v="Extraction de pétrole et de gaz par des méthodes classiques"/>
    <x v="4"/>
    <s v="110-82-7"/>
    <x v="71"/>
    <x v="71"/>
    <x v="6"/>
    <s v="Élimination hors site"/>
    <s v="Landfill"/>
    <s v="Enfouissement"/>
    <n v="5.7700000000000001E-2"/>
    <x v="0"/>
    <s v="O - Engineering Estimates"/>
    <x v="2"/>
  </r>
  <r>
    <x v="2"/>
    <n v="1338"/>
    <x v="27"/>
    <x v="66"/>
    <n v="221320"/>
    <s v="Sewage treatment facilities"/>
    <s v="Installations d'épuration des eaux usées"/>
    <x v="2"/>
    <s v="NA - 16"/>
    <x v="49"/>
    <x v="49"/>
    <x v="6"/>
    <s v="Élimination hors site"/>
    <s v="Landfill"/>
    <s v="Enfouissement"/>
    <n v="23.128799999999998"/>
    <x v="0"/>
    <s v="M3 - Source Testing"/>
    <x v="2"/>
  </r>
  <r>
    <x v="26"/>
    <n v="1473"/>
    <x v="786"/>
    <x v="917"/>
    <n v="331410"/>
    <s v="Non-Ferrous Metal (except Aluminum) Smelting and Refining"/>
    <s v="Fonte et affinage de métaux non ferreux (sauf l'aluminium)"/>
    <x v="1"/>
    <s v="NA - 11"/>
    <x v="4"/>
    <x v="4"/>
    <x v="7"/>
    <s v="Élimination sur le site"/>
    <s v="Tailings Management"/>
    <s v="Gestion des résidus miniers"/>
    <n v="4952"/>
    <x v="0"/>
    <s v="M3 - Source Testing"/>
    <x v="2"/>
  </r>
  <r>
    <x v="23"/>
    <n v="918"/>
    <x v="787"/>
    <x v="0"/>
    <n v="313210"/>
    <s v="Broad-Woven Fabric Mills"/>
    <s v="Usines de tissus larges"/>
    <x v="0"/>
    <s v="NA - 01"/>
    <x v="60"/>
    <x v="60"/>
    <x v="6"/>
    <s v="Élimination hors site"/>
    <s v="Storage"/>
    <s v="Stockage"/>
    <n v="0.24"/>
    <x v="0"/>
    <s v="O - Engineering Estimates"/>
    <x v="2"/>
  </r>
  <r>
    <x v="23"/>
    <n v="4610"/>
    <x v="60"/>
    <x v="232"/>
    <n v="321114"/>
    <s v="Wood Preservation"/>
    <s v="Préservation du bois"/>
    <x v="2"/>
    <s v="91-20-3"/>
    <x v="67"/>
    <x v="67"/>
    <x v="6"/>
    <s v="Élimination hors site"/>
    <s v="Landfill"/>
    <s v="Enfouissement"/>
    <n v="2E-3"/>
    <x v="0"/>
    <s v="O - Engineering Estimates"/>
    <x v="2"/>
  </r>
  <r>
    <x v="2"/>
    <n v="1797"/>
    <x v="361"/>
    <x v="384"/>
    <n v="322112"/>
    <s v="Chemical pulp mills"/>
    <s v="Usines de pâte chimique"/>
    <x v="2"/>
    <s v="208-96-8"/>
    <x v="64"/>
    <x v="64"/>
    <x v="7"/>
    <s v="Élimination sur le site"/>
    <s v="Landfill"/>
    <s v="Enfouissement"/>
    <n v="2.831"/>
    <x v="1"/>
    <s v="E2 - Published Emission Factors"/>
    <x v="2"/>
  </r>
  <r>
    <x v="27"/>
    <n v="3916"/>
    <x v="641"/>
    <x v="334"/>
    <n v="331410"/>
    <s v="Non-Ferrous Metal (except Aluminum) Smelting and Refining"/>
    <s v="Fonte et affinage de métaux non ferreux (sauf l'aluminium)"/>
    <x v="3"/>
    <s v="NA - 13"/>
    <x v="22"/>
    <x v="22"/>
    <x v="6"/>
    <s v="Élimination hors site"/>
    <s v="Landfill"/>
    <s v="Enfouissement"/>
    <n v="7.5200000000000003E-2"/>
    <x v="0"/>
    <s v="M3 - Source Testing"/>
    <x v="2"/>
  </r>
  <r>
    <x v="19"/>
    <n v="5307"/>
    <x v="788"/>
    <x v="918"/>
    <n v="221320"/>
    <s v="Sewage Treatment Facilities"/>
    <s v="Installations d'épuration des eaux usées"/>
    <x v="4"/>
    <s v="NA - 06"/>
    <x v="15"/>
    <x v="15"/>
    <x v="6"/>
    <s v="Élimination hors site"/>
    <s v="Landfill"/>
    <s v="Enfouissement"/>
    <n v="7.2510000000000003"/>
    <x v="0"/>
    <s v="M3 - Source Testing"/>
    <x v="2"/>
  </r>
  <r>
    <x v="9"/>
    <n v="21585"/>
    <x v="5"/>
    <x v="4"/>
    <n v="562110"/>
    <s v="Waste collection"/>
    <s v="Collecte de déchets"/>
    <x v="2"/>
    <s v="78-93-3"/>
    <x v="0"/>
    <x v="0"/>
    <x v="6"/>
    <s v="Élimination hors site"/>
    <s v="Landfill"/>
    <s v="Enfouissement"/>
    <n v="1.0900000000000001"/>
    <x v="0"/>
    <s v="C - Mass Balance"/>
    <x v="2"/>
  </r>
  <r>
    <x v="3"/>
    <n v="4173"/>
    <x v="773"/>
    <x v="39"/>
    <n v="336110"/>
    <s v="Automobile and Light-Duty Motor Vehicle Manufacturing"/>
    <s v="Fabrication de voitures et de véhicules automobiles légers"/>
    <x v="0"/>
    <s v="1330-20-7"/>
    <x v="24"/>
    <x v="24"/>
    <x v="6"/>
    <s v="Élimination hors site"/>
    <s v="Landfill"/>
    <s v="Enfouissement"/>
    <n v="1E-3"/>
    <x v="0"/>
    <s v="O - Engineering Estimates"/>
    <x v="2"/>
  </r>
  <r>
    <x v="14"/>
    <n v="10228"/>
    <x v="12"/>
    <x v="330"/>
    <n v="412110"/>
    <s v="Petroleum and petroleum products merchant wholesalers"/>
    <s v="Grossistes-marchands de pétrole et de produits pétroliers"/>
    <x v="5"/>
    <s v="193-39-5"/>
    <x v="101"/>
    <x v="101"/>
    <x v="6"/>
    <s v="Élimination hors site"/>
    <s v="Storage"/>
    <s v="Stockage"/>
    <n v="7.0000000000000001E-3"/>
    <x v="1"/>
    <s v="O - Engineering Estimates"/>
    <x v="2"/>
  </r>
  <r>
    <x v="18"/>
    <n v="3197"/>
    <x v="789"/>
    <x v="919"/>
    <n v="212220"/>
    <s v="Gold and silver ore mining"/>
    <s v="Extraction de minerais d'or et d'argent"/>
    <x v="0"/>
    <s v="NA - 09"/>
    <x v="12"/>
    <x v="12"/>
    <x v="7"/>
    <s v="Élimination sur le site"/>
    <s v="Tailings Management"/>
    <s v="Gestion des résidus miniers"/>
    <n v="684.39700000000005"/>
    <x v="0"/>
    <s v="M3 - Source Testing"/>
    <x v="2"/>
  </r>
  <r>
    <x v="7"/>
    <n v="4803"/>
    <x v="436"/>
    <x v="495"/>
    <n v="322122"/>
    <s v="Newsprint mills"/>
    <s v="Usines de papier journal"/>
    <x v="3"/>
    <s v="NA - 19"/>
    <x v="43"/>
    <x v="43"/>
    <x v="6"/>
    <s v="Élimination hors site"/>
    <s v="Land Treatment"/>
    <s v="Épandage"/>
    <n v="2.4300000000000002"/>
    <x v="1"/>
    <s v="C - Mass Balance"/>
    <x v="2"/>
  </r>
  <r>
    <x v="7"/>
    <n v="99"/>
    <x v="790"/>
    <x v="803"/>
    <n v="212220"/>
    <s v="Gold and silver ore mining"/>
    <s v="Extraction de minerais d'or et d'argent"/>
    <x v="3"/>
    <s v="NA - 04"/>
    <x v="19"/>
    <x v="19"/>
    <x v="7"/>
    <s v="Élimination sur le site"/>
    <s v="Tailings Management"/>
    <s v="Gestion des résidus miniers"/>
    <n v="393.72"/>
    <x v="0"/>
    <s v="M3 - Source Testing"/>
    <x v="2"/>
  </r>
  <r>
    <x v="6"/>
    <n v="930"/>
    <x v="412"/>
    <x v="850"/>
    <n v="322112"/>
    <s v="Chemical Pulp Mills"/>
    <s v="Usines de pâte chimique"/>
    <x v="0"/>
    <s v="NA - 09"/>
    <x v="12"/>
    <x v="12"/>
    <x v="6"/>
    <s v="Élimination hors site"/>
    <s v="Landfill"/>
    <s v="Enfouissement"/>
    <n v="102.619"/>
    <x v="0"/>
    <s v="E1 - Site Specific Emission Factors"/>
    <x v="2"/>
  </r>
  <r>
    <x v="10"/>
    <n v="3766"/>
    <x v="194"/>
    <x v="920"/>
    <n v="336990"/>
    <s v="Other Transportation Equipment Manufacturing"/>
    <s v="Fabrication d'autres types de matériel de transport"/>
    <x v="0"/>
    <s v="NA - 04"/>
    <x v="19"/>
    <x v="19"/>
    <x v="6"/>
    <s v="Élimination hors site"/>
    <s v="Landfill"/>
    <s v="Enfouissement"/>
    <n v="0.45100000000000001"/>
    <x v="0"/>
    <s v="O - Engineering Estimates"/>
    <x v="2"/>
  </r>
  <r>
    <x v="21"/>
    <n v="10218"/>
    <x v="12"/>
    <x v="98"/>
    <n v="412110"/>
    <s v="Petroleum and petroleum products merchant wholesalers"/>
    <s v="Grossistes-marchands de pétrole et de produits pétroliers"/>
    <x v="4"/>
    <s v="1330-20-7"/>
    <x v="24"/>
    <x v="24"/>
    <x v="6"/>
    <s v="Élimination hors site"/>
    <s v="Landfill"/>
    <s v="Enfouissement"/>
    <n v="1.9133"/>
    <x v="0"/>
    <s v="O - Engineering Estimates"/>
    <x v="2"/>
  </r>
  <r>
    <x v="29"/>
    <n v="1812"/>
    <x v="26"/>
    <x v="823"/>
    <n v="221112"/>
    <s v="Fossil-fuel electric power generation"/>
    <s v="Production d'électricité à partir de combustibles fossiles"/>
    <x v="0"/>
    <s v="NA - D/F"/>
    <x v="57"/>
    <x v="57"/>
    <x v="6"/>
    <s v="Élimination hors site"/>
    <s v="Landfill"/>
    <s v="Enfouissement"/>
    <n v="5.0000000000000004E-6"/>
    <x v="2"/>
    <s v="SP - Speciation profile"/>
    <x v="2"/>
  </r>
  <r>
    <x v="14"/>
    <n v="6108"/>
    <x v="791"/>
    <x v="921"/>
    <n v="311119"/>
    <s v="Other animal food manufacturing"/>
    <s v="Fabrication d'aliments pour autres animaux"/>
    <x v="3"/>
    <s v="NA - 22"/>
    <x v="8"/>
    <x v="8"/>
    <x v="6"/>
    <s v="Élimination hors site"/>
    <s v="Landfill"/>
    <s v="Enfouissement"/>
    <n v="1.091"/>
    <x v="0"/>
    <s v="C - Mass Balance"/>
    <x v="2"/>
  </r>
  <r>
    <x v="3"/>
    <n v="2128"/>
    <x v="181"/>
    <x v="922"/>
    <n v="211114"/>
    <s v="Non-Conventional Oil Extraction"/>
    <s v="Extraction de pétrole par des méthodes non classiques"/>
    <x v="4"/>
    <s v="108-88-3"/>
    <x v="5"/>
    <x v="5"/>
    <x v="7"/>
    <s v="Élimination sur le site"/>
    <s v="Landfill"/>
    <s v="Enfouissement"/>
    <n v="0"/>
    <x v="0"/>
    <s v="M - Monitoring or Direct Measurement"/>
    <x v="2"/>
  </r>
  <r>
    <x v="27"/>
    <n v="5911"/>
    <x v="792"/>
    <x v="923"/>
    <n v="322299"/>
    <s v="All Other Converted Paper Product Manufacturing"/>
    <s v="Fabrication de tous les autres produits en papier transformé"/>
    <x v="0"/>
    <s v="67-63-0"/>
    <x v="6"/>
    <x v="6"/>
    <x v="6"/>
    <s v="Élimination hors site"/>
    <s v="Landfill"/>
    <s v="Enfouissement"/>
    <n v="0"/>
    <x v="0"/>
    <s v="C - Mass Balance"/>
    <x v="2"/>
  </r>
  <r>
    <x v="1"/>
    <n v="407"/>
    <x v="255"/>
    <x v="757"/>
    <n v="211113"/>
    <s v="Conventional oil and gas extraction"/>
    <s v="Extraction de pétrole et de gaz par des méthodes classiques"/>
    <x v="4"/>
    <s v="7783-06-4"/>
    <x v="93"/>
    <x v="93"/>
    <x v="7"/>
    <s v="Élimination sur le site"/>
    <s v="Underground Injection"/>
    <s v="Injection souterraine"/>
    <n v="1.5922000000000001"/>
    <x v="0"/>
    <s v="O - Engineering Estimates"/>
    <x v="2"/>
  </r>
  <r>
    <x v="20"/>
    <n v="3903"/>
    <x v="120"/>
    <x v="924"/>
    <n v="324110"/>
    <s v="Petroleum Refineries"/>
    <s v="Raffineries de pétrole"/>
    <x v="4"/>
    <s v="NA - 05"/>
    <x v="16"/>
    <x v="16"/>
    <x v="7"/>
    <s v="Élimination sur le site"/>
    <s v="Underground Injection"/>
    <s v="Injection souterraine"/>
    <n v="7.0000000000000001E-3"/>
    <x v="0"/>
    <s v="O - Engineering Estimates"/>
    <x v="2"/>
  </r>
  <r>
    <x v="15"/>
    <n v="3470"/>
    <x v="461"/>
    <x v="925"/>
    <n v="326210"/>
    <s v="Tire manufacturing"/>
    <s v="Fabrication de pneus"/>
    <x v="7"/>
    <s v="NA - 05"/>
    <x v="16"/>
    <x v="16"/>
    <x v="6"/>
    <s v="Élimination hors site"/>
    <s v="Landfill"/>
    <s v="Enfouissement"/>
    <n v="228"/>
    <x v="1"/>
    <s v="C - Mass Balance"/>
    <x v="2"/>
  </r>
  <r>
    <x v="7"/>
    <n v="11456"/>
    <x v="793"/>
    <x v="926"/>
    <n v="562210"/>
    <s v="Waste treatment and disposal"/>
    <s v="Traitement et élimination des déchets"/>
    <x v="0"/>
    <s v="NA - 16"/>
    <x v="49"/>
    <x v="49"/>
    <x v="7"/>
    <s v="Élimination sur le site"/>
    <s v="Land Treatment"/>
    <s v="Épandage"/>
    <n v="1.5620000000000001"/>
    <x v="0"/>
    <s v="M3 - Source Testing"/>
    <x v="2"/>
  </r>
  <r>
    <x v="0"/>
    <n v="3515"/>
    <x v="794"/>
    <x v="927"/>
    <n v="332999"/>
    <s v="All Other Miscellaneous Fabricated Metal Product Manufacturing"/>
    <s v="Fabrication de tous les autres produits métalliques divers"/>
    <x v="3"/>
    <s v="NA - 06"/>
    <x v="15"/>
    <x v="15"/>
    <x v="6"/>
    <s v="Élimination hors site"/>
    <s v="Landfill"/>
    <s v="Enfouissement"/>
    <n v="0.95"/>
    <x v="0"/>
    <s v="C - Mass Balance"/>
    <x v="2"/>
  </r>
  <r>
    <x v="29"/>
    <n v="2134"/>
    <x v="795"/>
    <x v="372"/>
    <n v="325313"/>
    <s v="Chemical fertilizer (except potash) manufacturing"/>
    <s v="Fabrication d'engrais chimiques (sauf la potasse)"/>
    <x v="4"/>
    <s v="NA - 14"/>
    <x v="13"/>
    <x v="13"/>
    <x v="7"/>
    <s v="Élimination sur le site"/>
    <s v="Underground Injection"/>
    <s v="Injection souterraine"/>
    <n v="2.4E-2"/>
    <x v="0"/>
    <s v="M3 - Source Testing"/>
    <x v="2"/>
  </r>
  <r>
    <x v="8"/>
    <n v="271"/>
    <x v="796"/>
    <x v="928"/>
    <n v="322112"/>
    <s v="Chemical Pulp Mills"/>
    <s v="Usines de pâte chimique"/>
    <x v="3"/>
    <s v="208-96-8"/>
    <x v="64"/>
    <x v="64"/>
    <x v="7"/>
    <s v="Élimination sur le site"/>
    <s v="Landfill"/>
    <s v="Enfouissement"/>
    <n v="1.39"/>
    <x v="1"/>
    <s v="E2 - Published Emission Factors"/>
    <x v="2"/>
  </r>
  <r>
    <x v="21"/>
    <n v="3941"/>
    <x v="33"/>
    <x v="929"/>
    <n v="211110"/>
    <s v="Oil and gas extraction (except oil sands)"/>
    <s v="Extraction de pétrole et de gaz (à l'exception des sables bitumineux)"/>
    <x v="4"/>
    <s v="7783-06-4"/>
    <x v="93"/>
    <x v="93"/>
    <x v="6"/>
    <s v="Élimination hors site"/>
    <s v="Underground Injection"/>
    <s v="Injection souterraine"/>
    <n v="15.223100000000001"/>
    <x v="0"/>
    <s v="M3 - Source Testing"/>
    <x v="2"/>
  </r>
  <r>
    <x v="28"/>
    <n v="4416"/>
    <x v="159"/>
    <x v="168"/>
    <n v="331529"/>
    <s v="Non-Ferrous Foundries (except Die-Casting)"/>
    <s v="Fonderies de métaux non ferreux (sauf moulage sous pression)"/>
    <x v="0"/>
    <s v="NA - 06"/>
    <x v="15"/>
    <x v="15"/>
    <x v="6"/>
    <s v="Élimination hors site"/>
    <s v="Landfill"/>
    <s v="Enfouissement"/>
    <n v="0.56999999999999995"/>
    <x v="0"/>
    <s v="O - Engineering Estimates"/>
    <x v="2"/>
  </r>
  <r>
    <x v="23"/>
    <n v="5645"/>
    <x v="344"/>
    <x v="794"/>
    <n v="562210"/>
    <s v="Waste Treatment and Disposal"/>
    <s v="Traitement et élimination des déchets"/>
    <x v="0"/>
    <s v="67-66-3"/>
    <x v="62"/>
    <x v="62"/>
    <x v="6"/>
    <s v="Élimination hors site"/>
    <s v="Storage"/>
    <s v="Stockage"/>
    <n v="1.5609999999999999"/>
    <x v="0"/>
    <s v="O - Engineering Estimates"/>
    <x v="2"/>
  </r>
  <r>
    <x v="7"/>
    <n v="26403"/>
    <x v="293"/>
    <x v="311"/>
    <n v="211142"/>
    <s v="Mined oil sands extraction"/>
    <s v="Extraction minière de sables bitumineux"/>
    <x v="4"/>
    <s v="206-44-0"/>
    <x v="68"/>
    <x v="68"/>
    <x v="7"/>
    <s v="Élimination sur le site"/>
    <s v="Tailings Management"/>
    <s v="Gestion des résidus miniers"/>
    <n v="11.802270999999999"/>
    <x v="1"/>
    <s v="M3 - Source Testing"/>
    <x v="2"/>
  </r>
  <r>
    <x v="7"/>
    <n v="267"/>
    <x v="797"/>
    <x v="930"/>
    <n v="221112"/>
    <s v="Fossil-fuel electric power generation"/>
    <s v="Production d'électricité à partir de combustibles fossiles"/>
    <x v="4"/>
    <s v="NA - 40"/>
    <x v="81"/>
    <x v="81"/>
    <x v="6"/>
    <s v="Élimination hors site"/>
    <s v="Storage"/>
    <s v="Stockage"/>
    <n v="55.292999999999999"/>
    <x v="0"/>
    <s v="C - Mass Balance"/>
    <x v="2"/>
  </r>
  <r>
    <x v="10"/>
    <n v="1785"/>
    <x v="70"/>
    <x v="649"/>
    <n v="325110"/>
    <s v="Petrochemical Manufacturing"/>
    <s v="Fabrication de produits pétrochimiques"/>
    <x v="0"/>
    <s v="71-43-2"/>
    <x v="31"/>
    <x v="31"/>
    <x v="6"/>
    <s v="Élimination hors site"/>
    <s v="Landfill"/>
    <s v="Enfouissement"/>
    <n v="2.9809999999999999"/>
    <x v="0"/>
    <s v="O - Engineering Estimates"/>
    <x v="2"/>
  </r>
  <r>
    <x v="22"/>
    <n v="4407"/>
    <x v="208"/>
    <x v="18"/>
    <n v="325999"/>
    <s v="All Other Miscellaneous Chemical Product Manufacturing"/>
    <s v="Fabrication de tous les autres produits chimiques divers"/>
    <x v="3"/>
    <s v="50-00-0"/>
    <x v="17"/>
    <x v="17"/>
    <x v="6"/>
    <s v="Élimination hors site"/>
    <s v="Landfill"/>
    <s v="Enfouissement"/>
    <n v="3.29"/>
    <x v="0"/>
    <s v="O - Engineering Estimates"/>
    <x v="2"/>
  </r>
  <r>
    <x v="20"/>
    <n v="10068"/>
    <x v="798"/>
    <x v="931"/>
    <n v="336390"/>
    <s v="Other Motor Vehicle Parts Manufacturing"/>
    <s v="Fabrication d'autres pièces pour véhicules automobiles"/>
    <x v="0"/>
    <s v="NA - 04"/>
    <x v="19"/>
    <x v="19"/>
    <x v="6"/>
    <s v="Élimination hors site"/>
    <s v="Land Treatment"/>
    <s v="Épandage"/>
    <n v="0"/>
    <x v="0"/>
    <s v="O - Engineering Estimates"/>
    <x v="2"/>
  </r>
  <r>
    <x v="16"/>
    <n v="3698"/>
    <x v="12"/>
    <x v="274"/>
    <n v="324110"/>
    <s v="Petroleum Refineries"/>
    <s v="Raffineries de pétrole"/>
    <x v="7"/>
    <s v="108-88-3"/>
    <x v="5"/>
    <x v="5"/>
    <x v="6"/>
    <s v="Élimination hors site"/>
    <s v="Landfill"/>
    <s v="Enfouissement"/>
    <n v="3.5000000000000003E-2"/>
    <x v="0"/>
    <s v="O - Engineering Estimates"/>
    <x v="2"/>
  </r>
  <r>
    <x v="9"/>
    <n v="2794"/>
    <x v="799"/>
    <x v="398"/>
    <n v="212299"/>
    <s v="All other metal ore mining"/>
    <s v="Extraction de tous les autres minerais métalliques"/>
    <x v="2"/>
    <s v="7440-62-2"/>
    <x v="51"/>
    <x v="51"/>
    <x v="7"/>
    <s v="Élimination sur le site"/>
    <s v="Tailings Management"/>
    <s v="Gestion des résidus miniers"/>
    <n v="431.6"/>
    <x v="0"/>
    <s v="M3 - Source Testing"/>
    <x v="2"/>
  </r>
  <r>
    <x v="15"/>
    <n v="6674"/>
    <x v="579"/>
    <x v="932"/>
    <n v="212114"/>
    <s v="Bituminous coal mining"/>
    <s v="Extraction de charbon bitumineux"/>
    <x v="2"/>
    <s v="NA - 22"/>
    <x v="8"/>
    <x v="8"/>
    <x v="7"/>
    <s v="Élimination sur le site"/>
    <s v="Tailings Management"/>
    <s v="Gestion des résidus miniers"/>
    <n v="234.64"/>
    <x v="0"/>
    <s v="M3 - Source Testing"/>
    <x v="2"/>
  </r>
  <r>
    <x v="30"/>
    <n v="3124"/>
    <x v="800"/>
    <x v="933"/>
    <n v="334410"/>
    <s v="Semiconductor and Other Electronic Component Manufacturing"/>
    <s v="Fabrication de semi-conducteurs et d'autres composants électroniques"/>
    <x v="3"/>
    <s v="NA - 08"/>
    <x v="1"/>
    <x v="1"/>
    <x v="6"/>
    <s v="Élimination hors site"/>
    <s v="Landfill"/>
    <s v="Enfouissement"/>
    <n v="5.4"/>
    <x v="0"/>
    <m/>
    <x v="2"/>
  </r>
  <r>
    <x v="7"/>
    <n v="6051"/>
    <x v="801"/>
    <x v="934"/>
    <n v="221320"/>
    <s v="Sewage treatment facilities"/>
    <s v="Installations d'épuration des eaux usées"/>
    <x v="7"/>
    <s v="NA - 06"/>
    <x v="15"/>
    <x v="15"/>
    <x v="6"/>
    <s v="Élimination hors site"/>
    <s v="Land Treatment"/>
    <s v="Épandage"/>
    <n v="1.0429999999999999"/>
    <x v="0"/>
    <s v="M3 - Source Testing"/>
    <x v="2"/>
  </r>
  <r>
    <x v="14"/>
    <n v="4980"/>
    <x v="802"/>
    <x v="935"/>
    <n v="339990"/>
    <s v="All other miscellaneous manufacturing"/>
    <s v="Toutes les autres activités diverses de fabrication"/>
    <x v="0"/>
    <s v="NA - 09"/>
    <x v="12"/>
    <x v="12"/>
    <x v="6"/>
    <s v="Élimination hors site"/>
    <s v="Landfill"/>
    <s v="Enfouissement"/>
    <n v="20.352805"/>
    <x v="0"/>
    <s v="O - Engineering Estimates"/>
    <x v="2"/>
  </r>
  <r>
    <x v="3"/>
    <n v="1417"/>
    <x v="803"/>
    <x v="936"/>
    <n v="115210"/>
    <s v="Support Activities for Animal Production"/>
    <s v="Activités de soutien à l'élevage"/>
    <x v="0"/>
    <s v="NA - 09"/>
    <x v="12"/>
    <x v="12"/>
    <x v="7"/>
    <s v="Élimination sur le site"/>
    <s v="Landfill"/>
    <s v="Enfouissement"/>
    <n v="1E-3"/>
    <x v="0"/>
    <s v="O - Engineering Estimates"/>
    <x v="2"/>
  </r>
  <r>
    <x v="6"/>
    <n v="5893"/>
    <x v="804"/>
    <x v="937"/>
    <n v="332810"/>
    <s v="Coating, Engraving, Heat Treating and Allied Activities"/>
    <s v="Revêtement, gravure, traitement thermique et activités analogues"/>
    <x v="0"/>
    <s v="NA - 14"/>
    <x v="13"/>
    <x v="13"/>
    <x v="6"/>
    <s v="Élimination hors site"/>
    <s v="Landfill"/>
    <s v="Enfouissement"/>
    <n v="0.36199999999999999"/>
    <x v="0"/>
    <s v="C - Mass Balance"/>
    <x v="2"/>
  </r>
  <r>
    <x v="13"/>
    <n v="6123"/>
    <x v="805"/>
    <x v="835"/>
    <n v="221320"/>
    <s v="Sewage Treatment Facilities"/>
    <s v="Installations d'épuration des eaux usées"/>
    <x v="3"/>
    <s v="NA - 22"/>
    <x v="8"/>
    <x v="8"/>
    <x v="6"/>
    <s v="Élimination hors site"/>
    <s v="Landfill"/>
    <s v="Enfouissement"/>
    <n v="10.4"/>
    <x v="0"/>
    <s v="M3 - Source Testing"/>
    <x v="2"/>
  </r>
  <r>
    <x v="21"/>
    <n v="442"/>
    <x v="348"/>
    <x v="881"/>
    <n v="211141"/>
    <s v="In-situ oil sands extraction"/>
    <s v="Extraction in situ de sables bitumineux"/>
    <x v="4"/>
    <s v="108-88-3"/>
    <x v="5"/>
    <x v="5"/>
    <x v="7"/>
    <s v="Élimination sur le site"/>
    <s v="Landfill"/>
    <s v="Enfouissement"/>
    <n v="13.885"/>
    <x v="0"/>
    <s v="O - Engineering Estimates"/>
    <x v="2"/>
  </r>
  <r>
    <x v="21"/>
    <n v="27978"/>
    <x v="806"/>
    <x v="444"/>
    <n v="211110"/>
    <s v="Oil and gas extraction (except oil sands)"/>
    <s v="Extraction de pétrole et de gaz (à l'exception des sables bitumineux)"/>
    <x v="4"/>
    <s v="110-82-7"/>
    <x v="71"/>
    <x v="71"/>
    <x v="6"/>
    <s v="Élimination hors site"/>
    <s v="Land Treatment"/>
    <s v="Épandage"/>
    <n v="0"/>
    <x v="0"/>
    <s v="O - Engineering Estimates"/>
    <x v="2"/>
  </r>
  <r>
    <x v="19"/>
    <n v="1083"/>
    <x v="807"/>
    <x v="0"/>
    <n v="326290"/>
    <s v="Other Rubber Product Manufacturing"/>
    <s v="Fabrication d'autres produits en caoutchouc"/>
    <x v="3"/>
    <s v="85-44-9"/>
    <x v="116"/>
    <x v="116"/>
    <x v="6"/>
    <s v="Élimination hors site"/>
    <s v="Landfill"/>
    <s v="Enfouissement"/>
    <n v="0.6"/>
    <x v="0"/>
    <s v="C - Mass Balance"/>
    <x v="2"/>
  </r>
  <r>
    <x v="29"/>
    <n v="5307"/>
    <x v="15"/>
    <x v="918"/>
    <n v="221320"/>
    <s v="Sewage treatment facilities"/>
    <s v="Installations d'épuration des eaux usées"/>
    <x v="4"/>
    <s v="NA - 02"/>
    <x v="21"/>
    <x v="21"/>
    <x v="6"/>
    <s v="Élimination hors site"/>
    <s v="Land Treatment"/>
    <s v="Épandage"/>
    <n v="24.018000000000001"/>
    <x v="1"/>
    <s v="M3 - Source Testing"/>
    <x v="2"/>
  </r>
  <r>
    <x v="1"/>
    <n v="2256"/>
    <x v="808"/>
    <x v="938"/>
    <n v="331490"/>
    <s v="Non-ferrous metal (except copper and aluminum) rolling, drawing, extruding and alloying"/>
    <s v="Laminage, étirage, extrusion et alliage de métaux non ferreux (sauf le cuivre et l'aluminium)"/>
    <x v="0"/>
    <s v="NA - 08"/>
    <x v="1"/>
    <x v="1"/>
    <x v="6"/>
    <s v="Élimination hors site"/>
    <s v="Landfill"/>
    <s v="Enfouissement"/>
    <n v="700490.60030000005"/>
    <x v="1"/>
    <s v="C - Mass Balance"/>
    <x v="2"/>
  </r>
  <r>
    <x v="2"/>
    <n v="5146"/>
    <x v="809"/>
    <x v="939"/>
    <n v="212233"/>
    <s v="Copper-zinc ore mining"/>
    <s v="Extraction de minerais de cuivre-zinc"/>
    <x v="2"/>
    <s v="NA - 05"/>
    <x v="16"/>
    <x v="16"/>
    <x v="7"/>
    <s v="Élimination sur le site"/>
    <s v="Tailings Management"/>
    <s v="Gestion des résidus miniers"/>
    <n v="24954"/>
    <x v="1"/>
    <s v="M2 - Predictive Emission Monitoring"/>
    <x v="2"/>
  </r>
  <r>
    <x v="10"/>
    <n v="4940"/>
    <x v="810"/>
    <x v="940"/>
    <n v="326193"/>
    <s v="Motor Vehicle Plastic Parts Manufacturing"/>
    <s v="Fabrication de pièces en plastique pour véhicules automobiles"/>
    <x v="0"/>
    <s v="128-37-0"/>
    <x v="117"/>
    <x v="117"/>
    <x v="6"/>
    <s v="Élimination hors site"/>
    <s v="Landfill"/>
    <s v="Enfouissement"/>
    <n v="0.17"/>
    <x v="0"/>
    <s v="O - Engineering Estimates"/>
    <x v="2"/>
  </r>
  <r>
    <x v="18"/>
    <n v="3903"/>
    <x v="319"/>
    <x v="924"/>
    <n v="324110"/>
    <s v="Petroleum refineries"/>
    <s v="Raffineries de pétrole"/>
    <x v="4"/>
    <s v="129-00-0"/>
    <x v="73"/>
    <x v="73"/>
    <x v="6"/>
    <s v="Élimination hors site"/>
    <s v="Landfill"/>
    <s v="Enfouissement"/>
    <n v="21.966799999999999"/>
    <x v="1"/>
    <s v="O - Engineering Estimates"/>
    <x v="2"/>
  </r>
  <r>
    <x v="2"/>
    <n v="1338"/>
    <x v="27"/>
    <x v="66"/>
    <n v="221320"/>
    <s v="Sewage treatment facilities"/>
    <s v="Installations d'épuration des eaux usées"/>
    <x v="2"/>
    <s v="NA - 08"/>
    <x v="1"/>
    <x v="1"/>
    <x v="6"/>
    <s v="Élimination hors site"/>
    <s v="Land Treatment"/>
    <s v="Épandage"/>
    <n v="202.96090000000001"/>
    <x v="1"/>
    <s v="M3 - Source Testing"/>
    <x v="2"/>
  </r>
  <r>
    <x v="6"/>
    <n v="21587"/>
    <x v="5"/>
    <x v="941"/>
    <n v="562920"/>
    <s v="Material Recovery Facilities"/>
    <s v="Installations de récupération de matériaux"/>
    <x v="2"/>
    <s v="1330-20-7"/>
    <x v="24"/>
    <x v="24"/>
    <x v="6"/>
    <s v="Élimination hors site"/>
    <s v="Landfill"/>
    <s v="Enfouissement"/>
    <n v="3.0000000000000001E-3"/>
    <x v="0"/>
    <s v="O - Engineering Estimates"/>
    <x v="2"/>
  </r>
  <r>
    <x v="6"/>
    <n v="1555"/>
    <x v="811"/>
    <x v="942"/>
    <n v="332999"/>
    <s v="All Other Miscellaneous Fabricated Metal Product Manufacturing"/>
    <s v="Fabrication de tous les autres produits métalliques divers"/>
    <x v="0"/>
    <s v="NA - 09"/>
    <x v="12"/>
    <x v="12"/>
    <x v="6"/>
    <s v="Élimination hors site"/>
    <s v="Landfill"/>
    <s v="Enfouissement"/>
    <n v="7.0000000000000007E-2"/>
    <x v="0"/>
    <s v="O - Engineering Estimates"/>
    <x v="2"/>
  </r>
  <r>
    <x v="20"/>
    <n v="271"/>
    <x v="796"/>
    <x v="928"/>
    <n v="322112"/>
    <s v="Chemical Pulp Mills"/>
    <s v="Usines de pâte chimique"/>
    <x v="3"/>
    <s v="67-56-1"/>
    <x v="3"/>
    <x v="3"/>
    <x v="7"/>
    <s v="Élimination sur le site"/>
    <s v="Landfill"/>
    <s v="Enfouissement"/>
    <n v="1.214"/>
    <x v="0"/>
    <s v="E2 - Published Emission Factors"/>
    <x v="2"/>
  </r>
  <r>
    <x v="26"/>
    <n v="5020"/>
    <x v="411"/>
    <x v="943"/>
    <n v="311410"/>
    <s v="Frozen Food Manufacturing"/>
    <s v="Fabrication d'aliments congelés"/>
    <x v="4"/>
    <s v="NA - 17"/>
    <x v="36"/>
    <x v="36"/>
    <x v="7"/>
    <s v="Élimination sur le site"/>
    <s v="Land Treatment"/>
    <s v="Épandage"/>
    <n v="53.368000000000002"/>
    <x v="0"/>
    <s v="M3 - Source Testing"/>
    <x v="2"/>
  </r>
  <r>
    <x v="21"/>
    <n v="10237"/>
    <x v="12"/>
    <x v="100"/>
    <n v="412110"/>
    <s v="Petroleum and petroleum products merchant wholesalers"/>
    <s v="Grossistes-marchands de pétrole et de produits pétroliers"/>
    <x v="1"/>
    <s v="56-55-3"/>
    <x v="32"/>
    <x v="32"/>
    <x v="6"/>
    <s v="Élimination hors site"/>
    <s v="Storage"/>
    <s v="Stockage"/>
    <n v="3.6799999999999999E-2"/>
    <x v="1"/>
    <s v="O - Engineering Estimates"/>
    <x v="2"/>
  </r>
  <r>
    <x v="17"/>
    <n v="6652"/>
    <x v="171"/>
    <x v="944"/>
    <n v="412110"/>
    <s v="Petroleum, petroleum products, and other hydrocarbons merchant wholesalers"/>
    <s v="Grossistes-marchands de pétrole, de produits pétroliers, et d'autres hydrocarbures"/>
    <x v="2"/>
    <s v="95-63-6"/>
    <x v="40"/>
    <x v="40"/>
    <x v="6"/>
    <s v="Élimination hors site"/>
    <s v="Landfill"/>
    <s v="Enfouissement"/>
    <n v="3.8400000000000001E-3"/>
    <x v="0"/>
    <s v="O - Engineering Estimates"/>
    <x v="2"/>
  </r>
  <r>
    <x v="29"/>
    <n v="5808"/>
    <x v="812"/>
    <x v="945"/>
    <n v="325189"/>
    <s v="All other basic inorganic chemical manufacturing"/>
    <s v="Fabrication de tous les autres produits chimiques inorganiques de base"/>
    <x v="0"/>
    <s v="193-39-5"/>
    <x v="101"/>
    <x v="101"/>
    <x v="6"/>
    <s v="Élimination hors site"/>
    <s v="Landfill"/>
    <s v="Enfouissement"/>
    <n v="6.0350000000000001"/>
    <x v="1"/>
    <s v="O - Engineering Estimates"/>
    <x v="2"/>
  </r>
  <r>
    <x v="18"/>
    <n v="24145"/>
    <x v="669"/>
    <x v="775"/>
    <n v="211114"/>
    <s v="Non-conventional oil extraction"/>
    <s v="Extraction de pétrole par des méthodes non classiques"/>
    <x v="4"/>
    <s v="71-43-2"/>
    <x v="31"/>
    <x v="31"/>
    <x v="7"/>
    <s v="Élimination sur le site"/>
    <s v="Underground Injection"/>
    <s v="Injection souterraine"/>
    <n v="1E-3"/>
    <x v="0"/>
    <s v="O - Engineering Estimates"/>
    <x v="2"/>
  </r>
  <r>
    <x v="9"/>
    <n v="10217"/>
    <x v="12"/>
    <x v="439"/>
    <n v="412110"/>
    <s v="Petroleum and petroleum products merchant wholesalers"/>
    <s v="Grossistes-marchands de pétrole et de produits pétroliers"/>
    <x v="7"/>
    <s v="110-54-3"/>
    <x v="47"/>
    <x v="47"/>
    <x v="6"/>
    <s v="Élimination hors site"/>
    <s v="Storage"/>
    <s v="Stockage"/>
    <n v="8.9999999999999998E-4"/>
    <x v="0"/>
    <s v="O - Engineering Estimates"/>
    <x v="2"/>
  </r>
  <r>
    <x v="26"/>
    <n v="5737"/>
    <x v="813"/>
    <x v="946"/>
    <n v="332810"/>
    <s v="Coating, Engraving, Heat Treating and Allied Activities"/>
    <s v="Revêtement, gravure, traitement thermique et activités analogues"/>
    <x v="0"/>
    <s v="7664-93-9"/>
    <x v="30"/>
    <x v="30"/>
    <x v="6"/>
    <s v="Élimination hors site"/>
    <s v="Land Treatment"/>
    <s v="Épandage"/>
    <n v="0"/>
    <x v="0"/>
    <s v="M1 - Continuous Emission Monitoring"/>
    <x v="2"/>
  </r>
  <r>
    <x v="20"/>
    <n v="3707"/>
    <x v="12"/>
    <x v="24"/>
    <n v="324110"/>
    <s v="Petroleum Refineries"/>
    <s v="Raffineries de pétrole"/>
    <x v="4"/>
    <s v="207-08-9"/>
    <x v="18"/>
    <x v="18"/>
    <x v="7"/>
    <s v="Élimination sur le site"/>
    <s v="Underground Injection"/>
    <s v="Injection souterraine"/>
    <n v="7.62"/>
    <x v="1"/>
    <s v="M3 - Source Testing"/>
    <x v="2"/>
  </r>
  <r>
    <x v="13"/>
    <n v="5239"/>
    <x v="375"/>
    <x v="947"/>
    <n v="211113"/>
    <s v="Conventional Oil and Gas Extraction"/>
    <s v="Extraction de pétrole et de gaz par des méthodes classiques"/>
    <x v="4"/>
    <s v="110-54-3"/>
    <x v="47"/>
    <x v="47"/>
    <x v="6"/>
    <s v="Élimination hors site"/>
    <s v="Underground Injection"/>
    <s v="Injection souterraine"/>
    <n v="2.3849999999999998"/>
    <x v="0"/>
    <s v="M3 - Source Testing"/>
    <x v="2"/>
  </r>
  <r>
    <x v="21"/>
    <n v="1471"/>
    <x v="379"/>
    <x v="885"/>
    <n v="331410"/>
    <s v="Non-ferrous metal (except aluminum) smelting and refining"/>
    <s v="Fonte et affinage de métaux non ferreux (sauf l'aluminium)"/>
    <x v="0"/>
    <s v="NA - 12"/>
    <x v="48"/>
    <x v="48"/>
    <x v="7"/>
    <s v="Élimination sur le site"/>
    <s v="Landfill"/>
    <s v="Enfouissement"/>
    <n v="14.9"/>
    <x v="1"/>
    <s v="E1 - Site Specific Emission Factors"/>
    <x v="2"/>
  </r>
  <r>
    <x v="19"/>
    <n v="1753"/>
    <x v="814"/>
    <x v="948"/>
    <n v="213118"/>
    <s v="Services to Oil and Gas Extraction"/>
    <s v="Services relatifs à l'extraction de pétrole et de gaz"/>
    <x v="4"/>
    <s v="67-56-1"/>
    <x v="3"/>
    <x v="3"/>
    <x v="6"/>
    <s v="Élimination hors site"/>
    <s v="Underground Injection"/>
    <s v="Injection souterraine"/>
    <n v="28.776"/>
    <x v="0"/>
    <s v="C - Mass Balance"/>
    <x v="2"/>
  </r>
  <r>
    <x v="8"/>
    <n v="4045"/>
    <x v="512"/>
    <x v="560"/>
    <n v="331222"/>
    <s v="Steel Wire Drawing"/>
    <s v="Étirage de fils d'acier"/>
    <x v="0"/>
    <s v="7647-01-0"/>
    <x v="7"/>
    <x v="7"/>
    <x v="7"/>
    <s v="Élimination sur le site"/>
    <s v="Landfill"/>
    <s v="Enfouissement"/>
    <n v="0"/>
    <x v="0"/>
    <s v="M3 - Source Testing"/>
    <x v="2"/>
  </r>
  <r>
    <x v="18"/>
    <n v="5390"/>
    <x v="119"/>
    <x v="126"/>
    <n v="221320"/>
    <s v="Sewage treatment facilities"/>
    <s v="Installations d'épuration des eaux usées"/>
    <x v="4"/>
    <s v="NA - 10"/>
    <x v="9"/>
    <x v="9"/>
    <x v="6"/>
    <s v="Élimination hors site"/>
    <s v="Land Treatment"/>
    <s v="Épandage"/>
    <n v="26.946999999999999"/>
    <x v="1"/>
    <s v="M3 - Source Testing"/>
    <x v="2"/>
  </r>
  <r>
    <x v="10"/>
    <n v="3701"/>
    <x v="56"/>
    <x v="142"/>
    <n v="324110"/>
    <s v="Petroleum Refineries"/>
    <s v="Raffineries de pétrole"/>
    <x v="0"/>
    <s v="198-55-0"/>
    <x v="53"/>
    <x v="53"/>
    <x v="7"/>
    <s v="Élimination sur le site"/>
    <s v="Land Treatment"/>
    <s v="Épandage"/>
    <n v="7.0000000000000001E-3"/>
    <x v="1"/>
    <s v="E - Emission Factor"/>
    <x v="2"/>
  </r>
  <r>
    <x v="13"/>
    <n v="5471"/>
    <x v="815"/>
    <x v="271"/>
    <n v="322122"/>
    <s v="Newsprint Mills"/>
    <s v="Usines de papier journal"/>
    <x v="3"/>
    <s v="NA - 19"/>
    <x v="43"/>
    <x v="43"/>
    <x v="7"/>
    <s v="Élimination sur le site"/>
    <s v="Landfill"/>
    <s v="Enfouissement"/>
    <n v="3.859"/>
    <x v="1"/>
    <s v="E2 - Published Emission Factors"/>
    <x v="2"/>
  </r>
  <r>
    <x v="8"/>
    <n v="2100"/>
    <x v="718"/>
    <x v="827"/>
    <n v="212299"/>
    <s v="All Other Metal Ore Mining"/>
    <s v="Extraction de tous les autres minerais métalliques"/>
    <x v="3"/>
    <s v="NA - 04"/>
    <x v="19"/>
    <x v="19"/>
    <x v="7"/>
    <s v="Élimination sur le site"/>
    <s v="Tailings Management"/>
    <s v="Gestion des résidus miniers"/>
    <n v="10.255599999999999"/>
    <x v="0"/>
    <s v="C - Mass Balance"/>
    <x v="2"/>
  </r>
  <r>
    <x v="14"/>
    <n v="32394"/>
    <x v="255"/>
    <x v="949"/>
    <n v="211110"/>
    <s v="Oil and gas extraction (except oil sands)"/>
    <s v="Extraction de pétrole et de gaz (à l'exception des sables bitumineux)"/>
    <x v="5"/>
    <s v="1330-20-7"/>
    <x v="24"/>
    <x v="24"/>
    <x v="6"/>
    <s v="Élimination hors site"/>
    <s v="Underground Injection"/>
    <s v="Injection souterraine"/>
    <n v="2.0999999999999999E-3"/>
    <x v="0"/>
    <s v="O - Engineering Estimates"/>
    <x v="2"/>
  </r>
  <r>
    <x v="7"/>
    <n v="29381"/>
    <x v="816"/>
    <x v="950"/>
    <n v="212231"/>
    <s v="Lead-zinc ore mining"/>
    <s v="Extraction de minerais de plomb-zinc"/>
    <x v="2"/>
    <s v="NA - 08"/>
    <x v="1"/>
    <x v="1"/>
    <x v="7"/>
    <s v="Élimination sur le site"/>
    <s v="Waste Rock management"/>
    <s v="Gestion des stériles"/>
    <n v="2922.6480000000001"/>
    <x v="1"/>
    <s v="M3 - Source Testing"/>
    <x v="2"/>
  </r>
  <r>
    <x v="21"/>
    <n v="6647"/>
    <x v="635"/>
    <x v="730"/>
    <n v="211142"/>
    <s v="Mined oil sands extraction"/>
    <s v="Extraction minière de sables bitumineux"/>
    <x v="4"/>
    <s v="NA - 12"/>
    <x v="48"/>
    <x v="48"/>
    <x v="7"/>
    <s v="Élimination sur le site"/>
    <s v="Tailings Management"/>
    <s v="Gestion des résidus miniers"/>
    <n v="5182.1559999999999"/>
    <x v="1"/>
    <s v="M3 - Source Testing"/>
    <x v="2"/>
  </r>
  <r>
    <x v="11"/>
    <n v="5370"/>
    <x v="326"/>
    <x v="951"/>
    <n v="211113"/>
    <s v="Conventional oil and gas extraction"/>
    <s v="Extraction de pétrole et de gaz par des méthodes classiques"/>
    <x v="4"/>
    <s v="111-42-2"/>
    <x v="46"/>
    <x v="46"/>
    <x v="7"/>
    <s v="Élimination sur le site"/>
    <s v="Underground Injection"/>
    <s v="Injection souterraine"/>
    <n v="12.599"/>
    <x v="0"/>
    <s v="C - Mass Balance"/>
    <x v="2"/>
  </r>
  <r>
    <x v="5"/>
    <n v="21544"/>
    <x v="817"/>
    <x v="952"/>
    <n v="212233"/>
    <s v="Copper-Zinc Ore Mining"/>
    <s v="Extraction de minerais de cuivre-zinc"/>
    <x v="1"/>
    <s v="NA - 14"/>
    <x v="13"/>
    <x v="13"/>
    <x v="7"/>
    <s v="Élimination sur le site"/>
    <s v="Tailings Management"/>
    <s v="Gestion des résidus miniers"/>
    <n v="0"/>
    <x v="0"/>
    <s v="M3 - Source Testing"/>
    <x v="2"/>
  </r>
  <r>
    <x v="14"/>
    <n v="1776"/>
    <x v="818"/>
    <x v="953"/>
    <n v="325110"/>
    <s v="Petrochemical manufacturing"/>
    <s v="Fabrication de produits pétrochimiques"/>
    <x v="0"/>
    <s v="100-41-4"/>
    <x v="11"/>
    <x v="11"/>
    <x v="6"/>
    <s v="Élimination hors site"/>
    <s v="Landfill"/>
    <s v="Enfouissement"/>
    <n v="0.14899999999999999"/>
    <x v="0"/>
    <s v="O - Engineering Estimates"/>
    <x v="2"/>
  </r>
  <r>
    <x v="6"/>
    <n v="3751"/>
    <x v="413"/>
    <x v="703"/>
    <n v="211113"/>
    <s v="Conventional Oil and Gas Extraction"/>
    <s v="Extraction de pétrole et de gaz par des méthodes classiques"/>
    <x v="4"/>
    <s v="7783-06-4"/>
    <x v="93"/>
    <x v="93"/>
    <x v="7"/>
    <s v="Élimination sur le site"/>
    <s v="Underground Injection"/>
    <s v="Injection souterraine"/>
    <n v="3.21"/>
    <x v="0"/>
    <s v="O - Engineering Estimates"/>
    <x v="2"/>
  </r>
  <r>
    <x v="25"/>
    <n v="3161"/>
    <x v="819"/>
    <x v="954"/>
    <n v="221113"/>
    <s v="Nuclear Electric Power Generation"/>
    <s v="Production d'électricité d'origine nucléaire"/>
    <x v="0"/>
    <s v="NA - 06"/>
    <x v="15"/>
    <x v="15"/>
    <x v="6"/>
    <s v="Élimination hors site"/>
    <s v="Storage"/>
    <s v="Stockage"/>
    <n v="0.12"/>
    <x v="0"/>
    <s v="O - Engineering Estimates"/>
    <x v="2"/>
  </r>
  <r>
    <x v="14"/>
    <n v="4948"/>
    <x v="61"/>
    <x v="955"/>
    <n v="562210"/>
    <s v="Waste treatment and disposal"/>
    <s v="Traitement et élimination des déchets"/>
    <x v="0"/>
    <s v="108-95-2"/>
    <x v="58"/>
    <x v="58"/>
    <x v="6"/>
    <s v="Élimination hors site"/>
    <s v="Landfill"/>
    <s v="Enfouissement"/>
    <n v="14.73"/>
    <x v="0"/>
    <s v="C - Mass Balance"/>
    <x v="2"/>
  </r>
  <r>
    <x v="14"/>
    <n v="442"/>
    <x v="348"/>
    <x v="881"/>
    <n v="211141"/>
    <s v="In-situ oil sands extraction"/>
    <s v="Extraction in situ de sables bitumineux"/>
    <x v="4"/>
    <s v="7664-93-9"/>
    <x v="30"/>
    <x v="30"/>
    <x v="6"/>
    <s v="Élimination hors site"/>
    <s v="Landfill"/>
    <s v="Enfouissement"/>
    <n v="0.5"/>
    <x v="0"/>
    <s v="M3 - Source Testing"/>
    <x v="2"/>
  </r>
  <r>
    <x v="7"/>
    <n v="3775"/>
    <x v="820"/>
    <x v="956"/>
    <n v="339990"/>
    <s v="All other miscellaneous manufacturing"/>
    <s v="Toutes les autres activités diverses de fabrication"/>
    <x v="4"/>
    <s v="NA - 02"/>
    <x v="21"/>
    <x v="21"/>
    <x v="6"/>
    <s v="Élimination hors site"/>
    <s v="Landfill"/>
    <s v="Enfouissement"/>
    <n v="337.04"/>
    <x v="1"/>
    <s v="M3 - Source Testing"/>
    <x v="2"/>
  </r>
  <r>
    <x v="20"/>
    <n v="4048"/>
    <x v="338"/>
    <x v="359"/>
    <n v="324110"/>
    <s v="Petroleum Refineries"/>
    <s v="Raffineries de pétrole"/>
    <x v="5"/>
    <s v="91-20-3"/>
    <x v="67"/>
    <x v="67"/>
    <x v="6"/>
    <s v="Élimination hors site"/>
    <s v="Landfill"/>
    <s v="Enfouissement"/>
    <n v="0.13200000000000001"/>
    <x v="0"/>
    <s v="M3 - Source Testing"/>
    <x v="2"/>
  </r>
  <r>
    <x v="12"/>
    <n v="2230"/>
    <x v="410"/>
    <x v="425"/>
    <n v="211142"/>
    <s v="Mined oil sands extraction"/>
    <s v="Extraction minière de sables bitumineux"/>
    <x v="4"/>
    <s v="NA - 12"/>
    <x v="48"/>
    <x v="48"/>
    <x v="7"/>
    <s v="Élimination sur le site"/>
    <s v="Tailings Management"/>
    <s v="Gestion des résidus miniers"/>
    <n v="121976.15"/>
    <x v="1"/>
    <s v="M3 - Source Testing"/>
    <x v="2"/>
  </r>
  <r>
    <x v="23"/>
    <n v="4409"/>
    <x v="821"/>
    <x v="957"/>
    <n v="326290"/>
    <s v="Other Rubber Product Manufacturing"/>
    <s v="Fabrication d'autres produits en caoutchouc"/>
    <x v="0"/>
    <s v="NA - 14"/>
    <x v="13"/>
    <x v="13"/>
    <x v="6"/>
    <s v="Élimination hors site"/>
    <s v="Landfill"/>
    <s v="Enfouissement"/>
    <n v="39.9"/>
    <x v="0"/>
    <s v="O - Engineering Estimates"/>
    <x v="2"/>
  </r>
  <r>
    <x v="13"/>
    <n v="2855"/>
    <x v="822"/>
    <x v="156"/>
    <n v="325181"/>
    <s v="Alkali and Chlorine Manufacturing"/>
    <s v="Fabrication d'alcalis et de chlore"/>
    <x v="3"/>
    <s v="1332-21-4"/>
    <x v="70"/>
    <x v="70"/>
    <x v="6"/>
    <s v="Élimination hors site"/>
    <s v="Landfill"/>
    <s v="Enfouissement"/>
    <n v="31.5"/>
    <x v="0"/>
    <s v="O - Engineering Estimates"/>
    <x v="2"/>
  </r>
  <r>
    <x v="25"/>
    <n v="4578"/>
    <x v="823"/>
    <x v="0"/>
    <n v="331514"/>
    <s v="Steel Foundries"/>
    <s v="Fonderies d'acier"/>
    <x v="4"/>
    <s v="NA - 09"/>
    <x v="12"/>
    <x v="12"/>
    <x v="7"/>
    <s v="Élimination sur le site"/>
    <s v="Landfill"/>
    <s v="Enfouissement"/>
    <n v="11.8"/>
    <x v="0"/>
    <s v="M - Monitoring or Direct Measurement"/>
    <x v="2"/>
  </r>
  <r>
    <x v="20"/>
    <n v="1797"/>
    <x v="381"/>
    <x v="384"/>
    <n v="322112"/>
    <s v="Chemical Pulp Mills"/>
    <s v="Usines de pâte chimique"/>
    <x v="2"/>
    <s v="NA - 08"/>
    <x v="1"/>
    <x v="1"/>
    <x v="7"/>
    <s v="Élimination sur le site"/>
    <s v="Landfill"/>
    <s v="Enfouissement"/>
    <n v="132.42599999999999"/>
    <x v="1"/>
    <s v="E2 - Published Emission Factors"/>
    <x v="2"/>
  </r>
  <r>
    <x v="29"/>
    <n v="5307"/>
    <x v="15"/>
    <x v="918"/>
    <n v="221320"/>
    <s v="Sewage treatment facilities"/>
    <s v="Installations d'épuration des eaux usées"/>
    <x v="4"/>
    <s v="NA - 05"/>
    <x v="16"/>
    <x v="16"/>
    <x v="6"/>
    <s v="Élimination hors site"/>
    <s v="Land Treatment"/>
    <s v="Épandage"/>
    <n v="26.53"/>
    <x v="1"/>
    <s v="M3 - Source Testing"/>
    <x v="2"/>
  </r>
  <r>
    <x v="6"/>
    <n v="1"/>
    <x v="716"/>
    <x v="825"/>
    <n v="322112"/>
    <s v="Chemical Pulp Mills"/>
    <s v="Usines de pâte chimique"/>
    <x v="4"/>
    <s v="NA - 22"/>
    <x v="8"/>
    <x v="8"/>
    <x v="7"/>
    <s v="Élimination sur le site"/>
    <s v="Landfill"/>
    <s v="Enfouissement"/>
    <n v="29.92"/>
    <x v="0"/>
    <s v="M3 - Source Testing"/>
    <x v="2"/>
  </r>
  <r>
    <x v="18"/>
    <n v="21587"/>
    <x v="5"/>
    <x v="958"/>
    <n v="562210"/>
    <s v="Waste treatment and disposal"/>
    <s v="Traitement et élimination des déchets"/>
    <x v="2"/>
    <s v="108-88-3"/>
    <x v="5"/>
    <x v="5"/>
    <x v="6"/>
    <s v="Élimination hors site"/>
    <s v="Storage"/>
    <s v="Stockage"/>
    <n v="0.432"/>
    <x v="0"/>
    <s v="C - Mass Balance"/>
    <x v="2"/>
  </r>
  <r>
    <x v="13"/>
    <n v="279"/>
    <x v="772"/>
    <x v="959"/>
    <n v="322112"/>
    <s v="Chemical Pulp Mills"/>
    <s v="Usines de pâte chimique"/>
    <x v="3"/>
    <s v="NA - 03"/>
    <x v="28"/>
    <x v="28"/>
    <x v="6"/>
    <s v="Élimination hors site"/>
    <s v="Land Treatment"/>
    <s v="Épandage"/>
    <n v="9.94"/>
    <x v="1"/>
    <s v="M3 - Source Testing"/>
    <x v="2"/>
  </r>
  <r>
    <x v="17"/>
    <n v="25188"/>
    <x v="824"/>
    <x v="960"/>
    <n v="212220"/>
    <s v="Gold and silver ore mining"/>
    <s v="Extraction de minerais d'or et d'argent"/>
    <x v="3"/>
    <s v="NA - 14"/>
    <x v="13"/>
    <x v="13"/>
    <x v="7"/>
    <s v="Élimination sur le site"/>
    <s v="Tailings Management"/>
    <s v="Gestion des résidus miniers"/>
    <n v="1245"/>
    <x v="0"/>
    <s v="M3 - Source Testing"/>
    <x v="2"/>
  </r>
  <r>
    <x v="30"/>
    <n v="3279"/>
    <x v="825"/>
    <x v="961"/>
    <n v="334410"/>
    <s v="Semiconductor and Other Electronic Component Manufacturing"/>
    <s v="Fabrication de semi-conducteurs et d'autres composants électroniques"/>
    <x v="0"/>
    <s v="67-63-0"/>
    <x v="6"/>
    <x v="6"/>
    <x v="6"/>
    <s v="Élimination hors site"/>
    <s v="Landfill"/>
    <s v="Enfouissement"/>
    <n v="7.0000000000000007E-2"/>
    <x v="0"/>
    <m/>
    <x v="2"/>
  </r>
  <r>
    <x v="24"/>
    <n v="680"/>
    <x v="826"/>
    <x v="962"/>
    <n v="211113"/>
    <s v="Conventional Oil and Gas Extraction"/>
    <s v="Extraction de pétrole et de gaz par des méthodes classiques"/>
    <x v="4"/>
    <s v="108-88-3"/>
    <x v="5"/>
    <x v="5"/>
    <x v="7"/>
    <s v="Élimination sur le site"/>
    <s v="Underground Injection"/>
    <s v="Injection souterraine"/>
    <n v="2.4"/>
    <x v="0"/>
    <s v="O - Engineering Estimates"/>
    <x v="2"/>
  </r>
  <r>
    <x v="6"/>
    <n v="3411"/>
    <x v="817"/>
    <x v="963"/>
    <n v="212233"/>
    <s v="Copper-Zinc Ore Mining"/>
    <s v="Extraction de minerais de cuivre-zinc"/>
    <x v="1"/>
    <s v="NA - 03"/>
    <x v="28"/>
    <x v="28"/>
    <x v="7"/>
    <s v="Élimination sur le site"/>
    <s v="Tailings Management"/>
    <s v="Gestion des résidus miniers"/>
    <n v="2963"/>
    <x v="1"/>
    <s v="M3 - Source Testing"/>
    <x v="2"/>
  </r>
  <r>
    <x v="21"/>
    <n v="27964"/>
    <x v="434"/>
    <x v="964"/>
    <n v="211110"/>
    <s v="Oil and gas extraction (except oil sands)"/>
    <s v="Extraction de pétrole et de gaz (à l'exception des sables bitumineux)"/>
    <x v="4"/>
    <s v="110-54-3"/>
    <x v="47"/>
    <x v="47"/>
    <x v="6"/>
    <s v="Élimination hors site"/>
    <s v="Landfill"/>
    <s v="Enfouissement"/>
    <n v="2.3E-3"/>
    <x v="0"/>
    <s v="C - Mass Balance"/>
    <x v="2"/>
  </r>
  <r>
    <x v="13"/>
    <n v="4771"/>
    <x v="734"/>
    <x v="965"/>
    <n v="221320"/>
    <s v="Sewage Treatment Facilities"/>
    <s v="Installations d'épuration des eaux usées"/>
    <x v="0"/>
    <s v="NA - 16"/>
    <x v="49"/>
    <x v="49"/>
    <x v="6"/>
    <s v="Élimination hors site"/>
    <s v="Landfill"/>
    <s v="Enfouissement"/>
    <n v="154.124"/>
    <x v="0"/>
    <s v="M1 - Continuous Emission Monitoring"/>
    <x v="2"/>
  </r>
  <r>
    <x v="14"/>
    <n v="1329"/>
    <x v="827"/>
    <x v="966"/>
    <n v="326220"/>
    <s v="Rubber and plastic hose and belting manufacturing"/>
    <s v="Fabrication de tuyaux souples et de courroies en caoutchouc et en plastique"/>
    <x v="3"/>
    <s v="103-23-1"/>
    <x v="118"/>
    <x v="118"/>
    <x v="6"/>
    <s v="Élimination hors site"/>
    <s v="Landfill"/>
    <s v="Enfouissement"/>
    <n v="2.0299999999999998"/>
    <x v="0"/>
    <s v="O - Engineering Estimates"/>
    <x v="2"/>
  </r>
  <r>
    <x v="10"/>
    <n v="3903"/>
    <x v="120"/>
    <x v="924"/>
    <n v="324110"/>
    <s v="Petroleum Refineries"/>
    <s v="Raffineries de pétrole"/>
    <x v="4"/>
    <s v="NA - 03"/>
    <x v="28"/>
    <x v="28"/>
    <x v="6"/>
    <s v="Élimination hors site"/>
    <s v="Landfill"/>
    <s v="Enfouissement"/>
    <n v="0.155"/>
    <x v="1"/>
    <s v="O - Engineering Estimates"/>
    <x v="2"/>
  </r>
  <r>
    <x v="0"/>
    <n v="4639"/>
    <x v="828"/>
    <x v="411"/>
    <n v="332810"/>
    <s v="Coating, Engraving, Heat Treating and Allied Activities"/>
    <s v="Revêtement, gravure, traitement thermique et activités analogues"/>
    <x v="0"/>
    <s v="NA - 06"/>
    <x v="15"/>
    <x v="15"/>
    <x v="6"/>
    <s v="Élimination hors site"/>
    <s v="Landfill"/>
    <s v="Enfouissement"/>
    <n v="0.24"/>
    <x v="0"/>
    <s v="C - Mass Balance"/>
    <x v="2"/>
  </r>
  <r>
    <x v="11"/>
    <n v="10215"/>
    <x v="12"/>
    <x v="309"/>
    <n v="412110"/>
    <s v="Petroleum and petroleum products merchant wholesalers"/>
    <s v="Grossistes-marchands de pétrole et de produits pétroliers"/>
    <x v="4"/>
    <s v="207-08-9"/>
    <x v="18"/>
    <x v="18"/>
    <x v="6"/>
    <s v="Élimination hors site"/>
    <s v="Storage"/>
    <s v="Stockage"/>
    <n v="2.93E-2"/>
    <x v="1"/>
    <s v="O - Engineering Estimates"/>
    <x v="2"/>
  </r>
  <r>
    <x v="21"/>
    <n v="1236"/>
    <x v="275"/>
    <x v="696"/>
    <n v="331410"/>
    <s v="Non-ferrous metal (except aluminum) smelting and refining"/>
    <s v="Fonte et affinage de métaux non ferreux (sauf l'aluminium)"/>
    <x v="0"/>
    <s v="NA - 06"/>
    <x v="15"/>
    <x v="15"/>
    <x v="7"/>
    <s v="Élimination sur le site"/>
    <s v="Landfill"/>
    <s v="Enfouissement"/>
    <n v="7.4999999999999997E-3"/>
    <x v="0"/>
    <s v="E1 - Site Specific Emission Factors"/>
    <x v="2"/>
  </r>
  <r>
    <x v="7"/>
    <n v="6647"/>
    <x v="635"/>
    <x v="730"/>
    <n v="211142"/>
    <s v="Mined oil sands extraction"/>
    <s v="Extraction minière de sables bitumineux"/>
    <x v="4"/>
    <s v="129-00-0"/>
    <x v="73"/>
    <x v="73"/>
    <x v="7"/>
    <s v="Élimination sur le site"/>
    <s v="Tailings Management"/>
    <s v="Gestion des résidus miniers"/>
    <n v="4900.1719999999996"/>
    <x v="1"/>
    <s v="M3 - Source Testing"/>
    <x v="2"/>
  </r>
  <r>
    <x v="11"/>
    <n v="16152"/>
    <x v="445"/>
    <x v="967"/>
    <n v="211113"/>
    <s v="Conventional oil and gas extraction"/>
    <s v="Extraction de pétrole et de gaz par des méthodes classiques"/>
    <x v="4"/>
    <s v="67-56-1"/>
    <x v="3"/>
    <x v="3"/>
    <x v="7"/>
    <s v="Élimination sur le site"/>
    <s v="Underground Injection"/>
    <s v="Injection souterraine"/>
    <n v="21.472000000000001"/>
    <x v="0"/>
    <s v="C - Mass Balance"/>
    <x v="2"/>
  </r>
  <r>
    <x v="12"/>
    <n v="29431"/>
    <x v="255"/>
    <x v="968"/>
    <n v="493190"/>
    <s v="Other warehousing and storage"/>
    <s v="Autres activités d'entreposage"/>
    <x v="5"/>
    <s v="108-88-3"/>
    <x v="5"/>
    <x v="5"/>
    <x v="6"/>
    <s v="Élimination hors site"/>
    <s v="Landfill"/>
    <s v="Enfouissement"/>
    <n v="5.04E-2"/>
    <x v="0"/>
    <s v="O - Engineering Estimates"/>
    <x v="2"/>
  </r>
  <r>
    <x v="1"/>
    <n v="11118"/>
    <x v="829"/>
    <x v="969"/>
    <n v="327910"/>
    <s v="Abrasive product manufacturing"/>
    <s v="Fabrication de produits abrasifs"/>
    <x v="0"/>
    <s v="NA - 09"/>
    <x v="12"/>
    <x v="12"/>
    <x v="6"/>
    <s v="Élimination hors site"/>
    <s v="Landfill"/>
    <s v="Enfouissement"/>
    <n v="122.31"/>
    <x v="0"/>
    <s v="C - Mass Balance"/>
    <x v="2"/>
  </r>
  <r>
    <x v="12"/>
    <n v="24216"/>
    <x v="830"/>
    <x v="970"/>
    <n v="212220"/>
    <s v="Gold and silver ore mining"/>
    <s v="Extraction de minerais d'or et d'argent"/>
    <x v="11"/>
    <s v="118-74-1"/>
    <x v="69"/>
    <x v="69"/>
    <x v="7"/>
    <s v="Élimination sur le site"/>
    <s v="Tailings Management"/>
    <s v="Gestion des résidus miniers"/>
    <n v="0"/>
    <x v="3"/>
    <s v="C - Mass Balance"/>
    <x v="2"/>
  </r>
  <r>
    <x v="8"/>
    <n v="10301"/>
    <x v="831"/>
    <x v="971"/>
    <n v="336340"/>
    <s v="Motor Vehicle Brake System Manufacturing"/>
    <s v="Fabrication de systèmes de freinage pour véhicules automobiles"/>
    <x v="0"/>
    <s v="108-95-2"/>
    <x v="58"/>
    <x v="58"/>
    <x v="6"/>
    <s v="Élimination hors site"/>
    <s v="Landfill"/>
    <s v="Enfouissement"/>
    <n v="5.8689999999999998"/>
    <x v="0"/>
    <s v="C - Mass Balance"/>
    <x v="2"/>
  </r>
  <r>
    <x v="5"/>
    <n v="199"/>
    <x v="39"/>
    <x v="237"/>
    <n v="331523"/>
    <s v="Non-Ferrous Die-Casting Foundries"/>
    <s v="Fonderies de métaux non ferreux, moulage sous pression"/>
    <x v="0"/>
    <s v="NA - 14"/>
    <x v="13"/>
    <x v="13"/>
    <x v="6"/>
    <s v="Élimination hors site"/>
    <s v="Landfill"/>
    <s v="Enfouissement"/>
    <n v="1.0999999999999999E-2"/>
    <x v="0"/>
    <s v="O - Engineering Estimates"/>
    <x v="2"/>
  </r>
  <r>
    <x v="18"/>
    <n v="3048"/>
    <x v="26"/>
    <x v="27"/>
    <n v="221112"/>
    <s v="Fossil-fuel electric power generation"/>
    <s v="Production d'électricité à partir de combustibles fossiles"/>
    <x v="0"/>
    <s v="118-74-1"/>
    <x v="69"/>
    <x v="69"/>
    <x v="7"/>
    <s v="Élimination sur le site"/>
    <s v="Landfill"/>
    <s v="Enfouissement"/>
    <n v="1E-3"/>
    <x v="3"/>
    <s v="C - Mass Balance"/>
    <x v="2"/>
  </r>
  <r>
    <x v="7"/>
    <n v="2240"/>
    <x v="260"/>
    <x v="273"/>
    <n v="221320"/>
    <s v="Sewage treatment facilities"/>
    <s v="Installations d'épuration des eaux usées"/>
    <x v="0"/>
    <s v="85-01-8"/>
    <x v="54"/>
    <x v="54"/>
    <x v="6"/>
    <s v="Élimination hors site"/>
    <s v="Land Treatment"/>
    <s v="Épandage"/>
    <n v="30.7"/>
    <x v="1"/>
    <s v="M3 - Source Testing"/>
    <x v="2"/>
  </r>
  <r>
    <x v="6"/>
    <n v="1"/>
    <x v="716"/>
    <x v="825"/>
    <n v="322112"/>
    <s v="Chemical Pulp Mills"/>
    <s v="Usines de pâte chimique"/>
    <x v="4"/>
    <s v="205-99-2"/>
    <x v="35"/>
    <x v="35"/>
    <x v="7"/>
    <s v="Élimination sur le site"/>
    <s v="Land Treatment"/>
    <s v="Épandage"/>
    <n v="0"/>
    <x v="1"/>
    <s v="M3 - Source Testing"/>
    <x v="2"/>
  </r>
  <r>
    <x v="7"/>
    <n v="25421"/>
    <x v="832"/>
    <x v="972"/>
    <n v="221320"/>
    <s v="Sewage treatment facilities"/>
    <s v="Installations d'épuration des eaux usées"/>
    <x v="1"/>
    <s v="NA - 22"/>
    <x v="8"/>
    <x v="8"/>
    <x v="6"/>
    <s v="Élimination hors site"/>
    <s v="Underground Injection"/>
    <s v="Injection souterraine"/>
    <n v="7.87"/>
    <x v="0"/>
    <s v="M3 - Source Testing"/>
    <x v="2"/>
  </r>
  <r>
    <x v="4"/>
    <n v="2909"/>
    <x v="60"/>
    <x v="149"/>
    <n v="321114"/>
    <s v="Wood Preservation"/>
    <s v="Préservation du bois"/>
    <x v="3"/>
    <s v="NA - 02"/>
    <x v="21"/>
    <x v="21"/>
    <x v="6"/>
    <s v="Élimination hors site"/>
    <s v="Landfill"/>
    <s v="Enfouissement"/>
    <n v="9.1999999999999998E-2"/>
    <x v="0"/>
    <s v="O - Engineering Estimates"/>
    <x v="2"/>
  </r>
  <r>
    <x v="29"/>
    <n v="28667"/>
    <x v="338"/>
    <x v="973"/>
    <n v="412110"/>
    <s v="Petroleum, petroleum products, and other hydrocarbons merchant wholesalers"/>
    <s v="Grossistes-marchands de pétrole, de produits pétroliers, et d'autres hydrocarbures"/>
    <x v="4"/>
    <s v="71-43-2"/>
    <x v="31"/>
    <x v="31"/>
    <x v="6"/>
    <s v="Élimination hors site"/>
    <s v="Underground Injection"/>
    <s v="Injection souterraine"/>
    <n v="0.433"/>
    <x v="0"/>
    <s v="E2 - Published Emission Factors"/>
    <x v="2"/>
  </r>
  <r>
    <x v="27"/>
    <n v="4771"/>
    <x v="734"/>
    <x v="965"/>
    <n v="221320"/>
    <s v="Sewage Treatment Facilities"/>
    <s v="Installations d'épuration des eaux usées"/>
    <x v="0"/>
    <s v="7783-06-4"/>
    <x v="93"/>
    <x v="93"/>
    <x v="6"/>
    <s v="Élimination hors site"/>
    <s v="Storage"/>
    <s v="Stockage"/>
    <n v="0.81"/>
    <x v="0"/>
    <s v="M1 - Continuous Emission Monitoring"/>
    <x v="2"/>
  </r>
  <r>
    <x v="17"/>
    <n v="2935"/>
    <x v="833"/>
    <x v="974"/>
    <n v="212220"/>
    <s v="Gold and silver ore mining"/>
    <s v="Extraction de minerais d'or et d'argent"/>
    <x v="3"/>
    <s v="NA - 10"/>
    <x v="9"/>
    <x v="9"/>
    <x v="7"/>
    <s v="Élimination sur le site"/>
    <s v="Waste Rock management"/>
    <s v="Gestion des stériles"/>
    <n v="0.81079999999999997"/>
    <x v="1"/>
    <s v="M3 - Source Testing"/>
    <x v="2"/>
  </r>
  <r>
    <x v="10"/>
    <n v="1648"/>
    <x v="834"/>
    <x v="975"/>
    <n v="325999"/>
    <s v="All Other Miscellaneous Chemical Product Manufacturing"/>
    <s v="Fabrication de tous les autres produits chimiques divers"/>
    <x v="3"/>
    <s v="103-23-1"/>
    <x v="118"/>
    <x v="118"/>
    <x v="6"/>
    <s v="Élimination hors site"/>
    <s v="Landfill"/>
    <s v="Enfouissement"/>
    <n v="0.22900000000000001"/>
    <x v="0"/>
    <s v="O - Engineering Estimates"/>
    <x v="2"/>
  </r>
  <r>
    <x v="8"/>
    <n v="6227"/>
    <x v="835"/>
    <x v="976"/>
    <n v="332999"/>
    <s v="All Other Miscellaneous Fabricated Metal Product Manufacturing"/>
    <s v="Fabrication de tous les autres produits métalliques divers"/>
    <x v="3"/>
    <s v="NA - 08"/>
    <x v="1"/>
    <x v="1"/>
    <x v="7"/>
    <s v="Élimination sur le site"/>
    <s v="Landfill"/>
    <s v="Enfouissement"/>
    <n v="0"/>
    <x v="1"/>
    <s v="O - Engineering Estimates"/>
    <x v="2"/>
  </r>
  <r>
    <x v="21"/>
    <n v="11867"/>
    <x v="836"/>
    <x v="977"/>
    <n v="212220"/>
    <s v="Gold and silver ore mining"/>
    <s v="Extraction de minerais d'or et d'argent"/>
    <x v="0"/>
    <s v="NA - 10"/>
    <x v="9"/>
    <x v="9"/>
    <x v="7"/>
    <s v="Élimination sur le site"/>
    <s v="Tailings Management"/>
    <s v="Gestion des résidus miniers"/>
    <n v="947.51"/>
    <x v="1"/>
    <s v="E1 - Site Specific Emission Factors"/>
    <x v="2"/>
  </r>
  <r>
    <x v="26"/>
    <n v="3769"/>
    <x v="837"/>
    <x v="978"/>
    <n v="339990"/>
    <s v="All Other Miscellaneous Manufacturing"/>
    <s v="Toutes les autres activités diverses de fabrication"/>
    <x v="0"/>
    <s v="NA - 04"/>
    <x v="19"/>
    <x v="19"/>
    <x v="6"/>
    <s v="Élimination hors site"/>
    <s v="Landfill"/>
    <s v="Enfouissement"/>
    <n v="1"/>
    <x v="0"/>
    <s v="M3 - Source Testing"/>
    <x v="2"/>
  </r>
  <r>
    <x v="25"/>
    <n v="3123"/>
    <x v="838"/>
    <x v="979"/>
    <n v="334410"/>
    <s v="Semiconductor and Other Electronic Component Manufacturing"/>
    <s v="Fabrication de semi-conducteurs et d'autres composants électroniques"/>
    <x v="3"/>
    <s v="NA - 06"/>
    <x v="15"/>
    <x v="15"/>
    <x v="6"/>
    <s v="Élimination hors site"/>
    <s v="Landfill"/>
    <s v="Enfouissement"/>
    <n v="14.67"/>
    <x v="0"/>
    <s v="O - Engineering Estimates"/>
    <x v="2"/>
  </r>
  <r>
    <x v="19"/>
    <n v="1797"/>
    <x v="381"/>
    <x v="384"/>
    <n v="322112"/>
    <s v="Chemical Pulp Mills"/>
    <s v="Usines de pâte chimique"/>
    <x v="2"/>
    <s v="53-70-3"/>
    <x v="112"/>
    <x v="112"/>
    <x v="7"/>
    <s v="Élimination sur le site"/>
    <s v="Landfill"/>
    <s v="Enfouissement"/>
    <n v="0.38500000000000001"/>
    <x v="1"/>
    <s v="E2 - Published Emission Factors"/>
    <x v="2"/>
  </r>
  <r>
    <x v="2"/>
    <n v="442"/>
    <x v="348"/>
    <x v="881"/>
    <n v="211114"/>
    <s v="Non-conventional oil extraction"/>
    <s v="Extraction de pétrole par des méthodes non classiques"/>
    <x v="4"/>
    <s v="71-43-2"/>
    <x v="31"/>
    <x v="31"/>
    <x v="7"/>
    <s v="Élimination sur le site"/>
    <s v="Landfill"/>
    <s v="Enfouissement"/>
    <n v="3.05"/>
    <x v="0"/>
    <s v="O - Engineering Estimates"/>
    <x v="2"/>
  </r>
  <r>
    <x v="16"/>
    <n v="6426"/>
    <x v="52"/>
    <x v="980"/>
    <n v="221119"/>
    <s v="Other Electric Power Generation"/>
    <s v="Autres activités de production d'électricité"/>
    <x v="3"/>
    <s v="NA - 03"/>
    <x v="28"/>
    <x v="28"/>
    <x v="6"/>
    <s v="Élimination hors site"/>
    <s v="Land Treatment"/>
    <s v="Épandage"/>
    <n v="3.46"/>
    <x v="1"/>
    <s v="M3 - Source Testing"/>
    <x v="2"/>
  </r>
  <r>
    <x v="4"/>
    <n v="3254"/>
    <x v="318"/>
    <x v="340"/>
    <n v="336410"/>
    <s v="Aerospace Product and Parts Manufacturing"/>
    <s v="Fabrication de produits aérospatiaux et de leurs pièces"/>
    <x v="3"/>
    <s v="NA - 04"/>
    <x v="19"/>
    <x v="19"/>
    <x v="6"/>
    <s v="Élimination hors site"/>
    <s v="Landfill"/>
    <s v="Enfouissement"/>
    <n v="7.9"/>
    <x v="0"/>
    <s v="O - Engineering Estimates"/>
    <x v="2"/>
  </r>
  <r>
    <x v="1"/>
    <n v="4823"/>
    <x v="375"/>
    <x v="981"/>
    <n v="211113"/>
    <s v="Conventional oil and gas extraction"/>
    <s v="Extraction de pétrole et de gaz par des méthodes classiques"/>
    <x v="4"/>
    <s v="95-63-6"/>
    <x v="40"/>
    <x v="40"/>
    <x v="6"/>
    <s v="Élimination hors site"/>
    <s v="Landfill"/>
    <s v="Enfouissement"/>
    <n v="1.0999999999999999E-2"/>
    <x v="0"/>
    <s v="O - Engineering Estimates"/>
    <x v="2"/>
  </r>
  <r>
    <x v="21"/>
    <n v="3140"/>
    <x v="839"/>
    <x v="982"/>
    <n v="322130"/>
    <s v="Paperboard mills"/>
    <s v="Usines de carton"/>
    <x v="3"/>
    <s v="NA - 08"/>
    <x v="1"/>
    <x v="1"/>
    <x v="6"/>
    <s v="Élimination hors site"/>
    <s v="Landfill"/>
    <s v="Enfouissement"/>
    <n v="20.5"/>
    <x v="1"/>
    <s v="C - Mass Balance"/>
    <x v="2"/>
  </r>
  <r>
    <x v="15"/>
    <n v="5286"/>
    <x v="250"/>
    <x v="983"/>
    <n v="211110"/>
    <s v="Oil and gas extraction (except oil sands)"/>
    <s v="Extraction de pétrole et de gaz (à l'exception des sables bitumineux)"/>
    <x v="2"/>
    <s v="71-43-2"/>
    <x v="31"/>
    <x v="31"/>
    <x v="6"/>
    <s v="Élimination hors site"/>
    <s v="Underground Injection"/>
    <s v="Injection souterraine"/>
    <n v="0.49780000000000002"/>
    <x v="0"/>
    <s v="O - Engineering Estimates"/>
    <x v="2"/>
  </r>
  <r>
    <x v="25"/>
    <n v="1080"/>
    <x v="840"/>
    <x v="984"/>
    <n v="211113"/>
    <s v="Conventional Oil and Gas Extraction"/>
    <s v="Extraction de pétrole et de gaz par des méthodes classiques"/>
    <x v="2"/>
    <s v="108-88-3"/>
    <x v="5"/>
    <x v="5"/>
    <x v="6"/>
    <s v="Élimination hors site"/>
    <s v="Landfill"/>
    <s v="Enfouissement"/>
    <n v="0.01"/>
    <x v="0"/>
    <s v="O - Engineering Estimates"/>
    <x v="2"/>
  </r>
  <r>
    <x v="13"/>
    <n v="3903"/>
    <x v="841"/>
    <x v="924"/>
    <n v="324110"/>
    <s v="Petroleum Refineries"/>
    <s v="Raffineries de pétrole"/>
    <x v="4"/>
    <s v="205-82-3"/>
    <x v="56"/>
    <x v="56"/>
    <x v="7"/>
    <s v="Élimination sur le site"/>
    <s v="Underground Injection"/>
    <s v="Injection souterraine"/>
    <n v="100.02500000000001"/>
    <x v="1"/>
    <s v="O - Engineering Estimates"/>
    <x v="2"/>
  </r>
  <r>
    <x v="29"/>
    <n v="4566"/>
    <x v="842"/>
    <x v="758"/>
    <n v="211110"/>
    <s v="Oil and gas extraction (except oil sands)"/>
    <s v="Extraction de pétrole et de gaz (à l'exception des sables bitumineux)"/>
    <x v="4"/>
    <s v="108-88-3"/>
    <x v="5"/>
    <x v="5"/>
    <x v="6"/>
    <s v="Élimination hors site"/>
    <s v="Landfill"/>
    <s v="Enfouissement"/>
    <n v="7.8838000000000005E-2"/>
    <x v="0"/>
    <s v="O - Engineering Estimates"/>
    <x v="2"/>
  </r>
  <r>
    <x v="22"/>
    <n v="3266"/>
    <x v="843"/>
    <x v="985"/>
    <n v="327120"/>
    <s v="Clay Building Material and Refractory Manufacturing"/>
    <s v="Fabrication de matériaux de construction en argile et de produits réfractaires"/>
    <x v="0"/>
    <s v="NA - 04"/>
    <x v="19"/>
    <x v="19"/>
    <x v="6"/>
    <s v="Élimination hors site"/>
    <s v="Landfill"/>
    <s v="Enfouissement"/>
    <n v="0.71899999999999997"/>
    <x v="0"/>
    <s v="M - Monitoring or Direct Measurement"/>
    <x v="2"/>
  </r>
  <r>
    <x v="14"/>
    <n v="22100"/>
    <x v="747"/>
    <x v="986"/>
    <n v="562210"/>
    <s v="Waste treatment and disposal"/>
    <s v="Traitement et élimination des déchets"/>
    <x v="4"/>
    <s v="67-56-1"/>
    <x v="3"/>
    <x v="3"/>
    <x v="7"/>
    <s v="Élimination sur le site"/>
    <s v="Underground Injection"/>
    <s v="Injection souterraine"/>
    <n v="117.93322000000001"/>
    <x v="0"/>
    <s v="C - Mass Balance"/>
    <x v="2"/>
  </r>
  <r>
    <x v="11"/>
    <n v="6093"/>
    <x v="779"/>
    <x v="987"/>
    <n v="212232"/>
    <s v="Nickel-copper ore mining"/>
    <s v="Extraction de minerais de nickel-cuivre"/>
    <x v="10"/>
    <s v="NA - 09"/>
    <x v="12"/>
    <x v="12"/>
    <x v="7"/>
    <s v="Élimination sur le site"/>
    <s v="Tailings Management"/>
    <s v="Gestion des résidus miniers"/>
    <n v="1352.2449999999999"/>
    <x v="0"/>
    <s v="M3 - Source Testing"/>
    <x v="2"/>
  </r>
  <r>
    <x v="27"/>
    <n v="10237"/>
    <x v="12"/>
    <x v="100"/>
    <n v="412110"/>
    <s v="Petroleum Product Wholesaler-Distributors"/>
    <s v="Grossistes-distributeurs de produits pétroliers"/>
    <x v="1"/>
    <s v="108-88-3"/>
    <x v="5"/>
    <x v="5"/>
    <x v="6"/>
    <s v="Élimination hors site"/>
    <s v="Landfill"/>
    <s v="Enfouissement"/>
    <n v="6.88E-2"/>
    <x v="0"/>
    <s v="O - Engineering Estimates"/>
    <x v="2"/>
  </r>
  <r>
    <x v="10"/>
    <n v="2512"/>
    <x v="844"/>
    <x v="988"/>
    <n v="326220"/>
    <s v="Rubber and Plastic Hose and Belting Manufacturing"/>
    <s v="Fabrication de tuyaux souples et de courroies en caoutchouc et en plastique"/>
    <x v="0"/>
    <s v="NA - 14"/>
    <x v="13"/>
    <x v="13"/>
    <x v="6"/>
    <s v="Élimination hors site"/>
    <s v="Landfill"/>
    <s v="Enfouissement"/>
    <n v="0.23300000000000001"/>
    <x v="0"/>
    <s v="O - Engineering Estimates"/>
    <x v="2"/>
  </r>
  <r>
    <x v="21"/>
    <n v="29805"/>
    <x v="845"/>
    <x v="989"/>
    <n v="486110"/>
    <s v="Pipeline transportation of crude oil"/>
    <s v="Transport du pétrole brut par oléoduc"/>
    <x v="1"/>
    <s v="110-54-3"/>
    <x v="47"/>
    <x v="47"/>
    <x v="6"/>
    <s v="Élimination hors site"/>
    <s v="Landfill"/>
    <s v="Enfouissement"/>
    <n v="7.0000000000000001E-3"/>
    <x v="0"/>
    <s v="O - Engineering Estimates"/>
    <x v="2"/>
  </r>
  <r>
    <x v="18"/>
    <n v="2587"/>
    <x v="213"/>
    <x v="225"/>
    <n v="322121"/>
    <s v="Paper (except newsprint) mills"/>
    <s v="Usines de papier (sauf le papier journal)"/>
    <x v="3"/>
    <s v="NA - 08"/>
    <x v="1"/>
    <x v="1"/>
    <x v="6"/>
    <s v="Élimination hors site"/>
    <s v="Land Treatment"/>
    <s v="Épandage"/>
    <n v="43.003999999999998"/>
    <x v="1"/>
    <s v="M3 - Source Testing"/>
    <x v="2"/>
  </r>
  <r>
    <x v="13"/>
    <n v="1861"/>
    <x v="205"/>
    <x v="191"/>
    <n v="221112"/>
    <s v="Fossil-Fuel Electric Power Generation"/>
    <s v="Production d'électricité à partir de combustibles fossiles"/>
    <x v="0"/>
    <s v="NA - 10"/>
    <x v="9"/>
    <x v="9"/>
    <x v="7"/>
    <s v="Élimination sur le site"/>
    <s v="Landfill"/>
    <s v="Enfouissement"/>
    <n v="91"/>
    <x v="1"/>
    <s v="C - Mass Balance"/>
    <x v="2"/>
  </r>
  <r>
    <x v="10"/>
    <n v="4138"/>
    <x v="846"/>
    <x v="990"/>
    <n v="211113"/>
    <s v="Conventional Oil and Gas Extraction"/>
    <s v="Extraction de pétrole et de gaz par des méthodes classiques"/>
    <x v="4"/>
    <s v="107-21-1"/>
    <x v="29"/>
    <x v="29"/>
    <x v="7"/>
    <s v="Élimination sur le site"/>
    <s v="Underground Injection"/>
    <s v="Injection souterraine"/>
    <n v="19.2"/>
    <x v="0"/>
    <s v="O - Engineering Estimates"/>
    <x v="2"/>
  </r>
  <r>
    <x v="30"/>
    <n v="2129"/>
    <x v="847"/>
    <x v="0"/>
    <n v="321114"/>
    <s v="Wood Preservation"/>
    <s v="Préservation du bois"/>
    <x v="0"/>
    <s v="NA - 06"/>
    <x v="15"/>
    <x v="15"/>
    <x v="6"/>
    <s v="Élimination hors site"/>
    <s v="Landfill"/>
    <s v="Enfouissement"/>
    <n v="0.50700000000000001"/>
    <x v="0"/>
    <m/>
    <x v="2"/>
  </r>
  <r>
    <x v="16"/>
    <n v="3897"/>
    <x v="841"/>
    <x v="41"/>
    <n v="324110"/>
    <s v="Petroleum Refineries"/>
    <s v="Raffineries de pétrole"/>
    <x v="3"/>
    <s v="NA - 14"/>
    <x v="13"/>
    <x v="13"/>
    <x v="6"/>
    <s v="Élimination hors site"/>
    <s v="Storage"/>
    <s v="Stockage"/>
    <n v="1.4999999999999999E-2"/>
    <x v="0"/>
    <s v="O - Engineering Estimates"/>
    <x v="2"/>
  </r>
  <r>
    <x v="11"/>
    <n v="6907"/>
    <x v="581"/>
    <x v="98"/>
    <n v="486110"/>
    <s v="Pipeline transportation of crude oil"/>
    <s v="Transport du pétrole brut par oléoduc"/>
    <x v="4"/>
    <s v="108-88-3"/>
    <x v="5"/>
    <x v="5"/>
    <x v="6"/>
    <s v="Élimination hors site"/>
    <s v="Landfill"/>
    <s v="Enfouissement"/>
    <n v="1.1619999999999999"/>
    <x v="0"/>
    <s v="O - Engineering Estimates"/>
    <x v="2"/>
  </r>
  <r>
    <x v="9"/>
    <n v="20030"/>
    <x v="848"/>
    <x v="991"/>
    <n v="336410"/>
    <s v="Aerospace product and parts manufacturing"/>
    <s v="Fabrication de produits aérospatiaux et de leurs pièces"/>
    <x v="2"/>
    <s v="NA - 03"/>
    <x v="28"/>
    <x v="28"/>
    <x v="6"/>
    <s v="Élimination hors site"/>
    <s v="Land Treatment"/>
    <s v="Épandage"/>
    <n v="8.0934000000000008"/>
    <x v="1"/>
    <s v="M3 - Source Testing"/>
    <x v="2"/>
  </r>
  <r>
    <x v="30"/>
    <n v="3877"/>
    <x v="849"/>
    <x v="992"/>
    <n v="326220"/>
    <s v="Rubber and Plastic Hose and Belting Manufacturing"/>
    <s v="Fabrication de tuyaux souples et de courroies en caoutchouc et en plastique"/>
    <x v="0"/>
    <s v="117-84-0"/>
    <x v="119"/>
    <x v="119"/>
    <x v="6"/>
    <s v="Élimination hors site"/>
    <s v="Landfill"/>
    <s v="Enfouissement"/>
    <n v="1.9E-2"/>
    <x v="0"/>
    <m/>
    <x v="2"/>
  </r>
  <r>
    <x v="20"/>
    <n v="2924"/>
    <x v="612"/>
    <x v="993"/>
    <n v="322112"/>
    <s v="Chemical Pulp Mills"/>
    <s v="Usines de pâte chimique"/>
    <x v="2"/>
    <s v="191-24-2"/>
    <x v="44"/>
    <x v="44"/>
    <x v="6"/>
    <s v="Élimination hors site"/>
    <s v="Landfill"/>
    <s v="Enfouissement"/>
    <n v="2.74"/>
    <x v="1"/>
    <s v="E2 - Published Emission Factors"/>
    <x v="2"/>
  </r>
  <r>
    <x v="26"/>
    <n v="3710"/>
    <x v="12"/>
    <x v="994"/>
    <n v="412110"/>
    <s v="Petroleum Product Wholesaler-Distributors"/>
    <s v="Grossistes-distributeurs de produits pétroliers"/>
    <x v="2"/>
    <s v="110-54-3"/>
    <x v="47"/>
    <x v="47"/>
    <x v="6"/>
    <s v="Élimination hors site"/>
    <s v="Storage"/>
    <s v="Stockage"/>
    <n v="0.13700000000000001"/>
    <x v="0"/>
    <s v="O - Engineering Estimates"/>
    <x v="2"/>
  </r>
  <r>
    <x v="3"/>
    <n v="5647"/>
    <x v="292"/>
    <x v="364"/>
    <n v="562210"/>
    <s v="Waste Treatment and Disposal"/>
    <s v="Traitement et élimination des déchets"/>
    <x v="0"/>
    <s v="78-93-3"/>
    <x v="0"/>
    <x v="0"/>
    <x v="6"/>
    <s v="Élimination hors site"/>
    <s v="Storage"/>
    <s v="Stockage"/>
    <n v="0.67"/>
    <x v="0"/>
    <s v="M - Monitoring or Direct Measurement"/>
    <x v="2"/>
  </r>
  <r>
    <x v="13"/>
    <n v="2134"/>
    <x v="462"/>
    <x v="372"/>
    <n v="325313"/>
    <s v="Chemical Fertilizer (except Potash) Manufacturing"/>
    <s v="Fabrication d'engrais chimiques (sauf la potasse)"/>
    <x v="4"/>
    <s v="107-21-1"/>
    <x v="29"/>
    <x v="29"/>
    <x v="7"/>
    <s v="Élimination sur le site"/>
    <s v="Underground Injection"/>
    <s v="Injection souterraine"/>
    <n v="0"/>
    <x v="0"/>
    <s v="C - Mass Balance"/>
    <x v="2"/>
  </r>
  <r>
    <x v="20"/>
    <n v="1195"/>
    <x v="772"/>
    <x v="995"/>
    <n v="322112"/>
    <s v="Chemical Pulp Mills"/>
    <s v="Usines de pâte chimique"/>
    <x v="3"/>
    <s v="191-24-2"/>
    <x v="44"/>
    <x v="44"/>
    <x v="7"/>
    <s v="Élimination sur le site"/>
    <s v="Land Treatment"/>
    <s v="Épandage"/>
    <n v="0.09"/>
    <x v="1"/>
    <s v="E2 - Published Emission Factors"/>
    <x v="2"/>
  </r>
  <r>
    <x v="4"/>
    <n v="2984"/>
    <x v="655"/>
    <x v="759"/>
    <n v="331110"/>
    <s v="Iron and Steel Mills and Ferro-Alloy Manufacturing"/>
    <s v="Sidérurgie"/>
    <x v="0"/>
    <s v="7789-75-5"/>
    <x v="120"/>
    <x v="120"/>
    <x v="6"/>
    <s v="Élimination hors site"/>
    <s v="Landfill"/>
    <s v="Enfouissement"/>
    <n v="0.8"/>
    <x v="0"/>
    <s v="E - Emission Factor"/>
    <x v="2"/>
  </r>
  <r>
    <x v="1"/>
    <n v="15778"/>
    <x v="250"/>
    <x v="996"/>
    <n v="211114"/>
    <s v="Non-conventional oil extraction"/>
    <s v="Extraction de pétrole par des méthodes non classiques"/>
    <x v="5"/>
    <s v="7783-06-4"/>
    <x v="93"/>
    <x v="93"/>
    <x v="7"/>
    <s v="Élimination sur le site"/>
    <s v="Underground Injection"/>
    <s v="Injection souterraine"/>
    <n v="29.279"/>
    <x v="0"/>
    <s v="E1 - Site Specific Emission Factors"/>
    <x v="2"/>
  </r>
  <r>
    <x v="9"/>
    <n v="1340"/>
    <x v="27"/>
    <x v="28"/>
    <n v="221320"/>
    <s v="Sewage treatment facilities"/>
    <s v="Installations d'épuration des eaux usées"/>
    <x v="2"/>
    <s v="NA - 08"/>
    <x v="1"/>
    <x v="1"/>
    <x v="6"/>
    <s v="Élimination hors site"/>
    <s v="Landfill"/>
    <s v="Enfouissement"/>
    <n v="25.971800000000002"/>
    <x v="1"/>
    <s v="M3 - Source Testing"/>
    <x v="2"/>
  </r>
  <r>
    <x v="29"/>
    <n v="683"/>
    <x v="544"/>
    <x v="471"/>
    <n v="211110"/>
    <s v="Oil and gas extraction (except oil sands)"/>
    <s v="Extraction de pétrole et de gaz (à l'exception des sables bitumineux)"/>
    <x v="4"/>
    <s v="1330-20-7"/>
    <x v="24"/>
    <x v="24"/>
    <x v="7"/>
    <s v="Élimination sur le site"/>
    <s v="Underground Injection"/>
    <s v="Injection souterraine"/>
    <n v="3.4209999999999998"/>
    <x v="0"/>
    <s v="C - Mass Balance"/>
    <x v="2"/>
  </r>
  <r>
    <x v="13"/>
    <n v="6370"/>
    <x v="850"/>
    <x v="997"/>
    <n v="562990"/>
    <s v="All Other Waste Management Services"/>
    <s v="Tous les autres services de gestion des déchets"/>
    <x v="3"/>
    <s v="1332-21-4"/>
    <x v="70"/>
    <x v="70"/>
    <x v="7"/>
    <s v="Élimination sur le site"/>
    <s v="Landfill"/>
    <s v="Enfouissement"/>
    <n v="4167.43"/>
    <x v="0"/>
    <s v="C - Mass Balance"/>
    <x v="2"/>
  </r>
  <r>
    <x v="16"/>
    <n v="7858"/>
    <x v="710"/>
    <x v="817"/>
    <n v="221320"/>
    <s v="Sewage Treatment Facilities"/>
    <s v="Installations d'épuration des eaux usées"/>
    <x v="2"/>
    <s v="NA - 22"/>
    <x v="8"/>
    <x v="8"/>
    <x v="6"/>
    <s v="Élimination hors site"/>
    <s v="Land Treatment"/>
    <s v="Épandage"/>
    <n v="0.91700000000000004"/>
    <x v="0"/>
    <s v="M3 - Source Testing"/>
    <x v="2"/>
  </r>
  <r>
    <x v="14"/>
    <n v="23273"/>
    <x v="851"/>
    <x v="998"/>
    <n v="212220"/>
    <s v="Gold and silver ore mining"/>
    <s v="Extraction de minerais d'or et d'argent"/>
    <x v="5"/>
    <s v="NA - 22"/>
    <x v="8"/>
    <x v="8"/>
    <x v="7"/>
    <s v="Élimination sur le site"/>
    <s v="Tailings Management"/>
    <s v="Gestion des résidus miniers"/>
    <n v="237.13"/>
    <x v="0"/>
    <s v="M3 - Source Testing"/>
    <x v="2"/>
  </r>
  <r>
    <x v="21"/>
    <n v="29897"/>
    <x v="491"/>
    <x v="532"/>
    <n v="212220"/>
    <s v="Gold and silver ore mining"/>
    <s v="Extraction de minerais d'or et d'argent"/>
    <x v="0"/>
    <s v="NA - 11"/>
    <x v="4"/>
    <x v="4"/>
    <x v="7"/>
    <s v="Élimination sur le site"/>
    <s v="Waste Rock management"/>
    <s v="Gestion des stériles"/>
    <n v="3.91"/>
    <x v="0"/>
    <s v="O - Engineering Estimates"/>
    <x v="2"/>
  </r>
  <r>
    <x v="3"/>
    <n v="3701"/>
    <x v="56"/>
    <x v="142"/>
    <n v="324110"/>
    <s v="Petroleum Refineries"/>
    <s v="Raffineries de pétrole"/>
    <x v="0"/>
    <s v="108-88-3"/>
    <x v="5"/>
    <x v="5"/>
    <x v="6"/>
    <s v="Élimination hors site"/>
    <s v="Landfill"/>
    <s v="Enfouissement"/>
    <n v="6.0000000000000001E-3"/>
    <x v="0"/>
    <s v="M - Monitoring or Direct Measurement"/>
    <x v="2"/>
  </r>
  <r>
    <x v="26"/>
    <n v="1812"/>
    <x v="205"/>
    <x v="823"/>
    <n v="221112"/>
    <s v="Fossil-Fuel Electric Power Generation"/>
    <s v="Production d'électricité à partir de combustibles fossiles"/>
    <x v="0"/>
    <s v="NA - 03"/>
    <x v="28"/>
    <x v="28"/>
    <x v="7"/>
    <s v="Élimination sur le site"/>
    <s v="Landfill"/>
    <s v="Enfouissement"/>
    <n v="0.49"/>
    <x v="1"/>
    <s v="C - Mass Balance"/>
    <x v="2"/>
  </r>
  <r>
    <x v="20"/>
    <n v="2282"/>
    <x v="258"/>
    <x v="270"/>
    <n v="221112"/>
    <s v="Fossil-Fuel Electric Power Generation"/>
    <s v="Production d'électricité à partir de combustibles fossiles"/>
    <x v="4"/>
    <s v="NA - 08"/>
    <x v="1"/>
    <x v="1"/>
    <x v="7"/>
    <s v="Élimination sur le site"/>
    <s v="Landfill"/>
    <s v="Enfouissement"/>
    <n v="426.52800000000002"/>
    <x v="1"/>
    <s v="O - Engineering Estimates"/>
    <x v="2"/>
  </r>
  <r>
    <x v="25"/>
    <n v="1990"/>
    <x v="852"/>
    <x v="999"/>
    <n v="325190"/>
    <s v="Other Basic Organic Chemical Manufacturing"/>
    <s v="Fabrication d'autres produits chimiques organiques de base"/>
    <x v="4"/>
    <s v="78-83-1"/>
    <x v="23"/>
    <x v="23"/>
    <x v="6"/>
    <s v="Élimination hors site"/>
    <s v="Underground Injection"/>
    <s v="Injection souterraine"/>
    <n v="0.05"/>
    <x v="0"/>
    <s v="O - Engineering Estimates"/>
    <x v="2"/>
  </r>
  <r>
    <x v="26"/>
    <n v="1779"/>
    <x v="36"/>
    <x v="773"/>
    <n v="325110"/>
    <s v="Petrochemical Manufacturing"/>
    <s v="Fabrication de produits pétrochimiques"/>
    <x v="4"/>
    <s v="107-21-1"/>
    <x v="29"/>
    <x v="29"/>
    <x v="6"/>
    <s v="Élimination hors site"/>
    <s v="Landfill"/>
    <s v="Enfouissement"/>
    <n v="0.128"/>
    <x v="0"/>
    <s v="O - Engineering Estimates"/>
    <x v="2"/>
  </r>
  <r>
    <x v="1"/>
    <n v="6664"/>
    <x v="171"/>
    <x v="906"/>
    <n v="412110"/>
    <s v="Petroleum and petroleum products merchant wholesalers"/>
    <s v="Grossistes-marchands de pétrole et de produits pétroliers"/>
    <x v="0"/>
    <s v="100-41-4"/>
    <x v="11"/>
    <x v="11"/>
    <x v="6"/>
    <s v="Élimination hors site"/>
    <s v="Landfill"/>
    <s v="Enfouissement"/>
    <n v="1.5800000000000002E-2"/>
    <x v="0"/>
    <s v="O - Engineering Estimates"/>
    <x v="2"/>
  </r>
  <r>
    <x v="29"/>
    <n v="29011"/>
    <x v="581"/>
    <x v="1000"/>
    <n v="486110"/>
    <s v="Pipeline transportation of crude oil"/>
    <s v="Transport du pétrole brut par oléoduc"/>
    <x v="4"/>
    <s v="1330-20-7"/>
    <x v="24"/>
    <x v="24"/>
    <x v="6"/>
    <s v="Élimination hors site"/>
    <s v="Landfill"/>
    <s v="Enfouissement"/>
    <n v="6.6000000000000005E-5"/>
    <x v="0"/>
    <s v="O - Engineering Estimates"/>
    <x v="2"/>
  </r>
  <r>
    <x v="27"/>
    <n v="31"/>
    <x v="28"/>
    <x v="29"/>
    <n v="325510"/>
    <s v="Paint and Coating Manufacturing"/>
    <s v="Fabrication de peintures et de revêtements"/>
    <x v="0"/>
    <s v="1330-20-7"/>
    <x v="24"/>
    <x v="24"/>
    <x v="6"/>
    <s v="Élimination hors site"/>
    <s v="Landfill"/>
    <s v="Enfouissement"/>
    <n v="0.11"/>
    <x v="0"/>
    <s v="O - Engineering Estimates"/>
    <x v="2"/>
  </r>
  <r>
    <x v="2"/>
    <n v="27767"/>
    <x v="747"/>
    <x v="1001"/>
    <n v="562210"/>
    <s v="Waste treatment and disposal"/>
    <s v="Traitement et élimination des déchets"/>
    <x v="4"/>
    <s v="100-41-4"/>
    <x v="11"/>
    <x v="11"/>
    <x v="7"/>
    <s v="Élimination sur le site"/>
    <s v="Landfill"/>
    <s v="Enfouissement"/>
    <n v="2.0000000000000001E-4"/>
    <x v="0"/>
    <s v="E2 - Published Emission Factors"/>
    <x v="2"/>
  </r>
  <r>
    <x v="12"/>
    <n v="3701"/>
    <x v="12"/>
    <x v="142"/>
    <n v="324110"/>
    <s v="Petroleum refineries"/>
    <s v="Raffineries de pétrole"/>
    <x v="0"/>
    <s v="1319-77-3"/>
    <x v="75"/>
    <x v="75"/>
    <x v="6"/>
    <s v="Élimination hors site"/>
    <s v="Landfill"/>
    <s v="Enfouissement"/>
    <n v="0.01"/>
    <x v="0"/>
    <s v="O - Engineering Estimates"/>
    <x v="2"/>
  </r>
  <r>
    <x v="17"/>
    <n v="4197"/>
    <x v="853"/>
    <x v="1002"/>
    <n v="331317"/>
    <s v="Aluminum rolling, drawing, extruding and alloying"/>
    <s v="Laminage, étirage, extrusion et alliage de l'aluminium"/>
    <x v="0"/>
    <s v="NA - 09"/>
    <x v="12"/>
    <x v="12"/>
    <x v="6"/>
    <s v="Élimination hors site"/>
    <s v="Landfill"/>
    <s v="Enfouissement"/>
    <n v="2.41E-2"/>
    <x v="0"/>
    <s v="C - Mass Balance"/>
    <x v="2"/>
  </r>
  <r>
    <x v="5"/>
    <n v="22544"/>
    <x v="854"/>
    <x v="1003"/>
    <n v="211114"/>
    <s v="Non-Conventional Oil Extraction"/>
    <s v="Extraction de pétrole par des méthodes non classiques"/>
    <x v="4"/>
    <s v="7783-06-4"/>
    <x v="93"/>
    <x v="93"/>
    <x v="6"/>
    <s v="Élimination hors site"/>
    <s v="Landfill"/>
    <s v="Enfouissement"/>
    <n v="8.6E-3"/>
    <x v="0"/>
    <s v="O - Engineering Estimates"/>
    <x v="2"/>
  </r>
  <r>
    <x v="8"/>
    <n v="1042"/>
    <x v="384"/>
    <x v="408"/>
    <n v="562210"/>
    <s v="Waste Treatment and Disposal"/>
    <s v="Traitement et élimination des déchets"/>
    <x v="4"/>
    <s v="NA - 08"/>
    <x v="1"/>
    <x v="1"/>
    <x v="7"/>
    <s v="Élimination sur le site"/>
    <s v="Underground Injection"/>
    <s v="Injection souterraine"/>
    <n v="0.42199999999999999"/>
    <x v="1"/>
    <s v="E1 - Site Specific Emission Factors"/>
    <x v="2"/>
  </r>
  <r>
    <x v="20"/>
    <n v="3498"/>
    <x v="855"/>
    <x v="1004"/>
    <n v="335223"/>
    <s v="Major Kitchen Appliance Manufacturing"/>
    <s v="Fabrication de gros appareils ménagers de cuisine"/>
    <x v="3"/>
    <s v="NA - 22"/>
    <x v="8"/>
    <x v="8"/>
    <x v="6"/>
    <s v="Élimination hors site"/>
    <s v="Landfill"/>
    <s v="Enfouissement"/>
    <n v="30.02"/>
    <x v="0"/>
    <s v="C - Mass Balance"/>
    <x v="2"/>
  </r>
  <r>
    <x v="9"/>
    <n v="4781"/>
    <x v="185"/>
    <x v="172"/>
    <n v="336310"/>
    <s v="Motor vehicle gasoline engine and engine parts manufacturing"/>
    <s v="Fabrication de moteurs et de pièces de moteurs à essence pour véhicules automobiles"/>
    <x v="0"/>
    <s v="NA - 08"/>
    <x v="1"/>
    <x v="1"/>
    <x v="6"/>
    <s v="Élimination hors site"/>
    <s v="Landfill"/>
    <s v="Enfouissement"/>
    <n v="1.5"/>
    <x v="1"/>
    <s v="O - Engineering Estimates"/>
    <x v="2"/>
  </r>
  <r>
    <x v="26"/>
    <n v="3707"/>
    <x v="12"/>
    <x v="24"/>
    <n v="324110"/>
    <s v="Petroleum Refineries"/>
    <s v="Raffineries de pétrole"/>
    <x v="4"/>
    <s v="NA - 16"/>
    <x v="49"/>
    <x v="49"/>
    <x v="7"/>
    <s v="Élimination sur le site"/>
    <s v="Underground Injection"/>
    <s v="Injection souterraine"/>
    <n v="1099.519"/>
    <x v="0"/>
    <s v="M3 - Source Testing"/>
    <x v="2"/>
  </r>
  <r>
    <x v="20"/>
    <n v="5229"/>
    <x v="856"/>
    <x v="1005"/>
    <n v="331221"/>
    <s v="Cold-Rolled Steel Shape Manufacturing"/>
    <s v="Fabrication de formes en acier laminé à froid"/>
    <x v="4"/>
    <s v="NA - 04"/>
    <x v="19"/>
    <x v="19"/>
    <x v="7"/>
    <s v="Élimination sur le site"/>
    <s v="Underground Injection"/>
    <s v="Injection souterraine"/>
    <n v="0"/>
    <x v="0"/>
    <s v="C - Mass Balance"/>
    <x v="2"/>
  </r>
  <r>
    <x v="27"/>
    <n v="7746"/>
    <x v="857"/>
    <x v="1006"/>
    <n v="327215"/>
    <s v="Glass Product Manufacturing from Purchased Glass"/>
    <s v="Fabrication de produits en verre à partir de verre acheté"/>
    <x v="2"/>
    <s v="NA - 08"/>
    <x v="1"/>
    <x v="1"/>
    <x v="6"/>
    <s v="Élimination hors site"/>
    <s v="Landfill"/>
    <s v="Enfouissement"/>
    <n v="19.3"/>
    <x v="1"/>
    <s v="C - Mass Balance"/>
    <x v="2"/>
  </r>
  <r>
    <x v="18"/>
    <n v="2537"/>
    <x v="858"/>
    <x v="1007"/>
    <n v="562210"/>
    <s v="Waste treatment and disposal"/>
    <s v="Traitement et élimination des déchets"/>
    <x v="0"/>
    <s v="NA - 11"/>
    <x v="4"/>
    <x v="4"/>
    <x v="7"/>
    <s v="Élimination sur le site"/>
    <s v="Landfill"/>
    <s v="Enfouissement"/>
    <n v="53.835000000000001"/>
    <x v="0"/>
    <s v="C - Mass Balance"/>
    <x v="2"/>
  </r>
  <r>
    <x v="12"/>
    <n v="442"/>
    <x v="348"/>
    <x v="881"/>
    <n v="211141"/>
    <s v="In-situ oil sands extraction"/>
    <s v="Extraction in situ de sables bitumineux"/>
    <x v="4"/>
    <s v="67-56-1"/>
    <x v="3"/>
    <x v="3"/>
    <x v="7"/>
    <s v="Élimination sur le site"/>
    <s v="Landfill"/>
    <s v="Enfouissement"/>
    <n v="1.8E-3"/>
    <x v="0"/>
    <s v="O - Engineering Estimates"/>
    <x v="2"/>
  </r>
  <r>
    <x v="2"/>
    <n v="407"/>
    <x v="255"/>
    <x v="757"/>
    <n v="211113"/>
    <s v="Conventional oil and gas extraction"/>
    <s v="Extraction de pétrole et de gaz par des méthodes classiques"/>
    <x v="4"/>
    <s v="108-88-3"/>
    <x v="5"/>
    <x v="5"/>
    <x v="6"/>
    <s v="Élimination hors site"/>
    <s v="Underground Injection"/>
    <s v="Injection souterraine"/>
    <n v="8.1245999999999992"/>
    <x v="0"/>
    <s v="O - Engineering Estimates"/>
    <x v="2"/>
  </r>
  <r>
    <x v="7"/>
    <n v="10215"/>
    <x v="12"/>
    <x v="309"/>
    <n v="412110"/>
    <s v="Petroleum and petroleum products merchant wholesalers"/>
    <s v="Grossistes-marchands de pétrole et de produits pétroliers"/>
    <x v="4"/>
    <s v="71-43-2"/>
    <x v="31"/>
    <x v="31"/>
    <x v="6"/>
    <s v="Élimination hors site"/>
    <s v="Storage"/>
    <s v="Stockage"/>
    <n v="0.14835999999999999"/>
    <x v="0"/>
    <s v="O - Engineering Estimates"/>
    <x v="2"/>
  </r>
  <r>
    <x v="26"/>
    <n v="7170"/>
    <x v="859"/>
    <x v="1008"/>
    <n v="321217"/>
    <s v="Waferboard Mills"/>
    <s v="Usines de panneaux de copeaux"/>
    <x v="0"/>
    <s v="NA - 08"/>
    <x v="1"/>
    <x v="1"/>
    <x v="6"/>
    <s v="Élimination hors site"/>
    <s v="Landfill"/>
    <s v="Enfouissement"/>
    <n v="156.1"/>
    <x v="1"/>
    <s v="E2 - Published Emission Factors"/>
    <x v="2"/>
  </r>
  <r>
    <x v="20"/>
    <n v="6097"/>
    <x v="860"/>
    <x v="256"/>
    <n v="325410"/>
    <s v="Pharmaceutical and Medicine Manufacturing"/>
    <s v="Fabrication de produits pharmaceutiques et de médicaments"/>
    <x v="9"/>
    <s v="71-36-3"/>
    <x v="50"/>
    <x v="50"/>
    <x v="7"/>
    <s v="Élimination sur le site"/>
    <s v="Land Treatment"/>
    <s v="Épandage"/>
    <n v="0"/>
    <x v="0"/>
    <s v="O - Engineering Estimates"/>
    <x v="2"/>
  </r>
  <r>
    <x v="29"/>
    <n v="4771"/>
    <x v="861"/>
    <x v="1009"/>
    <n v="221320"/>
    <s v="Sewage treatment facilities"/>
    <s v="Installations d'épuration des eaux usées"/>
    <x v="0"/>
    <s v="NA - 22"/>
    <x v="8"/>
    <x v="8"/>
    <x v="6"/>
    <s v="Élimination hors site"/>
    <s v="Land Treatment"/>
    <s v="Épandage"/>
    <n v="38.604999999999997"/>
    <x v="0"/>
    <s v="M3 - Source Testing"/>
    <x v="2"/>
  </r>
  <r>
    <x v="13"/>
    <n v="2286"/>
    <x v="258"/>
    <x v="1010"/>
    <n v="221112"/>
    <s v="Fossil-Fuel Electric Power Generation"/>
    <s v="Production d'électricité à partir de combustibles fossiles"/>
    <x v="4"/>
    <s v="NA - 09"/>
    <x v="12"/>
    <x v="12"/>
    <x v="7"/>
    <s v="Élimination sur le site"/>
    <s v="Landfill"/>
    <s v="Enfouissement"/>
    <n v="39.494"/>
    <x v="0"/>
    <s v="O - Engineering Estimates"/>
    <x v="2"/>
  </r>
  <r>
    <x v="9"/>
    <n v="1287"/>
    <x v="862"/>
    <x v="1011"/>
    <n v="339990"/>
    <s v="All other miscellaneous manufacturing"/>
    <s v="Toutes les autres activités diverses de fabrication"/>
    <x v="0"/>
    <s v="NA - 09"/>
    <x v="12"/>
    <x v="12"/>
    <x v="7"/>
    <s v="Élimination sur le site"/>
    <s v="Landfill"/>
    <s v="Enfouissement"/>
    <n v="4.7600000000000003E-2"/>
    <x v="0"/>
    <s v="C - Mass Balance"/>
    <x v="2"/>
  </r>
  <r>
    <x v="27"/>
    <n v="1338"/>
    <x v="27"/>
    <x v="66"/>
    <n v="221320"/>
    <s v="Sewage Treatment Facilities"/>
    <s v="Installations d'épuration des eaux usées"/>
    <x v="2"/>
    <s v="NA - 22"/>
    <x v="8"/>
    <x v="8"/>
    <x v="6"/>
    <s v="Élimination hors site"/>
    <s v="Land Treatment"/>
    <s v="Épandage"/>
    <n v="164.512"/>
    <x v="0"/>
    <s v="M3 - Source Testing"/>
    <x v="2"/>
  </r>
  <r>
    <x v="23"/>
    <n v="931"/>
    <x v="863"/>
    <x v="1012"/>
    <n v="326198"/>
    <s v="All Other Plastic Product Manufacturing"/>
    <s v="Fabrication de tous les autres produits en plastique"/>
    <x v="0"/>
    <s v="NA - 08"/>
    <x v="1"/>
    <x v="1"/>
    <x v="6"/>
    <s v="Élimination hors site"/>
    <s v="Landfill"/>
    <s v="Enfouissement"/>
    <n v="0.09"/>
    <x v="0"/>
    <s v="O - Engineering Estimates"/>
    <x v="2"/>
  </r>
  <r>
    <x v="6"/>
    <n v="928"/>
    <x v="864"/>
    <x v="1013"/>
    <n v="322112"/>
    <s v="Chemical Pulp Mills"/>
    <s v="Usines de pâte chimique"/>
    <x v="0"/>
    <s v="67-56-1"/>
    <x v="3"/>
    <x v="3"/>
    <x v="7"/>
    <s v="Élimination sur le site"/>
    <s v="Landfill"/>
    <s v="Enfouissement"/>
    <n v="1.7769999999999999"/>
    <x v="0"/>
    <s v="E2 - Published Emission Factors"/>
    <x v="2"/>
  </r>
  <r>
    <x v="17"/>
    <n v="1303"/>
    <x v="481"/>
    <x v="521"/>
    <n v="212233"/>
    <s v="Copper-zinc ore mining"/>
    <s v="Extraction de minerais de cuivre-zinc"/>
    <x v="2"/>
    <s v="NA - 14"/>
    <x v="13"/>
    <x v="13"/>
    <x v="7"/>
    <s v="Élimination sur le site"/>
    <s v="Waste Rock management"/>
    <s v="Gestion des stériles"/>
    <n v="1455.5197370000001"/>
    <x v="0"/>
    <s v="M3 - Source Testing"/>
    <x v="2"/>
  </r>
  <r>
    <x v="15"/>
    <n v="6532"/>
    <x v="5"/>
    <x v="1014"/>
    <n v="213118"/>
    <s v="Services to oil and gas extraction"/>
    <s v="Services relatifs à l'extraction de pétrole et de gaz"/>
    <x v="4"/>
    <s v="108-88-3"/>
    <x v="5"/>
    <x v="5"/>
    <x v="7"/>
    <s v="Élimination sur le site"/>
    <s v="Underground Injection"/>
    <s v="Injection souterraine"/>
    <n v="0.32269999999999999"/>
    <x v="0"/>
    <s v="C - Mass Balance"/>
    <x v="2"/>
  </r>
  <r>
    <x v="6"/>
    <n v="818"/>
    <x v="231"/>
    <x v="243"/>
    <n v="326114"/>
    <s v="Plastic Film and Sheet Manufacturing"/>
    <s v="Fabrication de pellicules et de feuilles en plastique"/>
    <x v="0"/>
    <s v="NA - 19"/>
    <x v="43"/>
    <x v="43"/>
    <x v="6"/>
    <s v="Élimination hors site"/>
    <s v="Landfill"/>
    <s v="Enfouissement"/>
    <n v="3.3"/>
    <x v="1"/>
    <s v="C - Mass Balance"/>
    <x v="2"/>
  </r>
  <r>
    <x v="2"/>
    <n v="1221"/>
    <x v="726"/>
    <x v="836"/>
    <n v="322112"/>
    <s v="Chemical pulp mills"/>
    <s v="Usines de pâte chimique"/>
    <x v="8"/>
    <s v="NA - 10"/>
    <x v="9"/>
    <x v="9"/>
    <x v="7"/>
    <s v="Élimination sur le site"/>
    <s v="Land Treatment"/>
    <s v="Épandage"/>
    <n v="0.05"/>
    <x v="1"/>
    <s v="M3 - Source Testing"/>
    <x v="2"/>
  </r>
  <r>
    <x v="8"/>
    <n v="6118"/>
    <x v="865"/>
    <x v="1015"/>
    <n v="221320"/>
    <s v="Sewage Treatment Facilities"/>
    <s v="Installations d'épuration des eaux usées"/>
    <x v="3"/>
    <s v="NA - 16"/>
    <x v="49"/>
    <x v="49"/>
    <x v="6"/>
    <s v="Élimination hors site"/>
    <s v="Land Treatment"/>
    <s v="Épandage"/>
    <n v="2.9710000000000001"/>
    <x v="0"/>
    <s v="M3 - Source Testing"/>
    <x v="2"/>
  </r>
  <r>
    <x v="13"/>
    <n v="4980"/>
    <x v="802"/>
    <x v="0"/>
    <n v="339990"/>
    <s v="All Other Miscellaneous Manufacturing"/>
    <s v="Toutes les autres activités diverses de fabrication"/>
    <x v="0"/>
    <s v="NA - 14"/>
    <x v="13"/>
    <x v="13"/>
    <x v="6"/>
    <s v="Élimination hors site"/>
    <s v="Landfill"/>
    <s v="Enfouissement"/>
    <n v="3.883"/>
    <x v="0"/>
    <s v="M1 - Continuous Emission Monitoring"/>
    <x v="2"/>
  </r>
  <r>
    <x v="16"/>
    <n v="1071"/>
    <x v="402"/>
    <x v="428"/>
    <n v="331313"/>
    <s v="Primary Production of Alumina and Aluminum"/>
    <s v="Production primaire d'alumine et d'aluminium"/>
    <x v="3"/>
    <s v="NA - 04"/>
    <x v="19"/>
    <x v="19"/>
    <x v="6"/>
    <s v="Élimination hors site"/>
    <s v="Landfill"/>
    <s v="Enfouissement"/>
    <n v="5.6"/>
    <x v="0"/>
    <s v="C - Mass Balance"/>
    <x v="2"/>
  </r>
  <r>
    <x v="6"/>
    <n v="2587"/>
    <x v="866"/>
    <x v="1016"/>
    <n v="322121"/>
    <s v="Paper (except Newsprint) Mills"/>
    <s v="Usines de papier (sauf le papier journal)"/>
    <x v="3"/>
    <s v="NA - 10"/>
    <x v="9"/>
    <x v="9"/>
    <x v="6"/>
    <s v="Élimination hors site"/>
    <s v="Land Treatment"/>
    <s v="Épandage"/>
    <n v="1.702"/>
    <x v="1"/>
    <s v="E2 - Published Emission Factors"/>
    <x v="2"/>
  </r>
  <r>
    <x v="12"/>
    <n v="442"/>
    <x v="348"/>
    <x v="881"/>
    <n v="211141"/>
    <s v="In-situ oil sands extraction"/>
    <s v="Extraction in situ de sables bitumineux"/>
    <x v="4"/>
    <s v="107-21-1"/>
    <x v="29"/>
    <x v="29"/>
    <x v="7"/>
    <s v="Élimination sur le site"/>
    <s v="Landfill"/>
    <s v="Enfouissement"/>
    <n v="1E-4"/>
    <x v="0"/>
    <s v="O - Engineering Estimates"/>
    <x v="2"/>
  </r>
  <r>
    <x v="26"/>
    <n v="6157"/>
    <x v="376"/>
    <x v="1017"/>
    <n v="412110"/>
    <s v="Petroleum Product Wholesaler-Distributors"/>
    <s v="Grossistes-distributeurs de produits pétroliers"/>
    <x v="8"/>
    <s v="108-88-3"/>
    <x v="5"/>
    <x v="5"/>
    <x v="6"/>
    <s v="Élimination hors site"/>
    <s v="Landfill"/>
    <s v="Enfouissement"/>
    <n v="7.0000000000000001E-3"/>
    <x v="0"/>
    <s v="O - Engineering Estimates"/>
    <x v="2"/>
  </r>
  <r>
    <x v="10"/>
    <n v="2948"/>
    <x v="867"/>
    <x v="1018"/>
    <n v="322112"/>
    <s v="Chemical Pulp Mills"/>
    <s v="Usines de pâte chimique"/>
    <x v="3"/>
    <s v="NA - 08"/>
    <x v="1"/>
    <x v="1"/>
    <x v="7"/>
    <s v="Élimination sur le site"/>
    <s v="Landfill"/>
    <s v="Enfouissement"/>
    <n v="327.25"/>
    <x v="1"/>
    <s v="E - Emission Factor"/>
    <x v="2"/>
  </r>
  <r>
    <x v="20"/>
    <n v="17141"/>
    <x v="868"/>
    <x v="1019"/>
    <n v="562210"/>
    <s v="Waste Treatment and Disposal"/>
    <s v="Traitement et élimination des déchets"/>
    <x v="4"/>
    <s v="1332-21-4"/>
    <x v="70"/>
    <x v="70"/>
    <x v="7"/>
    <s v="Élimination sur le site"/>
    <s v="Landfill"/>
    <s v="Enfouissement"/>
    <n v="106.15"/>
    <x v="0"/>
    <s v="C - Mass Balance"/>
    <x v="2"/>
  </r>
  <r>
    <x v="11"/>
    <n v="3430"/>
    <x v="869"/>
    <x v="1020"/>
    <n v="325510"/>
    <s v="Paint and coating manufacturing"/>
    <s v="Fabrication de peintures et de revêtements"/>
    <x v="0"/>
    <s v="NA - 19"/>
    <x v="43"/>
    <x v="43"/>
    <x v="6"/>
    <s v="Élimination hors site"/>
    <s v="Landfill"/>
    <s v="Enfouissement"/>
    <n v="8.9812999999999992"/>
    <x v="1"/>
    <s v="C - Mass Balance"/>
    <x v="2"/>
  </r>
  <r>
    <x v="17"/>
    <n v="31595"/>
    <x v="445"/>
    <x v="1021"/>
    <n v="211110"/>
    <s v="Oil and gas extraction (except oil sands)"/>
    <s v="Extraction de pétrole et de gaz (à l'exception des sables bitumineux)"/>
    <x v="4"/>
    <s v="110-82-7"/>
    <x v="71"/>
    <x v="71"/>
    <x v="6"/>
    <s v="Élimination hors site"/>
    <s v="Landfill"/>
    <s v="Enfouissement"/>
    <n v="7.0590000000000002E-3"/>
    <x v="0"/>
    <s v="O - Engineering Estimates"/>
    <x v="2"/>
  </r>
  <r>
    <x v="29"/>
    <n v="7838"/>
    <x v="579"/>
    <x v="736"/>
    <n v="212114"/>
    <s v="Bituminous coal mining"/>
    <s v="Extraction de charbon bitumineux"/>
    <x v="2"/>
    <s v="NA - 04"/>
    <x v="19"/>
    <x v="19"/>
    <x v="7"/>
    <s v="Élimination sur le site"/>
    <s v="Tailings Management"/>
    <s v="Gestion des résidus miniers"/>
    <n v="118.32599999999999"/>
    <x v="0"/>
    <s v="M3 - Source Testing"/>
    <x v="2"/>
  </r>
  <r>
    <x v="15"/>
    <n v="27123"/>
    <x v="870"/>
    <x v="1022"/>
    <n v="418410"/>
    <s v="Chemical (except agricultural) and allied product merchant wholesalers"/>
    <s v="Grossistes-marchands de produits chimiques et de produits analogues (sauf agricoles)"/>
    <x v="5"/>
    <s v="67-56-1"/>
    <x v="3"/>
    <x v="3"/>
    <x v="6"/>
    <s v="Élimination hors site"/>
    <s v="Underground Injection"/>
    <s v="Injection souterraine"/>
    <n v="10.203900000000001"/>
    <x v="0"/>
    <s v="C - Mass Balance"/>
    <x v="2"/>
  </r>
  <r>
    <x v="18"/>
    <n v="10219"/>
    <x v="12"/>
    <x v="163"/>
    <n v="412110"/>
    <s v="Petroleum and petroleum products merchant wholesalers"/>
    <s v="Grossistes-marchands de pétrole et de produits pétroliers"/>
    <x v="0"/>
    <s v="50-32-8"/>
    <x v="80"/>
    <x v="80"/>
    <x v="6"/>
    <s v="Élimination hors site"/>
    <s v="Storage"/>
    <s v="Stockage"/>
    <n v="0.01"/>
    <x v="1"/>
    <s v="O - Engineering Estimates"/>
    <x v="2"/>
  </r>
  <r>
    <x v="6"/>
    <n v="267"/>
    <x v="871"/>
    <x v="930"/>
    <n v="221112"/>
    <s v="Fossil-Fuel Electric Power Generation"/>
    <s v="Production d'électricité à partir de combustibles fossiles"/>
    <x v="4"/>
    <s v="NA - 14"/>
    <x v="13"/>
    <x v="13"/>
    <x v="6"/>
    <s v="Élimination hors site"/>
    <s v="Storage"/>
    <s v="Stockage"/>
    <n v="87"/>
    <x v="0"/>
    <s v="O - Engineering Estimates"/>
    <x v="2"/>
  </r>
  <r>
    <x v="6"/>
    <n v="3127"/>
    <x v="872"/>
    <x v="1023"/>
    <n v="324110"/>
    <s v="Petroleum Refineries"/>
    <s v="Raffineries de pétrole"/>
    <x v="3"/>
    <s v="129-00-0"/>
    <x v="73"/>
    <x v="73"/>
    <x v="6"/>
    <s v="Élimination hors site"/>
    <s v="Landfill"/>
    <s v="Enfouissement"/>
    <n v="0.7"/>
    <x v="1"/>
    <s v="O - Engineering Estimates"/>
    <x v="2"/>
  </r>
  <r>
    <x v="26"/>
    <n v="799"/>
    <x v="873"/>
    <x v="1024"/>
    <n v="325520"/>
    <s v="Adhesive Manufacturing"/>
    <s v="Fabrication d'adhésifs"/>
    <x v="0"/>
    <s v="NA - 08"/>
    <x v="1"/>
    <x v="1"/>
    <x v="6"/>
    <s v="Élimination hors site"/>
    <s v="Landfill"/>
    <s v="Enfouissement"/>
    <n v="485"/>
    <x v="1"/>
    <s v="C - Mass Balance"/>
    <x v="2"/>
  </r>
  <r>
    <x v="19"/>
    <n v="3775"/>
    <x v="874"/>
    <x v="0"/>
    <n v="339990"/>
    <s v="All Other Miscellaneous Manufacturing"/>
    <s v="Toutes les autres activités diverses de fabrication"/>
    <x v="4"/>
    <s v="NA - 02"/>
    <x v="21"/>
    <x v="21"/>
    <x v="6"/>
    <s v="Élimination hors site"/>
    <s v="Landfill"/>
    <s v="Enfouissement"/>
    <n v="160.30000000000001"/>
    <x v="1"/>
    <s v="M3 - Source Testing"/>
    <x v="2"/>
  </r>
  <r>
    <x v="29"/>
    <n v="24183"/>
    <x v="747"/>
    <x v="1025"/>
    <n v="562210"/>
    <s v="Waste treatment and disposal"/>
    <s v="Traitement et élimination des déchets"/>
    <x v="4"/>
    <s v="67-56-1"/>
    <x v="3"/>
    <x v="3"/>
    <x v="7"/>
    <s v="Élimination sur le site"/>
    <s v="Underground Injection"/>
    <s v="Injection souterraine"/>
    <n v="93.703999999999994"/>
    <x v="0"/>
    <s v="C - Mass Balance"/>
    <x v="2"/>
  </r>
  <r>
    <x v="22"/>
    <n v="3939"/>
    <x v="875"/>
    <x v="1026"/>
    <n v="211113"/>
    <s v="Conventional Oil and Gas Extraction"/>
    <s v="Extraction de pétrole et de gaz par des méthodes classiques"/>
    <x v="4"/>
    <s v="107-21-1"/>
    <x v="29"/>
    <x v="29"/>
    <x v="6"/>
    <s v="Élimination hors site"/>
    <s v="Underground Injection"/>
    <s v="Injection souterraine"/>
    <n v="6.2E-2"/>
    <x v="0"/>
    <s v="M - Monitoring or Direct Measurement"/>
    <x v="2"/>
  </r>
  <r>
    <x v="8"/>
    <n v="6895"/>
    <x v="579"/>
    <x v="1027"/>
    <n v="212114"/>
    <s v="Bituminous Coal Mining"/>
    <s v="Extraction de charbon bitumineux"/>
    <x v="4"/>
    <s v="NA - 14"/>
    <x v="13"/>
    <x v="13"/>
    <x v="7"/>
    <s v="Élimination sur le site"/>
    <s v="Tailings Management"/>
    <s v="Gestion des résidus miniers"/>
    <n v="31.773"/>
    <x v="0"/>
    <s v="O - Engineering Estimates"/>
    <x v="2"/>
  </r>
  <r>
    <x v="7"/>
    <n v="4978"/>
    <x v="876"/>
    <x v="1028"/>
    <n v="331529"/>
    <s v="Non-ferrous metal foundries (except die-casting)"/>
    <s v="Fonderies de métaux non ferreux (sauf moulage sous pression)"/>
    <x v="0"/>
    <s v="NA - 11"/>
    <x v="4"/>
    <x v="4"/>
    <x v="6"/>
    <s v="Élimination hors site"/>
    <s v="Landfill"/>
    <s v="Enfouissement"/>
    <n v="0"/>
    <x v="0"/>
    <s v="O - Engineering Estimates"/>
    <x v="2"/>
  </r>
  <r>
    <x v="11"/>
    <n v="1251"/>
    <x v="877"/>
    <x v="1029"/>
    <n v="327990"/>
    <s v="All other non-metallic mineral product manufacturing"/>
    <s v="Fabrication de tous les autres produits minéraux non métalliques"/>
    <x v="4"/>
    <s v="NA - 04"/>
    <x v="19"/>
    <x v="19"/>
    <x v="6"/>
    <s v="Élimination hors site"/>
    <s v="Landfill"/>
    <s v="Enfouissement"/>
    <n v="5.8299999999999998E-2"/>
    <x v="0"/>
    <s v="C - Mass Balance"/>
    <x v="2"/>
  </r>
  <r>
    <x v="5"/>
    <n v="21533"/>
    <x v="878"/>
    <x v="1030"/>
    <n v="486110"/>
    <s v="Pipeline Transportation of Crude Oil"/>
    <s v="Transport du pétrole brut par oléoduc"/>
    <x v="4"/>
    <s v="108-88-3"/>
    <x v="5"/>
    <x v="5"/>
    <x v="6"/>
    <s v="Élimination hors site"/>
    <s v="Landfill"/>
    <s v="Enfouissement"/>
    <n v="2.7E-2"/>
    <x v="0"/>
    <s v="O - Engineering Estimates"/>
    <x v="2"/>
  </r>
  <r>
    <x v="2"/>
    <n v="3754"/>
    <x v="174"/>
    <x v="127"/>
    <n v="211113"/>
    <s v="Conventional oil and gas extraction"/>
    <s v="Extraction de pétrole et de gaz par des méthodes classiques"/>
    <x v="4"/>
    <s v="95-63-6"/>
    <x v="40"/>
    <x v="40"/>
    <x v="6"/>
    <s v="Élimination hors site"/>
    <s v="Landfill"/>
    <s v="Enfouissement"/>
    <n v="3.9100000000000003E-2"/>
    <x v="0"/>
    <s v="O - Engineering Estimates"/>
    <x v="2"/>
  </r>
  <r>
    <x v="8"/>
    <n v="2815"/>
    <x v="641"/>
    <x v="1031"/>
    <n v="331410"/>
    <s v="Non-Ferrous Metal (except Aluminum) Smelting and Refining"/>
    <s v="Fonte et affinage de métaux non ferreux (sauf l'aluminium)"/>
    <x v="0"/>
    <s v="NA - 13"/>
    <x v="22"/>
    <x v="22"/>
    <x v="7"/>
    <s v="Élimination sur le site"/>
    <s v="Tailings Management"/>
    <s v="Gestion des résidus miniers"/>
    <n v="34.97"/>
    <x v="0"/>
    <s v="C - Mass Balance"/>
    <x v="2"/>
  </r>
  <r>
    <x v="10"/>
    <n v="3756"/>
    <x v="879"/>
    <x v="1032"/>
    <n v="211113"/>
    <s v="Conventional Oil and Gas Extraction"/>
    <s v="Extraction de pétrole et de gaz par des méthodes classiques"/>
    <x v="4"/>
    <s v="108-88-3"/>
    <x v="5"/>
    <x v="5"/>
    <x v="7"/>
    <s v="Élimination sur le site"/>
    <s v="Underground Injection"/>
    <s v="Injection souterraine"/>
    <n v="1.18"/>
    <x v="0"/>
    <s v="O - Engineering Estimates"/>
    <x v="2"/>
  </r>
  <r>
    <x v="9"/>
    <n v="22267"/>
    <x v="218"/>
    <x v="826"/>
    <n v="211114"/>
    <s v="Non-conventional oil extraction"/>
    <s v="Extraction de pétrole par des méthodes non classiques"/>
    <x v="4"/>
    <s v="108-88-3"/>
    <x v="5"/>
    <x v="5"/>
    <x v="6"/>
    <s v="Élimination hors site"/>
    <s v="Landfill"/>
    <s v="Enfouissement"/>
    <n v="0.97050000000000003"/>
    <x v="0"/>
    <s v="O - Engineering Estimates"/>
    <x v="2"/>
  </r>
  <r>
    <x v="1"/>
    <n v="24145"/>
    <x v="669"/>
    <x v="775"/>
    <n v="211114"/>
    <s v="Non-conventional oil extraction"/>
    <s v="Extraction de pétrole par des méthodes non classiques"/>
    <x v="4"/>
    <s v="100-41-4"/>
    <x v="11"/>
    <x v="11"/>
    <x v="6"/>
    <s v="Élimination hors site"/>
    <s v="Underground Injection"/>
    <s v="Injection souterraine"/>
    <n v="5.0000000000000001E-4"/>
    <x v="0"/>
    <s v="O - Engineering Estimates"/>
    <x v="2"/>
  </r>
  <r>
    <x v="6"/>
    <n v="2230"/>
    <x v="410"/>
    <x v="425"/>
    <n v="211114"/>
    <s v="Non-Conventional Oil Extraction"/>
    <s v="Extraction de pétrole par des méthodes non classiques"/>
    <x v="4"/>
    <s v="205-99-2"/>
    <x v="35"/>
    <x v="35"/>
    <x v="7"/>
    <s v="Élimination sur le site"/>
    <s v="Tailings Management"/>
    <s v="Gestion des résidus miniers"/>
    <n v="2712.6570000000002"/>
    <x v="1"/>
    <s v="E1 - Site Specific Emission Factors"/>
    <x v="2"/>
  </r>
  <r>
    <x v="30"/>
    <n v="1471"/>
    <x v="880"/>
    <x v="885"/>
    <n v="331410"/>
    <s v="Non-Ferrous Metal (except Aluminum) Smelting and Refining"/>
    <s v="Fonte et affinage de métaux non ferreux, sauf l'aluminium"/>
    <x v="0"/>
    <s v="NA - 06"/>
    <x v="15"/>
    <x v="15"/>
    <x v="6"/>
    <s v="Élimination hors site"/>
    <s v="Landfill"/>
    <s v="Enfouissement"/>
    <n v="1.0999999999999999E-2"/>
    <x v="0"/>
    <m/>
    <x v="2"/>
  </r>
  <r>
    <x v="3"/>
    <n v="689"/>
    <x v="468"/>
    <x v="1033"/>
    <n v="211113"/>
    <s v="Conventional Oil and Gas Extraction"/>
    <s v="Extraction de pétrole et de gaz par des méthodes classiques"/>
    <x v="4"/>
    <s v="67-56-1"/>
    <x v="3"/>
    <x v="3"/>
    <x v="7"/>
    <s v="Élimination sur le site"/>
    <s v="Underground Injection"/>
    <s v="Injection souterraine"/>
    <n v="5.5E-2"/>
    <x v="0"/>
    <s v="O - Engineering Estimates"/>
    <x v="2"/>
  </r>
  <r>
    <x v="12"/>
    <n v="442"/>
    <x v="348"/>
    <x v="881"/>
    <n v="211141"/>
    <s v="In-situ oil sands extraction"/>
    <s v="Extraction in situ de sables bitumineux"/>
    <x v="4"/>
    <s v="7664-93-9"/>
    <x v="30"/>
    <x v="30"/>
    <x v="6"/>
    <s v="Élimination hors site"/>
    <s v="Underground Injection"/>
    <s v="Injection souterraine"/>
    <n v="46.38"/>
    <x v="0"/>
    <s v="O - Engineering Estimates"/>
    <x v="2"/>
  </r>
  <r>
    <x v="1"/>
    <n v="6279"/>
    <x v="881"/>
    <x v="1034"/>
    <n v="331317"/>
    <s v="Aluminum rolling, drawing, extruding and alloying"/>
    <s v="Laminage, étirage, extrusion et alliage de l'aluminium"/>
    <x v="3"/>
    <s v="NA - 08"/>
    <x v="1"/>
    <x v="1"/>
    <x v="6"/>
    <s v="Élimination hors site"/>
    <s v="Landfill"/>
    <s v="Enfouissement"/>
    <n v="0.13"/>
    <x v="1"/>
    <s v="C - Mass Balance"/>
    <x v="2"/>
  </r>
  <r>
    <x v="26"/>
    <n v="5646"/>
    <x v="882"/>
    <x v="1035"/>
    <n v="541990"/>
    <s v="All Other Professional, Scientific and Technical Services"/>
    <s v="Tous les autres services professionnels, scientifiques et techniques"/>
    <x v="0"/>
    <s v="NA - 22"/>
    <x v="8"/>
    <x v="8"/>
    <x v="6"/>
    <s v="Élimination hors site"/>
    <s v="Underground Injection"/>
    <s v="Injection souterraine"/>
    <n v="7.1130000000000004"/>
    <x v="0"/>
    <s v="C - Mass Balance"/>
    <x v="2"/>
  </r>
  <r>
    <x v="15"/>
    <n v="18972"/>
    <x v="883"/>
    <x v="98"/>
    <n v="211110"/>
    <s v="Oil and gas extraction (except oil sands)"/>
    <s v="Extraction de pétrole et de gaz (à l'exception des sables bitumineux)"/>
    <x v="4"/>
    <s v="108-88-3"/>
    <x v="5"/>
    <x v="5"/>
    <x v="6"/>
    <s v="Élimination hors site"/>
    <s v="Land Treatment"/>
    <s v="Épandage"/>
    <n v="1.6199999999999999E-2"/>
    <x v="0"/>
    <s v="O - Engineering Estimates"/>
    <x v="2"/>
  </r>
  <r>
    <x v="3"/>
    <n v="4157"/>
    <x v="846"/>
    <x v="587"/>
    <n v="211113"/>
    <s v="Conventional Oil and Gas Extraction"/>
    <s v="Extraction de pétrole et de gaz par des méthodes classiques"/>
    <x v="5"/>
    <s v="111-42-2"/>
    <x v="46"/>
    <x v="46"/>
    <x v="6"/>
    <s v="Élimination hors site"/>
    <s v="Underground Injection"/>
    <s v="Injection souterraine"/>
    <n v="6.29"/>
    <x v="0"/>
    <s v="O - Engineering Estimates"/>
    <x v="2"/>
  </r>
  <r>
    <x v="15"/>
    <n v="3713"/>
    <x v="92"/>
    <x v="95"/>
    <n v="331110"/>
    <s v="Iron and steel mills and ferro-alloy manufacturing"/>
    <s v="Sidérurgie"/>
    <x v="0"/>
    <s v="NA - 05"/>
    <x v="16"/>
    <x v="16"/>
    <x v="6"/>
    <s v="Élimination hors site"/>
    <s v="Landfill"/>
    <s v="Enfouissement"/>
    <n v="715.58839999999998"/>
    <x v="1"/>
    <s v="C - Mass Balance"/>
    <x v="2"/>
  </r>
  <r>
    <x v="29"/>
    <n v="30798"/>
    <x v="884"/>
    <x v="1036"/>
    <n v="212233"/>
    <s v="Copper-zinc ore mining"/>
    <s v="Extraction de minerais de cuivre-zinc"/>
    <x v="2"/>
    <s v="NA - 06"/>
    <x v="15"/>
    <x v="15"/>
    <x v="7"/>
    <s v="Élimination sur le site"/>
    <s v="Tailings Management"/>
    <s v="Gestion des résidus miniers"/>
    <n v="6811.0102999999999"/>
    <x v="0"/>
    <s v="M3 - Source Testing"/>
    <x v="2"/>
  </r>
  <r>
    <x v="9"/>
    <n v="3962"/>
    <x v="86"/>
    <x v="89"/>
    <n v="324110"/>
    <s v="Petroleum refineries"/>
    <s v="Raffineries de pétrole"/>
    <x v="0"/>
    <s v="129-00-0"/>
    <x v="73"/>
    <x v="73"/>
    <x v="6"/>
    <s v="Élimination hors site"/>
    <s v="Landfill"/>
    <s v="Enfouissement"/>
    <n v="9.6557999999999993"/>
    <x v="1"/>
    <s v="M3 - Source Testing"/>
    <x v="2"/>
  </r>
  <r>
    <x v="17"/>
    <n v="3269"/>
    <x v="795"/>
    <x v="499"/>
    <n v="325313"/>
    <s v="Chemical fertilizer (except potash) manufacturing"/>
    <s v="Fabrication d'engrais chimiques (sauf la potasse)"/>
    <x v="4"/>
    <s v="107-21-1"/>
    <x v="29"/>
    <x v="29"/>
    <x v="6"/>
    <s v="Élimination hors site"/>
    <s v="Underground Injection"/>
    <s v="Injection souterraine"/>
    <n v="0.08"/>
    <x v="0"/>
    <s v="C - Mass Balance"/>
    <x v="2"/>
  </r>
  <r>
    <x v="1"/>
    <n v="5386"/>
    <x v="885"/>
    <x v="1037"/>
    <n v="221320"/>
    <s v="Sewage treatment facilities"/>
    <s v="Installations d'épuration des eaux usées"/>
    <x v="1"/>
    <s v="NA - 03"/>
    <x v="28"/>
    <x v="28"/>
    <x v="6"/>
    <s v="Élimination hors site"/>
    <s v="Landfill"/>
    <s v="Enfouissement"/>
    <n v="23.994199999999999"/>
    <x v="1"/>
    <s v="M3 - Source Testing"/>
    <x v="2"/>
  </r>
  <r>
    <x v="10"/>
    <n v="3698"/>
    <x v="12"/>
    <x v="274"/>
    <n v="324110"/>
    <s v="Petroleum Refineries"/>
    <s v="Raffineries de pétrole"/>
    <x v="7"/>
    <s v="205-82-3"/>
    <x v="56"/>
    <x v="56"/>
    <x v="7"/>
    <s v="Élimination sur le site"/>
    <s v="Land Treatment"/>
    <s v="Épandage"/>
    <n v="9.109"/>
    <x v="1"/>
    <s v="E - Emission Factor"/>
    <x v="2"/>
  </r>
  <r>
    <x v="7"/>
    <n v="3754"/>
    <x v="405"/>
    <x v="127"/>
    <n v="211110"/>
    <s v="Oil and gas extraction (except oil sands)"/>
    <s v="Extraction de pétrole et de gaz (à l'exception des sables bitumineux)"/>
    <x v="4"/>
    <s v="71-43-2"/>
    <x v="31"/>
    <x v="31"/>
    <x v="6"/>
    <s v="Élimination hors site"/>
    <s v="Land Treatment"/>
    <s v="Épandage"/>
    <n v="0.1241"/>
    <x v="0"/>
    <s v="O - Engineering Estimates"/>
    <x v="2"/>
  </r>
  <r>
    <x v="29"/>
    <n v="10218"/>
    <x v="12"/>
    <x v="98"/>
    <n v="412110"/>
    <s v="Petroleum, petroleum products, and other hydrocarbons merchant wholesalers"/>
    <s v="Grossistes-marchands de pétrole, de produits pétroliers, et d'autres hydrocarbures"/>
    <x v="4"/>
    <s v="71-43-2"/>
    <x v="31"/>
    <x v="31"/>
    <x v="6"/>
    <s v="Élimination hors site"/>
    <s v="Storage"/>
    <s v="Stockage"/>
    <n v="1.2999999999999999E-3"/>
    <x v="0"/>
    <s v="O - Engineering Estimates"/>
    <x v="2"/>
  </r>
  <r>
    <x v="9"/>
    <n v="5647"/>
    <x v="5"/>
    <x v="144"/>
    <n v="562210"/>
    <s v="Waste treatment and disposal"/>
    <s v="Traitement et élimination des déchets"/>
    <x v="0"/>
    <s v="NA - 02"/>
    <x v="21"/>
    <x v="21"/>
    <x v="6"/>
    <s v="Élimination hors site"/>
    <s v="Landfill"/>
    <s v="Enfouissement"/>
    <n v="40"/>
    <x v="1"/>
    <s v="C - Mass Balance"/>
    <x v="2"/>
  </r>
  <r>
    <x v="26"/>
    <n v="8600"/>
    <x v="886"/>
    <x v="1038"/>
    <n v="212220"/>
    <s v="Gold and Silver Ore Mining"/>
    <s v="Extraction de minerais d'or et d'argent"/>
    <x v="3"/>
    <s v="NA - 09"/>
    <x v="12"/>
    <x v="12"/>
    <x v="7"/>
    <s v="Élimination sur le site"/>
    <s v="Tailings Management"/>
    <s v="Gestion des résidus miniers"/>
    <n v="470"/>
    <x v="0"/>
    <s v="C - Mass Balance"/>
    <x v="2"/>
  </r>
  <r>
    <x v="23"/>
    <n v="695"/>
    <x v="468"/>
    <x v="1039"/>
    <n v="211113"/>
    <s v="Conventional Oil and Gas Extraction"/>
    <s v="Extraction de pétrole et de gaz par des méthodes classiques"/>
    <x v="4"/>
    <s v="107-21-1"/>
    <x v="29"/>
    <x v="29"/>
    <x v="7"/>
    <s v="Élimination sur le site"/>
    <s v="Underground Injection"/>
    <s v="Injection souterraine"/>
    <n v="0.48799999999999999"/>
    <x v="0"/>
    <s v="O - Engineering Estimates"/>
    <x v="2"/>
  </r>
  <r>
    <x v="2"/>
    <n v="6118"/>
    <x v="865"/>
    <x v="1015"/>
    <n v="221320"/>
    <s v="Sewage treatment facilities"/>
    <s v="Installations d'épuration des eaux usées"/>
    <x v="3"/>
    <s v="NA - 08"/>
    <x v="1"/>
    <x v="1"/>
    <x v="6"/>
    <s v="Élimination hors site"/>
    <s v="Land Treatment"/>
    <s v="Épandage"/>
    <n v="24.4"/>
    <x v="1"/>
    <s v="M3 - Source Testing"/>
    <x v="2"/>
  </r>
  <r>
    <x v="18"/>
    <n v="5339"/>
    <x v="5"/>
    <x v="1040"/>
    <n v="562210"/>
    <s v="Waste treatment and disposal"/>
    <s v="Traitement et élimination des déchets"/>
    <x v="4"/>
    <s v="NA - 14"/>
    <x v="13"/>
    <x v="13"/>
    <x v="6"/>
    <s v="Élimination hors site"/>
    <s v="Underground Injection"/>
    <s v="Injection souterraine"/>
    <n v="36.44"/>
    <x v="0"/>
    <s v="C - Mass Balance"/>
    <x v="2"/>
  </r>
  <r>
    <x v="9"/>
    <n v="27894"/>
    <x v="250"/>
    <x v="1041"/>
    <n v="211113"/>
    <s v="Conventional oil and gas extraction"/>
    <s v="Extraction de pétrole et de gaz par des méthodes classiques"/>
    <x v="2"/>
    <s v="1330-20-7"/>
    <x v="24"/>
    <x v="24"/>
    <x v="6"/>
    <s v="Élimination hors site"/>
    <s v="Landfill"/>
    <s v="Enfouissement"/>
    <n v="0"/>
    <x v="0"/>
    <s v="O - Engineering Estimates"/>
    <x v="2"/>
  </r>
  <r>
    <x v="18"/>
    <n v="6797"/>
    <x v="5"/>
    <x v="113"/>
    <n v="562990"/>
    <s v="All other waste management services"/>
    <s v="Tous les autres services de gestion des déchets"/>
    <x v="4"/>
    <s v="71-36-3"/>
    <x v="50"/>
    <x v="50"/>
    <x v="6"/>
    <s v="Élimination hors site"/>
    <s v="Landfill"/>
    <s v="Enfouissement"/>
    <n v="0.4"/>
    <x v="0"/>
    <s v="C - Mass Balance"/>
    <x v="2"/>
  </r>
  <r>
    <x v="2"/>
    <n v="6530"/>
    <x v="5"/>
    <x v="1042"/>
    <n v="213118"/>
    <s v="Services to oil and gas extraction"/>
    <s v="Services relatifs à l'extraction de pétrole et de gaz"/>
    <x v="4"/>
    <s v="1330-20-7"/>
    <x v="24"/>
    <x v="24"/>
    <x v="7"/>
    <s v="Élimination sur le site"/>
    <s v="Underground Injection"/>
    <s v="Injection souterraine"/>
    <n v="1.1499999999999999"/>
    <x v="0"/>
    <s v="C - Mass Balance"/>
    <x v="2"/>
  </r>
  <r>
    <x v="2"/>
    <n v="1266"/>
    <x v="887"/>
    <x v="1043"/>
    <n v="322112"/>
    <s v="Chemical pulp mills"/>
    <s v="Usines de pâte chimique"/>
    <x v="2"/>
    <s v="NA - 22"/>
    <x v="8"/>
    <x v="8"/>
    <x v="7"/>
    <s v="Élimination sur le site"/>
    <s v="Landfill"/>
    <s v="Enfouissement"/>
    <n v="134.84"/>
    <x v="0"/>
    <s v="M3 - Source Testing"/>
    <x v="2"/>
  </r>
  <r>
    <x v="2"/>
    <n v="409"/>
    <x v="255"/>
    <x v="447"/>
    <n v="211114"/>
    <s v="Non-conventional oil extraction"/>
    <s v="Extraction de pétrole par des méthodes non classiques"/>
    <x v="5"/>
    <s v="71-43-2"/>
    <x v="31"/>
    <x v="31"/>
    <x v="6"/>
    <s v="Élimination hors site"/>
    <s v="Landfill"/>
    <s v="Enfouissement"/>
    <n v="61.350999999999999"/>
    <x v="0"/>
    <s v="O - Engineering Estimates"/>
    <x v="2"/>
  </r>
  <r>
    <x v="22"/>
    <n v="3013"/>
    <x v="888"/>
    <x v="1044"/>
    <n v="322130"/>
    <s v="Paperboard Mills"/>
    <s v="Usines de carton"/>
    <x v="0"/>
    <s v="67-56-1"/>
    <x v="3"/>
    <x v="3"/>
    <x v="7"/>
    <s v="Élimination sur le site"/>
    <s v="Landfill"/>
    <s v="Enfouissement"/>
    <n v="3.891"/>
    <x v="0"/>
    <s v="E - Emission Factor"/>
    <x v="2"/>
  </r>
  <r>
    <x v="17"/>
    <n v="23544"/>
    <x v="61"/>
    <x v="373"/>
    <n v="562990"/>
    <s v="All other waste management services"/>
    <s v="Tous les autres services de gestion des déchets"/>
    <x v="4"/>
    <s v="108-10-1"/>
    <x v="63"/>
    <x v="63"/>
    <x v="6"/>
    <s v="Élimination hors site"/>
    <s v="Storage"/>
    <s v="Stockage"/>
    <n v="121.732"/>
    <x v="0"/>
    <s v="O - Engineering Estimates"/>
    <x v="2"/>
  </r>
  <r>
    <x v="19"/>
    <n v="4980"/>
    <x v="889"/>
    <x v="1045"/>
    <n v="339990"/>
    <s v="All Other Miscellaneous Manufacturing"/>
    <s v="Toutes les autres activités diverses de fabrication"/>
    <x v="0"/>
    <s v="NA - 11"/>
    <x v="4"/>
    <x v="4"/>
    <x v="6"/>
    <s v="Élimination hors site"/>
    <s v="Storage"/>
    <s v="Stockage"/>
    <n v="1E-3"/>
    <x v="0"/>
    <s v="M1 - Continuous Emission Monitoring"/>
    <x v="2"/>
  </r>
  <r>
    <x v="3"/>
    <n v="3962"/>
    <x v="171"/>
    <x v="89"/>
    <n v="324110"/>
    <s v="Petroleum Refineries"/>
    <s v="Raffineries de pétrole"/>
    <x v="0"/>
    <s v="71-43-2"/>
    <x v="31"/>
    <x v="31"/>
    <x v="6"/>
    <s v="Élimination hors site"/>
    <s v="Landfill"/>
    <s v="Enfouissement"/>
    <n v="1.2E-2"/>
    <x v="0"/>
    <s v="O - Engineering Estimates"/>
    <x v="2"/>
  </r>
  <r>
    <x v="10"/>
    <n v="1755"/>
    <x v="890"/>
    <x v="747"/>
    <n v="211113"/>
    <s v="Conventional Oil and Gas Extraction"/>
    <s v="Extraction de pétrole et de gaz par des méthodes classiques"/>
    <x v="4"/>
    <s v="1330-20-7"/>
    <x v="24"/>
    <x v="24"/>
    <x v="6"/>
    <s v="Élimination hors site"/>
    <s v="Underground Injection"/>
    <s v="Injection souterraine"/>
    <n v="1.1870000000000001"/>
    <x v="0"/>
    <s v="O - Engineering Estimates"/>
    <x v="2"/>
  </r>
  <r>
    <x v="13"/>
    <n v="106"/>
    <x v="218"/>
    <x v="1046"/>
    <n v="211113"/>
    <s v="Conventional Oil and Gas Extraction"/>
    <s v="Extraction de pétrole et de gaz par des méthodes classiques"/>
    <x v="4"/>
    <s v="1330-20-7"/>
    <x v="24"/>
    <x v="24"/>
    <x v="7"/>
    <s v="Élimination sur le site"/>
    <s v="Underground Injection"/>
    <s v="Injection souterraine"/>
    <n v="0.441"/>
    <x v="0"/>
    <s v="M3 - Source Testing"/>
    <x v="2"/>
  </r>
  <r>
    <x v="17"/>
    <n v="33049"/>
    <x v="891"/>
    <x v="1047"/>
    <n v="212220"/>
    <s v="Gold and silver ore mining"/>
    <s v="Extraction de minerais d'or et d'argent"/>
    <x v="0"/>
    <s v="NA - 08"/>
    <x v="1"/>
    <x v="1"/>
    <x v="7"/>
    <s v="Élimination sur le site"/>
    <s v="Tailings Management"/>
    <s v="Gestion des résidus miniers"/>
    <n v="5119.0569999999998"/>
    <x v="1"/>
    <s v="M3 - Source Testing"/>
    <x v="2"/>
  </r>
  <r>
    <x v="20"/>
    <n v="1383"/>
    <x v="892"/>
    <x v="1048"/>
    <n v="322112"/>
    <s v="Chemical Pulp Mills"/>
    <s v="Usines de pâte chimique"/>
    <x v="2"/>
    <s v="129-00-0"/>
    <x v="73"/>
    <x v="73"/>
    <x v="7"/>
    <s v="Élimination sur le site"/>
    <s v="Landfill"/>
    <s v="Enfouissement"/>
    <n v="1.036"/>
    <x v="1"/>
    <s v="E2 - Published Emission Factors"/>
    <x v="2"/>
  </r>
  <r>
    <x v="1"/>
    <n v="2230"/>
    <x v="410"/>
    <x v="425"/>
    <n v="211114"/>
    <s v="Non-conventional oil extraction"/>
    <s v="Extraction de pétrole par des méthodes non classiques"/>
    <x v="4"/>
    <s v="205-99-2"/>
    <x v="35"/>
    <x v="35"/>
    <x v="7"/>
    <s v="Élimination sur le site"/>
    <s v="Tailings Management"/>
    <s v="Gestion des résidus miniers"/>
    <n v="570.14599999999996"/>
    <x v="1"/>
    <s v="M3 - Source Testing"/>
    <x v="2"/>
  </r>
  <r>
    <x v="22"/>
    <n v="4307"/>
    <x v="893"/>
    <x v="0"/>
    <n v="331222"/>
    <s v="Steel Wire Drawing"/>
    <s v="Étirage de fils d'acier"/>
    <x v="2"/>
    <s v="NA - 14"/>
    <x v="13"/>
    <x v="13"/>
    <x v="6"/>
    <s v="Élimination hors site"/>
    <s v="Landfill"/>
    <s v="Enfouissement"/>
    <n v="7.3"/>
    <x v="0"/>
    <s v="O - Engineering Estimates"/>
    <x v="2"/>
  </r>
  <r>
    <x v="11"/>
    <n v="3769"/>
    <x v="820"/>
    <x v="1049"/>
    <n v="339990"/>
    <s v="All other miscellaneous manufacturing"/>
    <s v="Toutes les autres activités diverses de fabrication"/>
    <x v="0"/>
    <s v="NA - 14"/>
    <x v="13"/>
    <x v="13"/>
    <x v="6"/>
    <s v="Élimination hors site"/>
    <s v="Landfill"/>
    <s v="Enfouissement"/>
    <n v="109"/>
    <x v="0"/>
    <s v="M3 - Source Testing"/>
    <x v="2"/>
  </r>
  <r>
    <x v="27"/>
    <n v="3229"/>
    <x v="194"/>
    <x v="1050"/>
    <n v="336390"/>
    <s v="Other Motor Vehicle Parts Manufacturing"/>
    <s v="Fabrication d'autres pièces pour véhicules automobiles"/>
    <x v="0"/>
    <s v="NA - 06"/>
    <x v="15"/>
    <x v="15"/>
    <x v="6"/>
    <s v="Élimination hors site"/>
    <s v="Landfill"/>
    <s v="Enfouissement"/>
    <n v="2.5999999999999999E-2"/>
    <x v="0"/>
    <s v="C - Mass Balance"/>
    <x v="2"/>
  </r>
  <r>
    <x v="9"/>
    <n v="4068"/>
    <x v="894"/>
    <x v="1051"/>
    <n v="322122"/>
    <s v="Newsprint mills"/>
    <s v="Usines de papier journal"/>
    <x v="3"/>
    <s v="NA - 14"/>
    <x v="13"/>
    <x v="13"/>
    <x v="6"/>
    <s v="Élimination hors site"/>
    <s v="Land Treatment"/>
    <s v="Épandage"/>
    <n v="1.573"/>
    <x v="0"/>
    <s v="M3 - Source Testing"/>
    <x v="2"/>
  </r>
  <r>
    <x v="8"/>
    <n v="10256"/>
    <x v="734"/>
    <x v="1052"/>
    <n v="221320"/>
    <s v="Sewage Treatment Facilities"/>
    <s v="Installations d'épuration des eaux usées"/>
    <x v="0"/>
    <s v="NA - 16"/>
    <x v="49"/>
    <x v="49"/>
    <x v="6"/>
    <s v="Élimination hors site"/>
    <s v="Land Treatment"/>
    <s v="Épandage"/>
    <n v="1.177"/>
    <x v="0"/>
    <s v="M1 - Continuous Emission Monitoring"/>
    <x v="2"/>
  </r>
  <r>
    <x v="26"/>
    <n v="5351"/>
    <x v="895"/>
    <x v="371"/>
    <n v="213118"/>
    <s v="Services to Oil and Gas Extraction"/>
    <s v="Services relatifs à l'extraction de pétrole et de gaz"/>
    <x v="4"/>
    <s v="98-82-8"/>
    <x v="121"/>
    <x v="121"/>
    <x v="6"/>
    <s v="Élimination hors site"/>
    <s v="Underground Injection"/>
    <s v="Injection souterraine"/>
    <n v="0.57499999999999996"/>
    <x v="0"/>
    <s v="O - Engineering Estimates"/>
    <x v="2"/>
  </r>
  <r>
    <x v="29"/>
    <n v="4333"/>
    <x v="896"/>
    <x v="1053"/>
    <n v="325910"/>
    <s v="Printing ink manufacturing"/>
    <s v="Fabrication d'encre d'imprimerie"/>
    <x v="3"/>
    <s v="67-63-0"/>
    <x v="6"/>
    <x v="6"/>
    <x v="6"/>
    <s v="Élimination hors site"/>
    <s v="Storage"/>
    <s v="Stockage"/>
    <n v="1.3859999999999999"/>
    <x v="0"/>
    <s v="C - Mass Balance"/>
    <x v="2"/>
  </r>
  <r>
    <x v="20"/>
    <n v="2776"/>
    <x v="8"/>
    <x v="7"/>
    <n v="324110"/>
    <s v="Petroleum Refineries"/>
    <s v="Raffineries de pétrole"/>
    <x v="2"/>
    <s v="193-39-5"/>
    <x v="101"/>
    <x v="101"/>
    <x v="6"/>
    <s v="Élimination hors site"/>
    <s v="Landfill"/>
    <s v="Enfouissement"/>
    <n v="8.9999999999999993E-3"/>
    <x v="1"/>
    <s v="O - Engineering Estimates"/>
    <x v="2"/>
  </r>
  <r>
    <x v="27"/>
    <n v="5236"/>
    <x v="587"/>
    <x v="661"/>
    <n v="212392"/>
    <s v="Diamond Mining"/>
    <s v="Extraction de diamant"/>
    <x v="6"/>
    <s v="NA - 06"/>
    <x v="15"/>
    <x v="15"/>
    <x v="7"/>
    <s v="Élimination sur le site"/>
    <s v="Tailings Management"/>
    <s v="Gestion des résidus miniers"/>
    <n v="128.09129999999999"/>
    <x v="0"/>
    <s v="M3 - Source Testing"/>
    <x v="2"/>
  </r>
  <r>
    <x v="27"/>
    <n v="6669"/>
    <x v="579"/>
    <x v="819"/>
    <n v="212114"/>
    <s v="Bituminous Coal Mining"/>
    <s v="Extraction de charbon bitumineux"/>
    <x v="2"/>
    <s v="NA - 22"/>
    <x v="8"/>
    <x v="8"/>
    <x v="7"/>
    <s v="Élimination sur le site"/>
    <s v="Tailings Management"/>
    <s v="Gestion des résidus miniers"/>
    <n v="6171.25"/>
    <x v="0"/>
    <s v="O - Engineering Estimates"/>
    <x v="2"/>
  </r>
  <r>
    <x v="23"/>
    <n v="656"/>
    <x v="897"/>
    <x v="1054"/>
    <n v="325210"/>
    <s v="Resin and Synthetic Rubber Manufacturing"/>
    <s v="Fabrication de résines et de caoutchouc synthétique"/>
    <x v="0"/>
    <s v="108-95-2"/>
    <x v="58"/>
    <x v="58"/>
    <x v="6"/>
    <s v="Élimination hors site"/>
    <s v="Landfill"/>
    <s v="Enfouissement"/>
    <n v="0.98499999999999999"/>
    <x v="0"/>
    <s v="O - Engineering Estimates"/>
    <x v="2"/>
  </r>
  <r>
    <x v="13"/>
    <n v="1812"/>
    <x v="205"/>
    <x v="823"/>
    <n v="221112"/>
    <s v="Fossil-Fuel Electric Power Generation"/>
    <s v="Production d'électricité à partir de combustibles fossiles"/>
    <x v="0"/>
    <s v="NA - 08"/>
    <x v="1"/>
    <x v="1"/>
    <x v="6"/>
    <s v="Élimination hors site"/>
    <s v="Landfill"/>
    <s v="Enfouissement"/>
    <n v="45.7"/>
    <x v="1"/>
    <s v="C - Mass Balance"/>
    <x v="2"/>
  </r>
  <r>
    <x v="20"/>
    <n v="1411"/>
    <x v="493"/>
    <x v="1055"/>
    <n v="211113"/>
    <s v="Conventional Oil and Gas Extraction"/>
    <s v="Extraction de pétrole et de gaz par des méthodes classiques"/>
    <x v="4"/>
    <s v="71-43-2"/>
    <x v="31"/>
    <x v="31"/>
    <x v="7"/>
    <s v="Élimination sur le site"/>
    <s v="Underground Injection"/>
    <s v="Injection souterraine"/>
    <n v="5.8410000000000002"/>
    <x v="0"/>
    <s v="O - Engineering Estimates"/>
    <x v="2"/>
  </r>
  <r>
    <x v="8"/>
    <n v="54"/>
    <x v="641"/>
    <x v="1056"/>
    <n v="212231"/>
    <s v="Lead-Zinc Ore Mining"/>
    <s v="Extraction de minerais de plomb-zinc"/>
    <x v="8"/>
    <s v="NA - 14"/>
    <x v="13"/>
    <x v="13"/>
    <x v="7"/>
    <s v="Élimination sur le site"/>
    <s v="Tailings Management"/>
    <s v="Gestion des résidus miniers"/>
    <n v="16610.099999999999"/>
    <x v="0"/>
    <s v="M1 - Continuous Emission Monitoring"/>
    <x v="2"/>
  </r>
  <r>
    <x v="16"/>
    <n v="1408"/>
    <x v="898"/>
    <x v="1057"/>
    <n v="111190"/>
    <s v="Other Grain Farming"/>
    <s v="Autres cultures céréalières"/>
    <x v="5"/>
    <s v="78-83-1"/>
    <x v="23"/>
    <x v="23"/>
    <x v="7"/>
    <s v="Élimination sur le site"/>
    <s v="Land Treatment"/>
    <s v="Épandage"/>
    <n v="0"/>
    <x v="0"/>
    <s v="C - Mass Balance"/>
    <x v="2"/>
  </r>
  <r>
    <x v="7"/>
    <n v="30937"/>
    <x v="899"/>
    <x v="1058"/>
    <n v="486110"/>
    <s v="Pipeline transportation of crude oil"/>
    <s v="Transport du pétrole brut par oléoduc"/>
    <x v="4"/>
    <s v="207-08-9"/>
    <x v="18"/>
    <x v="18"/>
    <x v="6"/>
    <s v="Élimination hors site"/>
    <s v="Landfill"/>
    <s v="Enfouissement"/>
    <n v="0.3"/>
    <x v="1"/>
    <s v="O - Engineering Estimates"/>
    <x v="2"/>
  </r>
  <r>
    <x v="2"/>
    <n v="8645"/>
    <x v="123"/>
    <x v="152"/>
    <n v="562110"/>
    <s v="Waste collection"/>
    <s v="Collecte de déchets"/>
    <x v="3"/>
    <s v="109-86-4"/>
    <x v="122"/>
    <x v="122"/>
    <x v="6"/>
    <s v="Élimination hors site"/>
    <s v="Landfill"/>
    <s v="Enfouissement"/>
    <n v="30.8691"/>
    <x v="0"/>
    <s v="C - Mass Balance"/>
    <x v="2"/>
  </r>
  <r>
    <x v="14"/>
    <n v="27915"/>
    <x v="757"/>
    <x v="1059"/>
    <n v="562210"/>
    <s v="Waste treatment and disposal"/>
    <s v="Traitement et élimination des déchets"/>
    <x v="3"/>
    <s v="85-01-8"/>
    <x v="54"/>
    <x v="54"/>
    <x v="7"/>
    <s v="Élimination sur le site"/>
    <s v="Land Treatment"/>
    <s v="Épandage"/>
    <n v="250.75"/>
    <x v="1"/>
    <s v="M3 - Source Testing"/>
    <x v="2"/>
  </r>
  <r>
    <x v="27"/>
    <n v="3838"/>
    <x v="339"/>
    <x v="1060"/>
    <n v="488190"/>
    <s v="Other Support Activities for Air Transportation"/>
    <s v="Autres activités de soutien au transport aérien"/>
    <x v="10"/>
    <s v="107-21-1"/>
    <x v="29"/>
    <x v="29"/>
    <x v="7"/>
    <s v="Élimination sur le site"/>
    <s v="Land Treatment"/>
    <s v="Épandage"/>
    <n v="25.486799999999999"/>
    <x v="0"/>
    <s v="M1 - Continuous Emission Monitoring"/>
    <x v="2"/>
  </r>
  <r>
    <x v="15"/>
    <n v="11796"/>
    <x v="900"/>
    <x v="1061"/>
    <n v="212220"/>
    <s v="Gold and silver ore mining"/>
    <s v="Extraction de minerais d'or et d'argent"/>
    <x v="0"/>
    <s v="NA - 05"/>
    <x v="16"/>
    <x v="16"/>
    <x v="7"/>
    <s v="Élimination sur le site"/>
    <s v="Tailings Management"/>
    <s v="Gestion des résidus miniers"/>
    <n v="39676.461000000003"/>
    <x v="1"/>
    <s v="M3 - Source Testing"/>
    <x v="2"/>
  </r>
  <r>
    <x v="6"/>
    <n v="2539"/>
    <x v="901"/>
    <x v="1062"/>
    <n v="321114"/>
    <s v="Wood Preservation"/>
    <s v="Préservation du bois"/>
    <x v="0"/>
    <s v="NA - 06"/>
    <x v="15"/>
    <x v="15"/>
    <x v="6"/>
    <s v="Élimination hors site"/>
    <s v="Landfill"/>
    <s v="Enfouissement"/>
    <n v="1.4999999999999999E-2"/>
    <x v="0"/>
    <s v="C - Mass Balance"/>
    <x v="2"/>
  </r>
  <r>
    <x v="12"/>
    <n v="5351"/>
    <x v="679"/>
    <x v="371"/>
    <n v="213118"/>
    <s v="Services to oil and gas extraction"/>
    <s v="Services relatifs à l'extraction de pétrole et de gaz"/>
    <x v="4"/>
    <s v="100-41-4"/>
    <x v="11"/>
    <x v="11"/>
    <x v="6"/>
    <s v="Élimination hors site"/>
    <s v="Landfill"/>
    <s v="Enfouissement"/>
    <n v="1.2E-2"/>
    <x v="0"/>
    <s v="O - Engineering Estimates"/>
    <x v="2"/>
  </r>
  <r>
    <x v="17"/>
    <n v="11454"/>
    <x v="479"/>
    <x v="519"/>
    <n v="212220"/>
    <s v="Gold and silver ore mining"/>
    <s v="Extraction de minerais d'or et d'argent"/>
    <x v="0"/>
    <s v="NA - 14"/>
    <x v="13"/>
    <x v="13"/>
    <x v="7"/>
    <s v="Élimination sur le site"/>
    <s v="Tailings Management"/>
    <s v="Gestion des résidus miniers"/>
    <n v="22.027000000000001"/>
    <x v="0"/>
    <s v="M3 - Source Testing"/>
    <x v="2"/>
  </r>
  <r>
    <x v="12"/>
    <n v="26259"/>
    <x v="587"/>
    <x v="1063"/>
    <n v="212396"/>
    <s v="Potash mining"/>
    <s v="Extraction de potasse"/>
    <x v="5"/>
    <s v="NA - 10"/>
    <x v="9"/>
    <x v="9"/>
    <x v="7"/>
    <s v="Élimination sur le site"/>
    <s v="Waste Rock management"/>
    <s v="Gestion des stériles"/>
    <n v="0.20200000000000001"/>
    <x v="1"/>
    <s v="O - Engineering Estimates"/>
    <x v="2"/>
  </r>
  <r>
    <x v="16"/>
    <n v="333"/>
    <x v="701"/>
    <x v="808"/>
    <n v="322122"/>
    <s v="Newsprint Mills"/>
    <s v="Usines de papier journal"/>
    <x v="2"/>
    <s v="218-01-9"/>
    <x v="66"/>
    <x v="66"/>
    <x v="6"/>
    <s v="Élimination hors site"/>
    <s v="Landfill"/>
    <s v="Enfouissement"/>
    <n v="0.108"/>
    <x v="1"/>
    <s v="M3 - Source Testing"/>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EB2D9E-74CA-439B-9BBA-059D13A39064}"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8:L10" firstHeaderRow="1" firstDataRow="2" firstDataCol="1" rowPageCount="6" colPageCount="1"/>
  <pivotFields count="19">
    <pivotField axis="axisPage" multipleItemSelectionAllowed="1">
      <items count="32">
        <item h="1" x="30"/>
        <item h="1" x="25"/>
        <item h="1" x="24"/>
        <item h="1" x="28"/>
        <item x="23"/>
        <item x="0"/>
        <item x="4"/>
        <item x="22"/>
        <item x="3"/>
        <item x="10"/>
        <item x="19"/>
        <item x="13"/>
        <item x="20"/>
        <item x="6"/>
        <item x="8"/>
        <item x="16"/>
        <item x="26"/>
        <item x="27"/>
        <item x="5"/>
        <item x="11"/>
        <item x="18"/>
        <item x="9"/>
        <item x="1"/>
        <item h="1" x="2"/>
        <item h="1" x="15"/>
        <item h="1" x="12"/>
        <item h="1" x="21"/>
        <item h="1" x="7"/>
        <item h="1" x="14"/>
        <item h="1" x="29"/>
        <item h="1" x="17"/>
        <item t="default"/>
      </items>
    </pivotField>
    <pivotField showAll="0"/>
    <pivotField axis="axisPage" multipleItemSelectionAllowed="1" showAll="0">
      <items count="903">
        <item x="699"/>
        <item x="23"/>
        <item x="163"/>
        <item x="77"/>
        <item x="71"/>
        <item x="270"/>
        <item x="84"/>
        <item x="643"/>
        <item x="712"/>
        <item x="723"/>
        <item x="866"/>
        <item x="842"/>
        <item x="354"/>
        <item x="357"/>
        <item x="384"/>
        <item x="662"/>
        <item x="322"/>
        <item x="17"/>
        <item x="824"/>
        <item x="830"/>
        <item x="629"/>
        <item x="462"/>
        <item x="277"/>
        <item x="681"/>
        <item x="227"/>
        <item x="859"/>
        <item x="583"/>
        <item x="339"/>
        <item x="794"/>
        <item x="106"/>
        <item x="154"/>
        <item x="479"/>
        <item x="716"/>
        <item x="645"/>
        <item x="24"/>
        <item x="778"/>
        <item x="134"/>
        <item x="214"/>
        <item x="385"/>
        <item x="281"/>
        <item x="686"/>
        <item x="234"/>
        <item x="33"/>
        <item x="366"/>
        <item x="402"/>
        <item x="840"/>
        <item x="398"/>
        <item x="93"/>
        <item x="178"/>
        <item x="890"/>
        <item x="359"/>
        <item x="543"/>
        <item x="133"/>
        <item x="785"/>
        <item x="29"/>
        <item x="18"/>
        <item x="208"/>
        <item x="738"/>
        <item x="372"/>
        <item x="83"/>
        <item x="309"/>
        <item x="92"/>
        <item x="313"/>
        <item x="21"/>
        <item x="602"/>
        <item x="660"/>
        <item x="520"/>
        <item x="330"/>
        <item x="195"/>
        <item x="51"/>
        <item x="298"/>
        <item x="575"/>
        <item x="266"/>
        <item x="284"/>
        <item x="690"/>
        <item x="127"/>
        <item x="740"/>
        <item x="524"/>
        <item x="671"/>
        <item x="750"/>
        <item x="591"/>
        <item x="679"/>
        <item x="101"/>
        <item x="895"/>
        <item x="351"/>
        <item x="170"/>
        <item x="432"/>
        <item x="863"/>
        <item x="326"/>
        <item x="28"/>
        <item x="787"/>
        <item x="898"/>
        <item x="541"/>
        <item x="529"/>
        <item x="305"/>
        <item x="301"/>
        <item x="236"/>
        <item x="204"/>
        <item x="806"/>
        <item x="414"/>
        <item x="559"/>
        <item x="850"/>
        <item x="587"/>
        <item x="826"/>
        <item x="245"/>
        <item x="111"/>
        <item x="406"/>
        <item x="653"/>
        <item x="696"/>
        <item x="631"/>
        <item x="711"/>
        <item x="536"/>
        <item x="688"/>
        <item x="38"/>
        <item x="197"/>
        <item x="603"/>
        <item x="107"/>
        <item x="244"/>
        <item x="264"/>
        <item x="615"/>
        <item x="493"/>
        <item x="567"/>
        <item x="582"/>
        <item x="412"/>
        <item x="265"/>
        <item x="532"/>
        <item x="846"/>
        <item x="369"/>
        <item x="64"/>
        <item x="533"/>
        <item x="65"/>
        <item x="239"/>
        <item x="709"/>
        <item x="438"/>
        <item x="780"/>
        <item x="761"/>
        <item x="365"/>
        <item x="514"/>
        <item x="500"/>
        <item x="812"/>
        <item x="855"/>
        <item x="563"/>
        <item x="35"/>
        <item x="490"/>
        <item x="616"/>
        <item x="73"/>
        <item x="727"/>
        <item x="381"/>
        <item x="697"/>
        <item x="597"/>
        <item x="250"/>
        <item x="635"/>
        <item x="496"/>
        <item x="113"/>
        <item x="142"/>
        <item x="355"/>
        <item x="137"/>
        <item x="361"/>
        <item x="390"/>
        <item x="231"/>
        <item x="871"/>
        <item x="797"/>
        <item x="267"/>
        <item x="499"/>
        <item x="577"/>
        <item x="362"/>
        <item x="160"/>
        <item x="701"/>
        <item x="887"/>
        <item x="448"/>
        <item x="345"/>
        <item x="620"/>
        <item x="469"/>
        <item x="44"/>
        <item x="503"/>
        <item x="626"/>
        <item x="421"/>
        <item x="88"/>
        <item x="8"/>
        <item x="468"/>
        <item x="523"/>
        <item x="869"/>
        <item x="312"/>
        <item x="39"/>
        <item x="304"/>
        <item x="424"/>
        <item x="714"/>
        <item x="800"/>
        <item x="838"/>
        <item x="639"/>
        <item x="67"/>
        <item x="15"/>
        <item x="788"/>
        <item x="710"/>
        <item x="495"/>
        <item x="677"/>
        <item x="832"/>
        <item x="781"/>
        <item x="868"/>
        <item x="199"/>
        <item x="260"/>
        <item x="670"/>
        <item x="224"/>
        <item x="885"/>
        <item x="61"/>
        <item x="858"/>
        <item x="271"/>
        <item x="125"/>
        <item x="262"/>
        <item x="816"/>
        <item x="314"/>
        <item x="115"/>
        <item x="572"/>
        <item x="472"/>
        <item x="839"/>
        <item x="401"/>
        <item x="409"/>
        <item x="769"/>
        <item x="478"/>
        <item x="338"/>
        <item x="746"/>
        <item x="242"/>
        <item x="295"/>
        <item x="827"/>
        <item x="94"/>
        <item x="884"/>
        <item x="254"/>
        <item x="502"/>
        <item x="377"/>
        <item x="420"/>
        <item x="190"/>
        <item x="193"/>
        <item x="471"/>
        <item x="182"/>
        <item x="48"/>
        <item x="545"/>
        <item x="565"/>
        <item x="280"/>
        <item x="657"/>
        <item x="110"/>
        <item x="476"/>
        <item x="773"/>
        <item x="333"/>
        <item x="217"/>
        <item x="200"/>
        <item x="777"/>
        <item x="749"/>
        <item x="46"/>
        <item x="157"/>
        <item x="736"/>
        <item x="836"/>
        <item x="218"/>
        <item x="601"/>
        <item x="143"/>
        <item x="860"/>
        <item x="627"/>
        <item x="198"/>
        <item x="678"/>
        <item x="54"/>
        <item x="335"/>
        <item x="419"/>
        <item x="772"/>
        <item x="117"/>
        <item x="864"/>
        <item x="126"/>
        <item x="310"/>
        <item x="498"/>
        <item x="394"/>
        <item x="640"/>
        <item x="703"/>
        <item x="273"/>
        <item x="32"/>
        <item x="135"/>
        <item x="180"/>
        <item x="176"/>
        <item x="184"/>
        <item x="525"/>
        <item x="618"/>
        <item x="360"/>
        <item x="708"/>
        <item x="76"/>
        <item x="391"/>
        <item x="220"/>
        <item x="528"/>
        <item x="642"/>
        <item x="796"/>
        <item x="561"/>
        <item x="167"/>
        <item x="530"/>
        <item x="581"/>
        <item x="484"/>
        <item x="375"/>
        <item x="605"/>
        <item x="427"/>
        <item x="352"/>
        <item x="175"/>
        <item x="104"/>
        <item x="119"/>
        <item x="793"/>
        <item x="303"/>
        <item x="449"/>
        <item x="510"/>
        <item x="768"/>
        <item x="875"/>
        <item x="300"/>
        <item x="444"/>
        <item x="74"/>
        <item x="328"/>
        <item x="274"/>
        <item x="844"/>
        <item x="706"/>
        <item x="69"/>
        <item x="896"/>
        <item x="454"/>
        <item x="37"/>
        <item x="825"/>
        <item x="114"/>
        <item x="159"/>
        <item x="185"/>
        <item x="62"/>
        <item x="632"/>
        <item x="293"/>
        <item x="680"/>
        <item x="811"/>
        <item x="687"/>
        <item x="771"/>
        <item x="346"/>
        <item x="215"/>
        <item x="136"/>
        <item x="849"/>
        <item x="318"/>
        <item x="358"/>
        <item x="285"/>
        <item x="211"/>
        <item x="862"/>
        <item x="219"/>
        <item x="229"/>
        <item x="194"/>
        <item x="754"/>
        <item x="130"/>
        <item x="820"/>
        <item x="152"/>
        <item x="118"/>
        <item x="25"/>
        <item x="481"/>
        <item x="878"/>
        <item x="387"/>
        <item x="275"/>
        <item x="843"/>
        <item x="728"/>
        <item x="450"/>
        <item x="557"/>
        <item x="63"/>
        <item x="169"/>
        <item x="226"/>
        <item x="752"/>
        <item x="206"/>
        <item x="666"/>
        <item x="87"/>
        <item x="27"/>
        <item x="518"/>
        <item x="487"/>
        <item x="674"/>
        <item x="724"/>
        <item x="45"/>
        <item x="251"/>
        <item x="122"/>
        <item x="278"/>
        <item x="774"/>
        <item x="341"/>
        <item x="667"/>
        <item x="141"/>
        <item x="856"/>
        <item x="491"/>
        <item x="720"/>
        <item x="452"/>
        <item x="68"/>
        <item x="223"/>
        <item x="717"/>
        <item x="237"/>
        <item x="132"/>
        <item x="256"/>
        <item x="306"/>
        <item x="364"/>
        <item x="2"/>
        <item x="342"/>
        <item x="240"/>
        <item x="97"/>
        <item x="633"/>
        <item x="158"/>
        <item x="501"/>
        <item x="809"/>
        <item x="817"/>
        <item x="121"/>
        <item x="124"/>
        <item x="654"/>
        <item x="416"/>
        <item x="255"/>
        <item x="459"/>
        <item x="637"/>
        <item x="718"/>
        <item x="698"/>
        <item x="81"/>
        <item x="12"/>
        <item x="56"/>
        <item x="488"/>
        <item x="348"/>
        <item x="378"/>
        <item x="764"/>
        <item x="880"/>
        <item x="648"/>
        <item x="297"/>
        <item x="656"/>
        <item x="393"/>
        <item x="347"/>
        <item x="19"/>
        <item x="513"/>
        <item x="233"/>
        <item x="767"/>
        <item x="196"/>
        <item x="516"/>
        <item x="675"/>
        <item x="759"/>
        <item x="147"/>
        <item x="713"/>
        <item x="336"/>
        <item x="475"/>
        <item x="246"/>
        <item x="177"/>
        <item x="161"/>
        <item x="337"/>
        <item x="453"/>
        <item x="445"/>
        <item x="883"/>
        <item x="72"/>
        <item x="659"/>
        <item x="760"/>
        <item x="845"/>
        <item x="435"/>
        <item x="729"/>
        <item x="96"/>
        <item x="623"/>
        <item x="598"/>
        <item x="1"/>
        <item x="249"/>
        <item x="40"/>
        <item x="815"/>
        <item x="694"/>
        <item x="340"/>
        <item x="456"/>
        <item x="425"/>
        <item x="156"/>
        <item x="109"/>
        <item x="614"/>
        <item x="538"/>
        <item x="47"/>
        <item x="144"/>
        <item x="558"/>
        <item x="417"/>
        <item x="486"/>
        <item x="408"/>
        <item x="900"/>
        <item x="837"/>
        <item x="187"/>
        <item x="527"/>
        <item x="98"/>
        <item x="286"/>
        <item x="221"/>
        <item x="11"/>
        <item x="90"/>
        <item x="790"/>
        <item x="566"/>
        <item x="290"/>
        <item x="225"/>
        <item x="564"/>
        <item x="311"/>
        <item x="16"/>
        <item x="766"/>
        <item x="153"/>
        <item x="828"/>
        <item x="241"/>
        <item x="630"/>
        <item x="719"/>
        <item x="202"/>
        <item x="574"/>
        <item x="263"/>
        <item x="294"/>
        <item x="356"/>
        <item x="504"/>
        <item x="441"/>
        <item x="350"/>
        <item x="551"/>
        <item x="332"/>
        <item x="473"/>
        <item x="753"/>
        <item x="576"/>
        <item x="370"/>
        <item x="665"/>
        <item x="89"/>
        <item x="649"/>
        <item x="411"/>
        <item x="212"/>
        <item x="804"/>
        <item x="881"/>
        <item x="461"/>
        <item x="628"/>
        <item x="3"/>
        <item x="610"/>
        <item x="451"/>
        <item x="467"/>
        <item x="692"/>
        <item x="695"/>
        <item x="886"/>
        <item x="833"/>
        <item x="586"/>
        <item x="691"/>
        <item x="512"/>
        <item x="455"/>
        <item x="485"/>
        <item x="739"/>
        <item x="288"/>
        <item x="743"/>
        <item x="188"/>
        <item x="50"/>
        <item x="531"/>
        <item x="148"/>
        <item x="308"/>
        <item x="801"/>
        <item x="131"/>
        <item x="756"/>
        <item x="183"/>
        <item x="870"/>
        <item x="272"/>
        <item x="465"/>
        <item x="857"/>
        <item x="549"/>
        <item x="874"/>
        <item x="230"/>
        <item x="782"/>
        <item x="483"/>
        <item x="715"/>
        <item x="466"/>
        <item x="621"/>
        <item x="882"/>
        <item x="5"/>
        <item x="672"/>
        <item x="316"/>
        <item x="663"/>
        <item x="95"/>
        <item x="82"/>
        <item x="798"/>
        <item x="888"/>
        <item x="296"/>
        <item x="588"/>
        <item x="770"/>
        <item x="722"/>
        <item x="700"/>
        <item x="899"/>
        <item x="392"/>
        <item x="748"/>
        <item x="464"/>
        <item x="388"/>
        <item x="70"/>
        <item x="36"/>
        <item x="818"/>
        <item x="247"/>
        <item x="758"/>
        <item x="853"/>
        <item x="704"/>
        <item x="515"/>
        <item x="257"/>
        <item x="795"/>
        <item x="374"/>
        <item x="730"/>
        <item x="707"/>
        <item x="426"/>
        <item x="539"/>
        <item x="625"/>
        <item x="407"/>
        <item x="146"/>
        <item x="34"/>
        <item x="282"/>
        <item x="205"/>
        <item x="179"/>
        <item x="26"/>
        <item x="589"/>
        <item x="363"/>
        <item x="325"/>
        <item x="537"/>
        <item x="353"/>
        <item x="331"/>
        <item x="741"/>
        <item x="276"/>
        <item x="877"/>
        <item x="897"/>
        <item x="522"/>
        <item x="173"/>
        <item x="222"/>
        <item x="829"/>
        <item x="259"/>
        <item x="405"/>
        <item x="737"/>
        <item x="168"/>
        <item x="555"/>
        <item x="901"/>
        <item x="599"/>
        <item x="511"/>
        <item x="307"/>
        <item x="434"/>
        <item x="431"/>
        <item x="600"/>
        <item x="608"/>
        <item x="814"/>
        <item x="619"/>
        <item x="269"/>
        <item x="651"/>
        <item x="470"/>
        <item x="854"/>
        <item x="120"/>
        <item x="492"/>
        <item x="399"/>
        <item x="480"/>
        <item x="544"/>
        <item x="344"/>
        <item x="292"/>
        <item x="103"/>
        <item x="819"/>
        <item x="442"/>
        <item x="457"/>
        <item x="186"/>
        <item x="622"/>
        <item x="534"/>
        <item x="395"/>
        <item x="327"/>
        <item x="0"/>
        <item x="810"/>
        <item x="892"/>
        <item x="368"/>
        <item x="463"/>
        <item x="49"/>
        <item x="150"/>
        <item x="705"/>
        <item x="606"/>
        <item x="891"/>
        <item x="75"/>
        <item x="807"/>
        <item x="548"/>
        <item x="436"/>
        <item x="872"/>
        <item x="571"/>
        <item x="607"/>
        <item x="149"/>
        <item x="852"/>
        <item x="418"/>
        <item x="813"/>
        <item x="775"/>
        <item x="596"/>
        <item x="323"/>
        <item x="210"/>
        <item x="7"/>
        <item x="507"/>
        <item x="673"/>
        <item x="763"/>
        <item x="540"/>
        <item x="578"/>
        <item x="235"/>
        <item x="734"/>
        <item x="403"/>
        <item x="422"/>
        <item x="213"/>
        <item x="562"/>
        <item x="20"/>
        <item x="53"/>
        <item x="128"/>
        <item x="253"/>
        <item x="590"/>
        <item x="207"/>
        <item x="279"/>
        <item x="505"/>
        <item x="876"/>
        <item x="803"/>
        <item x="105"/>
        <item x="191"/>
        <item x="43"/>
        <item x="108"/>
        <item x="320"/>
        <item x="744"/>
        <item x="334"/>
        <item x="100"/>
        <item x="745"/>
        <item x="123"/>
        <item x="238"/>
        <item x="155"/>
        <item x="650"/>
        <item x="329"/>
        <item x="55"/>
        <item x="85"/>
        <item x="831"/>
        <item x="873"/>
        <item x="302"/>
        <item x="14"/>
        <item x="735"/>
        <item x="428"/>
        <item x="747"/>
        <item x="396"/>
        <item x="458"/>
        <item x="383"/>
        <item x="776"/>
        <item x="613"/>
        <item x="851"/>
        <item x="847"/>
        <item x="550"/>
        <item x="636"/>
        <item x="58"/>
        <item x="181"/>
        <item x="171"/>
        <item x="86"/>
        <item x="751"/>
        <item x="634"/>
        <item x="397"/>
        <item x="116"/>
        <item x="151"/>
        <item x="129"/>
        <item x="79"/>
        <item x="252"/>
        <item x="343"/>
        <item x="66"/>
        <item x="755"/>
        <item x="784"/>
        <item x="733"/>
        <item x="382"/>
        <item x="429"/>
        <item x="443"/>
        <item x="535"/>
        <item x="584"/>
        <item x="52"/>
        <item x="822"/>
        <item x="791"/>
        <item x="834"/>
        <item x="6"/>
        <item x="592"/>
        <item x="102"/>
        <item x="835"/>
        <item x="440"/>
        <item x="164"/>
        <item x="349"/>
        <item x="78"/>
        <item x="683"/>
        <item x="547"/>
        <item x="646"/>
        <item x="658"/>
        <item x="638"/>
        <item x="894"/>
        <item x="821"/>
        <item x="669"/>
        <item x="324"/>
        <item x="655"/>
        <item x="60"/>
        <item x="508"/>
        <item x="664"/>
        <item x="380"/>
        <item x="526"/>
        <item x="57"/>
        <item x="841"/>
        <item x="413"/>
        <item x="410"/>
        <item x="400"/>
        <item x="317"/>
        <item x="319"/>
        <item x="216"/>
        <item x="41"/>
        <item x="203"/>
        <item x="189"/>
        <item x="447"/>
        <item x="430"/>
        <item x="762"/>
        <item x="765"/>
        <item x="693"/>
        <item x="546"/>
        <item x="573"/>
        <item x="367"/>
        <item x="474"/>
        <item x="59"/>
        <item x="579"/>
        <item x="556"/>
        <item x="560"/>
        <item x="867"/>
        <item x="570"/>
        <item x="145"/>
        <item x="10"/>
        <item x="4"/>
        <item x="624"/>
        <item x="404"/>
        <item x="580"/>
        <item x="682"/>
        <item x="201"/>
        <item x="321"/>
        <item x="732"/>
        <item x="162"/>
        <item x="489"/>
        <item x="861"/>
        <item x="138"/>
        <item x="702"/>
        <item x="373"/>
        <item x="799"/>
        <item x="287"/>
        <item x="893"/>
        <item x="460"/>
        <item x="808"/>
        <item x="228"/>
        <item x="446"/>
        <item x="553"/>
        <item x="609"/>
        <item x="494"/>
        <item x="519"/>
        <item x="172"/>
        <item x="22"/>
        <item x="209"/>
        <item x="42"/>
        <item x="521"/>
        <item x="676"/>
        <item x="13"/>
        <item x="258"/>
        <item x="542"/>
        <item x="689"/>
        <item x="593"/>
        <item x="437"/>
        <item x="99"/>
        <item x="268"/>
        <item x="174"/>
        <item x="647"/>
        <item x="433"/>
        <item x="482"/>
        <item x="604"/>
        <item x="726"/>
        <item x="611"/>
        <item x="731"/>
        <item x="376"/>
        <item x="291"/>
        <item x="243"/>
        <item x="668"/>
        <item x="569"/>
        <item x="299"/>
        <item x="379"/>
        <item x="786"/>
        <item x="779"/>
        <item x="31"/>
        <item x="439"/>
        <item x="80"/>
        <item x="644"/>
        <item x="289"/>
        <item x="91"/>
        <item x="9"/>
        <item x="652"/>
        <item x="415"/>
        <item x="568"/>
        <item x="139"/>
        <item x="112"/>
        <item x="848"/>
        <item x="879"/>
        <item x="595"/>
        <item x="805"/>
        <item x="721"/>
        <item x="865"/>
        <item x="371"/>
        <item x="617"/>
        <item x="725"/>
        <item x="261"/>
        <item x="389"/>
        <item x="554"/>
        <item x="192"/>
        <item x="30"/>
        <item x="165"/>
        <item x="509"/>
        <item x="594"/>
        <item x="232"/>
        <item x="315"/>
        <item x="248"/>
        <item x="506"/>
        <item x="166"/>
        <item x="757"/>
        <item x="585"/>
        <item x="742"/>
        <item x="783"/>
        <item x="283"/>
        <item x="477"/>
        <item x="792"/>
        <item x="140"/>
        <item x="684"/>
        <item x="661"/>
        <item x="685"/>
        <item x="823"/>
        <item x="552"/>
        <item x="612"/>
        <item x="386"/>
        <item x="497"/>
        <item x="789"/>
        <item x="517"/>
        <item x="641"/>
        <item x="423"/>
        <item x="889"/>
        <item x="802"/>
        <item t="default"/>
      </items>
    </pivotField>
    <pivotField showAll="0"/>
    <pivotField showAll="0"/>
    <pivotField showAll="0"/>
    <pivotField showAll="0"/>
    <pivotField axis="axisPage" multipleItemSelectionAllowed="1" showAll="0">
      <items count="13">
        <item x="4"/>
        <item x="2"/>
        <item h="1" x="1"/>
        <item h="1" x="8"/>
        <item h="1" x="10"/>
        <item h="1" x="7"/>
        <item h="1" x="6"/>
        <item h="1" x="11"/>
        <item x="0"/>
        <item h="1" x="9"/>
        <item x="3"/>
        <item x="5"/>
        <item t="default"/>
      </items>
    </pivotField>
    <pivotField showAll="0"/>
    <pivotField axis="axisCol" showAll="0" measureFilter="1" sortType="ascending">
      <items count="124">
        <item x="13"/>
        <item x="34"/>
        <item x="24"/>
        <item x="88"/>
        <item x="96"/>
        <item x="74"/>
        <item x="51"/>
        <item x="81"/>
        <item x="45"/>
        <item x="97"/>
        <item x="89"/>
        <item x="94"/>
        <item x="109"/>
        <item x="5"/>
        <item x="72"/>
        <item x="27"/>
        <item x="30"/>
        <item x="85"/>
        <item x="107"/>
        <item x="55"/>
        <item x="22"/>
        <item x="48"/>
        <item x="65"/>
        <item x="73"/>
        <item x="104"/>
        <item x="79"/>
        <item x="86"/>
        <item x="83"/>
        <item x="116"/>
        <item x="115"/>
        <item x="8"/>
        <item x="58"/>
        <item x="54"/>
        <item x="53"/>
        <item x="95"/>
        <item x="77"/>
        <item x="2"/>
        <item x="92"/>
        <item x="25"/>
        <item x="36"/>
        <item x="4"/>
        <item x="47"/>
        <item x="50"/>
        <item x="67"/>
        <item x="20"/>
        <item x="99"/>
        <item x="63"/>
        <item x="0"/>
        <item x="3"/>
        <item x="9"/>
        <item x="12"/>
        <item x="1"/>
        <item x="6"/>
        <item x="101"/>
        <item x="23"/>
        <item x="93"/>
        <item x="100"/>
        <item x="7"/>
        <item x="43"/>
        <item x="69"/>
        <item x="110"/>
        <item x="17"/>
        <item x="114"/>
        <item x="68"/>
        <item x="90"/>
        <item x="29"/>
        <item x="91"/>
        <item x="11"/>
        <item x="57"/>
        <item x="119"/>
        <item x="46"/>
        <item x="41"/>
        <item x="33"/>
        <item x="108"/>
        <item x="113"/>
        <item x="112"/>
        <item x="71"/>
        <item x="26"/>
        <item x="121"/>
        <item x="61"/>
        <item x="75"/>
        <item x="15"/>
        <item x="16"/>
        <item x="66"/>
        <item x="19"/>
        <item x="62"/>
        <item x="103"/>
        <item x="102"/>
        <item x="38"/>
        <item x="84"/>
        <item x="87"/>
        <item x="120"/>
        <item x="28"/>
        <item x="106"/>
        <item x="37"/>
        <item x="118"/>
        <item x="14"/>
        <item x="18"/>
        <item x="56"/>
        <item x="44"/>
        <item x="42"/>
        <item x="35"/>
        <item x="80"/>
        <item x="31"/>
        <item x="32"/>
        <item x="70"/>
        <item x="21"/>
        <item x="60"/>
        <item x="78"/>
        <item x="49"/>
        <item x="76"/>
        <item x="10"/>
        <item x="111"/>
        <item x="98"/>
        <item x="64"/>
        <item x="39"/>
        <item x="122"/>
        <item x="52"/>
        <item x="82"/>
        <item x="59"/>
        <item x="117"/>
        <item x="105"/>
        <item x="40"/>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9">
        <item h="1" x="6"/>
        <item h="1" x="0"/>
        <item x="1"/>
        <item h="1" x="7"/>
        <item x="3"/>
        <item h="1" x="5"/>
        <item x="4"/>
        <item h="1" x="2"/>
        <item t="default"/>
      </items>
    </pivotField>
    <pivotField showAll="0"/>
    <pivotField showAll="0"/>
    <pivotField showAll="0"/>
    <pivotField dataField="1" showAll="0"/>
    <pivotField axis="axisPage" multipleItemSelectionAllowed="1" showAll="0">
      <items count="5">
        <item h="1" x="2"/>
        <item h="1" x="3"/>
        <item h="1" x="1"/>
        <item x="0"/>
        <item t="default"/>
      </items>
    </pivotField>
    <pivotField showAll="0"/>
    <pivotField axis="axisPage" multipleItemSelectionAllowed="1" showAll="0">
      <items count="4">
        <item x="2"/>
        <item x="1"/>
        <item x="0"/>
        <item t="default"/>
      </items>
    </pivotField>
  </pivotFields>
  <rowItems count="1">
    <i/>
  </rowItems>
  <colFields count="1">
    <field x="9"/>
  </colFields>
  <colItems count="11">
    <i>
      <x v="84"/>
    </i>
    <i>
      <x v="26"/>
    </i>
    <i>
      <x v="27"/>
    </i>
    <i>
      <x v="48"/>
    </i>
    <i>
      <x v="3"/>
    </i>
    <i>
      <x v="109"/>
    </i>
    <i>
      <x v="37"/>
    </i>
    <i>
      <x v="10"/>
    </i>
    <i>
      <x v="17"/>
    </i>
    <i>
      <x v="90"/>
    </i>
    <i t="grand">
      <x/>
    </i>
  </colItems>
  <pageFields count="6">
    <pageField fld="16" hier="-1"/>
    <pageField fld="0" hier="-1"/>
    <pageField fld="7" hier="-1"/>
    <pageField fld="2" hier="-1"/>
    <pageField fld="18" hier="-1"/>
    <pageField fld="11" hier="-1"/>
  </pageFields>
  <dataFields count="1">
    <dataField name="Sum of Quantity / Quantité" fld="15" baseField="0" baseItem="0"/>
  </dataFields>
  <chartFormats count="271">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24"/>
          </reference>
        </references>
      </pivotArea>
    </chartFormat>
    <chartFormat chart="0" format="25" series="1">
      <pivotArea type="data" outline="0" fieldPosition="0">
        <references count="2">
          <reference field="4294967294" count="1" selected="0">
            <x v="0"/>
          </reference>
          <reference field="0" count="1" selected="0">
            <x v="25"/>
          </reference>
        </references>
      </pivotArea>
    </chartFormat>
    <chartFormat chart="0" format="26" series="1">
      <pivotArea type="data" outline="0" fieldPosition="0">
        <references count="2">
          <reference field="4294967294" count="1" selected="0">
            <x v="0"/>
          </reference>
          <reference field="0" count="1" selected="0">
            <x v="26"/>
          </reference>
        </references>
      </pivotArea>
    </chartFormat>
    <chartFormat chart="0" format="27" series="1">
      <pivotArea type="data" outline="0" fieldPosition="0">
        <references count="2">
          <reference field="4294967294" count="1" selected="0">
            <x v="0"/>
          </reference>
          <reference field="0" count="1" selected="0">
            <x v="27"/>
          </reference>
        </references>
      </pivotArea>
    </chartFormat>
    <chartFormat chart="0" format="28" series="1">
      <pivotArea type="data" outline="0" fieldPosition="0">
        <references count="2">
          <reference field="4294967294" count="1" selected="0">
            <x v="0"/>
          </reference>
          <reference field="0" count="1" selected="0">
            <x v="28"/>
          </reference>
        </references>
      </pivotArea>
    </chartFormat>
    <chartFormat chart="0" format="29" series="1">
      <pivotArea type="data" outline="0" fieldPosition="0">
        <references count="2">
          <reference field="4294967294" count="1" selected="0">
            <x v="0"/>
          </reference>
          <reference field="0" count="1" selected="0">
            <x v="29"/>
          </reference>
        </references>
      </pivotArea>
    </chartFormat>
    <chartFormat chart="0" format="30" series="1">
      <pivotArea type="data" outline="0" fieldPosition="0">
        <references count="2">
          <reference field="4294967294" count="1" selected="0">
            <x v="0"/>
          </reference>
          <reference field="0" count="1" selected="0">
            <x v="30"/>
          </reference>
        </references>
      </pivotArea>
    </chartFormat>
    <chartFormat chart="0" format="127" series="1">
      <pivotArea type="data" outline="0" fieldPosition="0">
        <references count="1">
          <reference field="4294967294" count="1" selected="0">
            <x v="0"/>
          </reference>
        </references>
      </pivotArea>
    </chartFormat>
    <chartFormat chart="0" format="128" series="1">
      <pivotArea type="data" outline="0" fieldPosition="0">
        <references count="2">
          <reference field="4294967294" count="1" selected="0">
            <x v="0"/>
          </reference>
          <reference field="9" count="1" selected="0">
            <x v="121"/>
          </reference>
        </references>
      </pivotArea>
    </chartFormat>
    <chartFormat chart="0" format="129" series="1">
      <pivotArea type="data" outline="0" fieldPosition="0">
        <references count="2">
          <reference field="4294967294" count="1" selected="0">
            <x v="0"/>
          </reference>
          <reference field="9" count="1" selected="0">
            <x v="120"/>
          </reference>
        </references>
      </pivotArea>
    </chartFormat>
    <chartFormat chart="0" format="130" series="1">
      <pivotArea type="data" outline="0" fieldPosition="0">
        <references count="2">
          <reference field="4294967294" count="1" selected="0">
            <x v="0"/>
          </reference>
          <reference field="9" count="1" selected="0">
            <x v="119"/>
          </reference>
        </references>
      </pivotArea>
    </chartFormat>
    <chartFormat chart="0" format="131" series="1">
      <pivotArea type="data" outline="0" fieldPosition="0">
        <references count="2">
          <reference field="4294967294" count="1" selected="0">
            <x v="0"/>
          </reference>
          <reference field="9" count="1" selected="0">
            <x v="118"/>
          </reference>
        </references>
      </pivotArea>
    </chartFormat>
    <chartFormat chart="0" format="132" series="1">
      <pivotArea type="data" outline="0" fieldPosition="0">
        <references count="2">
          <reference field="4294967294" count="1" selected="0">
            <x v="0"/>
          </reference>
          <reference field="9" count="1" selected="0">
            <x v="117"/>
          </reference>
        </references>
      </pivotArea>
    </chartFormat>
    <chartFormat chart="0" format="133" series="1">
      <pivotArea type="data" outline="0" fieldPosition="0">
        <references count="2">
          <reference field="4294967294" count="1" selected="0">
            <x v="0"/>
          </reference>
          <reference field="9" count="1" selected="0">
            <x v="116"/>
          </reference>
        </references>
      </pivotArea>
    </chartFormat>
    <chartFormat chart="0" format="134" series="1">
      <pivotArea type="data" outline="0" fieldPosition="0">
        <references count="2">
          <reference field="4294967294" count="1" selected="0">
            <x v="0"/>
          </reference>
          <reference field="9" count="1" selected="0">
            <x v="113"/>
          </reference>
        </references>
      </pivotArea>
    </chartFormat>
    <chartFormat chart="0" format="135" series="1">
      <pivotArea type="data" outline="0" fieldPosition="0">
        <references count="2">
          <reference field="4294967294" count="1" selected="0">
            <x v="0"/>
          </reference>
          <reference field="9" count="1" selected="0">
            <x v="112"/>
          </reference>
        </references>
      </pivotArea>
    </chartFormat>
    <chartFormat chart="0" format="136" series="1">
      <pivotArea type="data" outline="0" fieldPosition="0">
        <references count="2">
          <reference field="4294967294" count="1" selected="0">
            <x v="0"/>
          </reference>
          <reference field="9" count="1" selected="0">
            <x v="111"/>
          </reference>
        </references>
      </pivotArea>
    </chartFormat>
    <chartFormat chart="0" format="137" series="1">
      <pivotArea type="data" outline="0" fieldPosition="0">
        <references count="2">
          <reference field="4294967294" count="1" selected="0">
            <x v="0"/>
          </reference>
          <reference field="9" count="1" selected="0">
            <x v="110"/>
          </reference>
        </references>
      </pivotArea>
    </chartFormat>
    <chartFormat chart="0" format="138" series="1">
      <pivotArea type="data" outline="0" fieldPosition="0">
        <references count="2">
          <reference field="4294967294" count="1" selected="0">
            <x v="0"/>
          </reference>
          <reference field="9" count="1" selected="0">
            <x v="109"/>
          </reference>
        </references>
      </pivotArea>
    </chartFormat>
    <chartFormat chart="0" format="139" series="1">
      <pivotArea type="data" outline="0" fieldPosition="0">
        <references count="2">
          <reference field="4294967294" count="1" selected="0">
            <x v="0"/>
          </reference>
          <reference field="9" count="1" selected="0">
            <x v="108"/>
          </reference>
        </references>
      </pivotArea>
    </chartFormat>
    <chartFormat chart="0" format="140" series="1">
      <pivotArea type="data" outline="0" fieldPosition="0">
        <references count="2">
          <reference field="4294967294" count="1" selected="0">
            <x v="0"/>
          </reference>
          <reference field="9" count="1" selected="0">
            <x v="107"/>
          </reference>
        </references>
      </pivotArea>
    </chartFormat>
    <chartFormat chart="0" format="141" series="1">
      <pivotArea type="data" outline="0" fieldPosition="0">
        <references count="2">
          <reference field="4294967294" count="1" selected="0">
            <x v="0"/>
          </reference>
          <reference field="9" count="1" selected="0">
            <x v="106"/>
          </reference>
        </references>
      </pivotArea>
    </chartFormat>
    <chartFormat chart="0" format="142" series="1">
      <pivotArea type="data" outline="0" fieldPosition="0">
        <references count="2">
          <reference field="4294967294" count="1" selected="0">
            <x v="0"/>
          </reference>
          <reference field="9" count="1" selected="0">
            <x v="105"/>
          </reference>
        </references>
      </pivotArea>
    </chartFormat>
    <chartFormat chart="0" format="143" series="1">
      <pivotArea type="data" outline="0" fieldPosition="0">
        <references count="2">
          <reference field="4294967294" count="1" selected="0">
            <x v="0"/>
          </reference>
          <reference field="9" count="1" selected="0">
            <x v="103"/>
          </reference>
        </references>
      </pivotArea>
    </chartFormat>
    <chartFormat chart="0" format="144" series="1">
      <pivotArea type="data" outline="0" fieldPosition="0">
        <references count="2">
          <reference field="4294967294" count="1" selected="0">
            <x v="0"/>
          </reference>
          <reference field="9" count="1" selected="0">
            <x v="96"/>
          </reference>
        </references>
      </pivotArea>
    </chartFormat>
    <chartFormat chart="0" format="145" series="1">
      <pivotArea type="data" outline="0" fieldPosition="0">
        <references count="2">
          <reference field="4294967294" count="1" selected="0">
            <x v="0"/>
          </reference>
          <reference field="9" count="1" selected="0">
            <x v="95"/>
          </reference>
        </references>
      </pivotArea>
    </chartFormat>
    <chartFormat chart="0" format="146" series="1">
      <pivotArea type="data" outline="0" fieldPosition="0">
        <references count="2">
          <reference field="4294967294" count="1" selected="0">
            <x v="0"/>
          </reference>
          <reference field="9" count="1" selected="0">
            <x v="94"/>
          </reference>
        </references>
      </pivotArea>
    </chartFormat>
    <chartFormat chart="0" format="147" series="1">
      <pivotArea type="data" outline="0" fieldPosition="0">
        <references count="2">
          <reference field="4294967294" count="1" selected="0">
            <x v="0"/>
          </reference>
          <reference field="9" count="1" selected="0">
            <x v="93"/>
          </reference>
        </references>
      </pivotArea>
    </chartFormat>
    <chartFormat chart="0" format="148" series="1">
      <pivotArea type="data" outline="0" fieldPosition="0">
        <references count="2">
          <reference field="4294967294" count="1" selected="0">
            <x v="0"/>
          </reference>
          <reference field="9" count="1" selected="0">
            <x v="92"/>
          </reference>
        </references>
      </pivotArea>
    </chartFormat>
    <chartFormat chart="0" format="149" series="1">
      <pivotArea type="data" outline="0" fieldPosition="0">
        <references count="2">
          <reference field="4294967294" count="1" selected="0">
            <x v="0"/>
          </reference>
          <reference field="9" count="1" selected="0">
            <x v="91"/>
          </reference>
        </references>
      </pivotArea>
    </chartFormat>
    <chartFormat chart="0" format="150" series="1">
      <pivotArea type="data" outline="0" fieldPosition="0">
        <references count="2">
          <reference field="4294967294" count="1" selected="0">
            <x v="0"/>
          </reference>
          <reference field="9" count="1" selected="0">
            <x v="90"/>
          </reference>
        </references>
      </pivotArea>
    </chartFormat>
    <chartFormat chart="0" format="151" series="1">
      <pivotArea type="data" outline="0" fieldPosition="0">
        <references count="2">
          <reference field="4294967294" count="1" selected="0">
            <x v="0"/>
          </reference>
          <reference field="9" count="1" selected="0">
            <x v="89"/>
          </reference>
        </references>
      </pivotArea>
    </chartFormat>
    <chartFormat chart="0" format="152" series="1">
      <pivotArea type="data" outline="0" fieldPosition="0">
        <references count="2">
          <reference field="4294967294" count="1" selected="0">
            <x v="0"/>
          </reference>
          <reference field="9" count="1" selected="0">
            <x v="88"/>
          </reference>
        </references>
      </pivotArea>
    </chartFormat>
    <chartFormat chart="0" format="153" series="1">
      <pivotArea type="data" outline="0" fieldPosition="0">
        <references count="2">
          <reference field="4294967294" count="1" selected="0">
            <x v="0"/>
          </reference>
          <reference field="9" count="1" selected="0">
            <x v="87"/>
          </reference>
        </references>
      </pivotArea>
    </chartFormat>
    <chartFormat chart="0" format="154" series="1">
      <pivotArea type="data" outline="0" fieldPosition="0">
        <references count="2">
          <reference field="4294967294" count="1" selected="0">
            <x v="0"/>
          </reference>
          <reference field="9" count="1" selected="0">
            <x v="86"/>
          </reference>
        </references>
      </pivotArea>
    </chartFormat>
    <chartFormat chart="0" format="155" series="1">
      <pivotArea type="data" outline="0" fieldPosition="0">
        <references count="2">
          <reference field="4294967294" count="1" selected="0">
            <x v="0"/>
          </reference>
          <reference field="9" count="1" selected="0">
            <x v="85"/>
          </reference>
        </references>
      </pivotArea>
    </chartFormat>
    <chartFormat chart="0" format="156" series="1">
      <pivotArea type="data" outline="0" fieldPosition="0">
        <references count="2">
          <reference field="4294967294" count="1" selected="0">
            <x v="0"/>
          </reference>
          <reference field="9" count="1" selected="0">
            <x v="84"/>
          </reference>
        </references>
      </pivotArea>
    </chartFormat>
    <chartFormat chart="0" format="157" series="1">
      <pivotArea type="data" outline="0" fieldPosition="0">
        <references count="2">
          <reference field="4294967294" count="1" selected="0">
            <x v="0"/>
          </reference>
          <reference field="9" count="1" selected="0">
            <x v="82"/>
          </reference>
        </references>
      </pivotArea>
    </chartFormat>
    <chartFormat chart="0" format="158" series="1">
      <pivotArea type="data" outline="0" fieldPosition="0">
        <references count="2">
          <reference field="4294967294" count="1" selected="0">
            <x v="0"/>
          </reference>
          <reference field="9" count="1" selected="0">
            <x v="81"/>
          </reference>
        </references>
      </pivotArea>
    </chartFormat>
    <chartFormat chart="0" format="159" series="1">
      <pivotArea type="data" outline="0" fieldPosition="0">
        <references count="2">
          <reference field="4294967294" count="1" selected="0">
            <x v="0"/>
          </reference>
          <reference field="9" count="1" selected="0">
            <x v="80"/>
          </reference>
        </references>
      </pivotArea>
    </chartFormat>
    <chartFormat chart="0" format="160" series="1">
      <pivotArea type="data" outline="0" fieldPosition="0">
        <references count="2">
          <reference field="4294967294" count="1" selected="0">
            <x v="0"/>
          </reference>
          <reference field="9" count="1" selected="0">
            <x v="79"/>
          </reference>
        </references>
      </pivotArea>
    </chartFormat>
    <chartFormat chart="0" format="161" series="1">
      <pivotArea type="data" outline="0" fieldPosition="0">
        <references count="2">
          <reference field="4294967294" count="1" selected="0">
            <x v="0"/>
          </reference>
          <reference field="9" count="1" selected="0">
            <x v="78"/>
          </reference>
        </references>
      </pivotArea>
    </chartFormat>
    <chartFormat chart="0" format="162" series="1">
      <pivotArea type="data" outline="0" fieldPosition="0">
        <references count="2">
          <reference field="4294967294" count="1" selected="0">
            <x v="0"/>
          </reference>
          <reference field="9" count="1" selected="0">
            <x v="77"/>
          </reference>
        </references>
      </pivotArea>
    </chartFormat>
    <chartFormat chart="0" format="163" series="1">
      <pivotArea type="data" outline="0" fieldPosition="0">
        <references count="2">
          <reference field="4294967294" count="1" selected="0">
            <x v="0"/>
          </reference>
          <reference field="9" count="1" selected="0">
            <x v="76"/>
          </reference>
        </references>
      </pivotArea>
    </chartFormat>
    <chartFormat chart="0" format="164" series="1">
      <pivotArea type="data" outline="0" fieldPosition="0">
        <references count="2">
          <reference field="4294967294" count="1" selected="0">
            <x v="0"/>
          </reference>
          <reference field="9" count="1" selected="0">
            <x v="72"/>
          </reference>
        </references>
      </pivotArea>
    </chartFormat>
    <chartFormat chart="0" format="165" series="1">
      <pivotArea type="data" outline="0" fieldPosition="0">
        <references count="2">
          <reference field="4294967294" count="1" selected="0">
            <x v="0"/>
          </reference>
          <reference field="9" count="1" selected="0">
            <x v="71"/>
          </reference>
        </references>
      </pivotArea>
    </chartFormat>
    <chartFormat chart="0" format="166" series="1">
      <pivotArea type="data" outline="0" fieldPosition="0">
        <references count="2">
          <reference field="4294967294" count="1" selected="0">
            <x v="0"/>
          </reference>
          <reference field="9" count="1" selected="0">
            <x v="70"/>
          </reference>
        </references>
      </pivotArea>
    </chartFormat>
    <chartFormat chart="0" format="167" series="1">
      <pivotArea type="data" outline="0" fieldPosition="0">
        <references count="2">
          <reference field="4294967294" count="1" selected="0">
            <x v="0"/>
          </reference>
          <reference field="9" count="1" selected="0">
            <x v="69"/>
          </reference>
        </references>
      </pivotArea>
    </chartFormat>
    <chartFormat chart="0" format="168" series="1">
      <pivotArea type="data" outline="0" fieldPosition="0">
        <references count="2">
          <reference field="4294967294" count="1" selected="0">
            <x v="0"/>
          </reference>
          <reference field="9" count="1" selected="0">
            <x v="67"/>
          </reference>
        </references>
      </pivotArea>
    </chartFormat>
    <chartFormat chart="0" format="169" series="1">
      <pivotArea type="data" outline="0" fieldPosition="0">
        <references count="2">
          <reference field="4294967294" count="1" selected="0">
            <x v="0"/>
          </reference>
          <reference field="9" count="1" selected="0">
            <x v="66"/>
          </reference>
        </references>
      </pivotArea>
    </chartFormat>
    <chartFormat chart="0" format="170" series="1">
      <pivotArea type="data" outline="0" fieldPosition="0">
        <references count="2">
          <reference field="4294967294" count="1" selected="0">
            <x v="0"/>
          </reference>
          <reference field="9" count="1" selected="0">
            <x v="65"/>
          </reference>
        </references>
      </pivotArea>
    </chartFormat>
    <chartFormat chart="0" format="171" series="1">
      <pivotArea type="data" outline="0" fieldPosition="0">
        <references count="2">
          <reference field="4294967294" count="1" selected="0">
            <x v="0"/>
          </reference>
          <reference field="9" count="1" selected="0">
            <x v="64"/>
          </reference>
        </references>
      </pivotArea>
    </chartFormat>
    <chartFormat chart="0" format="172" series="1">
      <pivotArea type="data" outline="0" fieldPosition="0">
        <references count="2">
          <reference field="4294967294" count="1" selected="0">
            <x v="0"/>
          </reference>
          <reference field="9" count="1" selected="0">
            <x v="61"/>
          </reference>
        </references>
      </pivotArea>
    </chartFormat>
    <chartFormat chart="0" format="173" series="1">
      <pivotArea type="data" outline="0" fieldPosition="0">
        <references count="2">
          <reference field="4294967294" count="1" selected="0">
            <x v="0"/>
          </reference>
          <reference field="9" count="1" selected="0">
            <x v="60"/>
          </reference>
        </references>
      </pivotArea>
    </chartFormat>
    <chartFormat chart="0" format="174" series="1">
      <pivotArea type="data" outline="0" fieldPosition="0">
        <references count="2">
          <reference field="4294967294" count="1" selected="0">
            <x v="0"/>
          </reference>
          <reference field="9" count="1" selected="0">
            <x v="57"/>
          </reference>
        </references>
      </pivotArea>
    </chartFormat>
    <chartFormat chart="0" format="175" series="1">
      <pivotArea type="data" outline="0" fieldPosition="0">
        <references count="2">
          <reference field="4294967294" count="1" selected="0">
            <x v="0"/>
          </reference>
          <reference field="9" count="1" selected="0">
            <x v="56"/>
          </reference>
        </references>
      </pivotArea>
    </chartFormat>
    <chartFormat chart="0" format="176" series="1">
      <pivotArea type="data" outline="0" fieldPosition="0">
        <references count="2">
          <reference field="4294967294" count="1" selected="0">
            <x v="0"/>
          </reference>
          <reference field="9" count="1" selected="0">
            <x v="55"/>
          </reference>
        </references>
      </pivotArea>
    </chartFormat>
    <chartFormat chart="0" format="177" series="1">
      <pivotArea type="data" outline="0" fieldPosition="0">
        <references count="2">
          <reference field="4294967294" count="1" selected="0">
            <x v="0"/>
          </reference>
          <reference field="9" count="1" selected="0">
            <x v="54"/>
          </reference>
        </references>
      </pivotArea>
    </chartFormat>
    <chartFormat chart="0" format="178" series="1">
      <pivotArea type="data" outline="0" fieldPosition="0">
        <references count="2">
          <reference field="4294967294" count="1" selected="0">
            <x v="0"/>
          </reference>
          <reference field="9" count="1" selected="0">
            <x v="52"/>
          </reference>
        </references>
      </pivotArea>
    </chartFormat>
    <chartFormat chart="0" format="179" series="1">
      <pivotArea type="data" outline="0" fieldPosition="0">
        <references count="2">
          <reference field="4294967294" count="1" selected="0">
            <x v="0"/>
          </reference>
          <reference field="9" count="1" selected="0">
            <x v="51"/>
          </reference>
        </references>
      </pivotArea>
    </chartFormat>
    <chartFormat chart="0" format="180" series="1">
      <pivotArea type="data" outline="0" fieldPosition="0">
        <references count="2">
          <reference field="4294967294" count="1" selected="0">
            <x v="0"/>
          </reference>
          <reference field="9" count="1" selected="0">
            <x v="50"/>
          </reference>
        </references>
      </pivotArea>
    </chartFormat>
    <chartFormat chart="0" format="181" series="1">
      <pivotArea type="data" outline="0" fieldPosition="0">
        <references count="2">
          <reference field="4294967294" count="1" selected="0">
            <x v="0"/>
          </reference>
          <reference field="9" count="1" selected="0">
            <x v="48"/>
          </reference>
        </references>
      </pivotArea>
    </chartFormat>
    <chartFormat chart="0" format="182" series="1">
      <pivotArea type="data" outline="0" fieldPosition="0">
        <references count="2">
          <reference field="4294967294" count="1" selected="0">
            <x v="0"/>
          </reference>
          <reference field="9" count="1" selected="0">
            <x v="47"/>
          </reference>
        </references>
      </pivotArea>
    </chartFormat>
    <chartFormat chart="0" format="183" series="1">
      <pivotArea type="data" outline="0" fieldPosition="0">
        <references count="2">
          <reference field="4294967294" count="1" selected="0">
            <x v="0"/>
          </reference>
          <reference field="9" count="1" selected="0">
            <x v="46"/>
          </reference>
        </references>
      </pivotArea>
    </chartFormat>
    <chartFormat chart="0" format="184" series="1">
      <pivotArea type="data" outline="0" fieldPosition="0">
        <references count="2">
          <reference field="4294967294" count="1" selected="0">
            <x v="0"/>
          </reference>
          <reference field="9" count="1" selected="0">
            <x v="45"/>
          </reference>
        </references>
      </pivotArea>
    </chartFormat>
    <chartFormat chart="0" format="185" series="1">
      <pivotArea type="data" outline="0" fieldPosition="0">
        <references count="2">
          <reference field="4294967294" count="1" selected="0">
            <x v="0"/>
          </reference>
          <reference field="9" count="1" selected="0">
            <x v="44"/>
          </reference>
        </references>
      </pivotArea>
    </chartFormat>
    <chartFormat chart="0" format="186" series="1">
      <pivotArea type="data" outline="0" fieldPosition="0">
        <references count="2">
          <reference field="4294967294" count="1" selected="0">
            <x v="0"/>
          </reference>
          <reference field="9" count="1" selected="0">
            <x v="43"/>
          </reference>
        </references>
      </pivotArea>
    </chartFormat>
    <chartFormat chart="0" format="187" series="1">
      <pivotArea type="data" outline="0" fieldPosition="0">
        <references count="2">
          <reference field="4294967294" count="1" selected="0">
            <x v="0"/>
          </reference>
          <reference field="9" count="1" selected="0">
            <x v="42"/>
          </reference>
        </references>
      </pivotArea>
    </chartFormat>
    <chartFormat chart="0" format="188" series="1">
      <pivotArea type="data" outline="0" fieldPosition="0">
        <references count="2">
          <reference field="4294967294" count="1" selected="0">
            <x v="0"/>
          </reference>
          <reference field="9" count="1" selected="0">
            <x v="41"/>
          </reference>
        </references>
      </pivotArea>
    </chartFormat>
    <chartFormat chart="0" format="189" series="1">
      <pivotArea type="data" outline="0" fieldPosition="0">
        <references count="2">
          <reference field="4294967294" count="1" selected="0">
            <x v="0"/>
          </reference>
          <reference field="9" count="1" selected="0">
            <x v="40"/>
          </reference>
        </references>
      </pivotArea>
    </chartFormat>
    <chartFormat chart="0" format="190" series="1">
      <pivotArea type="data" outline="0" fieldPosition="0">
        <references count="2">
          <reference field="4294967294" count="1" selected="0">
            <x v="0"/>
          </reference>
          <reference field="9" count="1" selected="0">
            <x v="39"/>
          </reference>
        </references>
      </pivotArea>
    </chartFormat>
    <chartFormat chart="0" format="191" series="1">
      <pivotArea type="data" outline="0" fieldPosition="0">
        <references count="2">
          <reference field="4294967294" count="1" selected="0">
            <x v="0"/>
          </reference>
          <reference field="9" count="1" selected="0">
            <x v="38"/>
          </reference>
        </references>
      </pivotArea>
    </chartFormat>
    <chartFormat chart="0" format="192" series="1">
      <pivotArea type="data" outline="0" fieldPosition="0">
        <references count="2">
          <reference field="4294967294" count="1" selected="0">
            <x v="0"/>
          </reference>
          <reference field="9" count="1" selected="0">
            <x v="37"/>
          </reference>
        </references>
      </pivotArea>
    </chartFormat>
    <chartFormat chart="0" format="193" series="1">
      <pivotArea type="data" outline="0" fieldPosition="0">
        <references count="2">
          <reference field="4294967294" count="1" selected="0">
            <x v="0"/>
          </reference>
          <reference field="9" count="1" selected="0">
            <x v="36"/>
          </reference>
        </references>
      </pivotArea>
    </chartFormat>
    <chartFormat chart="0" format="194" series="1">
      <pivotArea type="data" outline="0" fieldPosition="0">
        <references count="2">
          <reference field="4294967294" count="1" selected="0">
            <x v="0"/>
          </reference>
          <reference field="9" count="1" selected="0">
            <x v="35"/>
          </reference>
        </references>
      </pivotArea>
    </chartFormat>
    <chartFormat chart="0" format="195" series="1">
      <pivotArea type="data" outline="0" fieldPosition="0">
        <references count="2">
          <reference field="4294967294" count="1" selected="0">
            <x v="0"/>
          </reference>
          <reference field="9" count="1" selected="0">
            <x v="31"/>
          </reference>
        </references>
      </pivotArea>
    </chartFormat>
    <chartFormat chart="0" format="196" series="1">
      <pivotArea type="data" outline="0" fieldPosition="0">
        <references count="2">
          <reference field="4294967294" count="1" selected="0">
            <x v="0"/>
          </reference>
          <reference field="9" count="1" selected="0">
            <x v="30"/>
          </reference>
        </references>
      </pivotArea>
    </chartFormat>
    <chartFormat chart="0" format="197" series="1">
      <pivotArea type="data" outline="0" fieldPosition="0">
        <references count="2">
          <reference field="4294967294" count="1" selected="0">
            <x v="0"/>
          </reference>
          <reference field="9" count="1" selected="0">
            <x v="29"/>
          </reference>
        </references>
      </pivotArea>
    </chartFormat>
    <chartFormat chart="0" format="198" series="1">
      <pivotArea type="data" outline="0" fieldPosition="0">
        <references count="2">
          <reference field="4294967294" count="1" selected="0">
            <x v="0"/>
          </reference>
          <reference field="9" count="1" selected="0">
            <x v="28"/>
          </reference>
        </references>
      </pivotArea>
    </chartFormat>
    <chartFormat chart="0" format="199" series="1">
      <pivotArea type="data" outline="0" fieldPosition="0">
        <references count="2">
          <reference field="4294967294" count="1" selected="0">
            <x v="0"/>
          </reference>
          <reference field="9" count="1" selected="0">
            <x v="27"/>
          </reference>
        </references>
      </pivotArea>
    </chartFormat>
    <chartFormat chart="0" format="200" series="1">
      <pivotArea type="data" outline="0" fieldPosition="0">
        <references count="2">
          <reference field="4294967294" count="1" selected="0">
            <x v="0"/>
          </reference>
          <reference field="9" count="1" selected="0">
            <x v="26"/>
          </reference>
        </references>
      </pivotArea>
    </chartFormat>
    <chartFormat chart="0" format="201" series="1">
      <pivotArea type="data" outline="0" fieldPosition="0">
        <references count="2">
          <reference field="4294967294" count="1" selected="0">
            <x v="0"/>
          </reference>
          <reference field="9" count="1" selected="0">
            <x v="25"/>
          </reference>
        </references>
      </pivotArea>
    </chartFormat>
    <chartFormat chart="0" format="202" series="1">
      <pivotArea type="data" outline="0" fieldPosition="0">
        <references count="2">
          <reference field="4294967294" count="1" selected="0">
            <x v="0"/>
          </reference>
          <reference field="9" count="1" selected="0">
            <x v="24"/>
          </reference>
        </references>
      </pivotArea>
    </chartFormat>
    <chartFormat chart="0" format="203" series="1">
      <pivotArea type="data" outline="0" fieldPosition="0">
        <references count="2">
          <reference field="4294967294" count="1" selected="0">
            <x v="0"/>
          </reference>
          <reference field="9" count="1" selected="0">
            <x v="20"/>
          </reference>
        </references>
      </pivotArea>
    </chartFormat>
    <chartFormat chart="0" format="204" series="1">
      <pivotArea type="data" outline="0" fieldPosition="0">
        <references count="2">
          <reference field="4294967294" count="1" selected="0">
            <x v="0"/>
          </reference>
          <reference field="9" count="1" selected="0">
            <x v="19"/>
          </reference>
        </references>
      </pivotArea>
    </chartFormat>
    <chartFormat chart="0" format="205" series="1">
      <pivotArea type="data" outline="0" fieldPosition="0">
        <references count="2">
          <reference field="4294967294" count="1" selected="0">
            <x v="0"/>
          </reference>
          <reference field="9" count="1" selected="0">
            <x v="18"/>
          </reference>
        </references>
      </pivotArea>
    </chartFormat>
    <chartFormat chart="0" format="206" series="1">
      <pivotArea type="data" outline="0" fieldPosition="0">
        <references count="2">
          <reference field="4294967294" count="1" selected="0">
            <x v="0"/>
          </reference>
          <reference field="9" count="1" selected="0">
            <x v="17"/>
          </reference>
        </references>
      </pivotArea>
    </chartFormat>
    <chartFormat chart="0" format="207" series="1">
      <pivotArea type="data" outline="0" fieldPosition="0">
        <references count="2">
          <reference field="4294967294" count="1" selected="0">
            <x v="0"/>
          </reference>
          <reference field="9" count="1" selected="0">
            <x v="16"/>
          </reference>
        </references>
      </pivotArea>
    </chartFormat>
    <chartFormat chart="0" format="208" series="1">
      <pivotArea type="data" outline="0" fieldPosition="0">
        <references count="2">
          <reference field="4294967294" count="1" selected="0">
            <x v="0"/>
          </reference>
          <reference field="9" count="1" selected="0">
            <x v="15"/>
          </reference>
        </references>
      </pivotArea>
    </chartFormat>
    <chartFormat chart="0" format="209" series="1">
      <pivotArea type="data" outline="0" fieldPosition="0">
        <references count="2">
          <reference field="4294967294" count="1" selected="0">
            <x v="0"/>
          </reference>
          <reference field="9" count="1" selected="0">
            <x v="13"/>
          </reference>
        </references>
      </pivotArea>
    </chartFormat>
    <chartFormat chart="0" format="210" series="1">
      <pivotArea type="data" outline="0" fieldPosition="0">
        <references count="2">
          <reference field="4294967294" count="1" selected="0">
            <x v="0"/>
          </reference>
          <reference field="9" count="1" selected="0">
            <x v="12"/>
          </reference>
        </references>
      </pivotArea>
    </chartFormat>
    <chartFormat chart="0" format="211" series="1">
      <pivotArea type="data" outline="0" fieldPosition="0">
        <references count="2">
          <reference field="4294967294" count="1" selected="0">
            <x v="0"/>
          </reference>
          <reference field="9" count="1" selected="0">
            <x v="11"/>
          </reference>
        </references>
      </pivotArea>
    </chartFormat>
    <chartFormat chart="0" format="212" series="1">
      <pivotArea type="data" outline="0" fieldPosition="0">
        <references count="2">
          <reference field="4294967294" count="1" selected="0">
            <x v="0"/>
          </reference>
          <reference field="9" count="1" selected="0">
            <x v="10"/>
          </reference>
        </references>
      </pivotArea>
    </chartFormat>
    <chartFormat chart="0" format="213" series="1">
      <pivotArea type="data" outline="0" fieldPosition="0">
        <references count="2">
          <reference field="4294967294" count="1" selected="0">
            <x v="0"/>
          </reference>
          <reference field="9" count="1" selected="0">
            <x v="9"/>
          </reference>
        </references>
      </pivotArea>
    </chartFormat>
    <chartFormat chart="0" format="214" series="1">
      <pivotArea type="data" outline="0" fieldPosition="0">
        <references count="2">
          <reference field="4294967294" count="1" selected="0">
            <x v="0"/>
          </reference>
          <reference field="9" count="1" selected="0">
            <x v="8"/>
          </reference>
        </references>
      </pivotArea>
    </chartFormat>
    <chartFormat chart="0" format="215" series="1">
      <pivotArea type="data" outline="0" fieldPosition="0">
        <references count="2">
          <reference field="4294967294" count="1" selected="0">
            <x v="0"/>
          </reference>
          <reference field="9" count="1" selected="0">
            <x v="7"/>
          </reference>
        </references>
      </pivotArea>
    </chartFormat>
    <chartFormat chart="0" format="216" series="1">
      <pivotArea type="data" outline="0" fieldPosition="0">
        <references count="2">
          <reference field="4294967294" count="1" selected="0">
            <x v="0"/>
          </reference>
          <reference field="9" count="1" selected="0">
            <x v="6"/>
          </reference>
        </references>
      </pivotArea>
    </chartFormat>
    <chartFormat chart="0" format="217" series="1">
      <pivotArea type="data" outline="0" fieldPosition="0">
        <references count="2">
          <reference field="4294967294" count="1" selected="0">
            <x v="0"/>
          </reference>
          <reference field="9" count="1" selected="0">
            <x v="5"/>
          </reference>
        </references>
      </pivotArea>
    </chartFormat>
    <chartFormat chart="0" format="218" series="1">
      <pivotArea type="data" outline="0" fieldPosition="0">
        <references count="2">
          <reference field="4294967294" count="1" selected="0">
            <x v="0"/>
          </reference>
          <reference field="9" count="1" selected="0">
            <x v="4"/>
          </reference>
        </references>
      </pivotArea>
    </chartFormat>
    <chartFormat chart="0" format="219" series="1">
      <pivotArea type="data" outline="0" fieldPosition="0">
        <references count="2">
          <reference field="4294967294" count="1" selected="0">
            <x v="0"/>
          </reference>
          <reference field="9" count="1" selected="0">
            <x v="3"/>
          </reference>
        </references>
      </pivotArea>
    </chartFormat>
    <chartFormat chart="0" format="220" series="1">
      <pivotArea type="data" outline="0" fieldPosition="0">
        <references count="2">
          <reference field="4294967294" count="1" selected="0">
            <x v="0"/>
          </reference>
          <reference field="9" count="1" selected="0">
            <x v="2"/>
          </reference>
        </references>
      </pivotArea>
    </chartFormat>
    <chartFormat chart="0" format="221" series="1">
      <pivotArea type="data" outline="0" fieldPosition="0">
        <references count="2">
          <reference field="4294967294" count="1" selected="0">
            <x v="0"/>
          </reference>
          <reference field="9" count="1" selected="0">
            <x v="1"/>
          </reference>
        </references>
      </pivotArea>
    </chartFormat>
    <chartFormat chart="0" format="222" series="1">
      <pivotArea type="data" outline="0" fieldPosition="0">
        <references count="2">
          <reference field="4294967294" count="1" selected="0">
            <x v="0"/>
          </reference>
          <reference field="9" count="1" selected="0">
            <x v="0"/>
          </reference>
        </references>
      </pivotArea>
    </chartFormat>
    <chartFormat chart="5" format="277" series="1">
      <pivotArea type="data" outline="0" fieldPosition="0">
        <references count="2">
          <reference field="4294967294" count="1" selected="0">
            <x v="0"/>
          </reference>
          <reference field="9" count="1" selected="0">
            <x v="109"/>
          </reference>
        </references>
      </pivotArea>
    </chartFormat>
    <chartFormat chart="5" format="278" series="1">
      <pivotArea type="data" outline="0" fieldPosition="0">
        <references count="2">
          <reference field="4294967294" count="1" selected="0">
            <x v="0"/>
          </reference>
          <reference field="9" count="1" selected="0">
            <x v="105"/>
          </reference>
        </references>
      </pivotArea>
    </chartFormat>
    <chartFormat chart="5" format="279" series="1">
      <pivotArea type="data" outline="0" fieldPosition="0">
        <references count="2">
          <reference field="4294967294" count="1" selected="0">
            <x v="0"/>
          </reference>
          <reference field="9" count="1" selected="0">
            <x v="84"/>
          </reference>
        </references>
      </pivotArea>
    </chartFormat>
    <chartFormat chart="5" format="280" series="1">
      <pivotArea type="data" outline="0" fieldPosition="0">
        <references count="2">
          <reference field="4294967294" count="1" selected="0">
            <x v="0"/>
          </reference>
          <reference field="9" count="1" selected="0">
            <x v="81"/>
          </reference>
        </references>
      </pivotArea>
    </chartFormat>
    <chartFormat chart="5" format="281" series="1">
      <pivotArea type="data" outline="0" fieldPosition="0">
        <references count="2">
          <reference field="4294967294" count="1" selected="0">
            <x v="0"/>
          </reference>
          <reference field="9" count="1" selected="0">
            <x v="52"/>
          </reference>
        </references>
      </pivotArea>
    </chartFormat>
    <chartFormat chart="5" format="282" series="1">
      <pivotArea type="data" outline="0" fieldPosition="0">
        <references count="2">
          <reference field="4294967294" count="1" selected="0">
            <x v="0"/>
          </reference>
          <reference field="9" count="1" selected="0">
            <x v="50"/>
          </reference>
        </references>
      </pivotArea>
    </chartFormat>
    <chartFormat chart="5" format="283" series="1">
      <pivotArea type="data" outline="0" fieldPosition="0">
        <references count="2">
          <reference field="4294967294" count="1" selected="0">
            <x v="0"/>
          </reference>
          <reference field="9" count="1" selected="0">
            <x v="48"/>
          </reference>
        </references>
      </pivotArea>
    </chartFormat>
    <chartFormat chart="5" format="284" series="1">
      <pivotArea type="data" outline="0" fieldPosition="0">
        <references count="2">
          <reference field="4294967294" count="1" selected="0">
            <x v="0"/>
          </reference>
          <reference field="9" count="1" selected="0">
            <x v="30"/>
          </reference>
        </references>
      </pivotArea>
    </chartFormat>
    <chartFormat chart="5" format="285" series="1">
      <pivotArea type="data" outline="0" fieldPosition="0">
        <references count="2">
          <reference field="4294967294" count="1" selected="0">
            <x v="0"/>
          </reference>
          <reference field="9" count="1" selected="0">
            <x v="3"/>
          </reference>
        </references>
      </pivotArea>
    </chartFormat>
    <chartFormat chart="5" format="286" series="1">
      <pivotArea type="data" outline="0" fieldPosition="0">
        <references count="2">
          <reference field="4294967294" count="1" selected="0">
            <x v="0"/>
          </reference>
          <reference field="9" count="1" selected="0">
            <x v="0"/>
          </reference>
        </references>
      </pivotArea>
    </chartFormat>
    <chartFormat chart="6" format="287" series="1">
      <pivotArea type="data" outline="0" fieldPosition="0">
        <references count="2">
          <reference field="4294967294" count="1" selected="0">
            <x v="0"/>
          </reference>
          <reference field="9" count="1" selected="0">
            <x v="109"/>
          </reference>
        </references>
      </pivotArea>
    </chartFormat>
    <chartFormat chart="6" format="288" series="1">
      <pivotArea type="data" outline="0" fieldPosition="0">
        <references count="2">
          <reference field="4294967294" count="1" selected="0">
            <x v="0"/>
          </reference>
          <reference field="9" count="1" selected="0">
            <x v="105"/>
          </reference>
        </references>
      </pivotArea>
    </chartFormat>
    <chartFormat chart="6" format="289" series="1">
      <pivotArea type="data" outline="0" fieldPosition="0">
        <references count="2">
          <reference field="4294967294" count="1" selected="0">
            <x v="0"/>
          </reference>
          <reference field="9" count="1" selected="0">
            <x v="84"/>
          </reference>
        </references>
      </pivotArea>
    </chartFormat>
    <chartFormat chart="6" format="290" series="1">
      <pivotArea type="data" outline="0" fieldPosition="0">
        <references count="2">
          <reference field="4294967294" count="1" selected="0">
            <x v="0"/>
          </reference>
          <reference field="9" count="1" selected="0">
            <x v="81"/>
          </reference>
        </references>
      </pivotArea>
    </chartFormat>
    <chartFormat chart="6" format="291" series="1">
      <pivotArea type="data" outline="0" fieldPosition="0">
        <references count="2">
          <reference field="4294967294" count="1" selected="0">
            <x v="0"/>
          </reference>
          <reference field="9" count="1" selected="0">
            <x v="52"/>
          </reference>
        </references>
      </pivotArea>
    </chartFormat>
    <chartFormat chart="6" format="292" series="1">
      <pivotArea type="data" outline="0" fieldPosition="0">
        <references count="2">
          <reference field="4294967294" count="1" selected="0">
            <x v="0"/>
          </reference>
          <reference field="9" count="1" selected="0">
            <x v="50"/>
          </reference>
        </references>
      </pivotArea>
    </chartFormat>
    <chartFormat chart="6" format="293" series="1">
      <pivotArea type="data" outline="0" fieldPosition="0">
        <references count="2">
          <reference field="4294967294" count="1" selected="0">
            <x v="0"/>
          </reference>
          <reference field="9" count="1" selected="0">
            <x v="48"/>
          </reference>
        </references>
      </pivotArea>
    </chartFormat>
    <chartFormat chart="6" format="294" series="1">
      <pivotArea type="data" outline="0" fieldPosition="0">
        <references count="2">
          <reference field="4294967294" count="1" selected="0">
            <x v="0"/>
          </reference>
          <reference field="9" count="1" selected="0">
            <x v="30"/>
          </reference>
        </references>
      </pivotArea>
    </chartFormat>
    <chartFormat chart="6" format="295" series="1">
      <pivotArea type="data" outline="0" fieldPosition="0">
        <references count="2">
          <reference field="4294967294" count="1" selected="0">
            <x v="0"/>
          </reference>
          <reference field="9" count="1" selected="0">
            <x v="3"/>
          </reference>
        </references>
      </pivotArea>
    </chartFormat>
    <chartFormat chart="6" format="296" series="1">
      <pivotArea type="data" outline="0" fieldPosition="0">
        <references count="2">
          <reference field="4294967294" count="1" selected="0">
            <x v="0"/>
          </reference>
          <reference field="9" count="1" selected="0">
            <x v="0"/>
          </reference>
        </references>
      </pivotArea>
    </chartFormat>
    <chartFormat chart="14" format="301" series="1">
      <pivotArea type="data" outline="0" fieldPosition="0">
        <references count="2">
          <reference field="4294967294" count="1" selected="0">
            <x v="0"/>
          </reference>
          <reference field="9" count="1" selected="0">
            <x v="0"/>
          </reference>
        </references>
      </pivotArea>
    </chartFormat>
    <chartFormat chart="14" format="302" series="1">
      <pivotArea type="data" outline="0" fieldPosition="0">
        <references count="2">
          <reference field="4294967294" count="1" selected="0">
            <x v="0"/>
          </reference>
          <reference field="9" count="1" selected="0">
            <x v="17"/>
          </reference>
        </references>
      </pivotArea>
    </chartFormat>
    <chartFormat chart="14" format="303" series="1">
      <pivotArea type="data" outline="0" fieldPosition="0">
        <references count="2">
          <reference field="4294967294" count="1" selected="0">
            <x v="0"/>
          </reference>
          <reference field="9" count="1" selected="0">
            <x v="30"/>
          </reference>
        </references>
      </pivotArea>
    </chartFormat>
    <chartFormat chart="14" format="304" series="1">
      <pivotArea type="data" outline="0" fieldPosition="0">
        <references count="2">
          <reference field="4294967294" count="1" selected="0">
            <x v="0"/>
          </reference>
          <reference field="9" count="1" selected="0">
            <x v="37"/>
          </reference>
        </references>
      </pivotArea>
    </chartFormat>
    <chartFormat chart="14" format="305" series="1">
      <pivotArea type="data" outline="0" fieldPosition="0">
        <references count="2">
          <reference field="4294967294" count="1" selected="0">
            <x v="0"/>
          </reference>
          <reference field="9" count="1" selected="0">
            <x v="40"/>
          </reference>
        </references>
      </pivotArea>
    </chartFormat>
    <chartFormat chart="14" format="306" series="1">
      <pivotArea type="data" outline="0" fieldPosition="0">
        <references count="2">
          <reference field="4294967294" count="1" selected="0">
            <x v="0"/>
          </reference>
          <reference field="9" count="1" selected="0">
            <x v="50"/>
          </reference>
        </references>
      </pivotArea>
    </chartFormat>
    <chartFormat chart="14" format="307" series="1">
      <pivotArea type="data" outline="0" fieldPosition="0">
        <references count="2">
          <reference field="4294967294" count="1" selected="0">
            <x v="0"/>
          </reference>
          <reference field="9" count="1" selected="0">
            <x v="81"/>
          </reference>
        </references>
      </pivotArea>
    </chartFormat>
    <chartFormat chart="14" format="308" series="1">
      <pivotArea type="data" outline="0" fieldPosition="0">
        <references count="2">
          <reference field="4294967294" count="1" selected="0">
            <x v="0"/>
          </reference>
          <reference field="9" count="1" selected="0">
            <x v="90"/>
          </reference>
        </references>
      </pivotArea>
    </chartFormat>
    <chartFormat chart="14" format="309" series="1">
      <pivotArea type="data" outline="0" fieldPosition="0">
        <references count="2">
          <reference field="4294967294" count="1" selected="0">
            <x v="0"/>
          </reference>
          <reference field="9" count="1" selected="0">
            <x v="105"/>
          </reference>
        </references>
      </pivotArea>
    </chartFormat>
    <chartFormat chart="14" format="310" series="1">
      <pivotArea type="data" outline="0" fieldPosition="0">
        <references count="2">
          <reference field="4294967294" count="1" selected="0">
            <x v="0"/>
          </reference>
          <reference field="9" count="1" selected="0">
            <x v="109"/>
          </reference>
        </references>
      </pivotArea>
    </chartFormat>
    <chartFormat chart="14" format="311" series="1">
      <pivotArea type="data" outline="0" fieldPosition="0">
        <references count="2">
          <reference field="4294967294" count="1" selected="0">
            <x v="0"/>
          </reference>
          <reference field="9" count="1" selected="0">
            <x v="61"/>
          </reference>
        </references>
      </pivotArea>
    </chartFormat>
    <chartFormat chart="14" format="312" series="1">
      <pivotArea type="data" outline="0" fieldPosition="0">
        <references count="2">
          <reference field="4294967294" count="1" selected="0">
            <x v="0"/>
          </reference>
          <reference field="9" count="1" selected="0">
            <x v="52"/>
          </reference>
        </references>
      </pivotArea>
    </chartFormat>
    <chartFormat chart="14" format="313" series="1">
      <pivotArea type="data" outline="0" fieldPosition="0">
        <references count="2">
          <reference field="4294967294" count="1" selected="0">
            <x v="0"/>
          </reference>
          <reference field="9" count="1" selected="0">
            <x v="27"/>
          </reference>
        </references>
      </pivotArea>
    </chartFormat>
    <chartFormat chart="14" format="314" series="1">
      <pivotArea type="data" outline="0" fieldPosition="0">
        <references count="2">
          <reference field="4294967294" count="1" selected="0">
            <x v="0"/>
          </reference>
          <reference field="9" count="1" selected="0">
            <x v="2"/>
          </reference>
        </references>
      </pivotArea>
    </chartFormat>
    <chartFormat chart="14" format="315" series="1">
      <pivotArea type="data" outline="0" fieldPosition="0">
        <references count="2">
          <reference field="4294967294" count="1" selected="0">
            <x v="0"/>
          </reference>
          <reference field="9" count="1" selected="0">
            <x v="10"/>
          </reference>
        </references>
      </pivotArea>
    </chartFormat>
    <chartFormat chart="14" format="316" series="1">
      <pivotArea type="data" outline="0" fieldPosition="0">
        <references count="2">
          <reference field="4294967294" count="1" selected="0">
            <x v="0"/>
          </reference>
          <reference field="9" count="1" selected="0">
            <x v="26"/>
          </reference>
        </references>
      </pivotArea>
    </chartFormat>
    <chartFormat chart="14" format="317" series="1">
      <pivotArea type="data" outline="0" fieldPosition="0">
        <references count="2">
          <reference field="4294967294" count="1" selected="0">
            <x v="0"/>
          </reference>
          <reference field="9" count="1" selected="0">
            <x v="65"/>
          </reference>
        </references>
      </pivotArea>
    </chartFormat>
    <chartFormat chart="14" format="318" series="1">
      <pivotArea type="data" outline="0" fieldPosition="0">
        <references count="2">
          <reference field="4294967294" count="1" selected="0">
            <x v="0"/>
          </reference>
          <reference field="9" count="1" selected="0">
            <x v="88"/>
          </reference>
        </references>
      </pivotArea>
    </chartFormat>
    <chartFormat chart="14" format="319" series="1">
      <pivotArea type="data" outline="0" fieldPosition="0">
        <references count="2">
          <reference field="4294967294" count="1" selected="0">
            <x v="0"/>
          </reference>
          <reference field="9" count="1" selected="0">
            <x v="41"/>
          </reference>
        </references>
      </pivotArea>
    </chartFormat>
    <chartFormat chart="14" format="320" series="1">
      <pivotArea type="data" outline="0" fieldPosition="0">
        <references count="2">
          <reference field="4294967294" count="1" selected="0">
            <x v="0"/>
          </reference>
          <reference field="9" count="1" selected="0">
            <x v="47"/>
          </reference>
        </references>
      </pivotArea>
    </chartFormat>
    <chartFormat chart="14" format="321" series="1">
      <pivotArea type="data" outline="0" fieldPosition="0">
        <references count="2">
          <reference field="4294967294" count="1" selected="0">
            <x v="0"/>
          </reference>
          <reference field="9" count="1" selected="0">
            <x v="48"/>
          </reference>
        </references>
      </pivotArea>
    </chartFormat>
    <chartFormat chart="14" format="322" series="1">
      <pivotArea type="data" outline="0" fieldPosition="0">
        <references count="2">
          <reference field="4294967294" count="1" selected="0">
            <x v="0"/>
          </reference>
          <reference field="9" count="1" selected="0">
            <x v="57"/>
          </reference>
        </references>
      </pivotArea>
    </chartFormat>
    <chartFormat chart="14" format="323" series="1">
      <pivotArea type="data" outline="0" fieldPosition="0">
        <references count="2">
          <reference field="4294967294" count="1" selected="0">
            <x v="0"/>
          </reference>
          <reference field="9" count="1" selected="0">
            <x v="70"/>
          </reference>
        </references>
      </pivotArea>
    </chartFormat>
    <chartFormat chart="14" format="324" series="1">
      <pivotArea type="data" outline="0" fieldPosition="0">
        <references count="2">
          <reference field="4294967294" count="1" selected="0">
            <x v="0"/>
          </reference>
          <reference field="9" count="1" selected="0">
            <x v="84"/>
          </reference>
        </references>
      </pivotArea>
    </chartFormat>
    <chartFormat chart="14" format="325" series="1">
      <pivotArea type="data" outline="0" fieldPosition="0">
        <references count="2">
          <reference field="4294967294" count="1" selected="0">
            <x v="0"/>
          </reference>
          <reference field="9" count="1" selected="0">
            <x v="16"/>
          </reference>
        </references>
      </pivotArea>
    </chartFormat>
    <chartFormat chart="14" format="326" series="1">
      <pivotArea type="data" outline="0" fieldPosition="0">
        <references count="2">
          <reference field="4294967294" count="1" selected="0">
            <x v="0"/>
          </reference>
          <reference field="9" count="1" selected="0">
            <x v="21"/>
          </reference>
        </references>
      </pivotArea>
    </chartFormat>
    <chartFormat chart="14" format="327" series="1">
      <pivotArea type="data" outline="0" fieldPosition="0">
        <references count="2">
          <reference field="4294967294" count="1" selected="0">
            <x v="0"/>
          </reference>
          <reference field="9" count="1" selected="0">
            <x v="23"/>
          </reference>
        </references>
      </pivotArea>
    </chartFormat>
    <chartFormat chart="14" format="328" series="1">
      <pivotArea type="data" outline="0" fieldPosition="0">
        <references count="2">
          <reference field="4294967294" count="1" selected="0">
            <x v="0"/>
          </reference>
          <reference field="9" count="1" selected="0">
            <x v="51"/>
          </reference>
        </references>
      </pivotArea>
    </chartFormat>
    <chartFormat chart="14" format="329" series="1">
      <pivotArea type="data" outline="0" fieldPosition="0">
        <references count="2">
          <reference field="4294967294" count="1" selected="0">
            <x v="0"/>
          </reference>
          <reference field="9" count="1" selected="0">
            <x v="58"/>
          </reference>
        </references>
      </pivotArea>
    </chartFormat>
    <chartFormat chart="14" format="330" series="1">
      <pivotArea type="data" outline="0" fieldPosition="0">
        <references count="2">
          <reference field="4294967294" count="1" selected="0">
            <x v="0"/>
          </reference>
          <reference field="9" count="1" selected="0">
            <x v="62"/>
          </reference>
        </references>
      </pivotArea>
    </chartFormat>
    <chartFormat chart="14" format="331" series="1">
      <pivotArea type="data" outline="0" fieldPosition="0">
        <references count="2">
          <reference field="4294967294" count="1" selected="0">
            <x v="0"/>
          </reference>
          <reference field="9" count="1" selected="0">
            <x v="82"/>
          </reference>
        </references>
      </pivotArea>
    </chartFormat>
    <chartFormat chart="14" format="332" series="1">
      <pivotArea type="data" outline="0" fieldPosition="0">
        <references count="2">
          <reference field="4294967294" count="1" selected="0">
            <x v="0"/>
          </reference>
          <reference field="9" count="1" selected="0">
            <x v="92"/>
          </reference>
        </references>
      </pivotArea>
    </chartFormat>
    <chartFormat chart="14" format="333" series="1">
      <pivotArea type="data" outline="0" fieldPosition="0">
        <references count="2">
          <reference field="4294967294" count="1" selected="0">
            <x v="0"/>
          </reference>
          <reference field="9" count="1" selected="0">
            <x v="101"/>
          </reference>
        </references>
      </pivotArea>
    </chartFormat>
    <chartFormat chart="14" format="334" series="1">
      <pivotArea type="data" outline="0" fieldPosition="0">
        <references count="2">
          <reference field="4294967294" count="1" selected="0">
            <x v="0"/>
          </reference>
          <reference field="9" count="1" selected="0">
            <x v="102"/>
          </reference>
        </references>
      </pivotArea>
    </chartFormat>
    <chartFormat chart="14" format="335" series="1">
      <pivotArea type="data" outline="0" fieldPosition="0">
        <references count="2">
          <reference field="4294967294" count="1" selected="0">
            <x v="0"/>
          </reference>
          <reference field="9" count="1" selected="0">
            <x v="106"/>
          </reference>
        </references>
      </pivotArea>
    </chartFormat>
    <chartFormat chart="14" format="336" series="1">
      <pivotArea type="data" outline="0" fieldPosition="0">
        <references count="2">
          <reference field="4294967294" count="1" selected="0">
            <x v="0"/>
          </reference>
          <reference field="9" count="1" selected="0">
            <x v="3"/>
          </reference>
        </references>
      </pivotArea>
    </chartFormat>
    <chartFormat chart="14" format="337" series="1">
      <pivotArea type="data" outline="0" fieldPosition="0">
        <references count="2">
          <reference field="4294967294" count="1" selected="0">
            <x v="0"/>
          </reference>
          <reference field="9" count="1" selected="0">
            <x v="31"/>
          </reference>
        </references>
      </pivotArea>
    </chartFormat>
    <chartFormat chart="14" format="338" series="1">
      <pivotArea type="data" outline="0" fieldPosition="0">
        <references count="2">
          <reference field="4294967294" count="1" selected="0">
            <x v="0"/>
          </reference>
          <reference field="9" count="1" selected="0">
            <x v="6"/>
          </reference>
        </references>
      </pivotArea>
    </chartFormat>
    <chartFormat chart="14" format="339" series="1">
      <pivotArea type="data" outline="0" fieldPosition="0">
        <references count="2">
          <reference field="4294967294" count="1" selected="0">
            <x v="0"/>
          </reference>
          <reference field="9" count="1" selected="0">
            <x v="55"/>
          </reference>
        </references>
      </pivotArea>
    </chartFormat>
    <chartFormat chart="14" format="340" series="1">
      <pivotArea type="data" outline="0" fieldPosition="0">
        <references count="2">
          <reference field="4294967294" count="1" selected="0">
            <x v="0"/>
          </reference>
          <reference field="9" count="1" selected="0">
            <x v="13"/>
          </reference>
        </references>
      </pivotArea>
    </chartFormat>
    <chartFormat chart="14" format="341" series="1">
      <pivotArea type="data" outline="0" fieldPosition="0">
        <references count="2">
          <reference field="4294967294" count="1" selected="0">
            <x v="0"/>
          </reference>
          <reference field="9" count="1" selected="0">
            <x v="56"/>
          </reference>
        </references>
      </pivotArea>
    </chartFormat>
    <chartFormat chart="14" format="342" series="1">
      <pivotArea type="data" outline="0" fieldPosition="0">
        <references count="2">
          <reference field="4294967294" count="1" selected="0">
            <x v="0"/>
          </reference>
          <reference field="9" count="1" selected="0">
            <x v="67"/>
          </reference>
        </references>
      </pivotArea>
    </chartFormat>
    <chartFormat chart="14" format="343" series="1">
      <pivotArea type="data" outline="0" fieldPosition="0">
        <references count="2">
          <reference field="4294967294" count="1" selected="0">
            <x v="0"/>
          </reference>
          <reference field="9" count="1" selected="0">
            <x v="45"/>
          </reference>
        </references>
      </pivotArea>
    </chartFormat>
    <chartFormat chart="14" format="344" series="1">
      <pivotArea type="data" outline="0" fieldPosition="0">
        <references count="2">
          <reference field="4294967294" count="1" selected="0">
            <x v="0"/>
          </reference>
          <reference field="9" count="1" selected="0">
            <x v="76"/>
          </reference>
        </references>
      </pivotArea>
    </chartFormat>
    <chartFormat chart="14" format="345" series="1">
      <pivotArea type="data" outline="0" fieldPosition="0">
        <references count="2">
          <reference field="4294967294" count="1" selected="0">
            <x v="0"/>
          </reference>
          <reference field="9" count="1" selected="0">
            <x v="111"/>
          </reference>
        </references>
      </pivotArea>
    </chartFormat>
    <chartFormat chart="14" format="346" series="1">
      <pivotArea type="data" outline="0" fieldPosition="0">
        <references count="2">
          <reference field="4294967294" count="1" selected="0">
            <x v="0"/>
          </reference>
          <reference field="9" count="1" selected="0">
            <x v="122"/>
          </reference>
        </references>
      </pivotArea>
    </chartFormat>
    <chartFormat chart="14" format="347" series="1">
      <pivotArea type="data" outline="0" fieldPosition="0">
        <references count="2">
          <reference field="4294967294" count="1" selected="0">
            <x v="0"/>
          </reference>
          <reference field="9" count="1" selected="0">
            <x v="5"/>
          </reference>
        </references>
      </pivotArea>
    </chartFormat>
    <chartFormat chart="14" format="348" series="1">
      <pivotArea type="data" outline="0" fieldPosition="0">
        <references count="2">
          <reference field="4294967294" count="1" selected="0">
            <x v="0"/>
          </reference>
          <reference field="9" count="1" selected="0">
            <x v="39"/>
          </reference>
        </references>
      </pivotArea>
    </chartFormat>
    <chartFormat chart="14" format="349" series="1">
      <pivotArea type="data" outline="0" fieldPosition="0">
        <references count="2">
          <reference field="4294967294" count="1" selected="0">
            <x v="0"/>
          </reference>
          <reference field="9" count="1" selected="0">
            <x v="42"/>
          </reference>
        </references>
      </pivotArea>
    </chartFormat>
    <chartFormat chart="14" format="350" series="1">
      <pivotArea type="data" outline="0" fieldPosition="0">
        <references count="2">
          <reference field="4294967294" count="1" selected="0">
            <x v="0"/>
          </reference>
          <reference field="9" count="1" selected="0">
            <x v="46"/>
          </reference>
        </references>
      </pivotArea>
    </chartFormat>
    <chartFormat chart="14" format="351" series="1">
      <pivotArea type="data" outline="0" fieldPosition="0">
        <references count="2">
          <reference field="4294967294" count="1" selected="0">
            <x v="0"/>
          </reference>
          <reference field="9" count="1" selected="0">
            <x v="103"/>
          </reference>
        </references>
      </pivotArea>
    </chartFormat>
    <chartFormat chart="14" format="352" series="1">
      <pivotArea type="data" outline="0" fieldPosition="0">
        <references count="2">
          <reference field="4294967294" count="1" selected="0">
            <x v="0"/>
          </reference>
          <reference field="9" count="1" selected="0">
            <x v="112"/>
          </reference>
        </references>
      </pivotArea>
    </chartFormat>
    <chartFormat chart="14" format="353" series="1">
      <pivotArea type="data" outline="0" fieldPosition="0">
        <references count="2">
          <reference field="4294967294" count="1" selected="0">
            <x v="0"/>
          </reference>
          <reference field="9" count="1" selected="0">
            <x v="85"/>
          </reference>
        </references>
      </pivotArea>
    </chartFormat>
    <chartFormat chart="14" format="354" series="1">
      <pivotArea type="data" outline="0" fieldPosition="0">
        <references count="2">
          <reference field="4294967294" count="1" selected="0">
            <x v="0"/>
          </reference>
          <reference field="9" count="1" selected="0">
            <x v="71"/>
          </reference>
        </references>
      </pivotArea>
    </chartFormat>
    <chartFormat chart="14" format="355" series="1">
      <pivotArea type="data" outline="0" fieldPosition="0">
        <references count="2">
          <reference field="4294967294" count="1" selected="0">
            <x v="0"/>
          </reference>
          <reference field="9" count="1" selected="0">
            <x v="54"/>
          </reference>
        </references>
      </pivotArea>
    </chartFormat>
    <chartFormat chart="14" format="356" series="1">
      <pivotArea type="data" outline="0" fieldPosition="0">
        <references count="2">
          <reference field="4294967294" count="1" selected="0">
            <x v="0"/>
          </reference>
          <reference field="9" count="1" selected="0">
            <x v="97"/>
          </reference>
        </references>
      </pivotArea>
    </chartFormat>
    <chartFormat chart="14" format="357" series="1">
      <pivotArea type="data" outline="0" fieldPosition="0">
        <references count="2">
          <reference field="4294967294" count="1" selected="0">
            <x v="0"/>
          </reference>
          <reference field="9" count="1" selected="0">
            <x v="73"/>
          </reference>
        </references>
      </pivotArea>
    </chartFormat>
    <chartFormat chart="14" format="358" series="1">
      <pivotArea type="data" outline="0" fieldPosition="0">
        <references count="2">
          <reference field="4294967294" count="1" selected="0">
            <x v="0"/>
          </reference>
          <reference field="9" count="1" selected="0">
            <x v="117"/>
          </reference>
        </references>
      </pivotArea>
    </chartFormat>
    <chartFormat chart="14" format="359" series="1">
      <pivotArea type="data" outline="0" fieldPosition="0">
        <references count="2">
          <reference field="4294967294" count="1" selected="0">
            <x v="0"/>
          </reference>
          <reference field="9" count="1" selected="0">
            <x v="60"/>
          </reference>
        </references>
      </pivotArea>
    </chartFormat>
    <chartFormat chart="14" format="360" series="1">
      <pivotArea type="data" outline="0" fieldPosition="0">
        <references count="2">
          <reference field="4294967294" count="1" selected="0">
            <x v="0"/>
          </reference>
          <reference field="9" count="1" selected="0">
            <x v="24"/>
          </reference>
        </references>
      </pivotArea>
    </chartFormat>
    <chartFormat chart="14" format="361" series="1">
      <pivotArea type="data" outline="0" fieldPosition="0">
        <references count="2">
          <reference field="4294967294" count="1" selected="0">
            <x v="0"/>
          </reference>
          <reference field="9" count="1" selected="0">
            <x v="35"/>
          </reference>
        </references>
      </pivotArea>
    </chartFormat>
    <chartFormat chart="14" format="362" series="1">
      <pivotArea type="data" outline="0" fieldPosition="0">
        <references count="2">
          <reference field="4294967294" count="1" selected="0">
            <x v="0"/>
          </reference>
          <reference field="9" count="1" selected="0">
            <x v="66"/>
          </reference>
        </references>
      </pivotArea>
    </chartFormat>
    <chartFormat chart="14" format="363" series="1">
      <pivotArea type="data" outline="0" fieldPosition="0">
        <references count="2">
          <reference field="4294967294" count="1" selected="0">
            <x v="0"/>
          </reference>
          <reference field="9" count="1" selected="0">
            <x v="93"/>
          </reference>
        </references>
      </pivotArea>
    </chartFormat>
    <chartFormat chart="14" format="364" series="1">
      <pivotArea type="data" outline="0" fieldPosition="0">
        <references count="2">
          <reference field="4294967294" count="1" selected="0">
            <x v="0"/>
          </reference>
          <reference field="9" count="1" selected="0">
            <x v="29"/>
          </reference>
        </references>
      </pivotArea>
    </chartFormat>
    <chartFormat chart="14" format="365" series="1">
      <pivotArea type="data" outline="0" fieldPosition="0">
        <references count="2">
          <reference field="4294967294" count="1" selected="0">
            <x v="0"/>
          </reference>
          <reference field="9" count="1" selected="0">
            <x v="22"/>
          </reference>
        </references>
      </pivotArea>
    </chartFormat>
    <chartFormat chart="14" format="366" series="1">
      <pivotArea type="data" outline="0" fieldPosition="0">
        <references count="2">
          <reference field="4294967294" count="1" selected="0">
            <x v="0"/>
          </reference>
          <reference field="9" count="1" selected="0">
            <x v="69"/>
          </reference>
        </references>
      </pivotArea>
    </chartFormat>
    <chartFormat chart="14" format="367" series="1">
      <pivotArea type="data" outline="0" fieldPosition="0">
        <references count="2">
          <reference field="4294967294" count="1" selected="0">
            <x v="0"/>
          </reference>
          <reference field="9" count="1" selected="0">
            <x v="11"/>
          </reference>
        </references>
      </pivotArea>
    </chartFormat>
    <chartFormat chart="14" format="368" series="1">
      <pivotArea type="data" outline="0" fieldPosition="0">
        <references count="2">
          <reference field="4294967294" count="1" selected="0">
            <x v="0"/>
          </reference>
          <reference field="9" count="1" selected="0">
            <x v="33"/>
          </reference>
        </references>
      </pivotArea>
    </chartFormat>
    <chartFormat chart="14" format="369" series="1">
      <pivotArea type="data" outline="0" fieldPosition="0">
        <references count="2">
          <reference field="4294967294" count="1" selected="0">
            <x v="0"/>
          </reference>
          <reference field="9" count="1" selected="0">
            <x v="25"/>
          </reference>
        </references>
      </pivotArea>
    </chartFormat>
    <chartFormat chart="14" format="370" series="1">
      <pivotArea type="data" outline="0" fieldPosition="0">
        <references count="2">
          <reference field="4294967294" count="1" selected="0">
            <x v="0"/>
          </reference>
          <reference field="9" count="1" selected="0">
            <x v="79"/>
          </reference>
        </references>
      </pivotArea>
    </chartFormat>
    <chartFormat chart="14" format="371" series="1">
      <pivotArea type="data" outline="0" fieldPosition="0">
        <references count="2">
          <reference field="4294967294" count="1" selected="0">
            <x v="0"/>
          </reference>
          <reference field="9" count="1" selected="0">
            <x v="59"/>
          </reference>
        </references>
      </pivotArea>
    </chartFormat>
    <chartFormat chart="14" format="372" series="1">
      <pivotArea type="data" outline="0" fieldPosition="0">
        <references count="2">
          <reference field="4294967294" count="1" selected="0">
            <x v="0"/>
          </reference>
          <reference field="9" count="1" selected="0">
            <x v="120"/>
          </reference>
        </references>
      </pivotArea>
    </chartFormat>
    <chartFormat chart="14" format="373" series="1">
      <pivotArea type="data" outline="0" fieldPosition="0">
        <references count="2">
          <reference field="4294967294" count="1" selected="0">
            <x v="0"/>
          </reference>
          <reference field="9" count="1" selected="0">
            <x v="74"/>
          </reference>
        </references>
      </pivotArea>
    </chartFormat>
    <chartFormat chart="14" format="374" series="1">
      <pivotArea type="data" outline="0" fieldPosition="0">
        <references count="2">
          <reference field="4294967294" count="1" selected="0">
            <x v="0"/>
          </reference>
          <reference field="9" count="1" selected="0">
            <x v="107"/>
          </reference>
        </references>
      </pivotArea>
    </chartFormat>
    <chartFormat chart="14" format="375" series="1">
      <pivotArea type="data" outline="0" fieldPosition="0">
        <references count="2">
          <reference field="4294967294" count="1" selected="0">
            <x v="0"/>
          </reference>
          <reference field="9" count="1" selected="0">
            <x v="12"/>
          </reference>
        </references>
      </pivotArea>
    </chartFormat>
    <chartFormat chart="14" format="376" series="1">
      <pivotArea type="data" outline="0" fieldPosition="0">
        <references count="2">
          <reference field="4294967294" count="1" selected="0">
            <x v="0"/>
          </reference>
          <reference field="9" count="1" selected="0">
            <x v="77"/>
          </reference>
        </references>
      </pivotArea>
    </chartFormat>
    <chartFormat chart="14" format="377" series="1">
      <pivotArea type="data" outline="0" fieldPosition="0">
        <references count="2">
          <reference field="4294967294" count="1" selected="0">
            <x v="0"/>
          </reference>
          <reference field="9" count="1" selected="0">
            <x v="19"/>
          </reference>
        </references>
      </pivotArea>
    </chartFormat>
    <chartFormat chart="14" format="378" series="1">
      <pivotArea type="data" outline="0" fieldPosition="0">
        <references count="2">
          <reference field="4294967294" count="1" selected="0">
            <x v="0"/>
          </reference>
          <reference field="9" count="1" selected="0">
            <x v="75"/>
          </reference>
        </references>
      </pivotArea>
    </chartFormat>
    <chartFormat chart="14" format="379" series="1">
      <pivotArea type="data" outline="0" fieldPosition="0">
        <references count="2">
          <reference field="4294967294" count="1" selected="0">
            <x v="0"/>
          </reference>
          <reference field="9" count="1" selected="0">
            <x v="87"/>
          </reference>
        </references>
      </pivotArea>
    </chartFormat>
    <chartFormat chart="14" format="380" series="1">
      <pivotArea type="data" outline="0" fieldPosition="0">
        <references count="2">
          <reference field="4294967294" count="1" selected="0">
            <x v="0"/>
          </reference>
          <reference field="9" count="1" selected="0">
            <x v="8"/>
          </reference>
        </references>
      </pivotArea>
    </chartFormat>
    <chartFormat chart="14" format="381" series="1">
      <pivotArea type="data" outline="0" fieldPosition="0">
        <references count="2">
          <reference field="4294967294" count="1" selected="0">
            <x v="0"/>
          </reference>
          <reference field="9" count="1" selected="0">
            <x v="78"/>
          </reference>
        </references>
      </pivotArea>
    </chartFormat>
    <chartFormat chart="14" format="382" series="1">
      <pivotArea type="data" outline="0" fieldPosition="0">
        <references count="2">
          <reference field="4294967294" count="1" selected="0">
            <x v="0"/>
          </reference>
          <reference field="9" count="1" selected="0">
            <x v="28"/>
          </reference>
        </references>
      </pivotArea>
    </chartFormat>
    <chartFormat chart="14" format="383" series="1">
      <pivotArea type="data" outline="0" fieldPosition="0">
        <references count="2">
          <reference field="4294967294" count="1" selected="0">
            <x v="0"/>
          </reference>
          <reference field="9" count="1" selected="0">
            <x v="91"/>
          </reference>
        </references>
      </pivotArea>
    </chartFormat>
    <chartFormat chart="14" format="384" series="1">
      <pivotArea type="data" outline="0" fieldPosition="0">
        <references count="2">
          <reference field="4294967294" count="1" selected="0">
            <x v="0"/>
          </reference>
          <reference field="9" count="1" selected="0">
            <x v="121"/>
          </reference>
        </references>
      </pivotArea>
    </chartFormat>
    <chartFormat chart="14" format="385" series="1">
      <pivotArea type="data" outline="0" fieldPosition="0">
        <references count="2">
          <reference field="4294967294" count="1" selected="0">
            <x v="0"/>
          </reference>
          <reference field="9" count="1" selected="0">
            <x v="64"/>
          </reference>
        </references>
      </pivotArea>
    </chartFormat>
    <chartFormat chart="14" format="386" series="1">
      <pivotArea type="data" outline="0" fieldPosition="0">
        <references count="2">
          <reference field="4294967294" count="1" selected="0">
            <x v="0"/>
          </reference>
          <reference field="9" count="1" selected="0">
            <x v="108"/>
          </reference>
        </references>
      </pivotArea>
    </chartFormat>
    <chartFormat chart="14" format="387" series="1">
      <pivotArea type="data" outline="0" fieldPosition="0">
        <references count="2">
          <reference field="4294967294" count="1" selected="0">
            <x v="0"/>
          </reference>
          <reference field="9" count="1" selected="0">
            <x v="119"/>
          </reference>
        </references>
      </pivotArea>
    </chartFormat>
    <chartFormat chart="14" format="388" series="1">
      <pivotArea type="data" outline="0" fieldPosition="0">
        <references count="2">
          <reference field="4294967294" count="1" selected="0">
            <x v="0"/>
          </reference>
          <reference field="9" count="1" selected="0">
            <x v="96"/>
          </reference>
        </references>
      </pivotArea>
    </chartFormat>
    <chartFormat chart="14" format="389" series="1">
      <pivotArea type="data" outline="0" fieldPosition="0">
        <references count="2">
          <reference field="4294967294" count="1" selected="0">
            <x v="0"/>
          </reference>
          <reference field="9" count="1" selected="0">
            <x v="86"/>
          </reference>
        </references>
      </pivotArea>
    </chartFormat>
    <chartFormat chart="14" format="390" series="1">
      <pivotArea type="data" outline="0" fieldPosition="0">
        <references count="2">
          <reference field="4294967294" count="1" selected="0">
            <x v="0"/>
          </reference>
          <reference field="9" count="1" selected="0">
            <x v="95"/>
          </reference>
        </references>
      </pivotArea>
    </chartFormat>
    <chartFormat chart="14" format="391" series="1">
      <pivotArea type="data" outline="0" fieldPosition="0">
        <references count="2">
          <reference field="4294967294" count="1" selected="0">
            <x v="0"/>
          </reference>
          <reference field="9" count="1" selected="0">
            <x v="99"/>
          </reference>
        </references>
      </pivotArea>
    </chartFormat>
    <chartFormat chart="14" format="392" series="1">
      <pivotArea type="data" outline="0" fieldPosition="0">
        <references count="2">
          <reference field="4294967294" count="1" selected="0">
            <x v="0"/>
          </reference>
          <reference field="9" count="1" selected="0">
            <x v="18"/>
          </reference>
        </references>
      </pivotArea>
    </chartFormat>
    <chartFormat chart="14" format="393" series="1">
      <pivotArea type="data" outline="0" fieldPosition="0">
        <references count="2">
          <reference field="4294967294" count="1" selected="0">
            <x v="0"/>
          </reference>
          <reference field="9" count="1" selected="0">
            <x v="38"/>
          </reference>
        </references>
      </pivotArea>
    </chartFormat>
    <chartFormat chart="14" format="394" series="1">
      <pivotArea type="data" outline="0" fieldPosition="0">
        <references count="2">
          <reference field="4294967294" count="1" selected="0">
            <x v="0"/>
          </reference>
          <reference field="9" count="1" selected="0">
            <x v="80"/>
          </reference>
        </references>
      </pivotArea>
    </chartFormat>
    <chartFormat chart="14" format="395" series="1">
      <pivotArea type="data" outline="0" fieldPosition="0">
        <references count="2">
          <reference field="4294967294" count="1" selected="0">
            <x v="0"/>
          </reference>
          <reference field="9" count="1" selected="0">
            <x v="53"/>
          </reference>
        </references>
      </pivotArea>
    </chartFormat>
    <chartFormat chart="14" format="396" series="1">
      <pivotArea type="data" outline="0" fieldPosition="0">
        <references count="2">
          <reference field="4294967294" count="1" selected="0">
            <x v="0"/>
          </reference>
          <reference field="9" count="1" selected="0">
            <x v="36"/>
          </reference>
        </references>
      </pivotArea>
    </chartFormat>
    <chartFormat chart="14" format="397" series="1">
      <pivotArea type="data" outline="0" fieldPosition="0">
        <references count="2">
          <reference field="4294967294" count="1" selected="0">
            <x v="0"/>
          </reference>
          <reference field="9" count="1" selected="0">
            <x v="15"/>
          </reference>
        </references>
      </pivotArea>
    </chartFormat>
    <chartFormat chart="14" format="398" series="1">
      <pivotArea type="data" outline="0" fieldPosition="0">
        <references count="2">
          <reference field="4294967294" count="1" selected="0">
            <x v="0"/>
          </reference>
          <reference field="9" count="1" selected="0">
            <x v="114"/>
          </reference>
        </references>
      </pivotArea>
    </chartFormat>
    <chartFormat chart="14" format="399" series="1">
      <pivotArea type="data" outline="0" fieldPosition="0">
        <references count="2">
          <reference field="4294967294" count="1" selected="0">
            <x v="0"/>
          </reference>
          <reference field="9" count="1" selected="0">
            <x v="118"/>
          </reference>
        </references>
      </pivotArea>
    </chartFormat>
    <chartFormat chart="14" format="400" series="1">
      <pivotArea type="data" outline="0" fieldPosition="0">
        <references count="2">
          <reference field="4294967294" count="1" selected="0">
            <x v="0"/>
          </reference>
          <reference field="9" count="1" selected="0">
            <x v="115"/>
          </reference>
        </references>
      </pivotArea>
    </chartFormat>
    <chartFormat chart="14" format="401" series="1">
      <pivotArea type="data" outline="0" fieldPosition="0">
        <references count="2">
          <reference field="4294967294" count="1" selected="0">
            <x v="0"/>
          </reference>
          <reference field="9" count="1" selected="0">
            <x v="72"/>
          </reference>
        </references>
      </pivotArea>
    </chartFormat>
    <chartFormat chart="14" format="402" series="1">
      <pivotArea type="data" outline="0" fieldPosition="0">
        <references count="2">
          <reference field="4294967294" count="1" selected="0">
            <x v="0"/>
          </reference>
          <reference field="9" count="1" selected="0">
            <x v="44"/>
          </reference>
        </references>
      </pivotArea>
    </chartFormat>
    <chartFormat chart="14" format="403" series="1">
      <pivotArea type="data" outline="0" fieldPosition="0">
        <references count="2">
          <reference field="4294967294" count="1" selected="0">
            <x v="0"/>
          </reference>
          <reference field="9" count="1" selected="0">
            <x v="94"/>
          </reference>
        </references>
      </pivotArea>
    </chartFormat>
    <chartFormat chart="14" format="404" series="1">
      <pivotArea type="data" outline="0" fieldPosition="0">
        <references count="2">
          <reference field="4294967294" count="1" selected="0">
            <x v="0"/>
          </reference>
          <reference field="9" count="1" selected="0">
            <x v="68"/>
          </reference>
        </references>
      </pivotArea>
    </chartFormat>
    <chartFormat chart="14" format="405" series="1">
      <pivotArea type="data" outline="0" fieldPosition="0">
        <references count="2">
          <reference field="4294967294" count="1" selected="0">
            <x v="0"/>
          </reference>
          <reference field="9" count="1" selected="0">
            <x v="113"/>
          </reference>
        </references>
      </pivotArea>
    </chartFormat>
    <chartFormat chart="14" format="406" series="1">
      <pivotArea type="data" outline="0" fieldPosition="0">
        <references count="2">
          <reference field="4294967294" count="1" selected="0">
            <x v="0"/>
          </reference>
          <reference field="9" count="1" selected="0">
            <x v="43"/>
          </reference>
        </references>
      </pivotArea>
    </chartFormat>
    <chartFormat chart="14" format="407" series="1">
      <pivotArea type="data" outline="0" fieldPosition="0">
        <references count="2">
          <reference field="4294967294" count="1" selected="0">
            <x v="0"/>
          </reference>
          <reference field="9" count="1" selected="0">
            <x v="63"/>
          </reference>
        </references>
      </pivotArea>
    </chartFormat>
    <chartFormat chart="14" format="408" series="1">
      <pivotArea type="data" outline="0" fieldPosition="0">
        <references count="2">
          <reference field="4294967294" count="1" selected="0">
            <x v="0"/>
          </reference>
          <reference field="9" count="1" selected="0">
            <x v="83"/>
          </reference>
        </references>
      </pivotArea>
    </chartFormat>
    <chartFormat chart="14" format="409" series="1">
      <pivotArea type="data" outline="0" fieldPosition="0">
        <references count="2">
          <reference field="4294967294" count="1" selected="0">
            <x v="0"/>
          </reference>
          <reference field="9" count="1" selected="0">
            <x v="116"/>
          </reference>
        </references>
      </pivotArea>
    </chartFormat>
    <chartFormat chart="14" format="410" series="1">
      <pivotArea type="data" outline="0" fieldPosition="0">
        <references count="2">
          <reference field="4294967294" count="1" selected="0">
            <x v="0"/>
          </reference>
          <reference field="9" count="1" selected="0">
            <x v="9"/>
          </reference>
        </references>
      </pivotArea>
    </chartFormat>
    <chartFormat chart="14" format="411" series="1">
      <pivotArea type="data" outline="0" fieldPosition="0">
        <references count="2">
          <reference field="4294967294" count="1" selected="0">
            <x v="0"/>
          </reference>
          <reference field="9" count="1" selected="0">
            <x v="20"/>
          </reference>
        </references>
      </pivotArea>
    </chartFormat>
    <chartFormat chart="14" format="412" series="1">
      <pivotArea type="data" outline="0" fieldPosition="0">
        <references count="2">
          <reference field="4294967294" count="1" selected="0">
            <x v="0"/>
          </reference>
          <reference field="9" count="1" selected="0">
            <x v="7"/>
          </reference>
        </references>
      </pivotArea>
    </chartFormat>
    <chartFormat chart="14" format="413" series="1">
      <pivotArea type="data" outline="0" fieldPosition="0">
        <references count="2">
          <reference field="4294967294" count="1" selected="0">
            <x v="0"/>
          </reference>
          <reference field="9" count="1" selected="0">
            <x v="14"/>
          </reference>
        </references>
      </pivotArea>
    </chartFormat>
    <chartFormat chart="14" format="414" series="1">
      <pivotArea type="data" outline="0" fieldPosition="0">
        <references count="2">
          <reference field="4294967294" count="1" selected="0">
            <x v="0"/>
          </reference>
          <reference field="9" count="1" selected="0">
            <x v="4"/>
          </reference>
        </references>
      </pivotArea>
    </chartFormat>
    <chartFormat chart="14" format="415" series="1">
      <pivotArea type="data" outline="0" fieldPosition="0">
        <references count="2">
          <reference field="4294967294" count="1" selected="0">
            <x v="0"/>
          </reference>
          <reference field="9" count="1" selected="0">
            <x v="89"/>
          </reference>
        </references>
      </pivotArea>
    </chartFormat>
    <chartFormat chart="14" format="416" series="1">
      <pivotArea type="data" outline="0" fieldPosition="0">
        <references count="2">
          <reference field="4294967294" count="1" selected="0">
            <x v="0"/>
          </reference>
          <reference field="9" count="1" selected="0">
            <x v="1"/>
          </reference>
        </references>
      </pivotArea>
    </chartFormat>
    <chartFormat chart="14" format="417" series="1">
      <pivotArea type="data" outline="0" fieldPosition="0">
        <references count="2">
          <reference field="4294967294" count="1" selected="0">
            <x v="0"/>
          </reference>
          <reference field="9" count="1" selected="0">
            <x v="110"/>
          </reference>
        </references>
      </pivotArea>
    </chartFormat>
    <chartFormat chart="14" format="418" series="1">
      <pivotArea type="data" outline="0" fieldPosition="0">
        <references count="2">
          <reference field="4294967294" count="1" selected="0">
            <x v="0"/>
          </reference>
          <reference field="9" count="1" selected="0">
            <x v="98"/>
          </reference>
        </references>
      </pivotArea>
    </chartFormat>
    <chartFormat chart="14" format="419" series="1">
      <pivotArea type="data" outline="0" fieldPosition="0">
        <references count="2">
          <reference field="4294967294" count="1" selected="0">
            <x v="0"/>
          </reference>
          <reference field="9" count="1" selected="0">
            <x v="100"/>
          </reference>
        </references>
      </pivotArea>
    </chartFormat>
    <chartFormat chart="14" format="420" series="1">
      <pivotArea type="data" outline="0" fieldPosition="0">
        <references count="2">
          <reference field="4294967294" count="1" selected="0">
            <x v="0"/>
          </reference>
          <reference field="9" count="1" selected="0">
            <x v="32"/>
          </reference>
        </references>
      </pivotArea>
    </chartFormat>
    <chartFormat chart="14" format="421" series="1">
      <pivotArea type="data" outline="0" fieldPosition="0">
        <references count="2">
          <reference field="4294967294" count="1" selected="0">
            <x v="0"/>
          </reference>
          <reference field="9" count="1" selected="0">
            <x v="34"/>
          </reference>
        </references>
      </pivotArea>
    </chartFormat>
    <chartFormat chart="14" format="422" series="1">
      <pivotArea type="data" outline="0" fieldPosition="0">
        <references count="2">
          <reference field="4294967294" count="1" selected="0">
            <x v="0"/>
          </reference>
          <reference field="9" count="1" selected="0">
            <x v="49"/>
          </reference>
        </references>
      </pivotArea>
    </chartFormat>
    <chartFormat chart="14" format="423" series="1">
      <pivotArea type="data" outline="0" fieldPosition="0">
        <references count="2">
          <reference field="4294967294" count="1" selected="0">
            <x v="0"/>
          </reference>
          <reference field="9" count="1" selected="0">
            <x v="104"/>
          </reference>
        </references>
      </pivotArea>
    </chartFormat>
    <chartFormat chart="14" format="4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C10864-1B56-46C9-9F1E-051906E32C2E}"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BR28" firstHeaderRow="1" firstDataRow="2" firstDataCol="1" rowPageCount="5" colPageCount="1"/>
  <pivotFields count="19">
    <pivotField axis="axisRow" showAll="0">
      <items count="32">
        <item h="1" x="30"/>
        <item h="1" x="25"/>
        <item h="1" x="24"/>
        <item h="1" x="28"/>
        <item x="23"/>
        <item x="0"/>
        <item x="4"/>
        <item x="22"/>
        <item x="3"/>
        <item x="10"/>
        <item x="19"/>
        <item x="13"/>
        <item x="20"/>
        <item x="6"/>
        <item x="8"/>
        <item x="16"/>
        <item x="26"/>
        <item x="27"/>
        <item x="5"/>
        <item x="11"/>
        <item x="18"/>
        <item x="9"/>
        <item x="1"/>
        <item h="1" x="2"/>
        <item h="1" x="15"/>
        <item h="1" x="12"/>
        <item h="1" x="21"/>
        <item h="1" x="7"/>
        <item h="1" x="14"/>
        <item h="1" x="29"/>
        <item h="1" x="17"/>
        <item t="default"/>
      </items>
    </pivotField>
    <pivotField showAll="0"/>
    <pivotField axis="axisPage" multipleItemSelectionAllowed="1" showAll="0">
      <items count="903">
        <item x="699"/>
        <item x="23"/>
        <item x="163"/>
        <item x="77"/>
        <item x="71"/>
        <item x="270"/>
        <item x="84"/>
        <item x="643"/>
        <item x="712"/>
        <item x="723"/>
        <item x="866"/>
        <item x="842"/>
        <item x="354"/>
        <item x="357"/>
        <item x="384"/>
        <item x="662"/>
        <item x="322"/>
        <item x="17"/>
        <item x="824"/>
        <item x="830"/>
        <item x="629"/>
        <item x="462"/>
        <item x="277"/>
        <item x="681"/>
        <item x="227"/>
        <item x="859"/>
        <item x="583"/>
        <item x="339"/>
        <item x="794"/>
        <item x="106"/>
        <item x="154"/>
        <item x="479"/>
        <item x="716"/>
        <item x="645"/>
        <item x="24"/>
        <item x="778"/>
        <item x="134"/>
        <item x="214"/>
        <item x="385"/>
        <item x="281"/>
        <item x="686"/>
        <item x="234"/>
        <item x="33"/>
        <item x="366"/>
        <item x="402"/>
        <item x="840"/>
        <item x="398"/>
        <item x="93"/>
        <item x="178"/>
        <item x="890"/>
        <item x="359"/>
        <item x="543"/>
        <item x="133"/>
        <item x="785"/>
        <item x="29"/>
        <item x="18"/>
        <item x="208"/>
        <item x="738"/>
        <item x="372"/>
        <item x="83"/>
        <item x="309"/>
        <item x="92"/>
        <item x="313"/>
        <item x="21"/>
        <item x="602"/>
        <item x="660"/>
        <item x="520"/>
        <item x="330"/>
        <item x="195"/>
        <item x="51"/>
        <item x="298"/>
        <item x="575"/>
        <item x="266"/>
        <item x="284"/>
        <item x="690"/>
        <item x="127"/>
        <item x="740"/>
        <item x="524"/>
        <item x="671"/>
        <item x="750"/>
        <item x="591"/>
        <item x="679"/>
        <item x="101"/>
        <item x="895"/>
        <item x="351"/>
        <item x="170"/>
        <item x="432"/>
        <item x="863"/>
        <item x="326"/>
        <item x="28"/>
        <item x="787"/>
        <item x="898"/>
        <item x="541"/>
        <item x="529"/>
        <item x="305"/>
        <item x="301"/>
        <item x="236"/>
        <item x="204"/>
        <item x="806"/>
        <item x="414"/>
        <item x="559"/>
        <item x="850"/>
        <item x="587"/>
        <item x="826"/>
        <item x="245"/>
        <item x="111"/>
        <item x="406"/>
        <item x="653"/>
        <item x="696"/>
        <item x="631"/>
        <item x="711"/>
        <item x="536"/>
        <item x="688"/>
        <item x="38"/>
        <item x="197"/>
        <item x="603"/>
        <item x="107"/>
        <item x="244"/>
        <item x="264"/>
        <item x="615"/>
        <item x="493"/>
        <item x="567"/>
        <item x="582"/>
        <item x="412"/>
        <item x="265"/>
        <item x="532"/>
        <item x="846"/>
        <item x="369"/>
        <item x="64"/>
        <item x="533"/>
        <item x="65"/>
        <item x="239"/>
        <item x="709"/>
        <item x="438"/>
        <item x="780"/>
        <item x="761"/>
        <item x="365"/>
        <item x="514"/>
        <item x="500"/>
        <item x="812"/>
        <item x="855"/>
        <item x="563"/>
        <item x="35"/>
        <item x="490"/>
        <item x="616"/>
        <item x="73"/>
        <item x="727"/>
        <item x="381"/>
        <item x="697"/>
        <item x="597"/>
        <item x="250"/>
        <item x="635"/>
        <item x="496"/>
        <item x="113"/>
        <item x="142"/>
        <item x="355"/>
        <item x="137"/>
        <item x="361"/>
        <item x="390"/>
        <item x="231"/>
        <item x="871"/>
        <item x="797"/>
        <item x="267"/>
        <item x="499"/>
        <item x="577"/>
        <item x="362"/>
        <item x="160"/>
        <item x="701"/>
        <item x="887"/>
        <item x="448"/>
        <item x="345"/>
        <item x="620"/>
        <item x="469"/>
        <item x="44"/>
        <item x="503"/>
        <item x="626"/>
        <item x="421"/>
        <item x="88"/>
        <item x="8"/>
        <item x="468"/>
        <item x="523"/>
        <item x="869"/>
        <item x="312"/>
        <item x="39"/>
        <item x="304"/>
        <item x="424"/>
        <item x="714"/>
        <item x="800"/>
        <item x="838"/>
        <item x="639"/>
        <item x="67"/>
        <item x="15"/>
        <item x="788"/>
        <item x="710"/>
        <item x="495"/>
        <item x="677"/>
        <item x="832"/>
        <item x="781"/>
        <item x="868"/>
        <item x="199"/>
        <item x="260"/>
        <item x="670"/>
        <item x="224"/>
        <item x="885"/>
        <item x="61"/>
        <item x="858"/>
        <item x="271"/>
        <item x="125"/>
        <item x="262"/>
        <item x="816"/>
        <item x="314"/>
        <item x="115"/>
        <item x="572"/>
        <item x="472"/>
        <item x="839"/>
        <item x="401"/>
        <item x="409"/>
        <item x="769"/>
        <item x="478"/>
        <item x="338"/>
        <item x="746"/>
        <item x="242"/>
        <item x="295"/>
        <item x="827"/>
        <item x="94"/>
        <item x="884"/>
        <item x="254"/>
        <item x="502"/>
        <item x="377"/>
        <item x="420"/>
        <item x="190"/>
        <item x="193"/>
        <item x="471"/>
        <item x="182"/>
        <item x="48"/>
        <item x="545"/>
        <item x="565"/>
        <item x="280"/>
        <item x="657"/>
        <item x="110"/>
        <item x="476"/>
        <item x="773"/>
        <item x="333"/>
        <item x="217"/>
        <item x="200"/>
        <item x="777"/>
        <item x="749"/>
        <item x="46"/>
        <item x="157"/>
        <item x="736"/>
        <item x="836"/>
        <item x="218"/>
        <item x="601"/>
        <item x="143"/>
        <item x="860"/>
        <item x="627"/>
        <item x="198"/>
        <item x="678"/>
        <item x="54"/>
        <item x="335"/>
        <item x="419"/>
        <item x="772"/>
        <item x="117"/>
        <item x="864"/>
        <item x="126"/>
        <item x="310"/>
        <item x="498"/>
        <item x="394"/>
        <item x="640"/>
        <item x="703"/>
        <item x="273"/>
        <item x="32"/>
        <item x="135"/>
        <item x="180"/>
        <item x="176"/>
        <item x="184"/>
        <item x="525"/>
        <item x="618"/>
        <item x="360"/>
        <item x="708"/>
        <item x="76"/>
        <item x="391"/>
        <item x="220"/>
        <item x="528"/>
        <item x="642"/>
        <item x="796"/>
        <item x="561"/>
        <item x="167"/>
        <item x="530"/>
        <item x="581"/>
        <item x="484"/>
        <item x="375"/>
        <item x="605"/>
        <item x="427"/>
        <item x="352"/>
        <item x="175"/>
        <item x="104"/>
        <item x="119"/>
        <item x="793"/>
        <item x="303"/>
        <item x="449"/>
        <item x="510"/>
        <item x="768"/>
        <item x="875"/>
        <item x="300"/>
        <item x="444"/>
        <item x="74"/>
        <item x="328"/>
        <item x="274"/>
        <item x="844"/>
        <item x="706"/>
        <item x="69"/>
        <item x="896"/>
        <item x="454"/>
        <item x="37"/>
        <item x="825"/>
        <item x="114"/>
        <item x="159"/>
        <item x="185"/>
        <item x="62"/>
        <item x="632"/>
        <item x="293"/>
        <item x="680"/>
        <item x="811"/>
        <item x="687"/>
        <item x="771"/>
        <item x="346"/>
        <item x="215"/>
        <item x="136"/>
        <item x="849"/>
        <item x="318"/>
        <item x="358"/>
        <item x="285"/>
        <item x="211"/>
        <item x="862"/>
        <item x="219"/>
        <item x="229"/>
        <item x="194"/>
        <item x="754"/>
        <item x="130"/>
        <item x="820"/>
        <item x="152"/>
        <item x="118"/>
        <item x="25"/>
        <item x="481"/>
        <item x="878"/>
        <item x="387"/>
        <item x="275"/>
        <item x="843"/>
        <item x="728"/>
        <item x="450"/>
        <item x="557"/>
        <item x="63"/>
        <item x="169"/>
        <item x="226"/>
        <item x="752"/>
        <item x="206"/>
        <item x="666"/>
        <item x="87"/>
        <item x="27"/>
        <item x="518"/>
        <item x="487"/>
        <item x="674"/>
        <item x="724"/>
        <item x="45"/>
        <item x="251"/>
        <item x="122"/>
        <item x="278"/>
        <item x="774"/>
        <item x="341"/>
        <item x="667"/>
        <item x="141"/>
        <item x="856"/>
        <item x="491"/>
        <item x="720"/>
        <item x="452"/>
        <item x="68"/>
        <item x="223"/>
        <item x="717"/>
        <item x="237"/>
        <item x="132"/>
        <item x="256"/>
        <item x="306"/>
        <item x="364"/>
        <item x="2"/>
        <item x="342"/>
        <item x="240"/>
        <item x="97"/>
        <item x="633"/>
        <item x="158"/>
        <item x="501"/>
        <item x="809"/>
        <item x="817"/>
        <item x="121"/>
        <item x="124"/>
        <item x="654"/>
        <item x="416"/>
        <item x="255"/>
        <item x="459"/>
        <item x="637"/>
        <item x="718"/>
        <item x="698"/>
        <item x="81"/>
        <item x="12"/>
        <item x="56"/>
        <item x="488"/>
        <item x="348"/>
        <item x="378"/>
        <item x="764"/>
        <item x="880"/>
        <item x="648"/>
        <item x="297"/>
        <item x="656"/>
        <item x="393"/>
        <item x="347"/>
        <item x="19"/>
        <item x="513"/>
        <item x="233"/>
        <item x="767"/>
        <item x="196"/>
        <item x="516"/>
        <item x="675"/>
        <item x="759"/>
        <item x="147"/>
        <item x="713"/>
        <item x="336"/>
        <item x="475"/>
        <item x="246"/>
        <item x="177"/>
        <item x="161"/>
        <item x="337"/>
        <item x="453"/>
        <item x="445"/>
        <item x="883"/>
        <item x="72"/>
        <item x="659"/>
        <item x="760"/>
        <item x="845"/>
        <item x="435"/>
        <item x="729"/>
        <item x="96"/>
        <item x="623"/>
        <item x="598"/>
        <item x="1"/>
        <item x="249"/>
        <item x="40"/>
        <item x="815"/>
        <item x="694"/>
        <item x="340"/>
        <item x="456"/>
        <item x="425"/>
        <item x="156"/>
        <item x="109"/>
        <item x="614"/>
        <item x="538"/>
        <item x="47"/>
        <item x="144"/>
        <item x="558"/>
        <item x="417"/>
        <item x="486"/>
        <item x="408"/>
        <item x="900"/>
        <item x="837"/>
        <item x="187"/>
        <item x="527"/>
        <item x="98"/>
        <item x="286"/>
        <item x="221"/>
        <item x="11"/>
        <item x="90"/>
        <item x="790"/>
        <item x="566"/>
        <item x="290"/>
        <item x="225"/>
        <item x="564"/>
        <item x="311"/>
        <item x="16"/>
        <item x="766"/>
        <item x="153"/>
        <item x="828"/>
        <item x="241"/>
        <item x="630"/>
        <item x="719"/>
        <item x="202"/>
        <item x="574"/>
        <item x="263"/>
        <item x="294"/>
        <item x="356"/>
        <item x="504"/>
        <item x="441"/>
        <item x="350"/>
        <item x="551"/>
        <item x="332"/>
        <item x="473"/>
        <item x="753"/>
        <item x="576"/>
        <item x="370"/>
        <item x="665"/>
        <item x="89"/>
        <item x="649"/>
        <item x="411"/>
        <item x="212"/>
        <item x="804"/>
        <item x="881"/>
        <item x="461"/>
        <item x="628"/>
        <item x="3"/>
        <item x="610"/>
        <item x="451"/>
        <item x="467"/>
        <item x="692"/>
        <item x="695"/>
        <item x="886"/>
        <item x="833"/>
        <item x="586"/>
        <item x="691"/>
        <item x="512"/>
        <item x="455"/>
        <item x="485"/>
        <item x="739"/>
        <item x="288"/>
        <item x="743"/>
        <item x="188"/>
        <item x="50"/>
        <item x="531"/>
        <item x="148"/>
        <item x="308"/>
        <item x="801"/>
        <item x="131"/>
        <item x="756"/>
        <item x="183"/>
        <item x="870"/>
        <item x="272"/>
        <item x="465"/>
        <item x="857"/>
        <item x="549"/>
        <item x="874"/>
        <item x="230"/>
        <item x="782"/>
        <item x="483"/>
        <item x="715"/>
        <item x="466"/>
        <item x="621"/>
        <item x="882"/>
        <item x="5"/>
        <item x="672"/>
        <item x="316"/>
        <item x="663"/>
        <item x="95"/>
        <item x="82"/>
        <item x="798"/>
        <item x="888"/>
        <item x="296"/>
        <item x="588"/>
        <item x="770"/>
        <item x="722"/>
        <item x="700"/>
        <item x="899"/>
        <item x="392"/>
        <item x="748"/>
        <item x="464"/>
        <item x="388"/>
        <item x="70"/>
        <item x="36"/>
        <item x="818"/>
        <item x="247"/>
        <item x="758"/>
        <item x="853"/>
        <item x="704"/>
        <item x="515"/>
        <item x="257"/>
        <item x="795"/>
        <item x="374"/>
        <item x="730"/>
        <item x="707"/>
        <item x="426"/>
        <item x="539"/>
        <item x="625"/>
        <item x="407"/>
        <item x="146"/>
        <item x="34"/>
        <item x="282"/>
        <item x="205"/>
        <item x="179"/>
        <item x="26"/>
        <item x="589"/>
        <item x="363"/>
        <item x="325"/>
        <item x="537"/>
        <item x="353"/>
        <item x="331"/>
        <item x="741"/>
        <item x="276"/>
        <item x="877"/>
        <item x="897"/>
        <item x="522"/>
        <item x="173"/>
        <item x="222"/>
        <item x="829"/>
        <item x="259"/>
        <item x="405"/>
        <item x="737"/>
        <item x="168"/>
        <item x="555"/>
        <item x="901"/>
        <item x="599"/>
        <item x="511"/>
        <item x="307"/>
        <item x="434"/>
        <item x="431"/>
        <item x="600"/>
        <item x="608"/>
        <item x="814"/>
        <item x="619"/>
        <item x="269"/>
        <item x="651"/>
        <item x="470"/>
        <item x="854"/>
        <item x="120"/>
        <item x="492"/>
        <item x="399"/>
        <item x="480"/>
        <item x="544"/>
        <item x="344"/>
        <item x="292"/>
        <item x="103"/>
        <item x="819"/>
        <item x="442"/>
        <item x="457"/>
        <item x="186"/>
        <item x="622"/>
        <item x="534"/>
        <item x="395"/>
        <item x="327"/>
        <item x="0"/>
        <item x="810"/>
        <item x="892"/>
        <item x="368"/>
        <item x="463"/>
        <item x="49"/>
        <item x="150"/>
        <item x="705"/>
        <item x="606"/>
        <item x="891"/>
        <item x="75"/>
        <item x="807"/>
        <item x="548"/>
        <item x="436"/>
        <item x="872"/>
        <item x="571"/>
        <item x="607"/>
        <item x="149"/>
        <item x="852"/>
        <item x="418"/>
        <item x="813"/>
        <item x="775"/>
        <item x="596"/>
        <item x="323"/>
        <item x="210"/>
        <item x="7"/>
        <item x="507"/>
        <item x="673"/>
        <item x="763"/>
        <item x="540"/>
        <item x="578"/>
        <item x="235"/>
        <item x="734"/>
        <item x="403"/>
        <item x="422"/>
        <item x="213"/>
        <item x="562"/>
        <item x="20"/>
        <item x="53"/>
        <item x="128"/>
        <item x="253"/>
        <item x="590"/>
        <item x="207"/>
        <item x="279"/>
        <item x="505"/>
        <item x="876"/>
        <item x="803"/>
        <item x="105"/>
        <item x="191"/>
        <item x="43"/>
        <item x="108"/>
        <item x="320"/>
        <item x="744"/>
        <item x="334"/>
        <item x="100"/>
        <item x="745"/>
        <item x="123"/>
        <item x="238"/>
        <item x="155"/>
        <item x="650"/>
        <item x="329"/>
        <item x="55"/>
        <item x="85"/>
        <item x="831"/>
        <item x="873"/>
        <item x="302"/>
        <item x="14"/>
        <item x="735"/>
        <item x="428"/>
        <item x="747"/>
        <item x="396"/>
        <item x="458"/>
        <item x="383"/>
        <item x="776"/>
        <item x="613"/>
        <item x="851"/>
        <item x="847"/>
        <item x="550"/>
        <item x="636"/>
        <item x="58"/>
        <item x="181"/>
        <item x="171"/>
        <item x="86"/>
        <item x="751"/>
        <item x="634"/>
        <item x="397"/>
        <item x="116"/>
        <item x="151"/>
        <item x="129"/>
        <item x="79"/>
        <item x="252"/>
        <item x="343"/>
        <item x="66"/>
        <item x="755"/>
        <item x="784"/>
        <item x="733"/>
        <item x="382"/>
        <item x="429"/>
        <item x="443"/>
        <item x="535"/>
        <item x="584"/>
        <item x="52"/>
        <item x="822"/>
        <item x="791"/>
        <item x="834"/>
        <item x="6"/>
        <item x="592"/>
        <item x="102"/>
        <item x="835"/>
        <item x="440"/>
        <item x="164"/>
        <item x="349"/>
        <item x="78"/>
        <item x="683"/>
        <item x="547"/>
        <item x="646"/>
        <item x="658"/>
        <item x="638"/>
        <item x="894"/>
        <item x="821"/>
        <item x="669"/>
        <item x="324"/>
        <item x="655"/>
        <item x="60"/>
        <item x="508"/>
        <item x="664"/>
        <item x="380"/>
        <item x="526"/>
        <item x="57"/>
        <item x="841"/>
        <item x="413"/>
        <item x="410"/>
        <item x="400"/>
        <item x="317"/>
        <item x="319"/>
        <item x="216"/>
        <item x="41"/>
        <item x="203"/>
        <item x="189"/>
        <item x="447"/>
        <item x="430"/>
        <item x="762"/>
        <item x="765"/>
        <item x="693"/>
        <item x="546"/>
        <item x="573"/>
        <item x="367"/>
        <item x="474"/>
        <item x="59"/>
        <item x="579"/>
        <item x="556"/>
        <item x="560"/>
        <item x="867"/>
        <item x="570"/>
        <item x="145"/>
        <item x="10"/>
        <item x="4"/>
        <item x="624"/>
        <item x="404"/>
        <item x="580"/>
        <item x="682"/>
        <item x="201"/>
        <item x="321"/>
        <item x="732"/>
        <item x="162"/>
        <item x="489"/>
        <item x="861"/>
        <item x="138"/>
        <item x="702"/>
        <item x="373"/>
        <item x="799"/>
        <item x="287"/>
        <item x="893"/>
        <item x="460"/>
        <item x="808"/>
        <item x="228"/>
        <item x="446"/>
        <item x="553"/>
        <item x="609"/>
        <item x="494"/>
        <item x="519"/>
        <item x="172"/>
        <item x="22"/>
        <item x="209"/>
        <item x="42"/>
        <item x="521"/>
        <item x="676"/>
        <item x="13"/>
        <item x="258"/>
        <item x="542"/>
        <item x="689"/>
        <item x="593"/>
        <item x="437"/>
        <item x="99"/>
        <item x="268"/>
        <item x="174"/>
        <item x="647"/>
        <item x="433"/>
        <item x="482"/>
        <item x="604"/>
        <item x="726"/>
        <item x="611"/>
        <item x="731"/>
        <item x="376"/>
        <item x="291"/>
        <item x="243"/>
        <item x="668"/>
        <item x="569"/>
        <item x="299"/>
        <item x="379"/>
        <item x="786"/>
        <item x="779"/>
        <item x="31"/>
        <item x="439"/>
        <item x="80"/>
        <item x="644"/>
        <item x="289"/>
        <item x="91"/>
        <item x="9"/>
        <item x="652"/>
        <item x="415"/>
        <item x="568"/>
        <item x="139"/>
        <item x="112"/>
        <item x="848"/>
        <item x="879"/>
        <item x="595"/>
        <item x="805"/>
        <item x="721"/>
        <item x="865"/>
        <item x="371"/>
        <item x="617"/>
        <item x="725"/>
        <item x="261"/>
        <item x="389"/>
        <item x="554"/>
        <item x="192"/>
        <item x="30"/>
        <item x="165"/>
        <item x="509"/>
        <item x="594"/>
        <item x="232"/>
        <item x="315"/>
        <item x="248"/>
        <item x="506"/>
        <item x="166"/>
        <item x="757"/>
        <item x="585"/>
        <item x="742"/>
        <item x="783"/>
        <item x="283"/>
        <item x="477"/>
        <item x="792"/>
        <item x="140"/>
        <item x="684"/>
        <item x="661"/>
        <item x="685"/>
        <item x="823"/>
        <item x="552"/>
        <item x="612"/>
        <item x="386"/>
        <item x="497"/>
        <item x="789"/>
        <item x="517"/>
        <item x="641"/>
        <item x="423"/>
        <item x="889"/>
        <item x="802"/>
        <item t="default"/>
      </items>
    </pivotField>
    <pivotField dataField="1" showAll="0">
      <items count="1065">
        <item x="799"/>
        <item x="115"/>
        <item x="374"/>
        <item x="862"/>
        <item x="804"/>
        <item x="443"/>
        <item x="71"/>
        <item x="86"/>
        <item x="434"/>
        <item x="391"/>
        <item x="419"/>
        <item x="1016"/>
        <item x="375"/>
        <item x="254"/>
        <item x="657"/>
        <item x="536"/>
        <item x="379"/>
        <item x="83"/>
        <item x="793"/>
        <item x="530"/>
        <item x="238"/>
        <item x="1008"/>
        <item x="200"/>
        <item x="288"/>
        <item x="357"/>
        <item x="112"/>
        <item x="166"/>
        <item x="864"/>
        <item x="825"/>
        <item x="743"/>
        <item x="909"/>
        <item x="444"/>
        <item x="692"/>
        <item x="872"/>
        <item x="409"/>
        <item x="299"/>
        <item x="246"/>
        <item x="2"/>
        <item x="252"/>
        <item x="777"/>
        <item x="390"/>
        <item x="639"/>
        <item x="428"/>
        <item x="423"/>
        <item x="96"/>
        <item x="382"/>
        <item x="599"/>
        <item x="66"/>
        <item x="397"/>
        <item x="284"/>
        <item x="140"/>
        <item x="30"/>
        <item x="18"/>
        <item x="155"/>
        <item x="331"/>
        <item x="560"/>
        <item x="21"/>
        <item x="764"/>
        <item x="668"/>
        <item x="455"/>
        <item x="351"/>
        <item x="273"/>
        <item x="544"/>
        <item x="206"/>
        <item x="368"/>
        <item x="742"/>
        <item x="302"/>
        <item x="135"/>
        <item x="854"/>
        <item x="869"/>
        <item x="593"/>
        <item x="106"/>
        <item x="371"/>
        <item x="787"/>
        <item x="463"/>
        <item x="201"/>
        <item x="181"/>
        <item x="121"/>
        <item x="741"/>
        <item x="944"/>
        <item x="364"/>
        <item x="708"/>
        <item x="476"/>
        <item x="25"/>
        <item x="829"/>
        <item x="858"/>
        <item x="583"/>
        <item x="598"/>
        <item x="325"/>
        <item x="215"/>
        <item x="1061"/>
        <item x="516"/>
        <item x="1032"/>
        <item x="992"/>
        <item x="888"/>
        <item x="967"/>
        <item x="962"/>
        <item x="119"/>
        <item x="822"/>
        <item x="433"/>
        <item x="831"/>
        <item x="768"/>
        <item x="725"/>
        <item x="797"/>
        <item x="208"/>
        <item x="684"/>
        <item x="774"/>
        <item x="88"/>
        <item x="503"/>
        <item x="627"/>
        <item x="540"/>
        <item x="984"/>
        <item x="744"/>
        <item x="988"/>
        <item x="290"/>
        <item x="394"/>
        <item x="65"/>
        <item x="56"/>
        <item x="39"/>
        <item x="588"/>
        <item x="186"/>
        <item x="250"/>
        <item x="1020"/>
        <item x="73"/>
        <item x="281"/>
        <item x="486"/>
        <item x="723"/>
        <item x="469"/>
        <item x="788"/>
        <item x="911"/>
        <item x="595"/>
        <item x="134"/>
        <item x="728"/>
        <item x="879"/>
        <item x="388"/>
        <item x="1056"/>
        <item x="604"/>
        <item x="733"/>
        <item x="562"/>
        <item x="548"/>
        <item x="196"/>
        <item x="1009"/>
        <item x="898"/>
        <item x="7"/>
        <item x="572"/>
        <item x="945"/>
        <item x="658"/>
        <item x="870"/>
        <item x="113"/>
        <item x="309"/>
        <item x="709"/>
        <item x="936"/>
        <item x="279"/>
        <item x="464"/>
        <item x="849"/>
        <item x="730"/>
        <item x="171"/>
        <item x="833"/>
        <item x="280"/>
        <item x="645"/>
        <item x="573"/>
        <item x="1027"/>
        <item x="609"/>
        <item x="674"/>
        <item x="546"/>
        <item x="828"/>
        <item x="1022"/>
        <item x="650"/>
        <item x="410"/>
        <item x="499"/>
        <item x="490"/>
        <item x="1055"/>
        <item x="1038"/>
        <item x="514"/>
        <item x="169"/>
        <item x="297"/>
        <item x="203"/>
        <item x="480"/>
        <item x="334"/>
        <item x="720"/>
        <item x="531"/>
        <item x="934"/>
        <item x="44"/>
        <item x="980"/>
        <item x="52"/>
        <item x="496"/>
        <item x="488"/>
        <item x="152"/>
        <item x="133"/>
        <item x="440"/>
        <item x="653"/>
        <item x="900"/>
        <item x="781"/>
        <item x="569"/>
        <item x="528"/>
        <item x="318"/>
        <item x="91"/>
        <item x="765"/>
        <item x="629"/>
        <item x="933"/>
        <item x="972"/>
        <item x="776"/>
        <item x="474"/>
        <item x="955"/>
        <item x="1007"/>
        <item x="698"/>
        <item x="295"/>
        <item x="790"/>
        <item x="60"/>
        <item x="285"/>
        <item x="353"/>
        <item x="932"/>
        <item x="814"/>
        <item x="462"/>
        <item x="49"/>
        <item x="248"/>
        <item x="79"/>
        <item x="881"/>
        <item x="333"/>
        <item x="855"/>
        <item x="242"/>
        <item x="123"/>
        <item x="1062"/>
        <item x="755"/>
        <item x="974"/>
        <item x="308"/>
        <item x="865"/>
        <item x="640"/>
        <item x="973"/>
        <item x="359"/>
        <item x="402"/>
        <item x="1036"/>
        <item x="585"/>
        <item x="268"/>
        <item x="124"/>
        <item x="472"/>
        <item x="986"/>
        <item x="550"/>
        <item x="953"/>
        <item x="691"/>
        <item x="247"/>
        <item x="785"/>
        <item x="511"/>
        <item x="48"/>
        <item x="4"/>
        <item x="667"/>
        <item x="1043"/>
        <item x="584"/>
        <item x="761"/>
        <item x="621"/>
        <item x="369"/>
        <item x="538"/>
        <item x="513"/>
        <item x="679"/>
        <item x="422"/>
        <item x="118"/>
        <item x="355"/>
        <item x="354"/>
        <item x="274"/>
        <item x="439"/>
        <item x="228"/>
        <item x="211"/>
        <item x="46"/>
        <item x="887"/>
        <item x="31"/>
        <item x="310"/>
        <item x="217"/>
        <item x="892"/>
        <item x="977"/>
        <item x="701"/>
        <item x="721"/>
        <item x="51"/>
        <item x="662"/>
        <item x="803"/>
        <item x="834"/>
        <item x="970"/>
        <item x="659"/>
        <item x="139"/>
        <item x="95"/>
        <item x="615"/>
        <item x="959"/>
        <item x="896"/>
        <item x="370"/>
        <item x="332"/>
        <item x="82"/>
        <item x="1014"/>
        <item x="415"/>
        <item x="1013"/>
        <item x="737"/>
        <item x="890"/>
        <item x="812"/>
        <item x="557"/>
        <item x="1046"/>
        <item x="33"/>
        <item x="145"/>
        <item x="193"/>
        <item x="189"/>
        <item x="630"/>
        <item x="818"/>
        <item x="437"/>
        <item x="329"/>
        <item x="266"/>
        <item x="362"/>
        <item x="365"/>
        <item x="344"/>
        <item x="77"/>
        <item x="1029"/>
        <item x="924"/>
        <item x="319"/>
        <item x="1030"/>
        <item x="98"/>
        <item x="796"/>
        <item x="836"/>
        <item x="661"/>
        <item x="808"/>
        <item x="597"/>
        <item x="736"/>
        <item x="264"/>
        <item x="739"/>
        <item x="893"/>
        <item x="412"/>
        <item x="801"/>
        <item x="178"/>
        <item x="398"/>
        <item x="559"/>
        <item x="457"/>
        <item x="543"/>
        <item x="188"/>
        <item x="926"/>
        <item x="673"/>
        <item x="237"/>
        <item x="665"/>
        <item x="324"/>
        <item x="529"/>
        <item x="477"/>
        <item x="349"/>
        <item x="606"/>
        <item x="461"/>
        <item x="727"/>
        <item x="815"/>
        <item x="109"/>
        <item x="163"/>
        <item x="116"/>
        <item x="55"/>
        <item x="479"/>
        <item x="450"/>
        <item x="478"/>
        <item x="767"/>
        <item x="245"/>
        <item x="307"/>
        <item x="38"/>
        <item x="819"/>
        <item x="90"/>
        <item x="1057"/>
        <item x="162"/>
        <item x="311"/>
        <item x="999"/>
        <item x="907"/>
        <item x="292"/>
        <item x="198"/>
        <item x="663"/>
        <item x="722"/>
        <item x="1025"/>
        <item x="942"/>
        <item x="943"/>
        <item x="895"/>
        <item x="589"/>
        <item x="904"/>
        <item x="664"/>
        <item x="147"/>
        <item x="164"/>
        <item x="380"/>
        <item x="340"/>
        <item x="303"/>
        <item x="930"/>
        <item x="847"/>
        <item x="125"/>
        <item x="226"/>
        <item x="521"/>
        <item x="732"/>
        <item x="392"/>
        <item x="126"/>
        <item x="644"/>
        <item x="219"/>
        <item x="468"/>
        <item x="675"/>
        <item x="64"/>
        <item x="236"/>
        <item x="175"/>
        <item x="637"/>
        <item x="456"/>
        <item x="871"/>
        <item x="418"/>
        <item x="652"/>
        <item x="401"/>
        <item x="45"/>
        <item x="176"/>
        <item x="131"/>
        <item x="636"/>
        <item x="753"/>
        <item x="484"/>
        <item x="294"/>
        <item x="899"/>
        <item x="915"/>
        <item x="694"/>
        <item x="209"/>
        <item x="389"/>
        <item x="151"/>
        <item x="489"/>
        <item x="504"/>
        <item x="1048"/>
        <item x="798"/>
        <item x="929"/>
        <item x="532"/>
        <item x="749"/>
        <item x="485"/>
        <item x="62"/>
        <item x="963"/>
        <item x="952"/>
        <item x="233"/>
        <item x="267"/>
        <item x="635"/>
        <item x="400"/>
        <item x="497"/>
        <item x="759"/>
        <item x="802"/>
        <item x="327"/>
        <item x="625"/>
        <item x="316"/>
        <item x="762"/>
        <item x="778"/>
        <item x="298"/>
        <item x="551"/>
        <item x="427"/>
        <item x="549"/>
        <item x="939"/>
        <item x="243"/>
        <item x="712"/>
        <item x="719"/>
        <item x="947"/>
        <item x="805"/>
        <item x="301"/>
        <item x="726"/>
        <item x="132"/>
        <item x="884"/>
        <item x="570"/>
        <item x="261"/>
        <item x="578"/>
        <item x="259"/>
        <item x="994"/>
        <item x="183"/>
        <item x="192"/>
        <item x="889"/>
        <item x="565"/>
        <item x="782"/>
        <item x="157"/>
        <item x="519"/>
        <item x="826"/>
        <item x="735"/>
        <item x="552"/>
        <item x="1063"/>
        <item x="404"/>
        <item x="795"/>
        <item x="756"/>
        <item x="358"/>
        <item x="685"/>
        <item x="773"/>
        <item x="459"/>
        <item x="1001"/>
        <item x="758"/>
        <item x="912"/>
        <item x="190"/>
        <item x="257"/>
        <item x="682"/>
        <item x="993"/>
        <item x="837"/>
        <item x="619"/>
        <item x="771"/>
        <item x="312"/>
        <item x="523"/>
        <item x="751"/>
        <item x="494"/>
        <item x="432"/>
        <item x="127"/>
        <item x="471"/>
        <item x="381"/>
        <item x="367"/>
        <item x="1010"/>
        <item x="779"/>
        <item x="36"/>
        <item x="681"/>
        <item x="74"/>
        <item x="19"/>
        <item x="906"/>
        <item x="1002"/>
        <item x="786"/>
        <item x="120"/>
        <item x="342"/>
        <item x="1012"/>
        <item x="553"/>
        <item x="101"/>
        <item x="1"/>
        <item x="361"/>
        <item x="491"/>
        <item x="117"/>
        <item x="223"/>
        <item x="827"/>
        <item x="748"/>
        <item x="47"/>
        <item x="467"/>
        <item x="699"/>
        <item x="526"/>
        <item x="1049"/>
        <item x="978"/>
        <item x="286"/>
        <item x="199"/>
        <item x="809"/>
        <item x="103"/>
        <item x="506"/>
        <item x="968"/>
        <item x="1053"/>
        <item x="128"/>
        <item x="1005"/>
        <item x="251"/>
        <item x="775"/>
        <item x="823"/>
        <item x="304"/>
        <item x="10"/>
        <item x="93"/>
        <item x="170"/>
        <item x="656"/>
        <item x="520"/>
        <item x="235"/>
        <item x="789"/>
        <item x="470"/>
        <item x="447"/>
        <item x="195"/>
        <item x="23"/>
        <item x="920"/>
        <item x="1026"/>
        <item x="910"/>
        <item x="338"/>
        <item x="556"/>
        <item x="851"/>
        <item x="618"/>
        <item x="234"/>
        <item x="12"/>
        <item x="501"/>
        <item x="424"/>
        <item x="16"/>
        <item x="445"/>
        <item x="28"/>
        <item x="165"/>
        <item x="253"/>
        <item x="465"/>
        <item x="534"/>
        <item x="1047"/>
        <item x="378"/>
        <item x="678"/>
        <item x="576"/>
        <item x="482"/>
        <item x="882"/>
        <item x="706"/>
        <item x="752"/>
        <item x="40"/>
        <item x="451"/>
        <item x="179"/>
        <item x="961"/>
        <item x="435"/>
        <item x="669"/>
        <item x="395"/>
        <item x="487"/>
        <item x="770"/>
        <item x="460"/>
        <item x="92"/>
        <item x="441"/>
        <item x="386"/>
        <item x="647"/>
        <item x="224"/>
        <item x="320"/>
        <item x="313"/>
        <item x="937"/>
        <item x="1034"/>
        <item x="590"/>
        <item x="921"/>
        <item x="1052"/>
        <item x="446"/>
        <item x="452"/>
        <item x="880"/>
        <item x="605"/>
        <item x="505"/>
        <item x="820"/>
        <item x="507"/>
        <item x="960"/>
        <item x="458"/>
        <item x="816"/>
        <item x="853"/>
        <item x="403"/>
        <item x="948"/>
        <item x="1017"/>
        <item x="336"/>
        <item x="84"/>
        <item x="746"/>
        <item x="533"/>
        <item x="363"/>
        <item x="429"/>
        <item x="594"/>
        <item x="508"/>
        <item x="1039"/>
        <item x="153"/>
        <item x="241"/>
        <item x="852"/>
        <item x="37"/>
        <item x="306"/>
        <item x="50"/>
        <item x="535"/>
        <item x="159"/>
        <item x="138"/>
        <item x="693"/>
        <item x="861"/>
        <item x="527"/>
        <item x="875"/>
        <item x="399"/>
        <item x="383"/>
        <item x="20"/>
        <item x="680"/>
        <item x="191"/>
        <item x="142"/>
        <item x="502"/>
        <item x="1006"/>
        <item x="956"/>
        <item x="824"/>
        <item x="586"/>
        <item x="481"/>
        <item x="711"/>
        <item x="232"/>
        <item x="1035"/>
        <item x="144"/>
        <item x="931"/>
        <item x="886"/>
        <item x="287"/>
        <item x="130"/>
        <item x="1042"/>
        <item x="580"/>
        <item x="385"/>
        <item x="314"/>
        <item x="894"/>
        <item x="1000"/>
        <item x="438"/>
        <item x="807"/>
        <item x="197"/>
        <item x="1037"/>
        <item x="150"/>
        <item x="996"/>
        <item x="158"/>
        <item x="53"/>
        <item x="417"/>
        <item x="877"/>
        <item x="384"/>
        <item x="649"/>
        <item x="660"/>
        <item x="813"/>
        <item x="646"/>
        <item x="269"/>
        <item x="220"/>
        <item x="940"/>
        <item x="35"/>
        <item x="300"/>
        <item x="263"/>
        <item x="184"/>
        <item x="346"/>
        <item x="213"/>
        <item x="592"/>
        <item x="856"/>
        <item x="240"/>
        <item x="293"/>
        <item x="230"/>
        <item x="78"/>
        <item x="352"/>
        <item x="377"/>
        <item x="784"/>
        <item x="180"/>
        <item x="1054"/>
        <item x="227"/>
        <item x="187"/>
        <item x="766"/>
        <item x="414"/>
        <item x="231"/>
        <item x="638"/>
        <item x="969"/>
        <item x="702"/>
        <item x="405"/>
        <item x="473"/>
        <item x="905"/>
        <item x="278"/>
        <item x="794"/>
        <item x="85"/>
        <item x="617"/>
        <item x="613"/>
        <item x="500"/>
        <item x="688"/>
        <item x="922"/>
        <item x="754"/>
        <item x="509"/>
        <item x="687"/>
        <item x="174"/>
        <item x="1011"/>
        <item x="839"/>
        <item x="108"/>
        <item x="216"/>
        <item x="954"/>
        <item x="498"/>
        <item x="914"/>
        <item x="897"/>
        <item x="407"/>
        <item x="15"/>
        <item x="493"/>
        <item x="634"/>
        <item x="601"/>
        <item x="436"/>
        <item x="718"/>
        <item x="821"/>
        <item x="714"/>
        <item x="633"/>
        <item x="614"/>
        <item x="426"/>
        <item x="545"/>
        <item x="348"/>
        <item x="642"/>
        <item x="483"/>
        <item x="885"/>
        <item x="453"/>
        <item x="655"/>
        <item x="515"/>
        <item x="393"/>
        <item x="840"/>
        <item x="574"/>
        <item x="161"/>
        <item x="326"/>
        <item x="59"/>
        <item x="859"/>
        <item x="843"/>
        <item x="305"/>
        <item x="337"/>
        <item x="76"/>
        <item x="975"/>
        <item x="747"/>
        <item x="160"/>
        <item x="690"/>
        <item x="448"/>
        <item x="623"/>
        <item x="901"/>
        <item x="676"/>
        <item x="262"/>
        <item x="360"/>
        <item x="622"/>
        <item x="343"/>
        <item x="41"/>
        <item x="1023"/>
        <item x="32"/>
        <item x="670"/>
        <item x="891"/>
        <item x="757"/>
        <item x="222"/>
        <item x="6"/>
        <item x="431"/>
        <item x="373"/>
        <item x="841"/>
        <item x="1044"/>
        <item x="421"/>
        <item x="626"/>
        <item x="372"/>
        <item x="1040"/>
        <item x="1059"/>
        <item x="105"/>
        <item x="558"/>
        <item x="330"/>
        <item x="256"/>
        <item x="524"/>
        <item x="867"/>
        <item x="591"/>
        <item x="878"/>
        <item x="26"/>
        <item x="707"/>
        <item x="946"/>
        <item x="704"/>
        <item x="136"/>
        <item x="916"/>
        <item x="672"/>
        <item x="72"/>
        <item x="492"/>
        <item x="654"/>
        <item x="1028"/>
        <item x="111"/>
        <item x="43"/>
        <item x="276"/>
        <item x="579"/>
        <item x="957"/>
        <item x="356"/>
        <item x="63"/>
        <item x="683"/>
        <item x="411"/>
        <item x="449"/>
        <item x="167"/>
        <item x="750"/>
        <item x="350"/>
        <item x="75"/>
        <item x="89"/>
        <item x="339"/>
        <item x="81"/>
        <item x="315"/>
        <item x="99"/>
        <item x="971"/>
        <item x="964"/>
        <item x="291"/>
        <item x="1024"/>
        <item x="102"/>
        <item x="322"/>
        <item x="14"/>
        <item x="466"/>
        <item x="567"/>
        <item x="420"/>
        <item x="194"/>
        <item x="57"/>
        <item x="610"/>
        <item x="541"/>
        <item x="998"/>
        <item x="596"/>
        <item x="848"/>
        <item x="207"/>
        <item x="1041"/>
        <item x="981"/>
        <item x="902"/>
        <item x="700"/>
        <item x="87"/>
        <item x="731"/>
        <item x="783"/>
        <item x="607"/>
        <item x="182"/>
        <item x="838"/>
        <item x="918"/>
        <item x="686"/>
        <item x="214"/>
        <item x="137"/>
        <item x="564"/>
        <item x="80"/>
        <item x="866"/>
        <item x="903"/>
        <item x="950"/>
        <item x="68"/>
        <item x="1018"/>
        <item x="571"/>
        <item x="965"/>
        <item x="845"/>
        <item x="406"/>
        <item x="985"/>
        <item x="563"/>
        <item x="575"/>
        <item x="600"/>
        <item x="110"/>
        <item x="863"/>
        <item x="976"/>
        <item x="949"/>
        <item x="555"/>
        <item x="70"/>
        <item x="205"/>
        <item x="1060"/>
        <item x="734"/>
        <item x="366"/>
        <item x="61"/>
        <item x="17"/>
        <item x="666"/>
        <item x="671"/>
        <item x="396"/>
        <item x="832"/>
        <item x="780"/>
        <item x="883"/>
        <item x="873"/>
        <item x="616"/>
        <item x="345"/>
        <item x="612"/>
        <item x="587"/>
        <item x="697"/>
        <item x="283"/>
        <item x="689"/>
        <item x="107"/>
        <item x="772"/>
        <item x="769"/>
        <item x="97"/>
        <item x="24"/>
        <item x="716"/>
        <item x="347"/>
        <item x="951"/>
        <item x="846"/>
        <item x="696"/>
        <item x="811"/>
        <item x="738"/>
        <item x="561"/>
        <item x="566"/>
        <item x="577"/>
        <item x="745"/>
        <item x="425"/>
        <item x="416"/>
        <item x="202"/>
        <item x="518"/>
        <item x="272"/>
        <item x="710"/>
        <item x="408"/>
        <item x="249"/>
        <item x="641"/>
        <item x="58"/>
        <item x="9"/>
        <item x="717"/>
        <item x="763"/>
        <item x="603"/>
        <item x="810"/>
        <item x="917"/>
        <item x="611"/>
        <item x="27"/>
        <item x="850"/>
        <item x="547"/>
        <item x="568"/>
        <item x="67"/>
        <item x="938"/>
        <item x="185"/>
        <item x="239"/>
        <item x="648"/>
        <item x="218"/>
        <item x="602"/>
        <item x="34"/>
        <item x="22"/>
        <item x="221"/>
        <item x="413"/>
        <item x="42"/>
        <item x="321"/>
        <item x="323"/>
        <item x="1058"/>
        <item x="104"/>
        <item x="927"/>
        <item x="282"/>
        <item x="258"/>
        <item x="705"/>
        <item x="760"/>
        <item x="510"/>
        <item x="806"/>
        <item x="204"/>
        <item x="317"/>
        <item x="677"/>
        <item x="876"/>
        <item x="475"/>
        <item x="255"/>
        <item x="620"/>
        <item x="156"/>
        <item x="328"/>
        <item x="271"/>
        <item x="495"/>
        <item x="129"/>
        <item x="335"/>
        <item x="149"/>
        <item x="5"/>
        <item x="442"/>
        <item x="387"/>
        <item x="982"/>
        <item x="1004"/>
        <item x="979"/>
        <item x="581"/>
        <item x="1051"/>
        <item x="54"/>
        <item x="997"/>
        <item x="154"/>
        <item x="995"/>
        <item x="835"/>
        <item x="1015"/>
        <item x="724"/>
        <item x="296"/>
        <item x="966"/>
        <item x="740"/>
        <item x="225"/>
        <item x="512"/>
        <item x="928"/>
        <item x="277"/>
        <item x="114"/>
        <item x="713"/>
        <item x="631"/>
        <item x="844"/>
        <item x="94"/>
        <item x="376"/>
        <item x="8"/>
        <item x="628"/>
        <item x="991"/>
        <item x="989"/>
        <item x="275"/>
        <item x="987"/>
        <item x="582"/>
        <item x="177"/>
        <item x="270"/>
        <item x="13"/>
        <item x="800"/>
        <item x="3"/>
        <item x="244"/>
        <item x="229"/>
        <item x="289"/>
        <item x="1021"/>
        <item x="260"/>
        <item x="554"/>
        <item x="1019"/>
        <item x="210"/>
        <item x="817"/>
        <item x="69"/>
        <item x="651"/>
        <item x="925"/>
        <item x="857"/>
        <item x="868"/>
        <item x="908"/>
        <item x="265"/>
        <item x="913"/>
        <item x="517"/>
        <item x="923"/>
        <item x="430"/>
        <item x="791"/>
        <item x="148"/>
        <item x="141"/>
        <item x="1033"/>
        <item x="983"/>
        <item x="990"/>
        <item x="542"/>
        <item x="792"/>
        <item x="624"/>
        <item x="608"/>
        <item x="715"/>
        <item x="729"/>
        <item x="143"/>
        <item x="874"/>
        <item x="695"/>
        <item x="1003"/>
        <item x="537"/>
        <item x="643"/>
        <item x="539"/>
        <item x="703"/>
        <item x="842"/>
        <item x="919"/>
        <item x="632"/>
        <item x="522"/>
        <item x="212"/>
        <item x="525"/>
        <item x="168"/>
        <item x="146"/>
        <item x="122"/>
        <item x="172"/>
        <item x="11"/>
        <item x="29"/>
        <item x="1050"/>
        <item x="958"/>
        <item x="941"/>
        <item x="341"/>
        <item x="173"/>
        <item x="100"/>
        <item x="1031"/>
        <item x="830"/>
        <item x="454"/>
        <item x="860"/>
        <item x="935"/>
        <item x="1045"/>
        <item x="0"/>
        <item t="default"/>
      </items>
    </pivotField>
    <pivotField showAll="0"/>
    <pivotField showAll="0"/>
    <pivotField showAll="0"/>
    <pivotField axis="axisPage" multipleItemSelectionAllowed="1" showAll="0">
      <items count="13">
        <item x="4"/>
        <item x="2"/>
        <item h="1" x="1"/>
        <item h="1" x="8"/>
        <item h="1" x="10"/>
        <item h="1" x="7"/>
        <item h="1" x="6"/>
        <item h="1" x="11"/>
        <item x="0"/>
        <item h="1" x="9"/>
        <item x="3"/>
        <item x="5"/>
        <item t="default"/>
      </items>
    </pivotField>
    <pivotField showAll="0"/>
    <pivotField axis="axisCol" showAll="0">
      <items count="124">
        <item x="40"/>
        <item x="105"/>
        <item x="117"/>
        <item x="59"/>
        <item x="82"/>
        <item x="52"/>
        <item x="122"/>
        <item x="39"/>
        <item x="64"/>
        <item x="98"/>
        <item x="111"/>
        <item x="10"/>
        <item x="76"/>
        <item x="49"/>
        <item x="78"/>
        <item x="60"/>
        <item x="21"/>
        <item x="70"/>
        <item x="32"/>
        <item x="31"/>
        <item x="80"/>
        <item x="35"/>
        <item x="42"/>
        <item x="44"/>
        <item x="56"/>
        <item x="18"/>
        <item x="14"/>
        <item x="118"/>
        <item x="37"/>
        <item x="106"/>
        <item x="28"/>
        <item x="120"/>
        <item x="87"/>
        <item x="84"/>
        <item x="38"/>
        <item x="102"/>
        <item x="103"/>
        <item x="62"/>
        <item x="19"/>
        <item x="66"/>
        <item x="16"/>
        <item x="15"/>
        <item x="75"/>
        <item x="61"/>
        <item x="121"/>
        <item x="26"/>
        <item x="71"/>
        <item x="112"/>
        <item x="113"/>
        <item x="108"/>
        <item x="33"/>
        <item x="41"/>
        <item x="46"/>
        <item x="119"/>
        <item x="57"/>
        <item x="11"/>
        <item x="91"/>
        <item x="29"/>
        <item x="90"/>
        <item x="68"/>
        <item x="114"/>
        <item x="17"/>
        <item x="110"/>
        <item x="69"/>
        <item x="43"/>
        <item x="7"/>
        <item x="100"/>
        <item x="93"/>
        <item x="23"/>
        <item x="101"/>
        <item x="6"/>
        <item x="1"/>
        <item x="12"/>
        <item x="9"/>
        <item x="3"/>
        <item x="0"/>
        <item x="63"/>
        <item x="99"/>
        <item x="20"/>
        <item x="67"/>
        <item x="50"/>
        <item x="47"/>
        <item x="4"/>
        <item x="36"/>
        <item x="25"/>
        <item x="92"/>
        <item x="2"/>
        <item x="77"/>
        <item x="95"/>
        <item x="53"/>
        <item x="54"/>
        <item x="58"/>
        <item x="8"/>
        <item x="115"/>
        <item x="116"/>
        <item x="83"/>
        <item x="86"/>
        <item x="79"/>
        <item x="104"/>
        <item x="73"/>
        <item x="65"/>
        <item x="48"/>
        <item x="22"/>
        <item x="55"/>
        <item x="107"/>
        <item x="85"/>
        <item x="30"/>
        <item x="27"/>
        <item x="72"/>
        <item x="5"/>
        <item x="109"/>
        <item x="94"/>
        <item x="89"/>
        <item x="97"/>
        <item x="45"/>
        <item x="81"/>
        <item x="51"/>
        <item x="74"/>
        <item x="96"/>
        <item x="88"/>
        <item x="24"/>
        <item x="34"/>
        <item x="13"/>
        <item t="default"/>
      </items>
    </pivotField>
    <pivotField showAll="0"/>
    <pivotField axis="axisPage" multipleItemSelectionAllowed="1" showAll="0">
      <items count="9">
        <item h="1" x="6"/>
        <item h="1" x="0"/>
        <item x="1"/>
        <item h="1" x="7"/>
        <item x="3"/>
        <item h="1" x="5"/>
        <item x="4"/>
        <item h="1" x="2"/>
        <item t="default"/>
      </items>
    </pivotField>
    <pivotField showAll="0"/>
    <pivotField showAll="0"/>
    <pivotField showAll="0"/>
    <pivotField showAll="0"/>
    <pivotField axis="axisPage" multipleItemSelectionAllowed="1" showAll="0">
      <items count="5">
        <item h="1" x="2"/>
        <item h="1" x="3"/>
        <item h="1" x="1"/>
        <item x="0"/>
        <item t="default"/>
      </items>
    </pivotField>
    <pivotField showAll="0"/>
    <pivotField axis="axisPage" showAll="0">
      <items count="4">
        <item x="2"/>
        <item x="1"/>
        <item x="0"/>
        <item t="default"/>
      </items>
    </pivotField>
  </pivotFields>
  <rowFields count="1">
    <field x="0"/>
  </rowFields>
  <rowItems count="20">
    <i>
      <x v="4"/>
    </i>
    <i>
      <x v="5"/>
    </i>
    <i>
      <x v="6"/>
    </i>
    <i>
      <x v="7"/>
    </i>
    <i>
      <x v="8"/>
    </i>
    <i>
      <x v="9"/>
    </i>
    <i>
      <x v="10"/>
    </i>
    <i>
      <x v="11"/>
    </i>
    <i>
      <x v="12"/>
    </i>
    <i>
      <x v="13"/>
    </i>
    <i>
      <x v="14"/>
    </i>
    <i>
      <x v="15"/>
    </i>
    <i>
      <x v="16"/>
    </i>
    <i>
      <x v="17"/>
    </i>
    <i>
      <x v="18"/>
    </i>
    <i>
      <x v="19"/>
    </i>
    <i>
      <x v="20"/>
    </i>
    <i>
      <x v="21"/>
    </i>
    <i>
      <x v="22"/>
    </i>
    <i t="grand">
      <x/>
    </i>
  </rowItems>
  <colFields count="1">
    <field x="9"/>
  </colFields>
  <colItems count="69">
    <i>
      <x/>
    </i>
    <i>
      <x v="3"/>
    </i>
    <i>
      <x v="9"/>
    </i>
    <i>
      <x v="11"/>
    </i>
    <i>
      <x v="13"/>
    </i>
    <i>
      <x v="14"/>
    </i>
    <i>
      <x v="15"/>
    </i>
    <i>
      <x v="17"/>
    </i>
    <i>
      <x v="19"/>
    </i>
    <i>
      <x v="26"/>
    </i>
    <i>
      <x v="28"/>
    </i>
    <i>
      <x v="29"/>
    </i>
    <i>
      <x v="32"/>
    </i>
    <i>
      <x v="33"/>
    </i>
    <i>
      <x v="34"/>
    </i>
    <i>
      <x v="35"/>
    </i>
    <i>
      <x v="37"/>
    </i>
    <i>
      <x v="38"/>
    </i>
    <i>
      <x v="40"/>
    </i>
    <i>
      <x v="41"/>
    </i>
    <i>
      <x v="42"/>
    </i>
    <i>
      <x v="46"/>
    </i>
    <i>
      <x v="50"/>
    </i>
    <i>
      <x v="51"/>
    </i>
    <i>
      <x v="52"/>
    </i>
    <i>
      <x v="55"/>
    </i>
    <i>
      <x v="56"/>
    </i>
    <i>
      <x v="57"/>
    </i>
    <i>
      <x v="58"/>
    </i>
    <i>
      <x v="61"/>
    </i>
    <i>
      <x v="65"/>
    </i>
    <i>
      <x v="67"/>
    </i>
    <i>
      <x v="68"/>
    </i>
    <i>
      <x v="70"/>
    </i>
    <i>
      <x v="71"/>
    </i>
    <i>
      <x v="72"/>
    </i>
    <i>
      <x v="74"/>
    </i>
    <i>
      <x v="75"/>
    </i>
    <i>
      <x v="76"/>
    </i>
    <i>
      <x v="78"/>
    </i>
    <i>
      <x v="79"/>
    </i>
    <i>
      <x v="80"/>
    </i>
    <i>
      <x v="81"/>
    </i>
    <i>
      <x v="82"/>
    </i>
    <i>
      <x v="83"/>
    </i>
    <i>
      <x v="84"/>
    </i>
    <i>
      <x v="85"/>
    </i>
    <i>
      <x v="86"/>
    </i>
    <i>
      <x v="91"/>
    </i>
    <i>
      <x v="92"/>
    </i>
    <i>
      <x v="95"/>
    </i>
    <i>
      <x v="96"/>
    </i>
    <i>
      <x v="97"/>
    </i>
    <i>
      <x v="98"/>
    </i>
    <i>
      <x v="103"/>
    </i>
    <i>
      <x v="104"/>
    </i>
    <i>
      <x v="105"/>
    </i>
    <i>
      <x v="106"/>
    </i>
    <i>
      <x v="109"/>
    </i>
    <i>
      <x v="111"/>
    </i>
    <i>
      <x v="112"/>
    </i>
    <i>
      <x v="114"/>
    </i>
    <i>
      <x v="116"/>
    </i>
    <i>
      <x v="117"/>
    </i>
    <i>
      <x v="119"/>
    </i>
    <i>
      <x v="120"/>
    </i>
    <i>
      <x v="121"/>
    </i>
    <i>
      <x v="122"/>
    </i>
    <i t="grand">
      <x/>
    </i>
  </colItems>
  <pageFields count="5">
    <pageField fld="16" hier="-1"/>
    <pageField fld="7" hier="-1"/>
    <pageField fld="11" hier="-1"/>
    <pageField fld="2" hier="-1"/>
    <pageField fld="18" hier="-1"/>
  </pageFields>
  <dataFields count="1">
    <dataField name="Count of Facility_Name / Installa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19F32C-F836-4822-84C5-DBFB2E9C195B}"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G28" firstHeaderRow="1" firstDataRow="2" firstDataCol="1" rowPageCount="5" colPageCount="1"/>
  <pivotFields count="19">
    <pivotField axis="axisRow">
      <items count="32">
        <item h="1" x="30"/>
        <item h="1" x="25"/>
        <item h="1" x="24"/>
        <item h="1" x="28"/>
        <item x="23"/>
        <item x="0"/>
        <item x="4"/>
        <item x="22"/>
        <item x="3"/>
        <item x="10"/>
        <item x="19"/>
        <item x="13"/>
        <item x="20"/>
        <item x="6"/>
        <item x="8"/>
        <item x="16"/>
        <item x="26"/>
        <item x="27"/>
        <item x="5"/>
        <item x="11"/>
        <item x="18"/>
        <item x="9"/>
        <item x="1"/>
        <item h="1" x="2"/>
        <item h="1" x="15"/>
        <item h="1" x="12"/>
        <item h="1" x="21"/>
        <item h="1" x="7"/>
        <item h="1" x="14"/>
        <item h="1" x="29"/>
        <item h="1" x="17"/>
        <item t="default"/>
      </items>
    </pivotField>
    <pivotField showAll="0"/>
    <pivotField axis="axisPage" multipleItemSelectionAllowed="1" showAll="0">
      <items count="903">
        <item x="699"/>
        <item x="23"/>
        <item x="163"/>
        <item x="77"/>
        <item x="71"/>
        <item x="270"/>
        <item x="84"/>
        <item x="643"/>
        <item x="712"/>
        <item x="723"/>
        <item x="866"/>
        <item x="842"/>
        <item x="354"/>
        <item x="357"/>
        <item x="384"/>
        <item x="662"/>
        <item x="322"/>
        <item x="17"/>
        <item x="824"/>
        <item x="830"/>
        <item x="629"/>
        <item x="462"/>
        <item x="277"/>
        <item x="681"/>
        <item x="227"/>
        <item x="859"/>
        <item x="583"/>
        <item x="339"/>
        <item x="794"/>
        <item x="106"/>
        <item x="154"/>
        <item x="479"/>
        <item x="716"/>
        <item x="645"/>
        <item x="24"/>
        <item x="778"/>
        <item x="134"/>
        <item x="214"/>
        <item x="385"/>
        <item x="281"/>
        <item x="686"/>
        <item x="234"/>
        <item x="33"/>
        <item x="366"/>
        <item x="402"/>
        <item x="840"/>
        <item x="398"/>
        <item x="93"/>
        <item x="178"/>
        <item x="890"/>
        <item x="359"/>
        <item x="543"/>
        <item x="133"/>
        <item x="785"/>
        <item x="29"/>
        <item x="18"/>
        <item x="208"/>
        <item x="738"/>
        <item x="372"/>
        <item x="83"/>
        <item x="309"/>
        <item x="92"/>
        <item x="313"/>
        <item x="21"/>
        <item x="602"/>
        <item x="660"/>
        <item x="520"/>
        <item x="330"/>
        <item x="195"/>
        <item x="51"/>
        <item x="298"/>
        <item x="575"/>
        <item x="266"/>
        <item x="284"/>
        <item x="690"/>
        <item x="127"/>
        <item x="740"/>
        <item x="524"/>
        <item x="671"/>
        <item x="750"/>
        <item x="591"/>
        <item x="679"/>
        <item x="101"/>
        <item x="895"/>
        <item x="351"/>
        <item x="170"/>
        <item x="432"/>
        <item x="863"/>
        <item x="326"/>
        <item x="28"/>
        <item x="787"/>
        <item x="898"/>
        <item x="541"/>
        <item x="529"/>
        <item x="305"/>
        <item x="301"/>
        <item x="236"/>
        <item x="204"/>
        <item x="806"/>
        <item x="414"/>
        <item x="559"/>
        <item x="850"/>
        <item x="587"/>
        <item x="826"/>
        <item x="245"/>
        <item x="111"/>
        <item x="406"/>
        <item x="653"/>
        <item x="696"/>
        <item x="631"/>
        <item x="711"/>
        <item x="536"/>
        <item x="688"/>
        <item x="38"/>
        <item x="197"/>
        <item x="603"/>
        <item x="107"/>
        <item x="244"/>
        <item x="264"/>
        <item x="615"/>
        <item x="493"/>
        <item x="567"/>
        <item x="582"/>
        <item x="412"/>
        <item x="265"/>
        <item x="532"/>
        <item x="846"/>
        <item x="369"/>
        <item x="64"/>
        <item x="533"/>
        <item x="65"/>
        <item x="239"/>
        <item x="709"/>
        <item x="438"/>
        <item x="780"/>
        <item x="761"/>
        <item x="365"/>
        <item x="514"/>
        <item x="500"/>
        <item x="812"/>
        <item x="855"/>
        <item x="563"/>
        <item x="35"/>
        <item x="490"/>
        <item x="616"/>
        <item x="73"/>
        <item x="727"/>
        <item x="381"/>
        <item x="697"/>
        <item x="597"/>
        <item x="250"/>
        <item x="635"/>
        <item x="496"/>
        <item x="113"/>
        <item x="142"/>
        <item x="355"/>
        <item x="137"/>
        <item x="361"/>
        <item x="390"/>
        <item x="231"/>
        <item x="871"/>
        <item x="797"/>
        <item x="267"/>
        <item x="499"/>
        <item x="577"/>
        <item x="362"/>
        <item x="160"/>
        <item x="701"/>
        <item x="887"/>
        <item x="448"/>
        <item x="345"/>
        <item x="620"/>
        <item x="469"/>
        <item x="44"/>
        <item x="503"/>
        <item x="626"/>
        <item x="421"/>
        <item x="88"/>
        <item x="8"/>
        <item x="468"/>
        <item x="523"/>
        <item x="869"/>
        <item x="312"/>
        <item x="39"/>
        <item x="304"/>
        <item x="424"/>
        <item x="714"/>
        <item x="800"/>
        <item x="838"/>
        <item x="639"/>
        <item x="67"/>
        <item x="15"/>
        <item x="788"/>
        <item x="710"/>
        <item x="495"/>
        <item x="677"/>
        <item x="832"/>
        <item x="781"/>
        <item x="868"/>
        <item x="199"/>
        <item x="260"/>
        <item x="670"/>
        <item x="224"/>
        <item x="885"/>
        <item x="61"/>
        <item x="858"/>
        <item x="271"/>
        <item x="125"/>
        <item x="262"/>
        <item x="816"/>
        <item x="314"/>
        <item x="115"/>
        <item x="572"/>
        <item x="472"/>
        <item x="839"/>
        <item x="401"/>
        <item x="409"/>
        <item x="769"/>
        <item x="478"/>
        <item x="338"/>
        <item x="746"/>
        <item x="242"/>
        <item x="295"/>
        <item x="827"/>
        <item x="94"/>
        <item x="884"/>
        <item x="254"/>
        <item x="502"/>
        <item x="377"/>
        <item x="420"/>
        <item x="190"/>
        <item x="193"/>
        <item x="471"/>
        <item x="182"/>
        <item x="48"/>
        <item x="545"/>
        <item x="565"/>
        <item x="280"/>
        <item x="657"/>
        <item x="110"/>
        <item x="476"/>
        <item x="773"/>
        <item x="333"/>
        <item x="217"/>
        <item x="200"/>
        <item x="777"/>
        <item x="749"/>
        <item x="46"/>
        <item x="157"/>
        <item x="736"/>
        <item x="836"/>
        <item x="218"/>
        <item x="601"/>
        <item x="143"/>
        <item x="860"/>
        <item x="627"/>
        <item x="198"/>
        <item x="678"/>
        <item x="54"/>
        <item x="335"/>
        <item x="419"/>
        <item x="772"/>
        <item x="117"/>
        <item x="864"/>
        <item x="126"/>
        <item x="310"/>
        <item x="498"/>
        <item x="394"/>
        <item x="640"/>
        <item x="703"/>
        <item x="273"/>
        <item x="32"/>
        <item x="135"/>
        <item x="180"/>
        <item x="176"/>
        <item x="184"/>
        <item x="525"/>
        <item x="618"/>
        <item x="360"/>
        <item x="708"/>
        <item x="76"/>
        <item x="391"/>
        <item x="220"/>
        <item x="528"/>
        <item x="642"/>
        <item x="796"/>
        <item x="561"/>
        <item x="167"/>
        <item x="530"/>
        <item x="581"/>
        <item x="484"/>
        <item x="375"/>
        <item x="605"/>
        <item x="427"/>
        <item x="352"/>
        <item x="175"/>
        <item x="104"/>
        <item x="119"/>
        <item x="793"/>
        <item x="303"/>
        <item x="449"/>
        <item x="510"/>
        <item x="768"/>
        <item x="875"/>
        <item x="300"/>
        <item x="444"/>
        <item x="74"/>
        <item x="328"/>
        <item x="274"/>
        <item x="844"/>
        <item x="706"/>
        <item x="69"/>
        <item x="896"/>
        <item x="454"/>
        <item x="37"/>
        <item x="825"/>
        <item x="114"/>
        <item x="159"/>
        <item x="185"/>
        <item x="62"/>
        <item x="632"/>
        <item x="293"/>
        <item x="680"/>
        <item x="811"/>
        <item x="687"/>
        <item x="771"/>
        <item x="346"/>
        <item x="215"/>
        <item x="136"/>
        <item x="849"/>
        <item x="318"/>
        <item x="358"/>
        <item x="285"/>
        <item x="211"/>
        <item x="862"/>
        <item x="219"/>
        <item x="229"/>
        <item x="194"/>
        <item x="754"/>
        <item x="130"/>
        <item x="820"/>
        <item x="152"/>
        <item x="118"/>
        <item x="25"/>
        <item x="481"/>
        <item x="878"/>
        <item x="387"/>
        <item x="275"/>
        <item x="843"/>
        <item x="728"/>
        <item x="450"/>
        <item x="557"/>
        <item x="63"/>
        <item x="169"/>
        <item x="226"/>
        <item x="752"/>
        <item x="206"/>
        <item x="666"/>
        <item x="87"/>
        <item x="27"/>
        <item x="518"/>
        <item x="487"/>
        <item x="674"/>
        <item x="724"/>
        <item x="45"/>
        <item x="251"/>
        <item x="122"/>
        <item x="278"/>
        <item x="774"/>
        <item x="341"/>
        <item x="667"/>
        <item x="141"/>
        <item x="856"/>
        <item x="491"/>
        <item x="720"/>
        <item x="452"/>
        <item x="68"/>
        <item x="223"/>
        <item x="717"/>
        <item x="237"/>
        <item x="132"/>
        <item x="256"/>
        <item x="306"/>
        <item x="364"/>
        <item x="2"/>
        <item x="342"/>
        <item x="240"/>
        <item x="97"/>
        <item x="633"/>
        <item x="158"/>
        <item x="501"/>
        <item x="809"/>
        <item x="817"/>
        <item x="121"/>
        <item x="124"/>
        <item x="654"/>
        <item x="416"/>
        <item x="255"/>
        <item x="459"/>
        <item x="637"/>
        <item x="718"/>
        <item x="698"/>
        <item x="81"/>
        <item x="12"/>
        <item x="56"/>
        <item x="488"/>
        <item x="348"/>
        <item x="378"/>
        <item x="764"/>
        <item x="880"/>
        <item x="648"/>
        <item x="297"/>
        <item x="656"/>
        <item x="393"/>
        <item x="347"/>
        <item x="19"/>
        <item x="513"/>
        <item x="233"/>
        <item x="767"/>
        <item x="196"/>
        <item x="516"/>
        <item x="675"/>
        <item x="759"/>
        <item x="147"/>
        <item x="713"/>
        <item x="336"/>
        <item x="475"/>
        <item x="246"/>
        <item x="177"/>
        <item x="161"/>
        <item x="337"/>
        <item x="453"/>
        <item x="445"/>
        <item x="883"/>
        <item x="72"/>
        <item x="659"/>
        <item x="760"/>
        <item x="845"/>
        <item x="435"/>
        <item x="729"/>
        <item x="96"/>
        <item x="623"/>
        <item x="598"/>
        <item x="1"/>
        <item x="249"/>
        <item x="40"/>
        <item x="815"/>
        <item x="694"/>
        <item x="340"/>
        <item x="456"/>
        <item x="425"/>
        <item x="156"/>
        <item x="109"/>
        <item x="614"/>
        <item x="538"/>
        <item x="47"/>
        <item x="144"/>
        <item x="558"/>
        <item x="417"/>
        <item x="486"/>
        <item x="408"/>
        <item x="900"/>
        <item x="837"/>
        <item x="187"/>
        <item x="527"/>
        <item x="98"/>
        <item x="286"/>
        <item x="221"/>
        <item x="11"/>
        <item x="90"/>
        <item x="790"/>
        <item x="566"/>
        <item x="290"/>
        <item x="225"/>
        <item x="564"/>
        <item x="311"/>
        <item x="16"/>
        <item x="766"/>
        <item x="153"/>
        <item x="828"/>
        <item x="241"/>
        <item x="630"/>
        <item x="719"/>
        <item x="202"/>
        <item x="574"/>
        <item x="263"/>
        <item x="294"/>
        <item x="356"/>
        <item x="504"/>
        <item x="441"/>
        <item x="350"/>
        <item x="551"/>
        <item x="332"/>
        <item x="473"/>
        <item x="753"/>
        <item x="576"/>
        <item x="370"/>
        <item x="665"/>
        <item x="89"/>
        <item x="649"/>
        <item x="411"/>
        <item x="212"/>
        <item x="804"/>
        <item x="881"/>
        <item x="461"/>
        <item x="628"/>
        <item x="3"/>
        <item x="610"/>
        <item x="451"/>
        <item x="467"/>
        <item x="692"/>
        <item x="695"/>
        <item x="886"/>
        <item x="833"/>
        <item x="586"/>
        <item x="691"/>
        <item x="512"/>
        <item x="455"/>
        <item x="485"/>
        <item x="739"/>
        <item x="288"/>
        <item x="743"/>
        <item x="188"/>
        <item x="50"/>
        <item x="531"/>
        <item x="148"/>
        <item x="308"/>
        <item x="801"/>
        <item x="131"/>
        <item x="756"/>
        <item x="183"/>
        <item x="870"/>
        <item x="272"/>
        <item x="465"/>
        <item x="857"/>
        <item x="549"/>
        <item x="874"/>
        <item x="230"/>
        <item x="782"/>
        <item x="483"/>
        <item x="715"/>
        <item x="466"/>
        <item x="621"/>
        <item x="882"/>
        <item x="5"/>
        <item x="672"/>
        <item x="316"/>
        <item x="663"/>
        <item x="95"/>
        <item x="82"/>
        <item x="798"/>
        <item x="888"/>
        <item x="296"/>
        <item x="588"/>
        <item x="770"/>
        <item x="722"/>
        <item x="700"/>
        <item x="899"/>
        <item x="392"/>
        <item x="748"/>
        <item x="464"/>
        <item x="388"/>
        <item x="70"/>
        <item x="36"/>
        <item x="818"/>
        <item x="247"/>
        <item x="758"/>
        <item x="853"/>
        <item x="704"/>
        <item x="515"/>
        <item x="257"/>
        <item x="795"/>
        <item x="374"/>
        <item x="730"/>
        <item x="707"/>
        <item x="426"/>
        <item x="539"/>
        <item x="625"/>
        <item x="407"/>
        <item x="146"/>
        <item x="34"/>
        <item x="282"/>
        <item x="205"/>
        <item x="179"/>
        <item x="26"/>
        <item x="589"/>
        <item x="363"/>
        <item x="325"/>
        <item x="537"/>
        <item x="353"/>
        <item x="331"/>
        <item x="741"/>
        <item x="276"/>
        <item x="877"/>
        <item x="897"/>
        <item x="522"/>
        <item x="173"/>
        <item x="222"/>
        <item x="829"/>
        <item x="259"/>
        <item x="405"/>
        <item x="737"/>
        <item x="168"/>
        <item x="555"/>
        <item x="901"/>
        <item x="599"/>
        <item x="511"/>
        <item x="307"/>
        <item x="434"/>
        <item x="431"/>
        <item x="600"/>
        <item x="608"/>
        <item x="814"/>
        <item x="619"/>
        <item x="269"/>
        <item x="651"/>
        <item x="470"/>
        <item x="854"/>
        <item x="120"/>
        <item x="492"/>
        <item x="399"/>
        <item x="480"/>
        <item x="544"/>
        <item x="344"/>
        <item x="292"/>
        <item x="103"/>
        <item x="819"/>
        <item x="442"/>
        <item x="457"/>
        <item x="186"/>
        <item x="622"/>
        <item x="534"/>
        <item x="395"/>
        <item x="327"/>
        <item x="0"/>
        <item x="810"/>
        <item x="892"/>
        <item x="368"/>
        <item x="463"/>
        <item x="49"/>
        <item x="150"/>
        <item x="705"/>
        <item x="606"/>
        <item x="891"/>
        <item x="75"/>
        <item x="807"/>
        <item x="548"/>
        <item x="436"/>
        <item x="872"/>
        <item x="571"/>
        <item x="607"/>
        <item x="149"/>
        <item x="852"/>
        <item x="418"/>
        <item x="813"/>
        <item x="775"/>
        <item x="596"/>
        <item x="323"/>
        <item x="210"/>
        <item x="7"/>
        <item x="507"/>
        <item x="673"/>
        <item x="763"/>
        <item x="540"/>
        <item x="578"/>
        <item x="235"/>
        <item x="734"/>
        <item x="403"/>
        <item x="422"/>
        <item x="213"/>
        <item x="562"/>
        <item x="20"/>
        <item x="53"/>
        <item x="128"/>
        <item x="253"/>
        <item x="590"/>
        <item x="207"/>
        <item x="279"/>
        <item x="505"/>
        <item x="876"/>
        <item x="803"/>
        <item x="105"/>
        <item x="191"/>
        <item x="43"/>
        <item x="108"/>
        <item x="320"/>
        <item x="744"/>
        <item x="334"/>
        <item x="100"/>
        <item x="745"/>
        <item x="123"/>
        <item x="238"/>
        <item x="155"/>
        <item x="650"/>
        <item x="329"/>
        <item x="55"/>
        <item x="85"/>
        <item x="831"/>
        <item x="873"/>
        <item x="302"/>
        <item x="14"/>
        <item x="735"/>
        <item x="428"/>
        <item x="747"/>
        <item x="396"/>
        <item x="458"/>
        <item x="383"/>
        <item x="776"/>
        <item x="613"/>
        <item x="851"/>
        <item x="847"/>
        <item x="550"/>
        <item x="636"/>
        <item x="58"/>
        <item x="181"/>
        <item x="171"/>
        <item x="86"/>
        <item x="751"/>
        <item x="634"/>
        <item x="397"/>
        <item x="116"/>
        <item x="151"/>
        <item x="129"/>
        <item x="79"/>
        <item x="252"/>
        <item x="343"/>
        <item x="66"/>
        <item x="755"/>
        <item x="784"/>
        <item x="733"/>
        <item x="382"/>
        <item x="429"/>
        <item x="443"/>
        <item x="535"/>
        <item x="584"/>
        <item x="52"/>
        <item x="822"/>
        <item x="791"/>
        <item x="834"/>
        <item x="6"/>
        <item x="592"/>
        <item x="102"/>
        <item x="835"/>
        <item x="440"/>
        <item x="164"/>
        <item x="349"/>
        <item x="78"/>
        <item x="683"/>
        <item x="547"/>
        <item x="646"/>
        <item x="658"/>
        <item x="638"/>
        <item x="894"/>
        <item x="821"/>
        <item x="669"/>
        <item x="324"/>
        <item x="655"/>
        <item x="60"/>
        <item x="508"/>
        <item x="664"/>
        <item x="380"/>
        <item x="526"/>
        <item x="57"/>
        <item x="841"/>
        <item x="413"/>
        <item x="410"/>
        <item x="400"/>
        <item x="317"/>
        <item x="319"/>
        <item x="216"/>
        <item x="41"/>
        <item x="203"/>
        <item x="189"/>
        <item x="447"/>
        <item x="430"/>
        <item x="762"/>
        <item x="765"/>
        <item x="693"/>
        <item x="546"/>
        <item x="573"/>
        <item x="367"/>
        <item x="474"/>
        <item x="59"/>
        <item x="579"/>
        <item x="556"/>
        <item x="560"/>
        <item x="867"/>
        <item x="570"/>
        <item x="145"/>
        <item x="10"/>
        <item x="4"/>
        <item x="624"/>
        <item x="404"/>
        <item x="580"/>
        <item x="682"/>
        <item x="201"/>
        <item x="321"/>
        <item x="732"/>
        <item x="162"/>
        <item x="489"/>
        <item x="861"/>
        <item x="138"/>
        <item x="702"/>
        <item x="373"/>
        <item x="799"/>
        <item x="287"/>
        <item x="893"/>
        <item x="460"/>
        <item x="808"/>
        <item x="228"/>
        <item x="446"/>
        <item x="553"/>
        <item x="609"/>
        <item x="494"/>
        <item x="519"/>
        <item x="172"/>
        <item x="22"/>
        <item x="209"/>
        <item x="42"/>
        <item x="521"/>
        <item x="676"/>
        <item x="13"/>
        <item x="258"/>
        <item x="542"/>
        <item x="689"/>
        <item x="593"/>
        <item x="437"/>
        <item x="99"/>
        <item x="268"/>
        <item x="174"/>
        <item x="647"/>
        <item x="433"/>
        <item x="482"/>
        <item x="604"/>
        <item x="726"/>
        <item x="611"/>
        <item x="731"/>
        <item x="376"/>
        <item x="291"/>
        <item x="243"/>
        <item x="668"/>
        <item x="569"/>
        <item x="299"/>
        <item x="379"/>
        <item x="786"/>
        <item x="779"/>
        <item x="31"/>
        <item x="439"/>
        <item x="80"/>
        <item x="644"/>
        <item x="289"/>
        <item x="91"/>
        <item x="9"/>
        <item x="652"/>
        <item x="415"/>
        <item x="568"/>
        <item x="139"/>
        <item x="112"/>
        <item x="848"/>
        <item x="879"/>
        <item x="595"/>
        <item x="805"/>
        <item x="721"/>
        <item x="865"/>
        <item x="371"/>
        <item x="617"/>
        <item x="725"/>
        <item x="261"/>
        <item x="389"/>
        <item x="554"/>
        <item x="192"/>
        <item x="30"/>
        <item x="165"/>
        <item x="509"/>
        <item x="594"/>
        <item x="232"/>
        <item x="315"/>
        <item x="248"/>
        <item x="506"/>
        <item x="166"/>
        <item x="757"/>
        <item x="585"/>
        <item x="742"/>
        <item x="783"/>
        <item x="283"/>
        <item x="477"/>
        <item x="792"/>
        <item x="140"/>
        <item x="684"/>
        <item x="661"/>
        <item x="685"/>
        <item x="823"/>
        <item x="552"/>
        <item x="612"/>
        <item x="386"/>
        <item x="497"/>
        <item x="789"/>
        <item x="517"/>
        <item x="641"/>
        <item x="423"/>
        <item x="889"/>
        <item x="802"/>
        <item t="default"/>
      </items>
    </pivotField>
    <pivotField showAll="0"/>
    <pivotField showAll="0"/>
    <pivotField showAll="0"/>
    <pivotField showAll="0"/>
    <pivotField axis="axisCol" multipleItemSelectionAllowed="1" showAll="0" sortType="descending">
      <items count="13">
        <item x="5"/>
        <item x="3"/>
        <item h="1" x="9"/>
        <item x="0"/>
        <item h="1" x="11"/>
        <item h="1" x="6"/>
        <item h="1" x="7"/>
        <item h="1" x="10"/>
        <item h="1" x="8"/>
        <item h="1" x="1"/>
        <item x="2"/>
        <item x="4"/>
        <item t="default"/>
      </items>
    </pivotField>
    <pivotField showAll="0"/>
    <pivotField axis="axisPage" multipleItemSelectionAllowed="1" showAll="0" sortType="descending">
      <items count="124">
        <item x="13"/>
        <item x="34"/>
        <item x="24"/>
        <item x="88"/>
        <item x="96"/>
        <item x="74"/>
        <item x="51"/>
        <item x="81"/>
        <item x="45"/>
        <item x="97"/>
        <item x="89"/>
        <item x="94"/>
        <item x="109"/>
        <item x="5"/>
        <item x="72"/>
        <item x="27"/>
        <item x="30"/>
        <item x="85"/>
        <item x="107"/>
        <item x="55"/>
        <item x="22"/>
        <item x="48"/>
        <item x="65"/>
        <item x="73"/>
        <item x="104"/>
        <item x="79"/>
        <item x="86"/>
        <item x="83"/>
        <item x="116"/>
        <item x="115"/>
        <item x="8"/>
        <item x="58"/>
        <item x="54"/>
        <item x="53"/>
        <item x="95"/>
        <item x="77"/>
        <item x="2"/>
        <item x="92"/>
        <item x="25"/>
        <item x="36"/>
        <item x="4"/>
        <item x="47"/>
        <item x="50"/>
        <item x="67"/>
        <item x="20"/>
        <item x="99"/>
        <item x="63"/>
        <item x="0"/>
        <item x="3"/>
        <item x="9"/>
        <item x="12"/>
        <item x="1"/>
        <item x="6"/>
        <item x="101"/>
        <item x="23"/>
        <item x="93"/>
        <item x="100"/>
        <item x="7"/>
        <item x="43"/>
        <item x="69"/>
        <item x="110"/>
        <item x="17"/>
        <item x="114"/>
        <item x="68"/>
        <item x="90"/>
        <item x="29"/>
        <item x="91"/>
        <item x="11"/>
        <item x="57"/>
        <item x="119"/>
        <item x="46"/>
        <item x="41"/>
        <item x="33"/>
        <item x="108"/>
        <item x="113"/>
        <item x="112"/>
        <item x="71"/>
        <item x="26"/>
        <item x="121"/>
        <item x="61"/>
        <item x="75"/>
        <item x="15"/>
        <item x="16"/>
        <item x="66"/>
        <item x="19"/>
        <item x="62"/>
        <item x="103"/>
        <item x="102"/>
        <item x="38"/>
        <item x="84"/>
        <item x="87"/>
        <item x="120"/>
        <item x="28"/>
        <item x="106"/>
        <item x="37"/>
        <item x="118"/>
        <item x="14"/>
        <item x="18"/>
        <item x="56"/>
        <item x="44"/>
        <item x="42"/>
        <item x="35"/>
        <item x="80"/>
        <item x="31"/>
        <item x="32"/>
        <item x="70"/>
        <item x="21"/>
        <item x="60"/>
        <item x="78"/>
        <item x="49"/>
        <item x="76"/>
        <item x="10"/>
        <item x="111"/>
        <item x="98"/>
        <item x="64"/>
        <item x="39"/>
        <item x="122"/>
        <item x="52"/>
        <item x="82"/>
        <item x="59"/>
        <item x="117"/>
        <item x="105"/>
        <item x="40"/>
        <item t="default"/>
      </items>
    </pivotField>
    <pivotField showAll="0"/>
    <pivotField axis="axisPage" multipleItemSelectionAllowed="1" showAll="0">
      <items count="9">
        <item h="1" x="6"/>
        <item h="1" x="0"/>
        <item x="1"/>
        <item h="1" x="7"/>
        <item x="3"/>
        <item h="1" x="5"/>
        <item x="4"/>
        <item h="1" x="2"/>
        <item t="default"/>
      </items>
    </pivotField>
    <pivotField showAll="0"/>
    <pivotField showAll="0"/>
    <pivotField showAll="0"/>
    <pivotField dataField="1" showAll="0"/>
    <pivotField axis="axisPage" multipleItemSelectionAllowed="1" showAll="0">
      <items count="5">
        <item h="1" x="2"/>
        <item h="1" x="3"/>
        <item h="1" x="1"/>
        <item x="0"/>
        <item t="default"/>
      </items>
    </pivotField>
    <pivotField showAll="0"/>
    <pivotField axis="axisPage" multipleItemSelectionAllowed="1" showAll="0">
      <items count="4">
        <item x="2"/>
        <item x="1"/>
        <item x="0"/>
        <item t="default"/>
      </items>
    </pivotField>
  </pivotFields>
  <rowFields count="1">
    <field x="0"/>
  </rowFields>
  <rowItems count="20">
    <i>
      <x v="4"/>
    </i>
    <i>
      <x v="5"/>
    </i>
    <i>
      <x v="6"/>
    </i>
    <i>
      <x v="7"/>
    </i>
    <i>
      <x v="8"/>
    </i>
    <i>
      <x v="9"/>
    </i>
    <i>
      <x v="10"/>
    </i>
    <i>
      <x v="11"/>
    </i>
    <i>
      <x v="12"/>
    </i>
    <i>
      <x v="13"/>
    </i>
    <i>
      <x v="14"/>
    </i>
    <i>
      <x v="15"/>
    </i>
    <i>
      <x v="16"/>
    </i>
    <i>
      <x v="17"/>
    </i>
    <i>
      <x v="18"/>
    </i>
    <i>
      <x v="19"/>
    </i>
    <i>
      <x v="20"/>
    </i>
    <i>
      <x v="21"/>
    </i>
    <i>
      <x v="22"/>
    </i>
    <i t="grand">
      <x/>
    </i>
  </rowItems>
  <colFields count="1">
    <field x="7"/>
  </colFields>
  <colItems count="6">
    <i>
      <x/>
    </i>
    <i>
      <x v="1"/>
    </i>
    <i>
      <x v="3"/>
    </i>
    <i>
      <x v="10"/>
    </i>
    <i>
      <x v="11"/>
    </i>
    <i t="grand">
      <x/>
    </i>
  </colItems>
  <pageFields count="5">
    <pageField fld="16" hier="-1"/>
    <pageField fld="9" hier="-1"/>
    <pageField fld="2" hier="-1"/>
    <pageField fld="18" hier="-1"/>
    <pageField fld="11" hier="-1"/>
  </pageFields>
  <dataFields count="1">
    <dataField name="Sum of Quantity / Quantité" fld="15" baseField="0" baseItem="0"/>
  </dataFields>
  <chartFormats count="13">
    <chartFormat chart="9" format="336" series="1">
      <pivotArea type="data" outline="0" fieldPosition="0">
        <references count="1">
          <reference field="4294967294" count="1" selected="0">
            <x v="0"/>
          </reference>
        </references>
      </pivotArea>
    </chartFormat>
    <chartFormat chart="9" format="337" series="1">
      <pivotArea type="data" outline="0" fieldPosition="0">
        <references count="2">
          <reference field="4294967294" count="1" selected="0">
            <x v="0"/>
          </reference>
          <reference field="7" count="1" selected="0">
            <x v="10"/>
          </reference>
        </references>
      </pivotArea>
    </chartFormat>
    <chartFormat chart="9" format="338" series="1">
      <pivotArea type="data" outline="0" fieldPosition="0">
        <references count="2">
          <reference field="4294967294" count="1" selected="0">
            <x v="0"/>
          </reference>
          <reference field="7" count="1" selected="0">
            <x v="9"/>
          </reference>
        </references>
      </pivotArea>
    </chartFormat>
    <chartFormat chart="9" format="339" series="1">
      <pivotArea type="data" outline="0" fieldPosition="0">
        <references count="2">
          <reference field="4294967294" count="1" selected="0">
            <x v="0"/>
          </reference>
          <reference field="7" count="1" selected="0">
            <x v="8"/>
          </reference>
        </references>
      </pivotArea>
    </chartFormat>
    <chartFormat chart="9" format="340" series="1">
      <pivotArea type="data" outline="0" fieldPosition="0">
        <references count="2">
          <reference field="4294967294" count="1" selected="0">
            <x v="0"/>
          </reference>
          <reference field="7" count="1" selected="0">
            <x v="6"/>
          </reference>
        </references>
      </pivotArea>
    </chartFormat>
    <chartFormat chart="9" format="341" series="1">
      <pivotArea type="data" outline="0" fieldPosition="0">
        <references count="2">
          <reference field="4294967294" count="1" selected="0">
            <x v="0"/>
          </reference>
          <reference field="7" count="1" selected="0">
            <x v="5"/>
          </reference>
        </references>
      </pivotArea>
    </chartFormat>
    <chartFormat chart="9" format="342" series="1">
      <pivotArea type="data" outline="0" fieldPosition="0">
        <references count="2">
          <reference field="4294967294" count="1" selected="0">
            <x v="0"/>
          </reference>
          <reference field="7" count="1" selected="0">
            <x v="3"/>
          </reference>
        </references>
      </pivotArea>
    </chartFormat>
    <chartFormat chart="9" format="343" series="1">
      <pivotArea type="data" outline="0" fieldPosition="0">
        <references count="2">
          <reference field="4294967294" count="1" selected="0">
            <x v="0"/>
          </reference>
          <reference field="7" count="1" selected="0">
            <x v="2"/>
          </reference>
        </references>
      </pivotArea>
    </chartFormat>
    <chartFormat chart="9" format="344" series="1">
      <pivotArea type="data" outline="0" fieldPosition="0">
        <references count="2">
          <reference field="4294967294" count="1" selected="0">
            <x v="0"/>
          </reference>
          <reference field="7" count="1" selected="0">
            <x v="1"/>
          </reference>
        </references>
      </pivotArea>
    </chartFormat>
    <chartFormat chart="9" format="345" series="1">
      <pivotArea type="data" outline="0" fieldPosition="0">
        <references count="2">
          <reference field="4294967294" count="1" selected="0">
            <x v="0"/>
          </reference>
          <reference field="7" count="1" selected="0">
            <x v="0"/>
          </reference>
        </references>
      </pivotArea>
    </chartFormat>
    <chartFormat chart="9" format="346" series="1">
      <pivotArea type="data" outline="0" fieldPosition="0">
        <references count="2">
          <reference field="4294967294" count="1" selected="0">
            <x v="0"/>
          </reference>
          <reference field="7" count="1" selected="0">
            <x v="11"/>
          </reference>
        </references>
      </pivotArea>
    </chartFormat>
    <chartFormat chart="9" format="347" series="1">
      <pivotArea type="data" outline="0" fieldPosition="0">
        <references count="2">
          <reference field="4294967294" count="1" selected="0">
            <x v="0"/>
          </reference>
          <reference field="7" count="1" selected="0">
            <x v="7"/>
          </reference>
        </references>
      </pivotArea>
    </chartFormat>
    <chartFormat chart="9" format="348"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BA1A69-6FF6-479A-9BB4-D4AB5259B4FD}"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B16" firstHeaderRow="1" firstDataRow="1" firstDataCol="1" rowPageCount="5" colPageCount="1"/>
  <pivotFields count="19">
    <pivotField axis="axisPage" multipleItemSelectionAllowed="1" showAll="0">
      <items count="32">
        <item h="1" x="30"/>
        <item h="1" x="25"/>
        <item h="1" x="24"/>
        <item h="1" x="28"/>
        <item x="23"/>
        <item x="0"/>
        <item x="4"/>
        <item x="22"/>
        <item x="3"/>
        <item x="10"/>
        <item x="19"/>
        <item x="13"/>
        <item x="20"/>
        <item x="6"/>
        <item x="8"/>
        <item x="16"/>
        <item x="26"/>
        <item x="27"/>
        <item x="5"/>
        <item x="11"/>
        <item x="18"/>
        <item x="9"/>
        <item x="1"/>
        <item h="1" x="2"/>
        <item h="1" x="15"/>
        <item h="1" x="12"/>
        <item h="1" x="21"/>
        <item h="1" x="7"/>
        <item h="1" x="14"/>
        <item h="1" x="29"/>
        <item h="1" x="17"/>
        <item t="default"/>
      </items>
    </pivotField>
    <pivotField showAll="0"/>
    <pivotField axis="axisPage" multipleItemSelectionAllowed="1" showAll="0">
      <items count="903">
        <item x="699"/>
        <item x="23"/>
        <item x="163"/>
        <item x="77"/>
        <item x="71"/>
        <item x="270"/>
        <item x="84"/>
        <item x="643"/>
        <item x="712"/>
        <item x="723"/>
        <item x="866"/>
        <item x="842"/>
        <item x="354"/>
        <item x="357"/>
        <item x="384"/>
        <item x="662"/>
        <item x="322"/>
        <item x="17"/>
        <item x="824"/>
        <item x="830"/>
        <item x="629"/>
        <item x="462"/>
        <item x="277"/>
        <item x="681"/>
        <item x="227"/>
        <item x="859"/>
        <item x="583"/>
        <item x="339"/>
        <item x="794"/>
        <item x="106"/>
        <item x="154"/>
        <item x="479"/>
        <item x="716"/>
        <item x="645"/>
        <item x="24"/>
        <item x="778"/>
        <item x="134"/>
        <item x="214"/>
        <item x="385"/>
        <item x="281"/>
        <item x="686"/>
        <item x="234"/>
        <item x="33"/>
        <item x="366"/>
        <item x="402"/>
        <item x="840"/>
        <item x="398"/>
        <item x="93"/>
        <item x="178"/>
        <item x="890"/>
        <item x="359"/>
        <item x="543"/>
        <item x="133"/>
        <item x="785"/>
        <item x="29"/>
        <item x="18"/>
        <item x="208"/>
        <item x="738"/>
        <item x="372"/>
        <item x="83"/>
        <item x="309"/>
        <item x="92"/>
        <item x="313"/>
        <item x="21"/>
        <item x="602"/>
        <item x="660"/>
        <item x="520"/>
        <item x="330"/>
        <item x="195"/>
        <item x="51"/>
        <item x="298"/>
        <item x="575"/>
        <item x="266"/>
        <item x="284"/>
        <item x="690"/>
        <item x="127"/>
        <item x="740"/>
        <item x="524"/>
        <item x="671"/>
        <item x="750"/>
        <item x="591"/>
        <item x="679"/>
        <item x="101"/>
        <item x="895"/>
        <item x="351"/>
        <item x="170"/>
        <item x="432"/>
        <item x="863"/>
        <item x="326"/>
        <item x="28"/>
        <item x="787"/>
        <item x="898"/>
        <item x="541"/>
        <item x="529"/>
        <item x="305"/>
        <item x="301"/>
        <item x="236"/>
        <item x="204"/>
        <item x="806"/>
        <item x="414"/>
        <item x="559"/>
        <item x="850"/>
        <item x="587"/>
        <item x="826"/>
        <item x="245"/>
        <item x="111"/>
        <item x="406"/>
        <item x="653"/>
        <item x="696"/>
        <item x="631"/>
        <item x="711"/>
        <item x="536"/>
        <item x="688"/>
        <item x="38"/>
        <item x="197"/>
        <item x="603"/>
        <item x="107"/>
        <item x="244"/>
        <item x="264"/>
        <item x="615"/>
        <item x="493"/>
        <item x="567"/>
        <item x="582"/>
        <item x="412"/>
        <item x="265"/>
        <item x="532"/>
        <item x="846"/>
        <item x="369"/>
        <item x="64"/>
        <item x="533"/>
        <item x="65"/>
        <item x="239"/>
        <item x="709"/>
        <item x="438"/>
        <item x="780"/>
        <item x="761"/>
        <item x="365"/>
        <item x="514"/>
        <item x="500"/>
        <item x="812"/>
        <item x="855"/>
        <item x="563"/>
        <item x="35"/>
        <item x="490"/>
        <item x="616"/>
        <item x="73"/>
        <item x="727"/>
        <item x="381"/>
        <item x="697"/>
        <item x="597"/>
        <item x="250"/>
        <item x="635"/>
        <item x="496"/>
        <item x="113"/>
        <item x="142"/>
        <item x="355"/>
        <item x="137"/>
        <item x="361"/>
        <item x="390"/>
        <item x="231"/>
        <item x="871"/>
        <item x="797"/>
        <item x="267"/>
        <item x="499"/>
        <item x="577"/>
        <item x="362"/>
        <item x="160"/>
        <item x="701"/>
        <item x="887"/>
        <item x="448"/>
        <item x="345"/>
        <item x="620"/>
        <item x="469"/>
        <item x="44"/>
        <item x="503"/>
        <item x="626"/>
        <item x="421"/>
        <item x="88"/>
        <item x="8"/>
        <item x="468"/>
        <item x="523"/>
        <item x="869"/>
        <item x="312"/>
        <item x="39"/>
        <item x="304"/>
        <item x="424"/>
        <item x="714"/>
        <item x="800"/>
        <item x="838"/>
        <item x="639"/>
        <item x="67"/>
        <item x="15"/>
        <item x="788"/>
        <item x="710"/>
        <item x="495"/>
        <item x="677"/>
        <item x="832"/>
        <item x="781"/>
        <item x="868"/>
        <item x="199"/>
        <item x="260"/>
        <item x="670"/>
        <item x="224"/>
        <item x="885"/>
        <item x="61"/>
        <item x="858"/>
        <item x="271"/>
        <item x="125"/>
        <item x="262"/>
        <item x="816"/>
        <item x="314"/>
        <item x="115"/>
        <item x="572"/>
        <item x="472"/>
        <item x="839"/>
        <item x="401"/>
        <item x="409"/>
        <item x="769"/>
        <item x="478"/>
        <item x="338"/>
        <item x="746"/>
        <item x="242"/>
        <item x="295"/>
        <item x="827"/>
        <item x="94"/>
        <item x="884"/>
        <item x="254"/>
        <item x="502"/>
        <item x="377"/>
        <item x="420"/>
        <item x="190"/>
        <item x="193"/>
        <item x="471"/>
        <item x="182"/>
        <item x="48"/>
        <item x="545"/>
        <item x="565"/>
        <item x="280"/>
        <item x="657"/>
        <item x="110"/>
        <item x="476"/>
        <item x="773"/>
        <item x="333"/>
        <item x="217"/>
        <item x="200"/>
        <item x="777"/>
        <item x="749"/>
        <item x="46"/>
        <item x="157"/>
        <item x="736"/>
        <item x="836"/>
        <item x="218"/>
        <item x="601"/>
        <item x="143"/>
        <item x="860"/>
        <item x="627"/>
        <item x="198"/>
        <item x="678"/>
        <item x="54"/>
        <item x="335"/>
        <item x="419"/>
        <item x="772"/>
        <item x="117"/>
        <item x="864"/>
        <item x="126"/>
        <item x="310"/>
        <item x="498"/>
        <item x="394"/>
        <item x="640"/>
        <item x="703"/>
        <item x="273"/>
        <item x="32"/>
        <item x="135"/>
        <item x="180"/>
        <item x="176"/>
        <item x="184"/>
        <item x="525"/>
        <item x="618"/>
        <item x="360"/>
        <item x="708"/>
        <item x="76"/>
        <item x="391"/>
        <item x="220"/>
        <item x="528"/>
        <item x="642"/>
        <item x="796"/>
        <item x="561"/>
        <item x="167"/>
        <item x="530"/>
        <item x="581"/>
        <item x="484"/>
        <item x="375"/>
        <item x="605"/>
        <item x="427"/>
        <item x="352"/>
        <item x="175"/>
        <item x="104"/>
        <item x="119"/>
        <item x="793"/>
        <item x="303"/>
        <item x="449"/>
        <item x="510"/>
        <item x="768"/>
        <item x="875"/>
        <item x="300"/>
        <item x="444"/>
        <item x="74"/>
        <item x="328"/>
        <item x="274"/>
        <item x="844"/>
        <item x="706"/>
        <item x="69"/>
        <item x="896"/>
        <item x="454"/>
        <item x="37"/>
        <item x="825"/>
        <item x="114"/>
        <item x="159"/>
        <item x="185"/>
        <item x="62"/>
        <item x="632"/>
        <item x="293"/>
        <item x="680"/>
        <item x="811"/>
        <item x="687"/>
        <item x="771"/>
        <item x="346"/>
        <item x="215"/>
        <item x="136"/>
        <item x="849"/>
        <item x="318"/>
        <item x="358"/>
        <item x="285"/>
        <item x="211"/>
        <item x="862"/>
        <item x="219"/>
        <item x="229"/>
        <item x="194"/>
        <item x="754"/>
        <item x="130"/>
        <item x="820"/>
        <item x="152"/>
        <item x="118"/>
        <item x="25"/>
        <item x="481"/>
        <item x="878"/>
        <item x="387"/>
        <item x="275"/>
        <item x="843"/>
        <item x="728"/>
        <item x="450"/>
        <item x="557"/>
        <item x="63"/>
        <item x="169"/>
        <item x="226"/>
        <item x="752"/>
        <item x="206"/>
        <item x="666"/>
        <item x="87"/>
        <item x="27"/>
        <item x="518"/>
        <item x="487"/>
        <item x="674"/>
        <item x="724"/>
        <item x="45"/>
        <item x="251"/>
        <item x="122"/>
        <item x="278"/>
        <item x="774"/>
        <item x="341"/>
        <item x="667"/>
        <item x="141"/>
        <item x="856"/>
        <item x="491"/>
        <item x="720"/>
        <item x="452"/>
        <item x="68"/>
        <item x="223"/>
        <item x="717"/>
        <item x="237"/>
        <item x="132"/>
        <item x="256"/>
        <item x="306"/>
        <item x="364"/>
        <item x="2"/>
        <item x="342"/>
        <item x="240"/>
        <item x="97"/>
        <item x="633"/>
        <item x="158"/>
        <item x="501"/>
        <item x="809"/>
        <item x="817"/>
        <item x="121"/>
        <item x="124"/>
        <item x="654"/>
        <item x="416"/>
        <item x="255"/>
        <item x="459"/>
        <item x="637"/>
        <item x="718"/>
        <item x="698"/>
        <item x="81"/>
        <item x="12"/>
        <item x="56"/>
        <item x="488"/>
        <item x="348"/>
        <item x="378"/>
        <item x="764"/>
        <item x="880"/>
        <item x="648"/>
        <item x="297"/>
        <item x="656"/>
        <item x="393"/>
        <item x="347"/>
        <item x="19"/>
        <item x="513"/>
        <item x="233"/>
        <item x="767"/>
        <item x="196"/>
        <item x="516"/>
        <item x="675"/>
        <item x="759"/>
        <item x="147"/>
        <item x="713"/>
        <item x="336"/>
        <item x="475"/>
        <item x="246"/>
        <item x="177"/>
        <item x="161"/>
        <item x="337"/>
        <item x="453"/>
        <item x="445"/>
        <item x="883"/>
        <item x="72"/>
        <item x="659"/>
        <item x="760"/>
        <item x="845"/>
        <item x="435"/>
        <item x="729"/>
        <item x="96"/>
        <item x="623"/>
        <item x="598"/>
        <item x="1"/>
        <item x="249"/>
        <item x="40"/>
        <item x="815"/>
        <item x="694"/>
        <item x="340"/>
        <item x="456"/>
        <item x="425"/>
        <item x="156"/>
        <item x="109"/>
        <item x="614"/>
        <item x="538"/>
        <item x="47"/>
        <item x="144"/>
        <item x="558"/>
        <item x="417"/>
        <item x="486"/>
        <item x="408"/>
        <item x="900"/>
        <item x="837"/>
        <item x="187"/>
        <item x="527"/>
        <item x="98"/>
        <item x="286"/>
        <item x="221"/>
        <item x="11"/>
        <item x="90"/>
        <item x="790"/>
        <item x="566"/>
        <item x="290"/>
        <item x="225"/>
        <item x="564"/>
        <item x="311"/>
        <item x="16"/>
        <item x="766"/>
        <item x="153"/>
        <item x="828"/>
        <item x="241"/>
        <item x="630"/>
        <item x="719"/>
        <item x="202"/>
        <item x="574"/>
        <item x="263"/>
        <item x="294"/>
        <item x="356"/>
        <item x="504"/>
        <item x="441"/>
        <item x="350"/>
        <item x="551"/>
        <item x="332"/>
        <item x="473"/>
        <item x="753"/>
        <item x="576"/>
        <item x="370"/>
        <item x="665"/>
        <item x="89"/>
        <item x="649"/>
        <item x="411"/>
        <item x="212"/>
        <item x="804"/>
        <item x="881"/>
        <item x="461"/>
        <item x="628"/>
        <item x="3"/>
        <item x="610"/>
        <item x="451"/>
        <item x="467"/>
        <item x="692"/>
        <item x="695"/>
        <item x="886"/>
        <item x="833"/>
        <item x="586"/>
        <item x="691"/>
        <item x="512"/>
        <item x="455"/>
        <item x="485"/>
        <item x="739"/>
        <item x="288"/>
        <item x="743"/>
        <item x="188"/>
        <item x="50"/>
        <item x="531"/>
        <item x="148"/>
        <item x="308"/>
        <item x="801"/>
        <item x="131"/>
        <item x="756"/>
        <item x="183"/>
        <item x="870"/>
        <item x="272"/>
        <item x="465"/>
        <item x="857"/>
        <item x="549"/>
        <item x="874"/>
        <item x="230"/>
        <item x="782"/>
        <item x="483"/>
        <item x="715"/>
        <item x="466"/>
        <item x="621"/>
        <item x="882"/>
        <item x="5"/>
        <item x="672"/>
        <item x="316"/>
        <item x="663"/>
        <item x="95"/>
        <item x="82"/>
        <item x="798"/>
        <item x="888"/>
        <item x="296"/>
        <item x="588"/>
        <item x="770"/>
        <item x="722"/>
        <item x="700"/>
        <item x="899"/>
        <item x="392"/>
        <item x="748"/>
        <item x="464"/>
        <item x="388"/>
        <item x="70"/>
        <item x="36"/>
        <item x="818"/>
        <item x="247"/>
        <item x="758"/>
        <item x="853"/>
        <item x="704"/>
        <item x="515"/>
        <item x="257"/>
        <item x="795"/>
        <item x="374"/>
        <item x="730"/>
        <item x="707"/>
        <item x="426"/>
        <item x="539"/>
        <item x="625"/>
        <item x="407"/>
        <item x="146"/>
        <item x="34"/>
        <item x="282"/>
        <item x="205"/>
        <item x="179"/>
        <item x="26"/>
        <item x="589"/>
        <item x="363"/>
        <item x="325"/>
        <item x="537"/>
        <item x="353"/>
        <item x="331"/>
        <item x="741"/>
        <item x="276"/>
        <item x="877"/>
        <item x="897"/>
        <item x="522"/>
        <item x="173"/>
        <item x="222"/>
        <item x="829"/>
        <item x="259"/>
        <item x="405"/>
        <item x="737"/>
        <item x="168"/>
        <item x="555"/>
        <item x="901"/>
        <item x="599"/>
        <item x="511"/>
        <item x="307"/>
        <item x="434"/>
        <item x="431"/>
        <item x="600"/>
        <item x="608"/>
        <item x="814"/>
        <item x="619"/>
        <item x="269"/>
        <item x="651"/>
        <item x="470"/>
        <item x="854"/>
        <item x="120"/>
        <item x="492"/>
        <item x="399"/>
        <item x="480"/>
        <item x="544"/>
        <item x="344"/>
        <item x="292"/>
        <item x="103"/>
        <item x="819"/>
        <item x="442"/>
        <item x="457"/>
        <item x="186"/>
        <item x="622"/>
        <item x="534"/>
        <item x="395"/>
        <item x="327"/>
        <item x="0"/>
        <item x="810"/>
        <item x="892"/>
        <item x="368"/>
        <item x="463"/>
        <item x="49"/>
        <item x="150"/>
        <item x="705"/>
        <item x="606"/>
        <item x="891"/>
        <item x="75"/>
        <item x="807"/>
        <item x="548"/>
        <item x="436"/>
        <item x="872"/>
        <item x="571"/>
        <item x="607"/>
        <item x="149"/>
        <item x="852"/>
        <item x="418"/>
        <item x="813"/>
        <item x="775"/>
        <item x="596"/>
        <item x="323"/>
        <item x="210"/>
        <item x="7"/>
        <item x="507"/>
        <item x="673"/>
        <item x="763"/>
        <item x="540"/>
        <item x="578"/>
        <item x="235"/>
        <item x="734"/>
        <item x="403"/>
        <item x="422"/>
        <item x="213"/>
        <item x="562"/>
        <item x="20"/>
        <item x="53"/>
        <item x="128"/>
        <item x="253"/>
        <item x="590"/>
        <item x="207"/>
        <item x="279"/>
        <item x="505"/>
        <item x="876"/>
        <item x="803"/>
        <item x="105"/>
        <item x="191"/>
        <item x="43"/>
        <item x="108"/>
        <item x="320"/>
        <item x="744"/>
        <item x="334"/>
        <item x="100"/>
        <item x="745"/>
        <item x="123"/>
        <item x="238"/>
        <item x="155"/>
        <item x="650"/>
        <item x="329"/>
        <item x="55"/>
        <item x="85"/>
        <item x="831"/>
        <item x="873"/>
        <item x="302"/>
        <item x="14"/>
        <item x="735"/>
        <item x="428"/>
        <item x="747"/>
        <item x="396"/>
        <item x="458"/>
        <item x="383"/>
        <item x="776"/>
        <item x="613"/>
        <item x="851"/>
        <item x="847"/>
        <item x="550"/>
        <item x="636"/>
        <item x="58"/>
        <item x="181"/>
        <item x="171"/>
        <item x="86"/>
        <item x="751"/>
        <item x="634"/>
        <item x="397"/>
        <item x="116"/>
        <item x="151"/>
        <item x="129"/>
        <item x="79"/>
        <item x="252"/>
        <item x="343"/>
        <item x="66"/>
        <item x="755"/>
        <item x="784"/>
        <item x="733"/>
        <item x="382"/>
        <item x="429"/>
        <item x="443"/>
        <item x="535"/>
        <item x="584"/>
        <item x="52"/>
        <item x="822"/>
        <item x="791"/>
        <item x="834"/>
        <item x="6"/>
        <item x="592"/>
        <item x="102"/>
        <item x="835"/>
        <item x="440"/>
        <item x="164"/>
        <item x="349"/>
        <item x="78"/>
        <item x="683"/>
        <item x="547"/>
        <item x="646"/>
        <item x="658"/>
        <item x="638"/>
        <item x="894"/>
        <item x="821"/>
        <item x="669"/>
        <item x="324"/>
        <item x="655"/>
        <item x="60"/>
        <item x="508"/>
        <item x="664"/>
        <item x="380"/>
        <item x="526"/>
        <item x="57"/>
        <item x="841"/>
        <item x="413"/>
        <item x="410"/>
        <item x="400"/>
        <item x="317"/>
        <item x="319"/>
        <item x="216"/>
        <item x="41"/>
        <item x="203"/>
        <item x="189"/>
        <item x="447"/>
        <item x="430"/>
        <item x="762"/>
        <item x="765"/>
        <item x="693"/>
        <item x="546"/>
        <item x="573"/>
        <item x="367"/>
        <item x="474"/>
        <item x="59"/>
        <item x="579"/>
        <item x="556"/>
        <item x="560"/>
        <item x="867"/>
        <item x="570"/>
        <item x="145"/>
        <item x="10"/>
        <item x="4"/>
        <item x="624"/>
        <item x="404"/>
        <item x="580"/>
        <item x="682"/>
        <item x="201"/>
        <item x="321"/>
        <item x="732"/>
        <item x="162"/>
        <item x="489"/>
        <item x="861"/>
        <item x="138"/>
        <item x="702"/>
        <item x="373"/>
        <item x="799"/>
        <item x="287"/>
        <item x="893"/>
        <item x="460"/>
        <item x="808"/>
        <item x="228"/>
        <item x="446"/>
        <item x="553"/>
        <item x="609"/>
        <item x="494"/>
        <item x="519"/>
        <item x="172"/>
        <item x="22"/>
        <item x="209"/>
        <item x="42"/>
        <item x="521"/>
        <item x="676"/>
        <item x="13"/>
        <item x="258"/>
        <item x="542"/>
        <item x="689"/>
        <item x="593"/>
        <item x="437"/>
        <item x="99"/>
        <item x="268"/>
        <item x="174"/>
        <item x="647"/>
        <item x="433"/>
        <item x="482"/>
        <item x="604"/>
        <item x="726"/>
        <item x="611"/>
        <item x="731"/>
        <item x="376"/>
        <item x="291"/>
        <item x="243"/>
        <item x="668"/>
        <item x="569"/>
        <item x="299"/>
        <item x="379"/>
        <item x="786"/>
        <item x="779"/>
        <item x="31"/>
        <item x="439"/>
        <item x="80"/>
        <item x="644"/>
        <item x="289"/>
        <item x="91"/>
        <item x="9"/>
        <item x="652"/>
        <item x="415"/>
        <item x="568"/>
        <item x="139"/>
        <item x="112"/>
        <item x="848"/>
        <item x="879"/>
        <item x="595"/>
        <item x="805"/>
        <item x="721"/>
        <item x="865"/>
        <item x="371"/>
        <item x="617"/>
        <item x="725"/>
        <item x="261"/>
        <item x="389"/>
        <item x="554"/>
        <item x="192"/>
        <item x="30"/>
        <item x="165"/>
        <item x="509"/>
        <item x="594"/>
        <item x="232"/>
        <item x="315"/>
        <item x="248"/>
        <item x="506"/>
        <item x="166"/>
        <item x="757"/>
        <item x="585"/>
        <item x="742"/>
        <item x="783"/>
        <item x="283"/>
        <item x="477"/>
        <item x="792"/>
        <item x="140"/>
        <item x="684"/>
        <item x="661"/>
        <item x="685"/>
        <item x="823"/>
        <item x="552"/>
        <item x="612"/>
        <item x="386"/>
        <item x="497"/>
        <item x="789"/>
        <item x="517"/>
        <item x="641"/>
        <item x="423"/>
        <item x="889"/>
        <item x="802"/>
        <item t="default"/>
      </items>
    </pivotField>
    <pivotField showAll="0"/>
    <pivotField showAll="0"/>
    <pivotField showAll="0"/>
    <pivotField showAll="0"/>
    <pivotField axis="axisPage" multipleItemSelectionAllowed="1" showAll="0">
      <items count="13">
        <item x="4"/>
        <item x="2"/>
        <item h="1" x="1"/>
        <item h="1" x="8"/>
        <item h="1" x="10"/>
        <item h="1" x="7"/>
        <item h="1" x="6"/>
        <item h="1" x="11"/>
        <item x="0"/>
        <item h="1" x="9"/>
        <item x="3"/>
        <item x="5"/>
        <item t="default"/>
      </items>
    </pivotField>
    <pivotField showAll="0"/>
    <pivotField showAll="0">
      <items count="124">
        <item x="40"/>
        <item x="105"/>
        <item x="117"/>
        <item x="59"/>
        <item x="82"/>
        <item x="52"/>
        <item x="122"/>
        <item x="39"/>
        <item x="64"/>
        <item x="98"/>
        <item x="111"/>
        <item x="10"/>
        <item x="76"/>
        <item x="49"/>
        <item x="78"/>
        <item x="60"/>
        <item x="21"/>
        <item x="70"/>
        <item x="32"/>
        <item x="31"/>
        <item x="80"/>
        <item x="35"/>
        <item x="42"/>
        <item x="44"/>
        <item x="56"/>
        <item x="18"/>
        <item x="14"/>
        <item x="118"/>
        <item x="37"/>
        <item x="106"/>
        <item x="28"/>
        <item x="120"/>
        <item x="87"/>
        <item x="84"/>
        <item x="38"/>
        <item x="102"/>
        <item x="103"/>
        <item x="62"/>
        <item x="19"/>
        <item x="66"/>
        <item x="16"/>
        <item x="15"/>
        <item x="75"/>
        <item x="61"/>
        <item x="121"/>
        <item x="26"/>
        <item x="71"/>
        <item x="112"/>
        <item x="113"/>
        <item x="108"/>
        <item x="33"/>
        <item x="41"/>
        <item x="46"/>
        <item x="119"/>
        <item x="57"/>
        <item x="11"/>
        <item x="91"/>
        <item x="29"/>
        <item x="90"/>
        <item x="68"/>
        <item x="114"/>
        <item x="17"/>
        <item x="110"/>
        <item x="69"/>
        <item x="43"/>
        <item x="7"/>
        <item x="100"/>
        <item x="93"/>
        <item x="23"/>
        <item x="101"/>
        <item x="6"/>
        <item x="1"/>
        <item x="12"/>
        <item x="9"/>
        <item x="3"/>
        <item x="0"/>
        <item x="63"/>
        <item x="99"/>
        <item x="20"/>
        <item x="67"/>
        <item x="50"/>
        <item x="47"/>
        <item x="4"/>
        <item x="36"/>
        <item x="25"/>
        <item x="92"/>
        <item x="2"/>
        <item x="77"/>
        <item x="95"/>
        <item x="53"/>
        <item x="54"/>
        <item x="58"/>
        <item x="8"/>
        <item x="115"/>
        <item x="116"/>
        <item x="83"/>
        <item x="86"/>
        <item x="79"/>
        <item x="104"/>
        <item x="73"/>
        <item x="65"/>
        <item x="48"/>
        <item x="22"/>
        <item x="55"/>
        <item x="107"/>
        <item x="85"/>
        <item x="30"/>
        <item x="27"/>
        <item x="72"/>
        <item x="5"/>
        <item x="109"/>
        <item x="94"/>
        <item x="89"/>
        <item x="97"/>
        <item x="45"/>
        <item x="81"/>
        <item x="51"/>
        <item x="74"/>
        <item x="96"/>
        <item x="88"/>
        <item x="24"/>
        <item x="34"/>
        <item x="13"/>
        <item t="default"/>
      </items>
    </pivotField>
    <pivotField showAll="0"/>
    <pivotField axis="axisRow" showAll="0">
      <items count="9">
        <item x="6"/>
        <item x="0"/>
        <item x="1"/>
        <item x="7"/>
        <item x="3"/>
        <item x="5"/>
        <item x="4"/>
        <item x="2"/>
        <item t="default"/>
      </items>
    </pivotField>
    <pivotField showAll="0"/>
    <pivotField showAll="0"/>
    <pivotField showAll="0"/>
    <pivotField dataField="1" showAll="0"/>
    <pivotField axis="axisPage" multipleItemSelectionAllowed="1" showAll="0">
      <items count="5">
        <item h="1" x="2"/>
        <item h="1" x="3"/>
        <item h="1" x="1"/>
        <item x="0"/>
        <item t="default"/>
      </items>
    </pivotField>
    <pivotField showAll="0"/>
    <pivotField axis="axisPage" showAll="0">
      <items count="4">
        <item x="2"/>
        <item x="1"/>
        <item x="0"/>
        <item t="default"/>
      </items>
    </pivotField>
  </pivotFields>
  <rowFields count="1">
    <field x="11"/>
  </rowFields>
  <rowItems count="9">
    <i>
      <x/>
    </i>
    <i>
      <x v="1"/>
    </i>
    <i>
      <x v="2"/>
    </i>
    <i>
      <x v="3"/>
    </i>
    <i>
      <x v="4"/>
    </i>
    <i>
      <x v="5"/>
    </i>
    <i>
      <x v="6"/>
    </i>
    <i>
      <x v="7"/>
    </i>
    <i t="grand">
      <x/>
    </i>
  </rowItems>
  <colItems count="1">
    <i/>
  </colItems>
  <pageFields count="5">
    <pageField fld="16" hier="-1"/>
    <pageField fld="0" hier="-1"/>
    <pageField fld="2" hier="-1"/>
    <pageField fld="18" hier="-1"/>
    <pageField fld="7" hier="-1"/>
  </pageFields>
  <dataFields count="1">
    <dataField name="Sum of Quantity / Quantité" fld="15" baseField="0" baseItem="0"/>
  </dataFields>
  <chartFormats count="9">
    <chartFormat chart="11" format="2195" series="1">
      <pivotArea type="data" outline="0" fieldPosition="0">
        <references count="1">
          <reference field="4294967294" count="1" selected="0">
            <x v="0"/>
          </reference>
        </references>
      </pivotArea>
    </chartFormat>
    <chartFormat chart="11" format="2196">
      <pivotArea type="data" outline="0" fieldPosition="0">
        <references count="2">
          <reference field="4294967294" count="1" selected="0">
            <x v="0"/>
          </reference>
          <reference field="11" count="1" selected="0">
            <x v="0"/>
          </reference>
        </references>
      </pivotArea>
    </chartFormat>
    <chartFormat chart="11" format="2197">
      <pivotArea type="data" outline="0" fieldPosition="0">
        <references count="2">
          <reference field="4294967294" count="1" selected="0">
            <x v="0"/>
          </reference>
          <reference field="11" count="1" selected="0">
            <x v="1"/>
          </reference>
        </references>
      </pivotArea>
    </chartFormat>
    <chartFormat chart="11" format="2198">
      <pivotArea type="data" outline="0" fieldPosition="0">
        <references count="2">
          <reference field="4294967294" count="1" selected="0">
            <x v="0"/>
          </reference>
          <reference field="11" count="1" selected="0">
            <x v="2"/>
          </reference>
        </references>
      </pivotArea>
    </chartFormat>
    <chartFormat chart="11" format="2199">
      <pivotArea type="data" outline="0" fieldPosition="0">
        <references count="2">
          <reference field="4294967294" count="1" selected="0">
            <x v="0"/>
          </reference>
          <reference field="11" count="1" selected="0">
            <x v="3"/>
          </reference>
        </references>
      </pivotArea>
    </chartFormat>
    <chartFormat chart="11" format="2200">
      <pivotArea type="data" outline="0" fieldPosition="0">
        <references count="2">
          <reference field="4294967294" count="1" selected="0">
            <x v="0"/>
          </reference>
          <reference field="11" count="1" selected="0">
            <x v="4"/>
          </reference>
        </references>
      </pivotArea>
    </chartFormat>
    <chartFormat chart="11" format="2201">
      <pivotArea type="data" outline="0" fieldPosition="0">
        <references count="2">
          <reference field="4294967294" count="1" selected="0">
            <x v="0"/>
          </reference>
          <reference field="11" count="1" selected="0">
            <x v="5"/>
          </reference>
        </references>
      </pivotArea>
    </chartFormat>
    <chartFormat chart="11" format="2202">
      <pivotArea type="data" outline="0" fieldPosition="0">
        <references count="2">
          <reference field="4294967294" count="1" selected="0">
            <x v="0"/>
          </reference>
          <reference field="11" count="1" selected="0">
            <x v="6"/>
          </reference>
        </references>
      </pivotArea>
    </chartFormat>
    <chartFormat chart="11" format="2203">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___Dénomination_sociale_de_l_entreprise" xr10:uid="{8AEF5320-98B3-4750-94AC-9EA11A702BDB}" sourceName="Company_Name / Dénomination_sociale_de_l'entreprise">
  <pivotTables>
    <pivotTable tabId="9" name="PivotTable1"/>
    <pivotTable tabId="14" name="PivotTable1"/>
    <pivotTable tabId="11" name="PivotTable1"/>
    <pivotTable tabId="13" name="PivotTable1"/>
  </pivotTables>
  <data>
    <tabular pivotCacheId="1708295341">
      <items count="902">
        <i x="699" s="1"/>
        <i x="23" s="1"/>
        <i x="163" s="1"/>
        <i x="270" s="1"/>
        <i x="643" s="1"/>
        <i x="712" s="1"/>
        <i x="723" s="1"/>
        <i x="354" s="1"/>
        <i x="357" s="1"/>
        <i x="17" s="1"/>
        <i x="462" s="1"/>
        <i x="277" s="1"/>
        <i x="681" s="1"/>
        <i x="583" s="1"/>
        <i x="339" s="1"/>
        <i x="794" s="1"/>
        <i x="106" s="1"/>
        <i x="154" s="1"/>
        <i x="716" s="1"/>
        <i x="24" s="1"/>
        <i x="134" s="1"/>
        <i x="214" s="1"/>
        <i x="281" s="1"/>
        <i x="33" s="1"/>
        <i x="402" s="1"/>
        <i x="398" s="1"/>
        <i x="93" s="1"/>
        <i x="178" s="1"/>
        <i x="890" s="1"/>
        <i x="359" s="1"/>
        <i x="785" s="1"/>
        <i x="29" s="1"/>
        <i x="18" s="1"/>
        <i x="208" s="1"/>
        <i x="738" s="1"/>
        <i x="372" s="1"/>
        <i x="92" s="1"/>
        <i x="313" s="1"/>
        <i x="602" s="1"/>
        <i x="660" s="1"/>
        <i x="330" s="1"/>
        <i x="195" s="1"/>
        <i x="51" s="1"/>
        <i x="298" s="1"/>
        <i x="575" s="1"/>
        <i x="266" s="1"/>
        <i x="679" s="1"/>
        <i x="895" s="1"/>
        <i x="351" s="1"/>
        <i x="170" s="1"/>
        <i x="863" s="1"/>
        <i x="326" s="1"/>
        <i x="28" s="1"/>
        <i x="787" s="1"/>
        <i x="898" s="1"/>
        <i x="305" s="1"/>
        <i x="301" s="1"/>
        <i x="236" s="1"/>
        <i x="204" s="1"/>
        <i x="414" s="1"/>
        <i x="559" s="1"/>
        <i x="850" s="1"/>
        <i x="111" s="1"/>
        <i x="406" s="1"/>
        <i x="696" s="1"/>
        <i x="631" s="1"/>
        <i x="711" s="1"/>
        <i x="38" s="1"/>
        <i x="107" s="1"/>
        <i x="264" s="1"/>
        <i x="493" s="1"/>
        <i x="412" s="1"/>
        <i x="265" s="1"/>
        <i x="532" s="1"/>
        <i x="846" s="1"/>
        <i x="533" s="1"/>
        <i x="65" s="1"/>
        <i x="709" s="1"/>
        <i x="365" s="1"/>
        <i x="500" s="1"/>
        <i x="855" s="1"/>
        <i x="563" s="1"/>
        <i x="490" s="1"/>
        <i x="616" s="1"/>
        <i x="727" s="1"/>
        <i x="381" s="1"/>
        <i x="697" s="1"/>
        <i x="597" s="1"/>
        <i x="250" s="1"/>
        <i x="142" s="1"/>
        <i x="355" s="1"/>
        <i x="137" s="1"/>
        <i x="361" s="1"/>
        <i x="871" s="1"/>
        <i x="267" s="1"/>
        <i x="499" s="1"/>
        <i x="577" s="1"/>
        <i x="448" s="1"/>
        <i x="345" s="1"/>
        <i x="620" s="1"/>
        <i x="469" s="1"/>
        <i x="44" s="1"/>
        <i x="503" s="1"/>
        <i x="421" s="1"/>
        <i x="88" s="1"/>
        <i x="8" s="1"/>
        <i x="468" s="1"/>
        <i x="523" s="1"/>
        <i x="312" s="1"/>
        <i x="39" s="1"/>
        <i x="304" s="1"/>
        <i x="15" s="1"/>
        <i x="788" s="1"/>
        <i x="710" s="1"/>
        <i x="495" s="1"/>
        <i x="781" s="1"/>
        <i x="868" s="1"/>
        <i x="199" s="1"/>
        <i x="224" s="1"/>
        <i x="61" s="1"/>
        <i x="858" s="1"/>
        <i x="271" s="1"/>
        <i x="125" s="1"/>
        <i x="262" s="1"/>
        <i x="314" s="1"/>
        <i x="115" s="1"/>
        <i x="472" s="1"/>
        <i x="401" s="1"/>
        <i x="409" s="1"/>
        <i x="769" s="1"/>
        <i x="338" s="1"/>
        <i x="295" s="1"/>
        <i x="254" s="1"/>
        <i x="502" s="1"/>
        <i x="377" s="1"/>
        <i x="420" s="1"/>
        <i x="190" s="1"/>
        <i x="193" s="1"/>
        <i x="565" s="1"/>
        <i x="280" s="1"/>
        <i x="110" s="1"/>
        <i x="476" s="1"/>
        <i x="773" s="1"/>
        <i x="333" s="1"/>
        <i x="217" s="1"/>
        <i x="200" s="1"/>
        <i x="749" s="1"/>
        <i x="157" s="1"/>
        <i x="218" s="1"/>
        <i x="601" s="1"/>
        <i x="143" s="1"/>
        <i x="198" s="1"/>
        <i x="678" s="1"/>
        <i x="54" s="1"/>
        <i x="419" s="1"/>
        <i x="864" s="1"/>
        <i x="126" s="1"/>
        <i x="310" s="1"/>
        <i x="498" s="1"/>
        <i x="394" s="1"/>
        <i x="640" s="1"/>
        <i x="273" s="1"/>
        <i x="32" s="1"/>
        <i x="176" s="1"/>
        <i x="184" s="1"/>
        <i x="525" s="1"/>
        <i x="618" s="1"/>
        <i x="708" s="1"/>
        <i x="76" s="1"/>
        <i x="220" s="1"/>
        <i x="528" s="1"/>
        <i x="642" s="1"/>
        <i x="796" s="1"/>
        <i x="561" s="1"/>
        <i x="167" s="1"/>
        <i x="581" s="1"/>
        <i x="484" s="1"/>
        <i x="375" s="1"/>
        <i x="352" s="1"/>
        <i x="119" s="1"/>
        <i x="449" s="1"/>
        <i x="510" s="1"/>
        <i x="768" s="1"/>
        <i x="875" s="1"/>
        <i x="300" s="1"/>
        <i x="444" s="1"/>
        <i x="74" s="1"/>
        <i x="274" s="1"/>
        <i x="844" s="1"/>
        <i x="69" s="1"/>
        <i x="37" s="1"/>
        <i x="159" s="1"/>
        <i x="62" s="1"/>
        <i x="632" s="1"/>
        <i x="811" s="1"/>
        <i x="771" s="1"/>
        <i x="215" s="1"/>
        <i x="136" s="1"/>
        <i x="318" s="1"/>
        <i x="285" s="1"/>
        <i x="211" s="1"/>
        <i x="862" s="1"/>
        <i x="219" s="1"/>
        <i x="194" s="1"/>
        <i x="130" s="1"/>
        <i x="820" s="1"/>
        <i x="152" s="1"/>
        <i x="118" s="1"/>
        <i x="878" s="1"/>
        <i x="275" s="1"/>
        <i x="843" s="1"/>
        <i x="450" s="1"/>
        <i x="557" s="1"/>
        <i x="169" s="1"/>
        <i x="226" s="1"/>
        <i x="752" s="1"/>
        <i x="666" s="1"/>
        <i x="87" s="1"/>
        <i x="27" s="1"/>
        <i x="518" s="1"/>
        <i x="487" s="1"/>
        <i x="251" s="1"/>
        <i x="122" s="1"/>
        <i x="278" s="1"/>
        <i x="774" s="1"/>
        <i x="667" s="1"/>
        <i x="141" s="1"/>
        <i x="856" s="1"/>
        <i x="452" s="1"/>
        <i x="68" s="1"/>
        <i x="223" s="1"/>
        <i x="256" s="1"/>
        <i x="364" s="1"/>
        <i x="2" s="1"/>
        <i x="342" s="1"/>
        <i x="240" s="1"/>
        <i x="633" s="1"/>
        <i x="158" s="1"/>
        <i x="124" s="1"/>
        <i x="654" s="1"/>
        <i x="416" s="1"/>
        <i x="255" s="1"/>
        <i x="718" s="1"/>
        <i x="698" s="1"/>
        <i x="12" s="1"/>
        <i x="56" s="1"/>
        <i x="488" s="1"/>
        <i x="348" s="1"/>
        <i x="378" s="1"/>
        <i x="648" s="1"/>
        <i x="297" s="1"/>
        <i x="347" s="1"/>
        <i x="233" s="1"/>
        <i x="516" s="1"/>
        <i x="246" s="1"/>
        <i x="445" s="1"/>
        <i x="72" s="1"/>
        <i x="659" s="1"/>
        <i x="760" s="1"/>
        <i x="729" s="1"/>
        <i x="96" s="1"/>
        <i x="623" s="1"/>
        <i x="598" s="1"/>
        <i x="249" s="1"/>
        <i x="40" s="1"/>
        <i x="109" s="1"/>
        <i x="614" s="1"/>
        <i x="538" s="1"/>
        <i x="558" s="1"/>
        <i x="486" s="1"/>
        <i x="408" s="1"/>
        <i x="837" s="1"/>
        <i x="187" s="1"/>
        <i x="98" s="1"/>
        <i x="286" s="1"/>
        <i x="11" s="1"/>
        <i x="90" s="1"/>
        <i x="566" s="1"/>
        <i x="564" s="1"/>
        <i x="311" s="1"/>
        <i x="16" s="1"/>
        <i x="766" s="1"/>
        <i x="153" s="1"/>
        <i x="828" s="1"/>
        <i x="719" s="1"/>
        <i x="574" s="1"/>
        <i x="441" s="1"/>
        <i x="332" s="1"/>
        <i x="473" s="1"/>
        <i x="753" s="1"/>
        <i x="89" s="1"/>
        <i x="649" s="1"/>
        <i x="411" s="1"/>
        <i x="212" s="1"/>
        <i x="804" s="1"/>
        <i x="628" s="1"/>
        <i x="610" s="1"/>
        <i x="886" s="1"/>
        <i x="691" s="1"/>
        <i x="512" s="1"/>
        <i x="455" s="1"/>
        <i x="739" s="1"/>
        <i x="288" s="1"/>
        <i x="743" s="1"/>
        <i x="50" s="1"/>
        <i x="531" s="1"/>
        <i x="148" s="1"/>
        <i x="308" s="1"/>
        <i x="183" s="1"/>
        <i x="272" s="1"/>
        <i x="782" s="1"/>
        <i x="715" s="1"/>
        <i x="882" s="1"/>
        <i x="5" s="1"/>
        <i x="316" s="1"/>
        <i x="663" s="1"/>
        <i x="95" s="1"/>
        <i x="82" s="1"/>
        <i x="798" s="1"/>
        <i x="888" s="1"/>
        <i x="748" s="1"/>
        <i x="70" s="1"/>
        <i x="36" s="1"/>
        <i x="758" s="1"/>
        <i x="515" s="1"/>
        <i x="374" s="1"/>
        <i x="730" s="1"/>
        <i x="539" s="1"/>
        <i x="146" s="1"/>
        <i x="34" s="1"/>
        <i x="282" s="1"/>
        <i x="205" s="1"/>
        <i x="179" s="1"/>
        <i x="26" s="1"/>
        <i x="589" s="1"/>
        <i x="331" s="1"/>
        <i x="877" s="1"/>
        <i x="897" s="1"/>
        <i x="173" s="1"/>
        <i x="222" s="1"/>
        <i x="829" s="1"/>
        <i x="405" s="1"/>
        <i x="168" s="1"/>
        <i x="901" s="1"/>
        <i x="599" s="1"/>
        <i x="431" s="1"/>
        <i x="600" s="1"/>
        <i x="608" s="1"/>
        <i x="814" s="1"/>
        <i x="269" s="1"/>
        <i x="470" s="1"/>
        <i x="854" s="1"/>
        <i x="120" s="1"/>
        <i x="492" s="1"/>
        <i x="344" s="1"/>
        <i x="292" s="1"/>
        <i x="186" s="1"/>
        <i x="622" s="1"/>
        <i x="534" s="1"/>
        <i x="327" s="1"/>
        <i x="0" s="1"/>
        <i x="810" s="1"/>
        <i x="49" s="1"/>
        <i x="75" s="1"/>
        <i x="807" s="1"/>
        <i x="571" s="1"/>
        <i x="607" s="1"/>
        <i x="149" s="1"/>
        <i x="418" s="1"/>
        <i x="813" s="1"/>
        <i x="775" s="1"/>
        <i x="210" s="1"/>
        <i x="507" s="1"/>
        <i x="673" s="1"/>
        <i x="763" s="1"/>
        <i x="540" s="1"/>
        <i x="578" s="1"/>
        <i x="235" s="1"/>
        <i x="734" s="1"/>
        <i x="422" s="1"/>
        <i x="253" s="1"/>
        <i x="207" s="1"/>
        <i x="279" s="1"/>
        <i x="803" s="1"/>
        <i x="105" s="1"/>
        <i x="108" s="1"/>
        <i x="334" s="1"/>
        <i x="745" s="1"/>
        <i x="123" s="1"/>
        <i x="155" s="1"/>
        <i x="55" s="1"/>
        <i x="85" s="1"/>
        <i x="831" s="1"/>
        <i x="14" s="1"/>
        <i x="428" s="1"/>
        <i x="747" s="1"/>
        <i x="396" s="1"/>
        <i x="383" s="1"/>
        <i x="776" s="1"/>
        <i x="636" s="1"/>
        <i x="58" s="1"/>
        <i x="181" s="1"/>
        <i x="171" s="1"/>
        <i x="751" s="1"/>
        <i x="634" s="1"/>
        <i x="397" s="1"/>
        <i x="116" s="1"/>
        <i x="129" s="1"/>
        <i x="79" s="1"/>
        <i x="343" s="1"/>
        <i x="66" s="1"/>
        <i x="755" s="1"/>
        <i x="784" s="1"/>
        <i x="382" s="1"/>
        <i x="429" s="1"/>
        <i x="535" s="1"/>
        <i x="584" s="1"/>
        <i x="822" s="1"/>
        <i x="834" s="1"/>
        <i x="6" s="1"/>
        <i x="592" s="1"/>
        <i x="440" s="1"/>
        <i x="164" s="1"/>
        <i x="349" s="1"/>
        <i x="78" s="1"/>
        <i x="658" s="1"/>
        <i x="638" s="1"/>
        <i x="894" s="1"/>
        <i x="821" s="1"/>
        <i x="669" s="1"/>
        <i x="324" s="1"/>
        <i x="655" s="1"/>
        <i x="60" s="1"/>
        <i x="508" s="1"/>
        <i x="526" s="1"/>
        <i x="841" s="1"/>
        <i x="413" s="1"/>
        <i x="410" s="1"/>
        <i x="317" s="1"/>
        <i x="189" s="1"/>
        <i x="430" s="1"/>
        <i x="546" s="1"/>
        <i x="474" s="1"/>
        <i x="579" s="1"/>
        <i x="560" s="1"/>
        <i x="145" s="1"/>
        <i x="10" s="1"/>
        <i x="4" s="1"/>
        <i x="404" s="1"/>
        <i x="580" s="1"/>
        <i x="201" s="1"/>
        <i x="321" s="1"/>
        <i x="799" s="1"/>
        <i x="893" s="1"/>
        <i x="228" s="1"/>
        <i x="553" s="1"/>
        <i x="494" s="1"/>
        <i x="42" s="1"/>
        <i x="13" s="1"/>
        <i x="258" s="1"/>
        <i x="542" s="1"/>
        <i x="689" s="1"/>
        <i x="593" s="1"/>
        <i x="268" s="1"/>
        <i x="647" s="1"/>
        <i x="482" s="1"/>
        <i x="376" s="1"/>
        <i x="668" s="1"/>
        <i x="569" s="1"/>
        <i x="379" s="1"/>
        <i x="439" s="1"/>
        <i x="80" s="1"/>
        <i x="644" s="1"/>
        <i x="289" s="1"/>
        <i x="415" s="1"/>
        <i x="568" s="1"/>
        <i x="139" s="1"/>
        <i x="112" s="1"/>
        <i x="879" s="1"/>
        <i x="805" s="1"/>
        <i x="721" s="1"/>
        <i x="865" s="1"/>
        <i x="617" s="1"/>
        <i x="725" s="1"/>
        <i x="554" s="1"/>
        <i x="192" s="1"/>
        <i x="509" s="1"/>
        <i x="232" s="1"/>
        <i x="783" s="1"/>
        <i x="283" s="1"/>
        <i x="477" s="1"/>
        <i x="792" s="1"/>
        <i x="140" s="1"/>
        <i x="386" s="1"/>
        <i x="789" s="1"/>
        <i x="517" s="1"/>
        <i x="641" s="1"/>
        <i x="423" s="1"/>
        <i x="889" s="1"/>
        <i x="802" s="1"/>
        <i x="77" s="1" nd="1"/>
        <i x="71" s="1" nd="1"/>
        <i x="84" s="1" nd="1"/>
        <i x="866" s="1" nd="1"/>
        <i x="842" s="1" nd="1"/>
        <i x="384" s="1" nd="1"/>
        <i x="662" s="1" nd="1"/>
        <i x="322" s="1" nd="1"/>
        <i x="824" s="1" nd="1"/>
        <i x="830" s="1" nd="1"/>
        <i x="629" s="1" nd="1"/>
        <i x="227" s="1" nd="1"/>
        <i x="859" s="1" nd="1"/>
        <i x="479" s="1" nd="1"/>
        <i x="645" s="1" nd="1"/>
        <i x="778" s="1" nd="1"/>
        <i x="385" s="1" nd="1"/>
        <i x="686" s="1" nd="1"/>
        <i x="234" s="1" nd="1"/>
        <i x="366" s="1" nd="1"/>
        <i x="840" s="1" nd="1"/>
        <i x="543" s="1" nd="1"/>
        <i x="133" s="1" nd="1"/>
        <i x="83" s="1" nd="1"/>
        <i x="309" s="1" nd="1"/>
        <i x="21" s="1" nd="1"/>
        <i x="520" s="1" nd="1"/>
        <i x="284" s="1" nd="1"/>
        <i x="690" s="1" nd="1"/>
        <i x="127" s="1" nd="1"/>
        <i x="740" s="1" nd="1"/>
        <i x="524" s="1" nd="1"/>
        <i x="671" s="1" nd="1"/>
        <i x="750" s="1" nd="1"/>
        <i x="591" s="1" nd="1"/>
        <i x="101" s="1" nd="1"/>
        <i x="432" s="1" nd="1"/>
        <i x="541" s="1" nd="1"/>
        <i x="529" s="1" nd="1"/>
        <i x="806" s="1" nd="1"/>
        <i x="587" s="1" nd="1"/>
        <i x="826" s="1" nd="1"/>
        <i x="245" s="1" nd="1"/>
        <i x="653" s="1" nd="1"/>
        <i x="536" s="1" nd="1"/>
        <i x="688" s="1" nd="1"/>
        <i x="197" s="1" nd="1"/>
        <i x="603" s="1" nd="1"/>
        <i x="244" s="1" nd="1"/>
        <i x="615" s="1" nd="1"/>
        <i x="567" s="1" nd="1"/>
        <i x="582" s="1" nd="1"/>
        <i x="369" s="1" nd="1"/>
        <i x="64" s="1" nd="1"/>
        <i x="239" s="1" nd="1"/>
        <i x="438" s="1" nd="1"/>
        <i x="780" s="1" nd="1"/>
        <i x="761" s="1" nd="1"/>
        <i x="514" s="1" nd="1"/>
        <i x="812" s="1" nd="1"/>
        <i x="35" s="1" nd="1"/>
        <i x="73" s="1" nd="1"/>
        <i x="635" s="1" nd="1"/>
        <i x="496" s="1" nd="1"/>
        <i x="113" s="1" nd="1"/>
        <i x="390" s="1" nd="1"/>
        <i x="231" s="1" nd="1"/>
        <i x="797" s="1" nd="1"/>
        <i x="362" s="1" nd="1"/>
        <i x="160" s="1" nd="1"/>
        <i x="701" s="1" nd="1"/>
        <i x="887" s="1" nd="1"/>
        <i x="626" s="1" nd="1"/>
        <i x="869" s="1" nd="1"/>
        <i x="424" s="1" nd="1"/>
        <i x="714" s="1" nd="1"/>
        <i x="800" s="1" nd="1"/>
        <i x="838" s="1" nd="1"/>
        <i x="639" s="1" nd="1"/>
        <i x="67" s="1" nd="1"/>
        <i x="677" s="1" nd="1"/>
        <i x="832" s="1" nd="1"/>
        <i x="260" s="1" nd="1"/>
        <i x="670" s="1" nd="1"/>
        <i x="885" s="1" nd="1"/>
        <i x="816" s="1" nd="1"/>
        <i x="572" s="1" nd="1"/>
        <i x="839" s="1" nd="1"/>
        <i x="478" s="1" nd="1"/>
        <i x="746" s="1" nd="1"/>
        <i x="242" s="1" nd="1"/>
        <i x="827" s="1" nd="1"/>
        <i x="94" s="1" nd="1"/>
        <i x="884" s="1" nd="1"/>
        <i x="471" s="1" nd="1"/>
        <i x="182" s="1" nd="1"/>
        <i x="48" s="1" nd="1"/>
        <i x="545" s="1" nd="1"/>
        <i x="657" s="1" nd="1"/>
        <i x="777" s="1" nd="1"/>
        <i x="46" s="1" nd="1"/>
        <i x="736" s="1" nd="1"/>
        <i x="836" s="1" nd="1"/>
        <i x="860" s="1" nd="1"/>
        <i x="627" s="1" nd="1"/>
        <i x="335" s="1" nd="1"/>
        <i x="772" s="1" nd="1"/>
        <i x="117" s="1" nd="1"/>
        <i x="703" s="1" nd="1"/>
        <i x="135" s="1" nd="1"/>
        <i x="180" s="1" nd="1"/>
        <i x="360" s="1" nd="1"/>
        <i x="391" s="1" nd="1"/>
        <i x="530" s="1" nd="1"/>
        <i x="605" s="1" nd="1"/>
        <i x="427" s="1" nd="1"/>
        <i x="175" s="1" nd="1"/>
        <i x="104" s="1" nd="1"/>
        <i x="793" s="1" nd="1"/>
        <i x="303" s="1" nd="1"/>
        <i x="328" s="1" nd="1"/>
        <i x="706" s="1" nd="1"/>
        <i x="896" s="1" nd="1"/>
        <i x="454" s="1" nd="1"/>
        <i x="825" s="1" nd="1"/>
        <i x="114" s="1" nd="1"/>
        <i x="185" s="1" nd="1"/>
        <i x="293" s="1" nd="1"/>
        <i x="680" s="1" nd="1"/>
        <i x="687" s="1" nd="1"/>
        <i x="346" s="1" nd="1"/>
        <i x="849" s="1" nd="1"/>
        <i x="358" s="1" nd="1"/>
        <i x="229" s="1" nd="1"/>
        <i x="754" s="1" nd="1"/>
        <i x="25" s="1" nd="1"/>
        <i x="481" s="1" nd="1"/>
        <i x="387" s="1" nd="1"/>
        <i x="728" s="1" nd="1"/>
        <i x="63" s="1" nd="1"/>
        <i x="206" s="1" nd="1"/>
        <i x="674" s="1" nd="1"/>
        <i x="724" s="1" nd="1"/>
        <i x="45" s="1" nd="1"/>
        <i x="341" s="1" nd="1"/>
        <i x="491" s="1" nd="1"/>
        <i x="720" s="1" nd="1"/>
        <i x="717" s="1" nd="1"/>
        <i x="237" s="1" nd="1"/>
        <i x="132" s="1" nd="1"/>
        <i x="306" s="1" nd="1"/>
        <i x="97" s="1" nd="1"/>
        <i x="501" s="1" nd="1"/>
        <i x="809" s="1" nd="1"/>
        <i x="817" s="1" nd="1"/>
        <i x="121" s="1" nd="1"/>
        <i x="459" s="1" nd="1"/>
        <i x="637" s="1" nd="1"/>
        <i x="81" s="1" nd="1"/>
        <i x="764" s="1" nd="1"/>
        <i x="880" s="1" nd="1"/>
        <i x="656" s="1" nd="1"/>
        <i x="393" s="1" nd="1"/>
        <i x="19" s="1" nd="1"/>
        <i x="513" s="1" nd="1"/>
        <i x="767" s="1" nd="1"/>
        <i x="196" s="1" nd="1"/>
        <i x="675" s="1" nd="1"/>
        <i x="759" s="1" nd="1"/>
        <i x="147" s="1" nd="1"/>
        <i x="713" s="1" nd="1"/>
        <i x="336" s="1" nd="1"/>
        <i x="475" s="1" nd="1"/>
        <i x="177" s="1" nd="1"/>
        <i x="161" s="1" nd="1"/>
        <i x="337" s="1" nd="1"/>
        <i x="453" s="1" nd="1"/>
        <i x="883" s="1" nd="1"/>
        <i x="845" s="1" nd="1"/>
        <i x="435" s="1" nd="1"/>
        <i x="1" s="1" nd="1"/>
        <i x="815" s="1" nd="1"/>
        <i x="694" s="1" nd="1"/>
        <i x="340" s="1" nd="1"/>
        <i x="456" s="1" nd="1"/>
        <i x="425" s="1" nd="1"/>
        <i x="156" s="1" nd="1"/>
        <i x="47" s="1" nd="1"/>
        <i x="144" s="1" nd="1"/>
        <i x="417" s="1" nd="1"/>
        <i x="900" s="1" nd="1"/>
        <i x="527" s="1" nd="1"/>
        <i x="221" s="1" nd="1"/>
        <i x="790" s="1" nd="1"/>
        <i x="290" s="1" nd="1"/>
        <i x="225" s="1" nd="1"/>
        <i x="241" s="1" nd="1"/>
        <i x="630" s="1" nd="1"/>
        <i x="202" s="1" nd="1"/>
        <i x="263" s="1" nd="1"/>
        <i x="294" s="1" nd="1"/>
        <i x="356" s="1" nd="1"/>
        <i x="504" s="1" nd="1"/>
        <i x="350" s="1" nd="1"/>
        <i x="551" s="1" nd="1"/>
        <i x="576" s="1" nd="1"/>
        <i x="370" s="1" nd="1"/>
        <i x="665" s="1" nd="1"/>
        <i x="881" s="1" nd="1"/>
        <i x="461" s="1" nd="1"/>
        <i x="3" s="1" nd="1"/>
        <i x="451" s="1" nd="1"/>
        <i x="467" s="1" nd="1"/>
        <i x="692" s="1" nd="1"/>
        <i x="695" s="1" nd="1"/>
        <i x="833" s="1" nd="1"/>
        <i x="586" s="1" nd="1"/>
        <i x="485" s="1" nd="1"/>
        <i x="188" s="1" nd="1"/>
        <i x="801" s="1" nd="1"/>
        <i x="131" s="1" nd="1"/>
        <i x="756" s="1" nd="1"/>
        <i x="870" s="1" nd="1"/>
        <i x="465" s="1" nd="1"/>
        <i x="857" s="1" nd="1"/>
        <i x="549" s="1" nd="1"/>
        <i x="874" s="1" nd="1"/>
        <i x="230" s="1" nd="1"/>
        <i x="483" s="1" nd="1"/>
        <i x="466" s="1" nd="1"/>
        <i x="621" s="1" nd="1"/>
        <i x="672" s="1" nd="1"/>
        <i x="296" s="1" nd="1"/>
        <i x="588" s="1" nd="1"/>
        <i x="770" s="1" nd="1"/>
        <i x="722" s="1" nd="1"/>
        <i x="700" s="1" nd="1"/>
        <i x="899" s="1" nd="1"/>
        <i x="392" s="1" nd="1"/>
        <i x="464" s="1" nd="1"/>
        <i x="388" s="1" nd="1"/>
        <i x="818" s="1" nd="1"/>
        <i x="247" s="1" nd="1"/>
        <i x="853" s="1" nd="1"/>
        <i x="704" s="1" nd="1"/>
        <i x="257" s="1" nd="1"/>
        <i x="795" s="1" nd="1"/>
        <i x="707" s="1" nd="1"/>
        <i x="426" s="1" nd="1"/>
        <i x="625" s="1" nd="1"/>
        <i x="407" s="1" nd="1"/>
        <i x="363" s="1" nd="1"/>
        <i x="325" s="1" nd="1"/>
        <i x="537" s="1" nd="1"/>
        <i x="353" s="1" nd="1"/>
        <i x="741" s="1" nd="1"/>
        <i x="276" s="1" nd="1"/>
        <i x="522" s="1" nd="1"/>
        <i x="259" s="1" nd="1"/>
        <i x="737" s="1" nd="1"/>
        <i x="555" s="1" nd="1"/>
        <i x="511" s="1" nd="1"/>
        <i x="307" s="1" nd="1"/>
        <i x="434" s="1" nd="1"/>
        <i x="619" s="1" nd="1"/>
        <i x="651" s="1" nd="1"/>
        <i x="399" s="1" nd="1"/>
        <i x="480" s="1" nd="1"/>
        <i x="544" s="1" nd="1"/>
        <i x="103" s="1" nd="1"/>
        <i x="819" s="1" nd="1"/>
        <i x="442" s="1" nd="1"/>
        <i x="457" s="1" nd="1"/>
        <i x="395" s="1" nd="1"/>
        <i x="892" s="1" nd="1"/>
        <i x="368" s="1" nd="1"/>
        <i x="463" s="1" nd="1"/>
        <i x="150" s="1" nd="1"/>
        <i x="705" s="1" nd="1"/>
        <i x="606" s="1" nd="1"/>
        <i x="891" s="1" nd="1"/>
        <i x="548" s="1" nd="1"/>
        <i x="436" s="1" nd="1"/>
        <i x="872" s="1" nd="1"/>
        <i x="852" s="1" nd="1"/>
        <i x="596" s="1" nd="1"/>
        <i x="323" s="1" nd="1"/>
        <i x="7" s="1" nd="1"/>
        <i x="403" s="1" nd="1"/>
        <i x="213" s="1" nd="1"/>
        <i x="562" s="1" nd="1"/>
        <i x="20" s="1" nd="1"/>
        <i x="53" s="1" nd="1"/>
        <i x="128" s="1" nd="1"/>
        <i x="590" s="1" nd="1"/>
        <i x="505" s="1" nd="1"/>
        <i x="876" s="1" nd="1"/>
        <i x="191" s="1" nd="1"/>
        <i x="43" s="1" nd="1"/>
        <i x="320" s="1" nd="1"/>
        <i x="744" s="1" nd="1"/>
        <i x="100" s="1" nd="1"/>
        <i x="238" s="1" nd="1"/>
        <i x="650" s="1" nd="1"/>
        <i x="329" s="1" nd="1"/>
        <i x="873" s="1" nd="1"/>
        <i x="302" s="1" nd="1"/>
        <i x="735" s="1" nd="1"/>
        <i x="458" s="1" nd="1"/>
        <i x="613" s="1" nd="1"/>
        <i x="851" s="1" nd="1"/>
        <i x="847" s="1" nd="1"/>
        <i x="550" s="1" nd="1"/>
        <i x="86" s="1" nd="1"/>
        <i x="151" s="1" nd="1"/>
        <i x="252" s="1" nd="1"/>
        <i x="733" s="1" nd="1"/>
        <i x="443" s="1" nd="1"/>
        <i x="52" s="1" nd="1"/>
        <i x="791" s="1" nd="1"/>
        <i x="102" s="1" nd="1"/>
        <i x="835" s="1" nd="1"/>
        <i x="683" s="1" nd="1"/>
        <i x="547" s="1" nd="1"/>
        <i x="646" s="1" nd="1"/>
        <i x="664" s="1" nd="1"/>
        <i x="380" s="1" nd="1"/>
        <i x="57" s="1" nd="1"/>
        <i x="400" s="1" nd="1"/>
        <i x="319" s="1" nd="1"/>
        <i x="216" s="1" nd="1"/>
        <i x="41" s="1" nd="1"/>
        <i x="203" s="1" nd="1"/>
        <i x="447" s="1" nd="1"/>
        <i x="762" s="1" nd="1"/>
        <i x="765" s="1" nd="1"/>
        <i x="693" s="1" nd="1"/>
        <i x="573" s="1" nd="1"/>
        <i x="367" s="1" nd="1"/>
        <i x="59" s="1" nd="1"/>
        <i x="556" s="1" nd="1"/>
        <i x="867" s="1" nd="1"/>
        <i x="570" s="1" nd="1"/>
        <i x="624" s="1" nd="1"/>
        <i x="682" s="1" nd="1"/>
        <i x="732" s="1" nd="1"/>
        <i x="162" s="1" nd="1"/>
        <i x="489" s="1" nd="1"/>
        <i x="861" s="1" nd="1"/>
        <i x="138" s="1" nd="1"/>
        <i x="702" s="1" nd="1"/>
        <i x="373" s="1" nd="1"/>
        <i x="287" s="1" nd="1"/>
        <i x="460" s="1" nd="1"/>
        <i x="808" s="1" nd="1"/>
        <i x="446" s="1" nd="1"/>
        <i x="609" s="1" nd="1"/>
        <i x="519" s="1" nd="1"/>
        <i x="172" s="1" nd="1"/>
        <i x="22" s="1" nd="1"/>
        <i x="209" s="1" nd="1"/>
        <i x="521" s="1" nd="1"/>
        <i x="676" s="1" nd="1"/>
        <i x="437" s="1" nd="1"/>
        <i x="99" s="1" nd="1"/>
        <i x="174" s="1" nd="1"/>
        <i x="433" s="1" nd="1"/>
        <i x="604" s="1" nd="1"/>
        <i x="726" s="1" nd="1"/>
        <i x="611" s="1" nd="1"/>
        <i x="731" s="1" nd="1"/>
        <i x="291" s="1" nd="1"/>
        <i x="243" s="1" nd="1"/>
        <i x="299" s="1" nd="1"/>
        <i x="786" s="1" nd="1"/>
        <i x="779" s="1" nd="1"/>
        <i x="31" s="1" nd="1"/>
        <i x="91" s="1" nd="1"/>
        <i x="9" s="1" nd="1"/>
        <i x="652" s="1" nd="1"/>
        <i x="848" s="1" nd="1"/>
        <i x="595" s="1" nd="1"/>
        <i x="371" s="1" nd="1"/>
        <i x="261" s="1" nd="1"/>
        <i x="389" s="1" nd="1"/>
        <i x="30" s="1" nd="1"/>
        <i x="165" s="1" nd="1"/>
        <i x="594" s="1" nd="1"/>
        <i x="315" s="1" nd="1"/>
        <i x="248" s="1" nd="1"/>
        <i x="506" s="1" nd="1"/>
        <i x="166" s="1" nd="1"/>
        <i x="757" s="1" nd="1"/>
        <i x="585" s="1" nd="1"/>
        <i x="742" s="1" nd="1"/>
        <i x="684" s="1" nd="1"/>
        <i x="661" s="1" nd="1"/>
        <i x="685" s="1" nd="1"/>
        <i x="823" s="1" nd="1"/>
        <i x="552" s="1" nd="1"/>
        <i x="612" s="1" nd="1"/>
        <i x="49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___Année" xr10:uid="{F0A26A6E-5D61-4DCB-A4A4-884213D3D68F}" sourceName="Reporting_Year / Année">
  <pivotTables>
    <pivotTable tabId="9" name="PivotTable1"/>
    <pivotTable tabId="11" name="PivotTable1"/>
    <pivotTable tabId="13" name="PivotTable1"/>
    <pivotTable tabId="14" name="PivotTable1"/>
  </pivotTables>
  <data>
    <tabular pivotCacheId="1708295341">
      <items count="31">
        <i x="30"/>
        <i x="25"/>
        <i x="24"/>
        <i x="28"/>
        <i x="23" s="1"/>
        <i x="0" s="1"/>
        <i x="4" s="1"/>
        <i x="22" s="1"/>
        <i x="3" s="1"/>
        <i x="10" s="1"/>
        <i x="19" s="1"/>
        <i x="13" s="1"/>
        <i x="20" s="1"/>
        <i x="6" s="1"/>
        <i x="8" s="1"/>
        <i x="16" s="1"/>
        <i x="26" s="1"/>
        <i x="27" s="1"/>
        <i x="5" s="1"/>
        <i x="11" s="1"/>
        <i x="18" s="1"/>
        <i x="9" s="1"/>
        <i x="1" s="1"/>
        <i x="2"/>
        <i x="15"/>
        <i x="12"/>
        <i x="21"/>
        <i x="7"/>
        <i x="14"/>
        <i x="29"/>
        <i x="1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EE7E412E-C7EC-401B-A28D-8CDF9186749D}" sourceName="PROVINCE">
  <pivotTables>
    <pivotTable tabId="14" name="PivotTable1"/>
    <pivotTable tabId="11" name="PivotTable1"/>
    <pivotTable tabId="13" name="PivotTable1"/>
    <pivotTable tabId="9" name="PivotTable1"/>
  </pivotTables>
  <data>
    <tabular pivotCacheId="1708295341">
      <items count="12">
        <i x="4" s="1"/>
        <i x="2" s="1"/>
        <i x="1"/>
        <i x="8"/>
        <i x="10"/>
        <i x="7"/>
        <i x="6"/>
        <i x="0" s="1"/>
        <i x="9"/>
        <i x="3" s="1"/>
        <i x="5" s="1"/>
        <i x="1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__Unités" xr10:uid="{C2C01A18-3F72-428D-BA10-447B9B3F5739}" sourceName="Units / Unités">
  <pivotTables>
    <pivotTable tabId="14" name="PivotTable1"/>
    <pivotTable tabId="11" name="PivotTable1"/>
    <pivotTable tabId="13" name="PivotTable1"/>
    <pivotTable tabId="9" name="PivotTable1"/>
  </pivotTables>
  <data>
    <tabular pivotCacheId="1708295341">
      <items count="4">
        <i x="2"/>
        <i x="3"/>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Table" xr10:uid="{F5BD601D-DFF7-4051-959E-1EE66D92973D}" sourceName="From_Table">
  <pivotTables>
    <pivotTable tabId="14" name="PivotTable1"/>
    <pivotTable tabId="11" name="PivotTable1"/>
    <pivotTable tabId="13" name="PivotTable1"/>
    <pivotTable tabId="9" name="PivotTable1"/>
  </pivotTables>
  <data>
    <tabular pivotCacheId="1708295341">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tance_Name__English____Nom_de_substance__Anglais" xr10:uid="{DA38051C-025A-40A6-A4E4-7C67B2821B7E}" sourceName="Substance Name (English) / Nom de substance (Anglais)">
  <pivotTables>
    <pivotTable tabId="11" name="PivotTable1"/>
    <pivotTable tabId="13" name="PivotTable1"/>
    <pivotTable tabId="9" name="PivotTable1"/>
  </pivotTables>
  <data>
    <tabular pivotCacheId="1708295341">
      <items count="123">
        <i x="40" s="1"/>
        <i x="117" s="1"/>
        <i x="59" s="1"/>
        <i x="98" s="1"/>
        <i x="111" s="1"/>
        <i x="10" s="1"/>
        <i x="49" s="1"/>
        <i x="78" s="1"/>
        <i x="60" s="1"/>
        <i x="21" s="1"/>
        <i x="70" s="1"/>
        <i x="31" s="1"/>
        <i x="14" s="1"/>
        <i x="118" s="1"/>
        <i x="37" s="1"/>
        <i x="106" s="1"/>
        <i x="120" s="1"/>
        <i x="87" s="1"/>
        <i x="84" s="1"/>
        <i x="38" s="1"/>
        <i x="102" s="1"/>
        <i x="62" s="1"/>
        <i x="19" s="1"/>
        <i x="16" s="1"/>
        <i x="15" s="1"/>
        <i x="75" s="1"/>
        <i x="121" s="1"/>
        <i x="26" s="1"/>
        <i x="71" s="1"/>
        <i x="33" s="1"/>
        <i x="41" s="1"/>
        <i x="46" s="1"/>
        <i x="11" s="1"/>
        <i x="91" s="1"/>
        <i x="29" s="1"/>
        <i x="90" s="1"/>
        <i x="17" s="1"/>
        <i x="7" s="1"/>
        <i x="93" s="1"/>
        <i x="23" s="1"/>
        <i x="6" s="1"/>
        <i x="1" s="1"/>
        <i x="12" s="1"/>
        <i x="3" s="1"/>
        <i x="0" s="1"/>
        <i x="63" s="1"/>
        <i x="99" s="1"/>
        <i x="20" s="1"/>
        <i x="67" s="1"/>
        <i x="50" s="1"/>
        <i x="47" s="1"/>
        <i x="4" s="1"/>
        <i x="36" s="1"/>
        <i x="25" s="1"/>
        <i x="92" s="1"/>
        <i x="2" s="1"/>
        <i x="58" s="1"/>
        <i x="8" s="1"/>
        <i x="115" s="1"/>
        <i x="116" s="1"/>
        <i x="83" s="1"/>
        <i x="86" s="1"/>
        <i x="79" s="1"/>
        <i x="104" s="1"/>
        <i x="22" s="1"/>
        <i x="55" s="1"/>
        <i x="107" s="1"/>
        <i x="85" s="1"/>
        <i x="30" s="1"/>
        <i x="27" s="1"/>
        <i x="5" s="1"/>
        <i x="109" s="1"/>
        <i x="94" s="1"/>
        <i x="89" s="1"/>
        <i x="45" s="1"/>
        <i x="51" s="1"/>
        <i x="74" s="1"/>
        <i x="88" s="1"/>
        <i x="24" s="1"/>
        <i x="34" s="1"/>
        <i x="13" s="1"/>
        <i x="105" s="1" nd="1"/>
        <i x="82" s="1" nd="1"/>
        <i x="52" s="1" nd="1"/>
        <i x="122" s="1" nd="1"/>
        <i x="39" s="1" nd="1"/>
        <i x="64" s="1" nd="1"/>
        <i x="76" s="1" nd="1"/>
        <i x="32" s="1" nd="1"/>
        <i x="80" s="1" nd="1"/>
        <i x="35" s="1" nd="1"/>
        <i x="42" s="1" nd="1"/>
        <i x="44" s="1" nd="1"/>
        <i x="56" s="1" nd="1"/>
        <i x="18" s="1" nd="1"/>
        <i x="28" s="1" nd="1"/>
        <i x="103" s="1" nd="1"/>
        <i x="66" s="1" nd="1"/>
        <i x="61" s="1" nd="1"/>
        <i x="112" s="1" nd="1"/>
        <i x="113" s="1" nd="1"/>
        <i x="108" s="1" nd="1"/>
        <i x="119" s="1" nd="1"/>
        <i x="57" s="1" nd="1"/>
        <i x="68" s="1" nd="1"/>
        <i x="114" s="1" nd="1"/>
        <i x="110" s="1" nd="1"/>
        <i x="69" s="1" nd="1"/>
        <i x="43" s="1" nd="1"/>
        <i x="100" s="1" nd="1"/>
        <i x="101" s="1" nd="1"/>
        <i x="9" s="1" nd="1"/>
        <i x="77" s="1" nd="1"/>
        <i x="95" s="1" nd="1"/>
        <i x="53" s="1" nd="1"/>
        <i x="54" s="1" nd="1"/>
        <i x="73" s="1" nd="1"/>
        <i x="65" s="1" nd="1"/>
        <i x="48" s="1" nd="1"/>
        <i x="72" s="1" nd="1"/>
        <i x="97" s="1" nd="1"/>
        <i x="81" s="1" nd="1"/>
        <i x="96"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__English____Groupe__Anglais" xr10:uid="{9275936F-E915-49F7-A516-4A895348BC36}" sourceName="Group (English) / Groupe (Anglais)">
  <pivotTables>
    <pivotTable tabId="11" name="PivotTable1"/>
    <pivotTable tabId="14" name="PivotTable1"/>
    <pivotTable tabId="9" name="PivotTable1"/>
  </pivotTables>
  <data>
    <tabular pivotCacheId="1708295341">
      <items count="8">
        <i x="6"/>
        <i x="0"/>
        <i x="1" s="1"/>
        <i x="7"/>
        <i x="3" s="1"/>
        <i x="5"/>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 Dénomination_sociale_de_l'entreprise" xr10:uid="{962BCD6D-218A-49FE-A793-698B7852E32A}" cache="Slicer_Company_Name___Dénomination_sociale_de_l_entreprise" caption="Company_Name / Dénomination_sociale_de_l'entreprise" startItem="3" style="SlicerStyleLight3" rowHeight="241300"/>
  <slicer name="Reporting_Year / Année" xr10:uid="{A46F5104-412E-4CB3-904B-84E27CDD9035}" cache="Slicer_Reporting_Year___Année" caption="Reporting_Year / Année" columnCount="31" style="SlicerStyleDark1" rowHeight="241300"/>
  <slicer name="PROVINCE" xr10:uid="{ED378698-C61A-47D5-B429-DA4E3FE4E4EF}" cache="Slicer_PROVINCE" caption="PROVINCE" columnCount="4" style="SlicerStyleOther2" rowHeight="241300"/>
  <slicer name="Units / Unités" xr10:uid="{22A5C6DA-6255-4D15-BF94-A9B213757DF6}" cache="Slicer_Units___Unités" caption="Units / Unités" style="SlicerStyleOther2" rowHeight="241300"/>
  <slicer name="From_Table" xr10:uid="{4306F4EC-FF3B-4F10-8C00-43374CE71EC0}" cache="Slicer_From_Table" caption="From_Table" style="SlicerStyleOther2" rowHeight="241300"/>
  <slicer name="Substance Name (English) / Nom de substance (Anglais)" xr10:uid="{CB429479-4796-42E6-873B-B7E24932497D}" cache="Slicer_Substance_Name__English____Nom_de_substance__Anglais" caption="Substance Name (English) / Nom de substance (Anglais)" style="SlicerStyleLight3" rowHeight="241300"/>
  <slicer name="Group (English) / Groupe (Anglais)" xr10:uid="{022F5EAE-39C3-472F-8D57-06047820EDF4}" cache="Slicer_Group__English____Groupe__Anglais" caption="Group (English) / Groupe (Anglais)"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anada.ca/en/environment-climate-change/services/national-pollutant-release-inventory/tools-resources-data/exploredat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3D444-C24A-4587-8446-D721B6D83E64}">
  <sheetPr>
    <tabColor rgb="FF009242"/>
    <pageSetUpPr fitToPage="1"/>
  </sheetPr>
  <dimension ref="A1:AQ68"/>
  <sheetViews>
    <sheetView showGridLines="0" tabSelected="1" zoomScale="55" zoomScaleNormal="55" workbookViewId="0">
      <selection activeCell="V69" sqref="V69"/>
    </sheetView>
  </sheetViews>
  <sheetFormatPr defaultRowHeight="15" x14ac:dyDescent="0.25"/>
  <sheetData>
    <row r="1" spans="1:33" ht="15" customHeight="1" x14ac:dyDescent="0.25">
      <c r="A1" s="10" t="s">
        <v>6947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row>
    <row r="2" spans="1:33" ht="15" customHeigh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row>
    <row r="3" spans="1:33" ht="15" customHeight="1"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row>
    <row r="4" spans="1:33" ht="1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row>
    <row r="5" spans="1:33" ht="15" customHeight="1"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row>
    <row r="6" spans="1:33" ht="15"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row>
    <row r="7" spans="1:33" ht="1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row>
    <row r="8" spans="1:33" ht="15" customHeigh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row>
    <row r="9" spans="1:33" ht="15" customHeight="1"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row>
    <row r="10" spans="1:33" ht="15" customHeight="1"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row>
    <row r="11" spans="1:33" ht="15" customHeight="1" x14ac:dyDescent="0.25">
      <c r="A11" s="11">
        <f>GETPIVOTDATA("Quantity / Quantité",'Pivot - provinces by year'!$A$7)</f>
        <v>27601.904100000003</v>
      </c>
      <c r="B11" s="11"/>
      <c r="C11" s="11"/>
      <c r="D11" s="11"/>
      <c r="E11" s="11"/>
      <c r="F11" s="11"/>
      <c r="G11" s="6"/>
      <c r="H11" s="6"/>
      <c r="I11" s="6"/>
      <c r="J11" s="6"/>
      <c r="K11" s="6"/>
      <c r="L11" s="6"/>
      <c r="M11" s="6"/>
      <c r="N11" s="6"/>
      <c r="O11" s="6"/>
      <c r="P11" s="6"/>
      <c r="Q11" s="6"/>
      <c r="R11" s="6"/>
      <c r="S11" s="5"/>
      <c r="T11" s="5"/>
      <c r="U11" s="5"/>
      <c r="V11" s="5"/>
      <c r="W11" s="5"/>
      <c r="X11" s="5"/>
      <c r="Y11" s="5"/>
      <c r="Z11" s="5"/>
      <c r="AA11" s="5"/>
      <c r="AB11" s="5"/>
      <c r="AC11" s="5"/>
      <c r="AD11" s="5"/>
      <c r="AE11" s="5"/>
      <c r="AF11" s="5"/>
      <c r="AG11" s="5"/>
    </row>
    <row r="12" spans="1:33" x14ac:dyDescent="0.25">
      <c r="A12" s="11"/>
      <c r="B12" s="11"/>
      <c r="C12" s="11"/>
      <c r="D12" s="11"/>
      <c r="E12" s="11"/>
      <c r="F12" s="11"/>
    </row>
    <row r="13" spans="1:33" x14ac:dyDescent="0.25">
      <c r="A13" s="11"/>
      <c r="B13" s="11"/>
      <c r="C13" s="11"/>
      <c r="D13" s="11"/>
      <c r="E13" s="11"/>
      <c r="F13" s="11"/>
    </row>
    <row r="14" spans="1:33" x14ac:dyDescent="0.25">
      <c r="A14" s="11"/>
      <c r="B14" s="11"/>
      <c r="C14" s="11"/>
      <c r="D14" s="11"/>
      <c r="E14" s="11"/>
      <c r="F14" s="11"/>
    </row>
    <row r="15" spans="1:33" x14ac:dyDescent="0.25">
      <c r="A15" s="11"/>
      <c r="B15" s="11"/>
      <c r="C15" s="11"/>
      <c r="D15" s="11"/>
      <c r="E15" s="11"/>
      <c r="F15" s="11"/>
    </row>
    <row r="16" spans="1:33" x14ac:dyDescent="0.25">
      <c r="A16" s="8" t="str">
        <f>'Pivot - pollutant totals'!B1</f>
        <v>tonnes</v>
      </c>
      <c r="B16" s="8"/>
      <c r="C16" s="8"/>
      <c r="D16" s="8"/>
      <c r="E16" s="8"/>
      <c r="F16" s="8"/>
    </row>
    <row r="17" spans="1:6" x14ac:dyDescent="0.25">
      <c r="A17" s="8"/>
      <c r="B17" s="8"/>
      <c r="C17" s="8"/>
      <c r="D17" s="8"/>
      <c r="E17" s="8"/>
      <c r="F17" s="8"/>
    </row>
    <row r="18" spans="1:6" x14ac:dyDescent="0.25">
      <c r="A18" s="8"/>
      <c r="B18" s="8"/>
      <c r="C18" s="8"/>
      <c r="D18" s="8"/>
      <c r="E18" s="8"/>
      <c r="F18" s="8"/>
    </row>
    <row r="19" spans="1:6" x14ac:dyDescent="0.25">
      <c r="A19" s="8"/>
      <c r="B19" s="8"/>
      <c r="C19" s="8"/>
      <c r="D19" s="8"/>
      <c r="E19" s="8"/>
      <c r="F19" s="8"/>
    </row>
    <row r="20" spans="1:6" x14ac:dyDescent="0.25">
      <c r="A20" s="8"/>
      <c r="B20" s="8"/>
      <c r="C20" s="8"/>
      <c r="D20" s="8"/>
      <c r="E20" s="8"/>
      <c r="F20" s="8"/>
    </row>
    <row r="21" spans="1:6" ht="15" customHeight="1" x14ac:dyDescent="0.25">
      <c r="A21" s="9">
        <f>GETPIVOTDATA("Facility_Name / Installation",'Pivot - facility count'!$A$7)</f>
        <v>320</v>
      </c>
      <c r="B21" s="9"/>
      <c r="C21" s="9"/>
      <c r="D21" s="9"/>
      <c r="E21" s="9"/>
      <c r="F21" s="9"/>
    </row>
    <row r="22" spans="1:6" ht="15" customHeight="1" x14ac:dyDescent="0.25">
      <c r="A22" s="9"/>
      <c r="B22" s="9"/>
      <c r="C22" s="9"/>
      <c r="D22" s="9"/>
      <c r="E22" s="9"/>
      <c r="F22" s="9"/>
    </row>
    <row r="23" spans="1:6" ht="15" customHeight="1" x14ac:dyDescent="0.25">
      <c r="A23" s="9"/>
      <c r="B23" s="9"/>
      <c r="C23" s="9"/>
      <c r="D23" s="9"/>
      <c r="E23" s="9"/>
      <c r="F23" s="9"/>
    </row>
    <row r="24" spans="1:6" ht="15" customHeight="1" x14ac:dyDescent="0.25">
      <c r="A24" s="9"/>
      <c r="B24" s="9"/>
      <c r="C24" s="9"/>
      <c r="D24" s="9"/>
      <c r="E24" s="9"/>
      <c r="F24" s="9"/>
    </row>
    <row r="25" spans="1:6" ht="15" customHeight="1" x14ac:dyDescent="0.25">
      <c r="A25" s="9"/>
      <c r="B25" s="9"/>
      <c r="C25" s="9"/>
      <c r="D25" s="9"/>
      <c r="E25" s="9"/>
      <c r="F25" s="9"/>
    </row>
    <row r="26" spans="1:6" ht="15" customHeight="1" x14ac:dyDescent="0.25">
      <c r="A26" s="8" t="s">
        <v>6945</v>
      </c>
      <c r="B26" s="8"/>
      <c r="C26" s="8"/>
      <c r="D26" s="8"/>
      <c r="E26" s="8"/>
      <c r="F26" s="8"/>
    </row>
    <row r="27" spans="1:6" ht="15" customHeight="1" x14ac:dyDescent="0.25">
      <c r="A27" s="8"/>
      <c r="B27" s="8"/>
      <c r="C27" s="8"/>
      <c r="D27" s="8"/>
      <c r="E27" s="8"/>
      <c r="F27" s="8"/>
    </row>
    <row r="28" spans="1:6" ht="15" customHeight="1" x14ac:dyDescent="0.25">
      <c r="A28" s="8"/>
      <c r="B28" s="8"/>
      <c r="C28" s="8"/>
      <c r="D28" s="8"/>
      <c r="E28" s="8"/>
      <c r="F28" s="8"/>
    </row>
    <row r="29" spans="1:6" ht="15" customHeight="1" x14ac:dyDescent="0.25">
      <c r="A29" s="8"/>
      <c r="B29" s="8"/>
      <c r="C29" s="8"/>
      <c r="D29" s="8"/>
      <c r="E29" s="8"/>
      <c r="F29" s="8"/>
    </row>
    <row r="30" spans="1:6" ht="15" customHeight="1" x14ac:dyDescent="0.25">
      <c r="A30" s="8"/>
      <c r="B30" s="8"/>
      <c r="C30" s="8"/>
      <c r="D30" s="8"/>
      <c r="E30" s="8"/>
      <c r="F30" s="8"/>
    </row>
    <row r="64" spans="1:43" ht="15" customHeight="1" x14ac:dyDescent="0.25">
      <c r="A64" s="7" t="s">
        <v>6948</v>
      </c>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row>
    <row r="65" spans="1:43"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row>
    <row r="66" spans="1:43"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row>
    <row r="67" spans="1:43"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row>
    <row r="68" spans="1:43"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sheetData>
  <sheetProtection algorithmName="SHA-512" hashValue="fdPy40KkIXtplVdc/133HE6C1RE95YEXWBeGgWRBXJszgGEqtA/cZF7uUW6UqdBTec9Ppfg5oADqRGWcOA8uYg==" saltValue="UFaD08DKmct6HZcR1ltyDQ==" spinCount="100000" sheet="1" scenarios="1" selectLockedCells="1" selectUnlockedCells="1"/>
  <mergeCells count="6">
    <mergeCell ref="A64:AQ68"/>
    <mergeCell ref="A16:F20"/>
    <mergeCell ref="A21:F25"/>
    <mergeCell ref="A26:F30"/>
    <mergeCell ref="A1:AG10"/>
    <mergeCell ref="A11:F15"/>
  </mergeCells>
  <printOptions horizontalCentered="1" verticalCentered="1"/>
  <pageMargins left="0.62992125984251968" right="0.23622047244094491" top="0.74803149606299213" bottom="0.74803149606299213" header="0.31496062992125984" footer="0.31496062992125984"/>
  <pageSetup paperSize="3" scale="51" orientation="landscape" horizontalDpi="4294967292"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A8D9-5B28-4C1D-934F-B0C9B5282E83}">
  <sheetPr>
    <tabColor theme="9" tint="0.39997558519241921"/>
  </sheetPr>
  <dimension ref="A1:L10"/>
  <sheetViews>
    <sheetView workbookViewId="0">
      <selection sqref="A1:AG10"/>
    </sheetView>
  </sheetViews>
  <sheetFormatPr defaultRowHeight="15" x14ac:dyDescent="0.25"/>
  <cols>
    <col min="1" max="1" width="53.140625" bestFit="1" customWidth="1"/>
    <col min="2" max="2" width="29.28515625" bestFit="1" customWidth="1"/>
    <col min="3" max="3" width="42.7109375" bestFit="1" customWidth="1"/>
    <col min="4" max="4" width="41.42578125" bestFit="1" customWidth="1"/>
    <col min="5" max="5" width="9.7109375" bestFit="1" customWidth="1"/>
    <col min="6" max="6" width="33.42578125" bestFit="1" customWidth="1"/>
    <col min="7" max="7" width="15.7109375" bestFit="1" customWidth="1"/>
    <col min="8" max="8" width="44.7109375" bestFit="1" customWidth="1"/>
    <col min="9" max="9" width="22.28515625" bestFit="1" customWidth="1"/>
    <col min="10" max="10" width="15.140625" bestFit="1" customWidth="1"/>
    <col min="11" max="11" width="16.85546875" bestFit="1" customWidth="1"/>
    <col min="12" max="12" width="11.28515625" bestFit="1" customWidth="1"/>
    <col min="13" max="13" width="16.5703125" bestFit="1" customWidth="1"/>
    <col min="14" max="14" width="28.28515625" bestFit="1" customWidth="1"/>
    <col min="15" max="15" width="28.42578125" bestFit="1" customWidth="1"/>
    <col min="16" max="16" width="28" bestFit="1" customWidth="1"/>
    <col min="17" max="17" width="28.7109375" bestFit="1" customWidth="1"/>
    <col min="18" max="18" width="23.85546875" bestFit="1" customWidth="1"/>
    <col min="19" max="19" width="15.28515625" bestFit="1" customWidth="1"/>
    <col min="20" max="20" width="15.42578125" bestFit="1" customWidth="1"/>
    <col min="21" max="21" width="26.5703125" bestFit="1" customWidth="1"/>
    <col min="22" max="22" width="8.5703125" bestFit="1" customWidth="1"/>
    <col min="23" max="23" width="17" bestFit="1" customWidth="1"/>
    <col min="24" max="24" width="15.7109375" bestFit="1" customWidth="1"/>
    <col min="25" max="25" width="25.7109375" bestFit="1" customWidth="1"/>
    <col min="26" max="26" width="7.85546875" bestFit="1" customWidth="1"/>
    <col min="27" max="27" width="12.5703125" bestFit="1" customWidth="1"/>
    <col min="28" max="28" width="11.28515625" bestFit="1" customWidth="1"/>
    <col min="29" max="29" width="24" bestFit="1" customWidth="1"/>
    <col min="30" max="30" width="15.85546875" bestFit="1" customWidth="1"/>
    <col min="31" max="31" width="8.85546875" bestFit="1" customWidth="1"/>
    <col min="32" max="32" width="9.5703125" bestFit="1" customWidth="1"/>
    <col min="33" max="33" width="11.140625" bestFit="1" customWidth="1"/>
    <col min="34" max="34" width="18" bestFit="1" customWidth="1"/>
    <col min="35" max="35" width="34.5703125" bestFit="1" customWidth="1"/>
    <col min="36" max="36" width="16.28515625" bestFit="1" customWidth="1"/>
    <col min="37" max="37" width="51.140625" bestFit="1" customWidth="1"/>
    <col min="38" max="38" width="22.140625" bestFit="1" customWidth="1"/>
    <col min="39" max="39" width="13.85546875" bestFit="1" customWidth="1"/>
    <col min="40" max="40" width="32.140625" bestFit="1" customWidth="1"/>
    <col min="41" max="41" width="22.85546875" bestFit="1" customWidth="1"/>
    <col min="42" max="42" width="19.42578125" bestFit="1" customWidth="1"/>
    <col min="43" max="43" width="14" bestFit="1" customWidth="1"/>
    <col min="44" max="44" width="23" bestFit="1" customWidth="1"/>
    <col min="45" max="45" width="7" bestFit="1" customWidth="1"/>
    <col min="46" max="46" width="22.5703125" bestFit="1" customWidth="1"/>
    <col min="47" max="47" width="8.7109375" bestFit="1" customWidth="1"/>
    <col min="48" max="48" width="13.42578125" bestFit="1" customWidth="1"/>
    <col min="49" max="49" width="15.140625" bestFit="1" customWidth="1"/>
    <col min="50" max="50" width="24.85546875" bestFit="1" customWidth="1"/>
    <col min="51" max="51" width="13.42578125" bestFit="1" customWidth="1"/>
    <col min="52" max="52" width="19.7109375" bestFit="1" customWidth="1"/>
    <col min="53" max="53" width="14.5703125" bestFit="1" customWidth="1"/>
    <col min="54" max="54" width="8.42578125" bestFit="1" customWidth="1"/>
    <col min="55" max="55" width="22.42578125" bestFit="1" customWidth="1"/>
    <col min="56" max="56" width="44.7109375" bestFit="1" customWidth="1"/>
    <col min="57" max="57" width="16.85546875" bestFit="1" customWidth="1"/>
    <col min="58" max="58" width="18.85546875" bestFit="1" customWidth="1"/>
    <col min="59" max="59" width="14.42578125" bestFit="1" customWidth="1"/>
    <col min="60" max="60" width="42.7109375" bestFit="1" customWidth="1"/>
    <col min="61" max="61" width="19.42578125" bestFit="1" customWidth="1"/>
    <col min="62" max="62" width="41.42578125" bestFit="1" customWidth="1"/>
    <col min="63" max="63" width="22.28515625" bestFit="1" customWidth="1"/>
    <col min="64" max="64" width="13.28515625" bestFit="1" customWidth="1"/>
    <col min="65" max="65" width="25.5703125" bestFit="1" customWidth="1"/>
    <col min="66" max="66" width="11" bestFit="1" customWidth="1"/>
    <col min="67" max="67" width="31.5703125" bestFit="1" customWidth="1"/>
    <col min="68" max="68" width="26.28515625" bestFit="1" customWidth="1"/>
    <col min="69" max="69" width="17.7109375" bestFit="1" customWidth="1"/>
    <col min="70" max="70" width="33.42578125" bestFit="1" customWidth="1"/>
    <col min="71" max="71" width="9.7109375" bestFit="1" customWidth="1"/>
    <col min="72" max="72" width="29.28515625" bestFit="1" customWidth="1"/>
    <col min="73" max="73" width="23.42578125" bestFit="1" customWidth="1"/>
    <col min="74" max="74" width="16.28515625" bestFit="1" customWidth="1"/>
    <col min="75" max="75" width="15.7109375" bestFit="1" customWidth="1"/>
    <col min="76" max="76" width="26.42578125" bestFit="1" customWidth="1"/>
    <col min="77" max="77" width="30.42578125" bestFit="1" customWidth="1"/>
    <col min="78" max="78" width="12" bestFit="1" customWidth="1"/>
    <col min="79" max="79" width="33.42578125" bestFit="1" customWidth="1"/>
    <col min="80" max="80" width="29.28515625" bestFit="1" customWidth="1"/>
    <col min="81" max="81" width="18" bestFit="1" customWidth="1"/>
    <col min="82" max="82" width="41.42578125" bestFit="1" customWidth="1"/>
    <col min="83" max="83" width="22.28515625" bestFit="1" customWidth="1"/>
    <col min="84" max="84" width="15.7109375" bestFit="1" customWidth="1"/>
    <col min="85" max="85" width="30.42578125" bestFit="1" customWidth="1"/>
    <col min="86" max="86" width="26.28515625" bestFit="1" customWidth="1"/>
    <col min="87" max="87" width="15.140625" bestFit="1" customWidth="1"/>
    <col min="88" max="88" width="25.5703125" bestFit="1" customWidth="1"/>
    <col min="89" max="89" width="17.7109375" bestFit="1" customWidth="1"/>
    <col min="90" max="90" width="44.7109375" bestFit="1" customWidth="1"/>
    <col min="91" max="91" width="26.42578125" bestFit="1" customWidth="1"/>
    <col min="92" max="92" width="16.85546875" bestFit="1" customWidth="1"/>
    <col min="93" max="93" width="23.42578125" bestFit="1" customWidth="1"/>
    <col min="94" max="94" width="12" bestFit="1" customWidth="1"/>
    <col min="95" max="95" width="26.5703125" bestFit="1" customWidth="1"/>
    <col min="96" max="96" width="39.85546875" bestFit="1" customWidth="1"/>
    <col min="97" max="97" width="24" bestFit="1" customWidth="1"/>
    <col min="98" max="98" width="16.85546875" bestFit="1" customWidth="1"/>
    <col min="99" max="99" width="23.42578125" bestFit="1" customWidth="1"/>
    <col min="100" max="100" width="12" bestFit="1" customWidth="1"/>
    <col min="101" max="101" width="18" bestFit="1" customWidth="1"/>
    <col min="102" max="102" width="41.42578125" bestFit="1" customWidth="1"/>
    <col min="103" max="103" width="18" bestFit="1" customWidth="1"/>
    <col min="104" max="104" width="15.28515625" bestFit="1" customWidth="1"/>
    <col min="105" max="105" width="21" bestFit="1" customWidth="1"/>
    <col min="106" max="106" width="22.28515625" bestFit="1" customWidth="1"/>
    <col min="107" max="107" width="15.7109375" bestFit="1" customWidth="1"/>
    <col min="108" max="108" width="30.42578125" bestFit="1" customWidth="1"/>
    <col min="109" max="109" width="26.28515625" bestFit="1" customWidth="1"/>
    <col min="110" max="110" width="15.140625" bestFit="1" customWidth="1"/>
    <col min="111" max="111" width="25.5703125" bestFit="1" customWidth="1"/>
    <col min="112" max="112" width="28.42578125" bestFit="1" customWidth="1"/>
    <col min="113" max="113" width="12" bestFit="1" customWidth="1"/>
    <col min="114" max="114" width="39.85546875" bestFit="1" customWidth="1"/>
    <col min="115" max="115" width="17.7109375" bestFit="1" customWidth="1"/>
    <col min="116" max="116" width="44.7109375" bestFit="1" customWidth="1"/>
    <col min="117" max="117" width="26.42578125" bestFit="1" customWidth="1"/>
    <col min="118" max="118" width="16.85546875" bestFit="1" customWidth="1"/>
    <col min="119" max="119" width="11" bestFit="1" customWidth="1"/>
    <col min="120" max="120" width="23.42578125" bestFit="1" customWidth="1"/>
    <col min="121" max="121" width="26.5703125" bestFit="1" customWidth="1"/>
    <col min="122" max="122" width="28.42578125" bestFit="1" customWidth="1"/>
    <col min="123" max="123" width="25.7109375" bestFit="1" customWidth="1"/>
    <col min="124" max="124" width="24" bestFit="1" customWidth="1"/>
    <col min="125" max="125" width="12" bestFit="1" customWidth="1"/>
    <col min="126" max="126" width="46.5703125" bestFit="1" customWidth="1"/>
    <col min="127" max="127" width="34.7109375" bestFit="1" customWidth="1"/>
    <col min="128" max="128" width="21.42578125" bestFit="1" customWidth="1"/>
    <col min="129" max="129" width="19.5703125" bestFit="1" customWidth="1"/>
    <col min="130" max="130" width="28.85546875" bestFit="1" customWidth="1"/>
    <col min="131" max="131" width="44.5703125" bestFit="1" customWidth="1"/>
    <col min="132" max="132" width="18.7109375" bestFit="1" customWidth="1"/>
    <col min="133" max="133" width="26.85546875" bestFit="1" customWidth="1"/>
    <col min="134" max="134" width="30" bestFit="1" customWidth="1"/>
    <col min="135" max="135" width="38" bestFit="1" customWidth="1"/>
    <col min="136" max="136" width="18.42578125" bestFit="1" customWidth="1"/>
    <col min="137" max="137" width="47.7109375" bestFit="1" customWidth="1"/>
    <col min="138" max="138" width="31.140625" bestFit="1" customWidth="1"/>
    <col min="139" max="139" width="14" bestFit="1" customWidth="1"/>
    <col min="140" max="140" width="38.7109375" bestFit="1" customWidth="1"/>
    <col min="141" max="141" width="54.140625" bestFit="1" customWidth="1"/>
    <col min="142" max="142" width="19.7109375" bestFit="1" customWidth="1"/>
    <col min="143" max="143" width="41.85546875" bestFit="1" customWidth="1"/>
    <col min="144" max="144" width="30" bestFit="1" customWidth="1"/>
    <col min="145" max="145" width="11.5703125" bestFit="1" customWidth="1"/>
    <col min="146" max="146" width="11.42578125" bestFit="1" customWidth="1"/>
    <col min="147" max="147" width="32.85546875" bestFit="1" customWidth="1"/>
    <col min="148" max="148" width="27.28515625" bestFit="1" customWidth="1"/>
    <col min="149" max="149" width="22.5703125" bestFit="1" customWidth="1"/>
    <col min="150" max="150" width="44.7109375" bestFit="1" customWidth="1"/>
    <col min="151" max="151" width="19" bestFit="1" customWidth="1"/>
    <col min="152" max="152" width="9.7109375" bestFit="1" customWidth="1"/>
    <col min="153" max="153" width="36.140625" bestFit="1" customWidth="1"/>
    <col min="154" max="154" width="38.85546875" bestFit="1" customWidth="1"/>
    <col min="155" max="155" width="18.42578125" bestFit="1" customWidth="1"/>
    <col min="156" max="156" width="40.5703125" bestFit="1" customWidth="1"/>
    <col min="157" max="157" width="18.28515625" bestFit="1" customWidth="1"/>
    <col min="158" max="158" width="36.42578125" bestFit="1" customWidth="1"/>
    <col min="159" max="159" width="42.140625" bestFit="1" customWidth="1"/>
    <col min="160" max="160" width="18.7109375" bestFit="1" customWidth="1"/>
    <col min="161" max="161" width="28.42578125" bestFit="1" customWidth="1"/>
    <col min="162" max="162" width="15.85546875" bestFit="1" customWidth="1"/>
    <col min="163" max="163" width="16.28515625" bestFit="1" customWidth="1"/>
    <col min="164" max="164" width="7.28515625" bestFit="1" customWidth="1"/>
    <col min="165" max="165" width="21.7109375" bestFit="1" customWidth="1"/>
    <col min="166" max="166" width="21.42578125" bestFit="1" customWidth="1"/>
    <col min="167" max="167" width="24.5703125" bestFit="1" customWidth="1"/>
    <col min="168" max="168" width="13.140625" bestFit="1" customWidth="1"/>
    <col min="169" max="169" width="16.28515625" bestFit="1" customWidth="1"/>
    <col min="170" max="170" width="29.140625" bestFit="1" customWidth="1"/>
    <col min="171" max="171" width="18" bestFit="1" customWidth="1"/>
    <col min="172" max="172" width="18.28515625" bestFit="1" customWidth="1"/>
    <col min="173" max="173" width="7.28515625" bestFit="1" customWidth="1"/>
    <col min="174" max="174" width="32.28515625" bestFit="1" customWidth="1"/>
    <col min="175" max="175" width="25.5703125" bestFit="1" customWidth="1"/>
    <col min="176" max="176" width="46.7109375" bestFit="1" customWidth="1"/>
    <col min="177" max="177" width="51.28515625" bestFit="1" customWidth="1"/>
    <col min="178" max="178" width="59.140625" bestFit="1" customWidth="1"/>
    <col min="179" max="179" width="28.7109375" bestFit="1" customWidth="1"/>
    <col min="180" max="180" width="26.140625" bestFit="1" customWidth="1"/>
    <col min="181" max="181" width="7.28515625" bestFit="1" customWidth="1"/>
    <col min="182" max="182" width="29.28515625" bestFit="1" customWidth="1"/>
    <col min="183" max="183" width="15.85546875" bestFit="1" customWidth="1"/>
    <col min="184" max="184" width="32.7109375" bestFit="1" customWidth="1"/>
    <col min="185" max="185" width="9.42578125" bestFit="1" customWidth="1"/>
    <col min="186" max="186" width="27.85546875" bestFit="1" customWidth="1"/>
    <col min="187" max="187" width="24.140625" bestFit="1" customWidth="1"/>
    <col min="188" max="188" width="31.7109375" bestFit="1" customWidth="1"/>
    <col min="189" max="189" width="18.7109375" bestFit="1" customWidth="1"/>
    <col min="190" max="190" width="16.140625" bestFit="1" customWidth="1"/>
    <col min="191" max="191" width="30.5703125" bestFit="1" customWidth="1"/>
    <col min="192" max="192" width="16.42578125" bestFit="1" customWidth="1"/>
    <col min="193" max="193" width="38.85546875" bestFit="1" customWidth="1"/>
    <col min="194" max="194" width="28.85546875" bestFit="1" customWidth="1"/>
    <col min="195" max="195" width="25.28515625" bestFit="1" customWidth="1"/>
    <col min="196" max="196" width="18.28515625" bestFit="1" customWidth="1"/>
    <col min="197" max="197" width="24.28515625" bestFit="1" customWidth="1"/>
    <col min="198" max="198" width="38.5703125" bestFit="1" customWidth="1"/>
    <col min="199" max="199" width="9.140625" bestFit="1" customWidth="1"/>
    <col min="200" max="200" width="36.140625" bestFit="1" customWidth="1"/>
    <col min="201" max="201" width="26.85546875" bestFit="1" customWidth="1"/>
    <col min="202" max="202" width="15.140625" bestFit="1" customWidth="1"/>
    <col min="203" max="203" width="33" bestFit="1" customWidth="1"/>
    <col min="204" max="204" width="13.7109375" bestFit="1" customWidth="1"/>
    <col min="205" max="205" width="25.7109375" bestFit="1" customWidth="1"/>
    <col min="206" max="206" width="12.5703125" bestFit="1" customWidth="1"/>
    <col min="207" max="207" width="17.28515625" bestFit="1" customWidth="1"/>
    <col min="208" max="208" width="17.85546875" bestFit="1" customWidth="1"/>
    <col min="209" max="209" width="19" bestFit="1" customWidth="1"/>
    <col min="210" max="210" width="15" bestFit="1" customWidth="1"/>
    <col min="211" max="211" width="24.140625" bestFit="1" customWidth="1"/>
    <col min="212" max="212" width="16.5703125" bestFit="1" customWidth="1"/>
    <col min="213" max="213" width="34.7109375" bestFit="1" customWidth="1"/>
    <col min="214" max="214" width="19.28515625" bestFit="1" customWidth="1"/>
    <col min="215" max="215" width="14.42578125" bestFit="1" customWidth="1"/>
    <col min="216" max="216" width="44.140625" bestFit="1" customWidth="1"/>
    <col min="217" max="217" width="42.28515625" bestFit="1" customWidth="1"/>
    <col min="218" max="218" width="16.28515625" bestFit="1" customWidth="1"/>
    <col min="219" max="219" width="21" bestFit="1" customWidth="1"/>
    <col min="220" max="220" width="39.42578125" bestFit="1" customWidth="1"/>
    <col min="221" max="221" width="10.5703125" bestFit="1" customWidth="1"/>
    <col min="222" max="222" width="16.7109375" bestFit="1" customWidth="1"/>
    <col min="223" max="223" width="50.7109375" bestFit="1" customWidth="1"/>
    <col min="224" max="224" width="25" bestFit="1" customWidth="1"/>
    <col min="225" max="225" width="26" bestFit="1" customWidth="1"/>
    <col min="226" max="226" width="28.42578125" bestFit="1" customWidth="1"/>
    <col min="227" max="227" width="7.28515625" bestFit="1" customWidth="1"/>
    <col min="228" max="228" width="15.28515625" bestFit="1" customWidth="1"/>
    <col min="229" max="229" width="28.140625" bestFit="1" customWidth="1"/>
    <col min="230" max="230" width="31.28515625" bestFit="1" customWidth="1"/>
    <col min="231" max="231" width="8.85546875" bestFit="1" customWidth="1"/>
    <col min="232" max="232" width="11.85546875" bestFit="1" customWidth="1"/>
    <col min="233" max="233" width="9" bestFit="1" customWidth="1"/>
    <col min="234" max="234" width="11.7109375" bestFit="1" customWidth="1"/>
    <col min="235" max="235" width="23.140625" bestFit="1" customWidth="1"/>
    <col min="236" max="236" width="18.7109375" bestFit="1" customWidth="1"/>
    <col min="237" max="237" width="7.28515625" bestFit="1" customWidth="1"/>
    <col min="238" max="238" width="17.42578125" bestFit="1" customWidth="1"/>
    <col min="239" max="239" width="26.5703125" bestFit="1" customWidth="1"/>
    <col min="240" max="240" width="13.7109375" bestFit="1" customWidth="1"/>
    <col min="241" max="241" width="26.28515625" bestFit="1" customWidth="1"/>
    <col min="242" max="242" width="14" bestFit="1" customWidth="1"/>
    <col min="243" max="243" width="31.28515625" bestFit="1" customWidth="1"/>
    <col min="244" max="244" width="16.140625" bestFit="1" customWidth="1"/>
    <col min="245" max="245" width="19" bestFit="1" customWidth="1"/>
    <col min="246" max="246" width="17.85546875" bestFit="1" customWidth="1"/>
    <col min="247" max="247" width="26.85546875" bestFit="1" customWidth="1"/>
    <col min="248" max="248" width="11.140625" bestFit="1" customWidth="1"/>
    <col min="249" max="249" width="9" bestFit="1" customWidth="1"/>
    <col min="250" max="250" width="15.85546875" bestFit="1" customWidth="1"/>
    <col min="251" max="251" width="15.28515625" bestFit="1" customWidth="1"/>
    <col min="252" max="252" width="18.42578125" bestFit="1" customWidth="1"/>
    <col min="253" max="253" width="41.42578125" bestFit="1" customWidth="1"/>
    <col min="254" max="254" width="22.140625" bestFit="1" customWidth="1"/>
    <col min="255" max="255" width="12.7109375" bestFit="1" customWidth="1"/>
    <col min="256" max="256" width="19.5703125" bestFit="1" customWidth="1"/>
    <col min="257" max="257" width="18.42578125" bestFit="1" customWidth="1"/>
    <col min="258" max="258" width="41.140625" bestFit="1" customWidth="1"/>
    <col min="259" max="259" width="35" bestFit="1" customWidth="1"/>
    <col min="260" max="260" width="15.7109375" bestFit="1" customWidth="1"/>
    <col min="261" max="261" width="24.140625" bestFit="1" customWidth="1"/>
    <col min="262" max="262" width="12.85546875" bestFit="1" customWidth="1"/>
    <col min="263" max="263" width="18.140625" bestFit="1" customWidth="1"/>
    <col min="264" max="264" width="61" bestFit="1" customWidth="1"/>
    <col min="265" max="265" width="15.5703125" bestFit="1" customWidth="1"/>
    <col min="266" max="266" width="10.5703125" bestFit="1" customWidth="1"/>
    <col min="267" max="267" width="29" bestFit="1" customWidth="1"/>
    <col min="268" max="268" width="9.42578125" bestFit="1" customWidth="1"/>
    <col min="269" max="269" width="20.28515625" bestFit="1" customWidth="1"/>
    <col min="270" max="270" width="24.85546875" bestFit="1" customWidth="1"/>
    <col min="271" max="271" width="54.7109375" bestFit="1" customWidth="1"/>
    <col min="272" max="272" width="17.7109375" bestFit="1" customWidth="1"/>
    <col min="273" max="273" width="29.85546875" bestFit="1" customWidth="1"/>
    <col min="274" max="274" width="16.7109375" bestFit="1" customWidth="1"/>
    <col min="275" max="275" width="19.42578125" bestFit="1" customWidth="1"/>
    <col min="276" max="276" width="15.85546875" bestFit="1" customWidth="1"/>
    <col min="277" max="277" width="11.7109375" bestFit="1" customWidth="1"/>
    <col min="278" max="278" width="35.7109375" bestFit="1" customWidth="1"/>
    <col min="279" max="279" width="7.28515625" bestFit="1" customWidth="1"/>
    <col min="280" max="280" width="29.85546875" bestFit="1" customWidth="1"/>
    <col min="281" max="281" width="25.28515625" bestFit="1" customWidth="1"/>
    <col min="282" max="282" width="21" bestFit="1" customWidth="1"/>
    <col min="283" max="283" width="41.140625" bestFit="1" customWidth="1"/>
    <col min="284" max="284" width="14.7109375" bestFit="1" customWidth="1"/>
    <col min="285" max="285" width="16.140625" bestFit="1" customWidth="1"/>
    <col min="286" max="286" width="28.42578125" bestFit="1" customWidth="1"/>
    <col min="287" max="287" width="35.7109375" bestFit="1" customWidth="1"/>
    <col min="288" max="288" width="24.7109375" bestFit="1" customWidth="1"/>
    <col min="289" max="289" width="31.140625" bestFit="1" customWidth="1"/>
    <col min="290" max="290" width="16.42578125" bestFit="1" customWidth="1"/>
    <col min="291" max="291" width="27.42578125" bestFit="1" customWidth="1"/>
    <col min="292" max="292" width="34.7109375" bestFit="1" customWidth="1"/>
    <col min="293" max="293" width="7.28515625" bestFit="1" customWidth="1"/>
    <col min="294" max="294" width="16.28515625" bestFit="1" customWidth="1"/>
    <col min="295" max="295" width="18.42578125" bestFit="1" customWidth="1"/>
    <col min="296" max="296" width="16" bestFit="1" customWidth="1"/>
    <col min="297" max="297" width="23.140625" bestFit="1" customWidth="1"/>
    <col min="298" max="298" width="24.5703125" bestFit="1" customWidth="1"/>
    <col min="299" max="299" width="50.7109375" bestFit="1" customWidth="1"/>
    <col min="300" max="300" width="20" bestFit="1" customWidth="1"/>
    <col min="301" max="301" width="28.42578125" bestFit="1" customWidth="1"/>
    <col min="302" max="302" width="24.140625" bestFit="1" customWidth="1"/>
    <col min="303" max="303" width="23.28515625" bestFit="1" customWidth="1"/>
    <col min="304" max="304" width="10.5703125" bestFit="1" customWidth="1"/>
    <col min="305" max="305" width="12.85546875" bestFit="1" customWidth="1"/>
    <col min="306" max="306" width="28" bestFit="1" customWidth="1"/>
    <col min="307" max="307" width="17.5703125" bestFit="1" customWidth="1"/>
    <col min="308" max="308" width="19" bestFit="1" customWidth="1"/>
    <col min="309" max="309" width="15.42578125" bestFit="1" customWidth="1"/>
    <col min="310" max="310" width="17.7109375" bestFit="1" customWidth="1"/>
    <col min="311" max="311" width="14" bestFit="1" customWidth="1"/>
    <col min="312" max="312" width="25.140625" bestFit="1" customWidth="1"/>
    <col min="313" max="313" width="35.42578125" bestFit="1" customWidth="1"/>
    <col min="314" max="314" width="37.5703125" bestFit="1" customWidth="1"/>
    <col min="315" max="315" width="17.42578125" bestFit="1" customWidth="1"/>
    <col min="316" max="316" width="38.85546875" bestFit="1" customWidth="1"/>
    <col min="317" max="317" width="36" bestFit="1" customWidth="1"/>
    <col min="318" max="318" width="23.7109375" bestFit="1" customWidth="1"/>
    <col min="319" max="319" width="39.28515625" bestFit="1" customWidth="1"/>
    <col min="320" max="320" width="38.85546875" bestFit="1" customWidth="1"/>
    <col min="321" max="321" width="30.28515625" bestFit="1" customWidth="1"/>
    <col min="322" max="322" width="34.28515625" bestFit="1" customWidth="1"/>
    <col min="323" max="323" width="18.28515625" bestFit="1" customWidth="1"/>
    <col min="324" max="324" width="42.140625" bestFit="1" customWidth="1"/>
    <col min="325" max="325" width="21.85546875" bestFit="1" customWidth="1"/>
    <col min="326" max="326" width="39.140625" bestFit="1" customWidth="1"/>
    <col min="327" max="327" width="40.28515625" bestFit="1" customWidth="1"/>
    <col min="328" max="328" width="43.42578125" bestFit="1" customWidth="1"/>
    <col min="329" max="329" width="37.5703125" bestFit="1" customWidth="1"/>
    <col min="330" max="330" width="21.5703125" bestFit="1" customWidth="1"/>
    <col min="331" max="331" width="18.28515625" bestFit="1" customWidth="1"/>
    <col min="332" max="332" width="14.85546875" bestFit="1" customWidth="1"/>
    <col min="333" max="333" width="18.7109375" bestFit="1" customWidth="1"/>
    <col min="334" max="334" width="40.7109375" bestFit="1" customWidth="1"/>
    <col min="335" max="335" width="27.42578125" bestFit="1" customWidth="1"/>
    <col min="336" max="336" width="35" bestFit="1" customWidth="1"/>
    <col min="337" max="337" width="46.28515625" bestFit="1" customWidth="1"/>
    <col min="338" max="338" width="10.140625" bestFit="1" customWidth="1"/>
    <col min="339" max="339" width="10.85546875" bestFit="1" customWidth="1"/>
    <col min="340" max="340" width="29.85546875" bestFit="1" customWidth="1"/>
    <col min="341" max="341" width="22.140625" bestFit="1" customWidth="1"/>
    <col min="342" max="342" width="23.85546875" bestFit="1" customWidth="1"/>
    <col min="343" max="343" width="21.140625" bestFit="1" customWidth="1"/>
    <col min="344" max="344" width="19" bestFit="1" customWidth="1"/>
    <col min="345" max="345" width="22" bestFit="1" customWidth="1"/>
    <col min="346" max="346" width="41.42578125" bestFit="1" customWidth="1"/>
    <col min="347" max="347" width="36.85546875" bestFit="1" customWidth="1"/>
    <col min="348" max="348" width="41.42578125" bestFit="1" customWidth="1"/>
    <col min="349" max="349" width="11.5703125" bestFit="1" customWidth="1"/>
    <col min="350" max="350" width="21.42578125" bestFit="1" customWidth="1"/>
    <col min="351" max="351" width="27.42578125" bestFit="1" customWidth="1"/>
    <col min="352" max="352" width="15.7109375" bestFit="1" customWidth="1"/>
    <col min="353" max="353" width="27.28515625" bestFit="1" customWidth="1"/>
    <col min="354" max="354" width="38.85546875" bestFit="1" customWidth="1"/>
    <col min="355" max="355" width="14.85546875" bestFit="1" customWidth="1"/>
    <col min="356" max="356" width="13.5703125" bestFit="1" customWidth="1"/>
    <col min="357" max="357" width="35.5703125" bestFit="1" customWidth="1"/>
    <col min="358" max="358" width="37.28515625" bestFit="1" customWidth="1"/>
    <col min="359" max="359" width="9" bestFit="1" customWidth="1"/>
    <col min="360" max="360" width="28.42578125" bestFit="1" customWidth="1"/>
    <col min="361" max="361" width="26.7109375" bestFit="1" customWidth="1"/>
    <col min="362" max="362" width="32.42578125" bestFit="1" customWidth="1"/>
    <col min="363" max="363" width="19.5703125" bestFit="1" customWidth="1"/>
    <col min="364" max="364" width="24.42578125" bestFit="1" customWidth="1"/>
    <col min="365" max="365" width="9.140625" bestFit="1" customWidth="1"/>
    <col min="366" max="366" width="21.7109375" bestFit="1" customWidth="1"/>
    <col min="367" max="367" width="5.7109375" bestFit="1" customWidth="1"/>
    <col min="368" max="368" width="27.85546875" bestFit="1" customWidth="1"/>
    <col min="369" max="369" width="32.7109375" bestFit="1" customWidth="1"/>
    <col min="370" max="370" width="42.85546875" bestFit="1" customWidth="1"/>
    <col min="371" max="371" width="32.5703125" bestFit="1" customWidth="1"/>
    <col min="372" max="372" width="38.5703125" bestFit="1" customWidth="1"/>
    <col min="373" max="373" width="24.7109375" bestFit="1" customWidth="1"/>
    <col min="374" max="374" width="45.7109375" bestFit="1" customWidth="1"/>
    <col min="375" max="375" width="54.85546875" bestFit="1" customWidth="1"/>
    <col min="376" max="376" width="23.28515625" bestFit="1" customWidth="1"/>
    <col min="377" max="377" width="14.42578125" bestFit="1" customWidth="1"/>
    <col min="378" max="378" width="27.7109375" bestFit="1" customWidth="1"/>
    <col min="379" max="379" width="20.28515625" bestFit="1" customWidth="1"/>
    <col min="380" max="380" width="30.85546875" bestFit="1" customWidth="1"/>
    <col min="381" max="381" width="7.28515625" bestFit="1" customWidth="1"/>
    <col min="382" max="382" width="28.42578125" bestFit="1" customWidth="1"/>
    <col min="383" max="383" width="35.42578125" bestFit="1" customWidth="1"/>
    <col min="384" max="384" width="13.42578125" bestFit="1" customWidth="1"/>
    <col min="385" max="385" width="20.85546875" bestFit="1" customWidth="1"/>
    <col min="386" max="386" width="24" bestFit="1" customWidth="1"/>
    <col min="387" max="387" width="33" bestFit="1" customWidth="1"/>
    <col min="388" max="388" width="24.7109375" bestFit="1" customWidth="1"/>
    <col min="389" max="389" width="18.28515625" bestFit="1" customWidth="1"/>
    <col min="390" max="390" width="8.85546875" bestFit="1" customWidth="1"/>
    <col min="391" max="391" width="17.7109375" bestFit="1" customWidth="1"/>
    <col min="392" max="392" width="32.7109375" bestFit="1" customWidth="1"/>
    <col min="393" max="393" width="19.85546875" bestFit="1" customWidth="1"/>
    <col min="394" max="394" width="24.7109375" bestFit="1" customWidth="1"/>
    <col min="395" max="395" width="18.42578125" bestFit="1" customWidth="1"/>
    <col min="396" max="396" width="23" bestFit="1" customWidth="1"/>
    <col min="397" max="397" width="10.85546875" bestFit="1" customWidth="1"/>
    <col min="398" max="398" width="16.140625" bestFit="1" customWidth="1"/>
    <col min="399" max="399" width="24.7109375" bestFit="1" customWidth="1"/>
    <col min="400" max="400" width="14.7109375" bestFit="1" customWidth="1"/>
    <col min="401" max="401" width="27.5703125" bestFit="1" customWidth="1"/>
    <col min="402" max="402" width="30.7109375" bestFit="1" customWidth="1"/>
    <col min="403" max="403" width="17.42578125" bestFit="1" customWidth="1"/>
    <col min="404" max="404" width="23.85546875" bestFit="1" customWidth="1"/>
    <col min="405" max="405" width="9.5703125" bestFit="1" customWidth="1"/>
    <col min="406" max="406" width="35.140625" bestFit="1" customWidth="1"/>
    <col min="407" max="407" width="50.7109375" bestFit="1" customWidth="1"/>
    <col min="408" max="408" width="21.7109375" bestFit="1" customWidth="1"/>
    <col min="409" max="409" width="28.5703125" bestFit="1" customWidth="1"/>
    <col min="410" max="410" width="21" bestFit="1" customWidth="1"/>
    <col min="411" max="411" width="33.5703125" bestFit="1" customWidth="1"/>
    <col min="412" max="412" width="31.7109375" bestFit="1" customWidth="1"/>
    <col min="413" max="413" width="46.140625" bestFit="1" customWidth="1"/>
    <col min="414" max="414" width="16" bestFit="1" customWidth="1"/>
    <col min="415" max="415" width="24.7109375" bestFit="1" customWidth="1"/>
    <col min="416" max="416" width="49.28515625" bestFit="1" customWidth="1"/>
    <col min="417" max="417" width="19.140625" bestFit="1" customWidth="1"/>
    <col min="418" max="418" width="22.28515625" bestFit="1" customWidth="1"/>
    <col min="419" max="419" width="19.28515625" bestFit="1" customWidth="1"/>
    <col min="420" max="420" width="44" bestFit="1" customWidth="1"/>
    <col min="421" max="421" width="18.5703125" bestFit="1" customWidth="1"/>
    <col min="422" max="422" width="42.7109375" bestFit="1" customWidth="1"/>
    <col min="423" max="423" width="32.85546875" bestFit="1" customWidth="1"/>
    <col min="424" max="424" width="16" bestFit="1" customWidth="1"/>
    <col min="425" max="425" width="23.85546875" bestFit="1" customWidth="1"/>
    <col min="426" max="426" width="25.28515625" bestFit="1" customWidth="1"/>
    <col min="427" max="427" width="42.7109375" bestFit="1" customWidth="1"/>
    <col min="428" max="428" width="29.42578125" bestFit="1" customWidth="1"/>
    <col min="429" max="429" width="43" bestFit="1" customWidth="1"/>
    <col min="430" max="430" width="26.42578125" bestFit="1" customWidth="1"/>
    <col min="431" max="431" width="9" bestFit="1" customWidth="1"/>
    <col min="432" max="432" width="16.85546875" bestFit="1" customWidth="1"/>
    <col min="433" max="433" width="34.85546875" bestFit="1" customWidth="1"/>
    <col min="434" max="434" width="33.85546875" bestFit="1" customWidth="1"/>
    <col min="435" max="435" width="21" bestFit="1" customWidth="1"/>
    <col min="436" max="436" width="22.85546875" bestFit="1" customWidth="1"/>
    <col min="437" max="437" width="44.7109375" bestFit="1" customWidth="1"/>
    <col min="438" max="438" width="7.28515625" bestFit="1" customWidth="1"/>
    <col min="439" max="439" width="22.42578125" bestFit="1" customWidth="1"/>
    <col min="440" max="440" width="22.28515625" bestFit="1" customWidth="1"/>
    <col min="441" max="441" width="21.140625" bestFit="1" customWidth="1"/>
    <col min="442" max="442" width="8" bestFit="1" customWidth="1"/>
    <col min="443" max="443" width="17.28515625" bestFit="1" customWidth="1"/>
    <col min="444" max="444" width="35.42578125" bestFit="1" customWidth="1"/>
    <col min="445" max="445" width="18.28515625" bestFit="1" customWidth="1"/>
    <col min="446" max="446" width="13.140625" bestFit="1" customWidth="1"/>
    <col min="447" max="447" width="30.85546875" bestFit="1" customWidth="1"/>
    <col min="448" max="448" width="23.42578125" bestFit="1" customWidth="1"/>
    <col min="449" max="449" width="19.42578125" bestFit="1" customWidth="1"/>
    <col min="450" max="450" width="12.28515625" bestFit="1" customWidth="1"/>
    <col min="451" max="451" width="20.7109375" bestFit="1" customWidth="1"/>
    <col min="452" max="452" width="30.5703125" bestFit="1" customWidth="1"/>
    <col min="453" max="453" width="14.140625" bestFit="1" customWidth="1"/>
    <col min="454" max="454" width="17.28515625" bestFit="1" customWidth="1"/>
    <col min="455" max="455" width="28.85546875" bestFit="1" customWidth="1"/>
    <col min="456" max="456" width="25.28515625" bestFit="1" customWidth="1"/>
    <col min="457" max="457" width="16.42578125" bestFit="1" customWidth="1"/>
    <col min="458" max="458" width="18.28515625" bestFit="1" customWidth="1"/>
    <col min="459" max="459" width="38.42578125" bestFit="1" customWidth="1"/>
    <col min="460" max="460" width="22.42578125" bestFit="1" customWidth="1"/>
    <col min="461" max="461" width="20.28515625" bestFit="1" customWidth="1"/>
    <col min="462" max="462" width="14.5703125" bestFit="1" customWidth="1"/>
    <col min="463" max="463" width="25.140625" bestFit="1" customWidth="1"/>
    <col min="464" max="464" width="31.42578125" bestFit="1" customWidth="1"/>
    <col min="465" max="465" width="17.85546875" bestFit="1" customWidth="1"/>
    <col min="466" max="466" width="12.42578125" bestFit="1" customWidth="1"/>
    <col min="467" max="467" width="18.28515625" bestFit="1" customWidth="1"/>
    <col min="468" max="468" width="18.85546875" bestFit="1" customWidth="1"/>
    <col min="469" max="469" width="26.140625" bestFit="1" customWidth="1"/>
    <col min="470" max="470" width="13.85546875" bestFit="1" customWidth="1"/>
    <col min="471" max="471" width="35.7109375" bestFit="1" customWidth="1"/>
    <col min="472" max="472" width="21" bestFit="1" customWidth="1"/>
    <col min="473" max="473" width="34" bestFit="1" customWidth="1"/>
    <col min="474" max="474" width="25.140625" bestFit="1" customWidth="1"/>
    <col min="475" max="475" width="9.42578125" bestFit="1" customWidth="1"/>
    <col min="476" max="476" width="19.5703125" bestFit="1" customWidth="1"/>
    <col min="477" max="477" width="47.7109375" bestFit="1" customWidth="1"/>
    <col min="478" max="478" width="35.7109375" bestFit="1" customWidth="1"/>
    <col min="479" max="479" width="30.28515625" bestFit="1" customWidth="1"/>
    <col min="480" max="480" width="22.140625" bestFit="1" customWidth="1"/>
    <col min="481" max="481" width="56.5703125" bestFit="1" customWidth="1"/>
    <col min="482" max="482" width="24.42578125" bestFit="1" customWidth="1"/>
    <col min="483" max="483" width="16.140625" bestFit="1" customWidth="1"/>
    <col min="484" max="484" width="12.42578125" bestFit="1" customWidth="1"/>
    <col min="485" max="485" width="30.5703125" bestFit="1" customWidth="1"/>
    <col min="486" max="486" width="27.140625" bestFit="1" customWidth="1"/>
    <col min="487" max="487" width="9.140625" bestFit="1" customWidth="1"/>
    <col min="488" max="488" width="28.85546875" bestFit="1" customWidth="1"/>
    <col min="489" max="489" width="28.5703125" bestFit="1" customWidth="1"/>
    <col min="490" max="490" width="21.7109375" bestFit="1" customWidth="1"/>
    <col min="491" max="491" width="7.28515625" bestFit="1" customWidth="1"/>
    <col min="492" max="492" width="19.5703125" bestFit="1" customWidth="1"/>
    <col min="493" max="493" width="20.5703125" bestFit="1" customWidth="1"/>
    <col min="494" max="494" width="23.7109375" bestFit="1" customWidth="1"/>
    <col min="495" max="495" width="43" bestFit="1" customWidth="1"/>
    <col min="496" max="496" width="13.5703125" bestFit="1" customWidth="1"/>
    <col min="497" max="497" width="23.5703125" bestFit="1" customWidth="1"/>
    <col min="498" max="498" width="23.28515625" bestFit="1" customWidth="1"/>
    <col min="499" max="499" width="25.7109375" bestFit="1" customWidth="1"/>
    <col min="500" max="500" width="33.5703125" bestFit="1" customWidth="1"/>
    <col min="501" max="501" width="15.42578125" bestFit="1" customWidth="1"/>
    <col min="502" max="502" width="34.140625" bestFit="1" customWidth="1"/>
    <col min="503" max="503" width="34" bestFit="1" customWidth="1"/>
    <col min="504" max="504" width="52.5703125" bestFit="1" customWidth="1"/>
    <col min="505" max="505" width="29.42578125" bestFit="1" customWidth="1"/>
    <col min="506" max="506" width="26" bestFit="1" customWidth="1"/>
    <col min="507" max="507" width="8.85546875" bestFit="1" customWidth="1"/>
    <col min="508" max="508" width="14.85546875" bestFit="1" customWidth="1"/>
    <col min="509" max="509" width="23.42578125" bestFit="1" customWidth="1"/>
    <col min="510" max="510" width="19" bestFit="1" customWidth="1"/>
    <col min="511" max="511" width="30" bestFit="1" customWidth="1"/>
    <col min="512" max="512" width="14.28515625" bestFit="1" customWidth="1"/>
    <col min="513" max="513" width="43" bestFit="1" customWidth="1"/>
    <col min="514" max="514" width="18.5703125" bestFit="1" customWidth="1"/>
    <col min="515" max="515" width="19" bestFit="1" customWidth="1"/>
    <col min="516" max="516" width="11.5703125" bestFit="1" customWidth="1"/>
    <col min="517" max="517" width="22.140625" bestFit="1" customWidth="1"/>
    <col min="518" max="518" width="17.5703125" bestFit="1" customWidth="1"/>
    <col min="519" max="519" width="13.85546875" bestFit="1" customWidth="1"/>
    <col min="520" max="520" width="20.85546875" bestFit="1" customWidth="1"/>
    <col min="521" max="521" width="32.7109375" bestFit="1" customWidth="1"/>
    <col min="522" max="522" width="14.42578125" bestFit="1" customWidth="1"/>
    <col min="523" max="523" width="29" bestFit="1" customWidth="1"/>
    <col min="524" max="524" width="18.5703125" bestFit="1" customWidth="1"/>
    <col min="525" max="525" width="65" bestFit="1" customWidth="1"/>
    <col min="526" max="526" width="39.5703125" bestFit="1" customWidth="1"/>
    <col min="527" max="527" width="31.140625" bestFit="1" customWidth="1"/>
    <col min="528" max="528" width="53.85546875" bestFit="1" customWidth="1"/>
    <col min="529" max="529" width="15" bestFit="1" customWidth="1"/>
    <col min="530" max="530" width="14.28515625" bestFit="1" customWidth="1"/>
    <col min="531" max="531" width="44.140625" bestFit="1" customWidth="1"/>
    <col min="532" max="532" width="17" bestFit="1" customWidth="1"/>
    <col min="533" max="533" width="17.85546875" bestFit="1" customWidth="1"/>
    <col min="534" max="534" width="23.140625" bestFit="1" customWidth="1"/>
    <col min="535" max="535" width="15.42578125" bestFit="1" customWidth="1"/>
    <col min="536" max="536" width="26.140625" bestFit="1" customWidth="1"/>
    <col min="537" max="537" width="13.42578125" bestFit="1" customWidth="1"/>
    <col min="538" max="538" width="22.85546875" bestFit="1" customWidth="1"/>
    <col min="539" max="539" width="14.7109375" bestFit="1" customWidth="1"/>
    <col min="540" max="540" width="7" bestFit="1" customWidth="1"/>
    <col min="541" max="541" width="50.7109375" bestFit="1" customWidth="1"/>
    <col min="542" max="542" width="39.5703125" bestFit="1" customWidth="1"/>
    <col min="543" max="543" width="25.5703125" bestFit="1" customWidth="1"/>
    <col min="544" max="544" width="21.140625" bestFit="1" customWidth="1"/>
    <col min="545" max="545" width="30.7109375" bestFit="1" customWidth="1"/>
    <col min="546" max="546" width="22.7109375" bestFit="1" customWidth="1"/>
    <col min="547" max="547" width="30.140625" bestFit="1" customWidth="1"/>
    <col min="548" max="548" width="21.42578125" bestFit="1" customWidth="1"/>
    <col min="549" max="549" width="34.140625" bestFit="1" customWidth="1"/>
    <col min="550" max="550" width="38.85546875" bestFit="1" customWidth="1"/>
    <col min="551" max="551" width="14.140625" bestFit="1" customWidth="1"/>
    <col min="552" max="552" width="20.28515625" bestFit="1" customWidth="1"/>
    <col min="553" max="553" width="14.85546875" bestFit="1" customWidth="1"/>
    <col min="554" max="554" width="13.85546875" bestFit="1" customWidth="1"/>
    <col min="555" max="555" width="8" bestFit="1" customWidth="1"/>
    <col min="556" max="556" width="33.140625" bestFit="1" customWidth="1"/>
    <col min="557" max="557" width="26.7109375" bestFit="1" customWidth="1"/>
    <col min="558" max="558" width="12.85546875" bestFit="1" customWidth="1"/>
    <col min="559" max="559" width="36.5703125" bestFit="1" customWidth="1"/>
    <col min="560" max="560" width="30.7109375" bestFit="1" customWidth="1"/>
    <col min="561" max="561" width="36.42578125" bestFit="1" customWidth="1"/>
    <col min="562" max="562" width="15.5703125" bestFit="1" customWidth="1"/>
    <col min="563" max="563" width="19.42578125" bestFit="1" customWidth="1"/>
    <col min="564" max="564" width="32.42578125" bestFit="1" customWidth="1"/>
    <col min="565" max="565" width="8.7109375" bestFit="1" customWidth="1"/>
    <col min="566" max="566" width="15.85546875" bestFit="1" customWidth="1"/>
    <col min="567" max="567" width="44.28515625" bestFit="1" customWidth="1"/>
    <col min="568" max="568" width="36.85546875" bestFit="1" customWidth="1"/>
    <col min="569" max="569" width="20.85546875" bestFit="1" customWidth="1"/>
    <col min="570" max="570" width="28.85546875" bestFit="1" customWidth="1"/>
    <col min="571" max="571" width="16.85546875" bestFit="1" customWidth="1"/>
    <col min="572" max="572" width="15.85546875" bestFit="1" customWidth="1"/>
    <col min="573" max="573" width="23.42578125" bestFit="1" customWidth="1"/>
    <col min="574" max="574" width="32.5703125" bestFit="1" customWidth="1"/>
    <col min="575" max="575" width="55.5703125" bestFit="1" customWidth="1"/>
    <col min="576" max="576" width="18.5703125" bestFit="1" customWidth="1"/>
    <col min="577" max="577" width="8.42578125" bestFit="1" customWidth="1"/>
    <col min="578" max="578" width="25.85546875" bestFit="1" customWidth="1"/>
    <col min="579" max="579" width="33.28515625" bestFit="1" customWidth="1"/>
    <col min="580" max="580" width="19" bestFit="1" customWidth="1"/>
    <col min="581" max="581" width="19.5703125" bestFit="1" customWidth="1"/>
    <col min="582" max="582" width="18.7109375" bestFit="1" customWidth="1"/>
    <col min="583" max="583" width="19.5703125" bestFit="1" customWidth="1"/>
    <col min="584" max="584" width="22.42578125" bestFit="1" customWidth="1"/>
    <col min="585" max="585" width="18.7109375" bestFit="1" customWidth="1"/>
    <col min="586" max="586" width="31.28515625" bestFit="1" customWidth="1"/>
    <col min="587" max="587" width="30" bestFit="1" customWidth="1"/>
    <col min="588" max="588" width="25.85546875" bestFit="1" customWidth="1"/>
    <col min="589" max="589" width="15.42578125" bestFit="1" customWidth="1"/>
    <col min="590" max="590" width="16.42578125" bestFit="1" customWidth="1"/>
    <col min="591" max="591" width="31.85546875" bestFit="1" customWidth="1"/>
    <col min="592" max="592" width="9.7109375" bestFit="1" customWidth="1"/>
    <col min="593" max="593" width="24.140625" bestFit="1" customWidth="1"/>
    <col min="594" max="594" width="20" bestFit="1" customWidth="1"/>
    <col min="595" max="595" width="9.42578125" bestFit="1" customWidth="1"/>
    <col min="596" max="596" width="27.85546875" bestFit="1" customWidth="1"/>
    <col min="597" max="597" width="14.42578125" bestFit="1" customWidth="1"/>
    <col min="598" max="598" width="12.85546875" bestFit="1" customWidth="1"/>
    <col min="599" max="599" width="17" bestFit="1" customWidth="1"/>
    <col min="600" max="600" width="22.5703125" bestFit="1" customWidth="1"/>
    <col min="601" max="601" width="18.28515625" bestFit="1" customWidth="1"/>
    <col min="602" max="602" width="24.7109375" bestFit="1" customWidth="1"/>
    <col min="603" max="603" width="24.5703125" bestFit="1" customWidth="1"/>
    <col min="604" max="604" width="36.28515625" bestFit="1" customWidth="1"/>
    <col min="605" max="605" width="22.140625" bestFit="1" customWidth="1"/>
    <col min="606" max="606" width="11.5703125" bestFit="1" customWidth="1"/>
    <col min="607" max="607" width="20" bestFit="1" customWidth="1"/>
    <col min="608" max="608" width="7.28515625" bestFit="1" customWidth="1"/>
    <col min="609" max="609" width="31.5703125" bestFit="1" customWidth="1"/>
    <col min="610" max="610" width="16.7109375" bestFit="1" customWidth="1"/>
    <col min="611" max="611" width="29.140625" bestFit="1" customWidth="1"/>
    <col min="612" max="612" width="16.140625" bestFit="1" customWidth="1"/>
    <col min="613" max="613" width="14.42578125" bestFit="1" customWidth="1"/>
    <col min="614" max="614" width="7.140625" bestFit="1" customWidth="1"/>
    <col min="615" max="615" width="9.42578125" bestFit="1" customWidth="1"/>
    <col min="616" max="616" width="39.28515625" bestFit="1" customWidth="1"/>
    <col min="617" max="617" width="21.7109375" bestFit="1" customWidth="1"/>
    <col min="618" max="618" width="16.7109375" bestFit="1" customWidth="1"/>
    <col min="619" max="619" width="33.140625" bestFit="1" customWidth="1"/>
    <col min="620" max="620" width="15" bestFit="1" customWidth="1"/>
    <col min="621" max="621" width="18.140625" bestFit="1" customWidth="1"/>
    <col min="622" max="622" width="15" bestFit="1" customWidth="1"/>
    <col min="623" max="623" width="23.42578125" bestFit="1" customWidth="1"/>
    <col min="624" max="624" width="25.7109375" bestFit="1" customWidth="1"/>
    <col min="625" max="625" width="27.7109375" bestFit="1" customWidth="1"/>
    <col min="626" max="626" width="7.28515625" bestFit="1" customWidth="1"/>
    <col min="627" max="627" width="14.7109375" bestFit="1" customWidth="1"/>
    <col min="628" max="628" width="33" bestFit="1" customWidth="1"/>
    <col min="629" max="629" width="36.140625" bestFit="1" customWidth="1"/>
    <col min="630" max="630" width="20.28515625" bestFit="1" customWidth="1"/>
    <col min="631" max="631" width="13.140625" bestFit="1" customWidth="1"/>
    <col min="632" max="632" width="39.42578125" bestFit="1" customWidth="1"/>
    <col min="633" max="633" width="28" bestFit="1" customWidth="1"/>
    <col min="634" max="634" width="10.140625" bestFit="1" customWidth="1"/>
    <col min="635" max="635" width="7.5703125" bestFit="1" customWidth="1"/>
    <col min="636" max="636" width="36.28515625" bestFit="1" customWidth="1"/>
    <col min="637" max="637" width="19.42578125" bestFit="1" customWidth="1"/>
    <col min="638" max="638" width="11.5703125" bestFit="1" customWidth="1"/>
    <col min="639" max="639" width="22.85546875" bestFit="1" customWidth="1"/>
    <col min="640" max="640" width="18.42578125" bestFit="1" customWidth="1"/>
    <col min="641" max="641" width="23" bestFit="1" customWidth="1"/>
    <col min="642" max="642" width="7.28515625" bestFit="1" customWidth="1"/>
    <col min="643" max="643" width="23.42578125" bestFit="1" customWidth="1"/>
    <col min="644" max="644" width="33" bestFit="1" customWidth="1"/>
    <col min="645" max="645" width="26" bestFit="1" customWidth="1"/>
    <col min="646" max="646" width="32" bestFit="1" customWidth="1"/>
    <col min="647" max="647" width="25.7109375" bestFit="1" customWidth="1"/>
    <col min="648" max="648" width="11.5703125" bestFit="1" customWidth="1"/>
    <col min="649" max="649" width="9.140625" bestFit="1" customWidth="1"/>
    <col min="650" max="650" width="11.42578125" bestFit="1" customWidth="1"/>
    <col min="651" max="651" width="46.42578125" bestFit="1" customWidth="1"/>
    <col min="652" max="652" width="18.42578125" bestFit="1" customWidth="1"/>
    <col min="653" max="653" width="19.28515625" bestFit="1" customWidth="1"/>
    <col min="654" max="654" width="12.42578125" bestFit="1" customWidth="1"/>
    <col min="655" max="655" width="26.140625" bestFit="1" customWidth="1"/>
    <col min="656" max="656" width="23" bestFit="1" customWidth="1"/>
    <col min="657" max="657" width="46.7109375" bestFit="1" customWidth="1"/>
    <col min="658" max="658" width="24.7109375" bestFit="1" customWidth="1"/>
    <col min="659" max="659" width="35.28515625" bestFit="1" customWidth="1"/>
    <col min="660" max="660" width="20.7109375" bestFit="1" customWidth="1"/>
    <col min="661" max="661" width="58.28515625" bestFit="1" customWidth="1"/>
    <col min="662" max="662" width="20" bestFit="1" customWidth="1"/>
    <col min="663" max="663" width="25" bestFit="1" customWidth="1"/>
    <col min="664" max="664" width="22.140625" bestFit="1" customWidth="1"/>
    <col min="665" max="665" width="27.28515625" bestFit="1" customWidth="1"/>
    <col min="666" max="666" width="25.28515625" bestFit="1" customWidth="1"/>
    <col min="667" max="667" width="14" bestFit="1" customWidth="1"/>
    <col min="668" max="668" width="20.5703125" bestFit="1" customWidth="1"/>
    <col min="669" max="669" width="23.140625" bestFit="1" customWidth="1"/>
    <col min="670" max="670" width="10.5703125" bestFit="1" customWidth="1"/>
    <col min="671" max="671" width="12.85546875" bestFit="1" customWidth="1"/>
    <col min="672" max="672" width="33.42578125" bestFit="1" customWidth="1"/>
    <col min="673" max="673" width="43.5703125" bestFit="1" customWidth="1"/>
    <col min="674" max="674" width="35.85546875" bestFit="1" customWidth="1"/>
    <col min="675" max="675" width="17.85546875" bestFit="1" customWidth="1"/>
    <col min="676" max="676" width="55" bestFit="1" customWidth="1"/>
    <col min="677" max="677" width="29.7109375" bestFit="1" customWidth="1"/>
    <col min="678" max="678" width="16.85546875" bestFit="1" customWidth="1"/>
    <col min="679" max="679" width="28" bestFit="1" customWidth="1"/>
    <col min="680" max="680" width="42.7109375" bestFit="1" customWidth="1"/>
    <col min="681" max="681" width="15.28515625" bestFit="1" customWidth="1"/>
    <col min="682" max="682" width="31.140625" bestFit="1" customWidth="1"/>
    <col min="683" max="683" width="17.85546875" bestFit="1" customWidth="1"/>
    <col min="684" max="684" width="20.28515625" bestFit="1" customWidth="1"/>
    <col min="685" max="685" width="59.28515625" bestFit="1" customWidth="1"/>
    <col min="686" max="686" width="32.140625" bestFit="1" customWidth="1"/>
    <col min="687" max="687" width="29.28515625" bestFit="1" customWidth="1"/>
    <col min="688" max="688" width="38.28515625" bestFit="1" customWidth="1"/>
    <col min="689" max="689" width="26.140625" bestFit="1" customWidth="1"/>
    <col min="690" max="690" width="29.85546875" bestFit="1" customWidth="1"/>
    <col min="691" max="691" width="26.28515625" bestFit="1" customWidth="1"/>
    <col min="692" max="692" width="25.85546875" bestFit="1" customWidth="1"/>
    <col min="693" max="693" width="7.28515625" bestFit="1" customWidth="1"/>
    <col min="694" max="694" width="28" bestFit="1" customWidth="1"/>
    <col min="695" max="695" width="18.85546875" bestFit="1" customWidth="1"/>
    <col min="696" max="696" width="15.85546875" bestFit="1" customWidth="1"/>
    <col min="697" max="697" width="25.140625" bestFit="1" customWidth="1"/>
    <col min="698" max="698" width="22.7109375" bestFit="1" customWidth="1"/>
    <col min="699" max="699" width="10" bestFit="1" customWidth="1"/>
    <col min="700" max="700" width="25.5703125" bestFit="1" customWidth="1"/>
    <col min="701" max="701" width="7.28515625" bestFit="1" customWidth="1"/>
    <col min="702" max="702" width="16.42578125" bestFit="1" customWidth="1"/>
    <col min="703" max="703" width="29.85546875" bestFit="1" customWidth="1"/>
    <col min="704" max="704" width="17.85546875" bestFit="1" customWidth="1"/>
    <col min="705" max="705" width="22.7109375" bestFit="1" customWidth="1"/>
    <col min="706" max="706" width="34.140625" bestFit="1" customWidth="1"/>
    <col min="707" max="707" width="41.42578125" bestFit="1" customWidth="1"/>
    <col min="708" max="708" width="21.140625" bestFit="1" customWidth="1"/>
    <col min="709" max="709" width="19.28515625" bestFit="1" customWidth="1"/>
    <col min="710" max="710" width="32.85546875" bestFit="1" customWidth="1"/>
    <col min="711" max="711" width="15.28515625" bestFit="1" customWidth="1"/>
    <col min="712" max="712" width="56.5703125" bestFit="1" customWidth="1"/>
    <col min="713" max="713" width="38.85546875" bestFit="1" customWidth="1"/>
    <col min="714" max="714" width="23" bestFit="1" customWidth="1"/>
    <col min="715" max="715" width="21.7109375" bestFit="1" customWidth="1"/>
    <col min="716" max="716" width="15.42578125" bestFit="1" customWidth="1"/>
    <col min="717" max="717" width="20.28515625" bestFit="1" customWidth="1"/>
    <col min="718" max="718" width="42.42578125" bestFit="1" customWidth="1"/>
    <col min="719" max="719" width="29" bestFit="1" customWidth="1"/>
    <col min="720" max="720" width="33.140625" bestFit="1" customWidth="1"/>
    <col min="721" max="721" width="18.42578125" bestFit="1" customWidth="1"/>
    <col min="722" max="722" width="20.7109375" bestFit="1" customWidth="1"/>
    <col min="723" max="723" width="14.28515625" bestFit="1" customWidth="1"/>
    <col min="724" max="724" width="14.5703125" bestFit="1" customWidth="1"/>
    <col min="725" max="725" width="28" bestFit="1" customWidth="1"/>
    <col min="726" max="726" width="13.5703125" bestFit="1" customWidth="1"/>
    <col min="727" max="727" width="16.140625" bestFit="1" customWidth="1"/>
    <col min="728" max="728" width="20.5703125" bestFit="1" customWidth="1"/>
    <col min="729" max="729" width="39.140625" bestFit="1" customWidth="1"/>
    <col min="730" max="730" width="29" bestFit="1" customWidth="1"/>
    <col min="731" max="731" width="23.42578125" bestFit="1" customWidth="1"/>
    <col min="732" max="732" width="18.85546875" bestFit="1" customWidth="1"/>
    <col min="733" max="733" width="39.42578125" bestFit="1" customWidth="1"/>
    <col min="734" max="734" width="34.28515625" bestFit="1" customWidth="1"/>
    <col min="735" max="735" width="30.85546875" bestFit="1" customWidth="1"/>
    <col min="736" max="736" width="35.28515625" bestFit="1" customWidth="1"/>
    <col min="737" max="737" width="14.85546875" bestFit="1" customWidth="1"/>
    <col min="738" max="738" width="18.42578125" bestFit="1" customWidth="1"/>
    <col min="739" max="739" width="19.5703125" bestFit="1" customWidth="1"/>
    <col min="740" max="740" width="41.42578125" bestFit="1" customWidth="1"/>
    <col min="741" max="741" width="21.140625" bestFit="1" customWidth="1"/>
    <col min="742" max="742" width="40.5703125" bestFit="1" customWidth="1"/>
    <col min="743" max="743" width="16.28515625" bestFit="1" customWidth="1"/>
    <col min="744" max="744" width="32.7109375" bestFit="1" customWidth="1"/>
    <col min="745" max="745" width="12.140625" bestFit="1" customWidth="1"/>
    <col min="746" max="746" width="26.28515625" bestFit="1" customWidth="1"/>
    <col min="747" max="748" width="22.140625" bestFit="1" customWidth="1"/>
    <col min="749" max="749" width="29.42578125" bestFit="1" customWidth="1"/>
    <col min="750" max="750" width="12.5703125" bestFit="1" customWidth="1"/>
    <col min="751" max="751" width="43.140625" bestFit="1" customWidth="1"/>
    <col min="752" max="752" width="35.140625" bestFit="1" customWidth="1"/>
    <col min="753" max="753" width="42.85546875" bestFit="1" customWidth="1"/>
    <col min="754" max="754" width="23.85546875" bestFit="1" customWidth="1"/>
    <col min="755" max="755" width="15.7109375" bestFit="1" customWidth="1"/>
    <col min="756" max="756" width="20.28515625" bestFit="1" customWidth="1"/>
    <col min="757" max="757" width="15.42578125" bestFit="1" customWidth="1"/>
    <col min="758" max="758" width="19.85546875" bestFit="1" customWidth="1"/>
    <col min="759" max="759" width="28.28515625" bestFit="1" customWidth="1"/>
    <col min="760" max="760" width="36.140625" bestFit="1" customWidth="1"/>
    <col min="761" max="761" width="9.7109375" bestFit="1" customWidth="1"/>
    <col min="762" max="762" width="13.5703125" bestFit="1" customWidth="1"/>
    <col min="763" max="763" width="18.140625" bestFit="1" customWidth="1"/>
    <col min="764" max="764" width="14.28515625" bestFit="1" customWidth="1"/>
    <col min="765" max="765" width="8.28515625" bestFit="1" customWidth="1"/>
    <col min="766" max="766" width="50" bestFit="1" customWidth="1"/>
    <col min="767" max="767" width="21.42578125" bestFit="1" customWidth="1"/>
    <col min="768" max="768" width="18.85546875" bestFit="1" customWidth="1"/>
    <col min="769" max="769" width="29.140625" bestFit="1" customWidth="1"/>
    <col min="770" max="770" width="23" bestFit="1" customWidth="1"/>
    <col min="771" max="771" width="39.28515625" bestFit="1" customWidth="1"/>
    <col min="772" max="772" width="42.140625" bestFit="1" customWidth="1"/>
    <col min="773" max="773" width="7.85546875" bestFit="1" customWidth="1"/>
    <col min="774" max="774" width="24.5703125" bestFit="1" customWidth="1"/>
    <col min="775" max="775" width="27.85546875" bestFit="1" customWidth="1"/>
    <col min="776" max="776" width="47.5703125" bestFit="1" customWidth="1"/>
    <col min="777" max="777" width="8.140625" bestFit="1" customWidth="1"/>
    <col min="778" max="778" width="22" bestFit="1" customWidth="1"/>
    <col min="779" max="779" width="50.7109375" bestFit="1" customWidth="1"/>
    <col min="780" max="780" width="22.42578125" bestFit="1" customWidth="1"/>
    <col min="781" max="781" width="22.140625" bestFit="1" customWidth="1"/>
    <col min="782" max="782" width="45" bestFit="1" customWidth="1"/>
    <col min="783" max="783" width="40" bestFit="1" customWidth="1"/>
    <col min="784" max="784" width="16.7109375" bestFit="1" customWidth="1"/>
    <col min="785" max="785" width="15.42578125" bestFit="1" customWidth="1"/>
    <col min="786" max="786" width="41.7109375" bestFit="1" customWidth="1"/>
    <col min="787" max="787" width="30.7109375" bestFit="1" customWidth="1"/>
    <col min="788" max="788" width="26.28515625" bestFit="1" customWidth="1"/>
    <col min="789" max="789" width="19.42578125" bestFit="1" customWidth="1"/>
    <col min="790" max="790" width="31.140625" bestFit="1" customWidth="1"/>
    <col min="791" max="791" width="17.7109375" bestFit="1" customWidth="1"/>
    <col min="792" max="792" width="21.85546875" bestFit="1" customWidth="1"/>
    <col min="793" max="793" width="42.5703125" bestFit="1" customWidth="1"/>
    <col min="794" max="794" width="28.140625" bestFit="1" customWidth="1"/>
    <col min="795" max="795" width="21.7109375" bestFit="1" customWidth="1"/>
    <col min="796" max="796" width="34.28515625" bestFit="1" customWidth="1"/>
    <col min="797" max="797" width="40.140625" bestFit="1" customWidth="1"/>
    <col min="798" max="798" width="28.85546875" bestFit="1" customWidth="1"/>
    <col min="799" max="799" width="54.140625" bestFit="1" customWidth="1"/>
    <col min="800" max="800" width="18.85546875" bestFit="1" customWidth="1"/>
    <col min="801" max="801" width="31.85546875" bestFit="1" customWidth="1"/>
    <col min="802" max="802" width="22.85546875" bestFit="1" customWidth="1"/>
    <col min="803" max="803" width="23.42578125" bestFit="1" customWidth="1"/>
    <col min="804" max="804" width="23.28515625" bestFit="1" customWidth="1"/>
    <col min="805" max="805" width="27.140625" bestFit="1" customWidth="1"/>
    <col min="806" max="806" width="17" bestFit="1" customWidth="1"/>
    <col min="807" max="807" width="18.7109375" bestFit="1" customWidth="1"/>
    <col min="808" max="808" width="48.42578125" bestFit="1" customWidth="1"/>
    <col min="809" max="809" width="37" bestFit="1" customWidth="1"/>
    <col min="810" max="810" width="27.42578125" bestFit="1" customWidth="1"/>
    <col min="811" max="811" width="25" bestFit="1" customWidth="1"/>
    <col min="812" max="812" width="34.85546875" bestFit="1" customWidth="1"/>
    <col min="813" max="813" width="25.7109375" bestFit="1" customWidth="1"/>
    <col min="814" max="814" width="19" bestFit="1" customWidth="1"/>
    <col min="815" max="815" width="15.85546875" bestFit="1" customWidth="1"/>
    <col min="816" max="816" width="48.140625" bestFit="1" customWidth="1"/>
    <col min="817" max="817" width="21.140625" bestFit="1" customWidth="1"/>
    <col min="818" max="818" width="14" bestFit="1" customWidth="1"/>
    <col min="819" max="819" width="20.28515625" bestFit="1" customWidth="1"/>
    <col min="820" max="820" width="26.140625" bestFit="1" customWidth="1"/>
    <col min="821" max="821" width="24.5703125" bestFit="1" customWidth="1"/>
    <col min="822" max="822" width="12.5703125" bestFit="1" customWidth="1"/>
    <col min="823" max="823" width="6" bestFit="1" customWidth="1"/>
    <col min="824" max="824" width="18.28515625" bestFit="1" customWidth="1"/>
    <col min="825" max="825" width="22.42578125" bestFit="1" customWidth="1"/>
    <col min="826" max="826" width="33.140625" bestFit="1" customWidth="1"/>
    <col min="827" max="827" width="19.7109375" bestFit="1" customWidth="1"/>
    <col min="828" max="828" width="30.7109375" bestFit="1" customWidth="1"/>
    <col min="829" max="829" width="15" bestFit="1" customWidth="1"/>
    <col min="830" max="830" width="7.28515625" bestFit="1" customWidth="1"/>
    <col min="831" max="831" width="23.42578125" bestFit="1" customWidth="1"/>
    <col min="832" max="832" width="38" bestFit="1" customWidth="1"/>
    <col min="833" max="833" width="41.140625" bestFit="1" customWidth="1"/>
    <col min="834" max="834" width="35.5703125" bestFit="1" customWidth="1"/>
    <col min="835" max="835" width="34.7109375" bestFit="1" customWidth="1"/>
    <col min="836" max="836" width="47.7109375" bestFit="1" customWidth="1"/>
    <col min="837" max="837" width="20.42578125" bestFit="1" customWidth="1"/>
    <col min="838" max="838" width="44.42578125" bestFit="1" customWidth="1"/>
    <col min="839" max="839" width="18.85546875" bestFit="1" customWidth="1"/>
    <col min="840" max="840" width="52" bestFit="1" customWidth="1"/>
    <col min="841" max="841" width="24.7109375" bestFit="1" customWidth="1"/>
    <col min="842" max="842" width="15.42578125" bestFit="1" customWidth="1"/>
    <col min="843" max="843" width="22.28515625" bestFit="1" customWidth="1"/>
    <col min="844" max="844" width="23.42578125" bestFit="1" customWidth="1"/>
    <col min="845" max="845" width="29.140625" bestFit="1" customWidth="1"/>
    <col min="846" max="846" width="29.42578125" bestFit="1" customWidth="1"/>
    <col min="847" max="847" width="20.28515625" bestFit="1" customWidth="1"/>
    <col min="848" max="848" width="31" bestFit="1" customWidth="1"/>
    <col min="849" max="849" width="29.28515625" bestFit="1" customWidth="1"/>
    <col min="850" max="850" width="10.5703125" bestFit="1" customWidth="1"/>
    <col min="851" max="851" width="35.140625" bestFit="1" customWidth="1"/>
    <col min="852" max="852" width="37.28515625" bestFit="1" customWidth="1"/>
    <col min="853" max="853" width="14" bestFit="1" customWidth="1"/>
    <col min="854" max="854" width="9.85546875" bestFit="1" customWidth="1"/>
    <col min="855" max="855" width="20" bestFit="1" customWidth="1"/>
    <col min="856" max="856" width="19.7109375" bestFit="1" customWidth="1"/>
    <col min="857" max="857" width="25.7109375" bestFit="1" customWidth="1"/>
    <col min="858" max="858" width="18.42578125" bestFit="1" customWidth="1"/>
    <col min="859" max="859" width="11.5703125" bestFit="1" customWidth="1"/>
    <col min="860" max="860" width="13.28515625" bestFit="1" customWidth="1"/>
    <col min="861" max="861" width="7.5703125" bestFit="1" customWidth="1"/>
    <col min="862" max="862" width="40.7109375" bestFit="1" customWidth="1"/>
    <col min="863" max="863" width="46.42578125" bestFit="1" customWidth="1"/>
    <col min="864" max="864" width="17.85546875" bestFit="1" customWidth="1"/>
    <col min="865" max="865" width="19.85546875" bestFit="1" customWidth="1"/>
    <col min="866" max="867" width="17.28515625" bestFit="1" customWidth="1"/>
    <col min="868" max="868" width="28.5703125" bestFit="1" customWidth="1"/>
    <col min="869" max="869" width="35.42578125" bestFit="1" customWidth="1"/>
    <col min="870" max="870" width="23" bestFit="1" customWidth="1"/>
    <col min="871" max="871" width="21.85546875" bestFit="1" customWidth="1"/>
    <col min="872" max="872" width="30.28515625" bestFit="1" customWidth="1"/>
    <col min="873" max="873" width="24.28515625" bestFit="1" customWidth="1"/>
    <col min="874" max="874" width="22.7109375" bestFit="1" customWidth="1"/>
    <col min="875" max="875" width="47.28515625" bestFit="1" customWidth="1"/>
    <col min="876" max="876" width="19.7109375" bestFit="1" customWidth="1"/>
    <col min="877" max="877" width="33.42578125" bestFit="1" customWidth="1"/>
    <col min="878" max="878" width="25.140625" bestFit="1" customWidth="1"/>
    <col min="879" max="879" width="24.28515625" bestFit="1" customWidth="1"/>
    <col min="880" max="880" width="23.5703125" bestFit="1" customWidth="1"/>
    <col min="881" max="881" width="26.7109375" bestFit="1" customWidth="1"/>
    <col min="882" max="882" width="25.28515625" bestFit="1" customWidth="1"/>
    <col min="883" max="883" width="17.28515625" bestFit="1" customWidth="1"/>
    <col min="884" max="884" width="14.7109375" bestFit="1" customWidth="1"/>
    <col min="885" max="885" width="7.28515625" bestFit="1" customWidth="1"/>
    <col min="886" max="886" width="28.42578125" bestFit="1" customWidth="1"/>
    <col min="887" max="887" width="44.85546875" bestFit="1" customWidth="1"/>
    <col min="888" max="888" width="34.85546875" bestFit="1" customWidth="1"/>
    <col min="889" max="889" width="21.85546875" bestFit="1" customWidth="1"/>
    <col min="890" max="890" width="10.140625" bestFit="1" customWidth="1"/>
    <col min="891" max="891" width="16" bestFit="1" customWidth="1"/>
    <col min="892" max="892" width="36.28515625" bestFit="1" customWidth="1"/>
    <col min="893" max="893" width="9.7109375" bestFit="1" customWidth="1"/>
    <col min="894" max="894" width="17.28515625" bestFit="1" customWidth="1"/>
    <col min="895" max="895" width="38.85546875" bestFit="1" customWidth="1"/>
    <col min="896" max="896" width="19.140625" bestFit="1" customWidth="1"/>
    <col min="897" max="897" width="13.85546875" bestFit="1" customWidth="1"/>
    <col min="898" max="898" width="15.85546875" bestFit="1" customWidth="1"/>
    <col min="899" max="899" width="32.140625" bestFit="1" customWidth="1"/>
    <col min="900" max="900" width="27.28515625" bestFit="1" customWidth="1"/>
    <col min="901" max="901" width="44.85546875" bestFit="1" customWidth="1"/>
    <col min="902" max="902" width="29" bestFit="1" customWidth="1"/>
    <col min="903" max="903" width="12" bestFit="1" customWidth="1"/>
    <col min="904" max="904" width="40.42578125" bestFit="1" customWidth="1"/>
    <col min="905" max="905" width="37.28515625" bestFit="1" customWidth="1"/>
    <col min="906" max="906" width="12.5703125" bestFit="1" customWidth="1"/>
    <col min="907" max="907" width="14.28515625" bestFit="1" customWidth="1"/>
    <col min="908" max="908" width="14.85546875" bestFit="1" customWidth="1"/>
    <col min="909" max="909" width="20.28515625" bestFit="1" customWidth="1"/>
    <col min="910" max="910" width="44.5703125" bestFit="1" customWidth="1"/>
    <col min="911" max="911" width="19.5703125" bestFit="1" customWidth="1"/>
    <col min="912" max="912" width="32" bestFit="1" customWidth="1"/>
    <col min="913" max="913" width="28.28515625" bestFit="1" customWidth="1"/>
    <col min="914" max="914" width="22.140625" bestFit="1" customWidth="1"/>
    <col min="915" max="915" width="14.5703125" bestFit="1" customWidth="1"/>
    <col min="916" max="916" width="13.42578125" bestFit="1" customWidth="1"/>
    <col min="917" max="917" width="28.85546875" bestFit="1" customWidth="1"/>
    <col min="918" max="918" width="19.85546875" bestFit="1" customWidth="1"/>
    <col min="919" max="919" width="36.28515625" bestFit="1" customWidth="1"/>
    <col min="920" max="920" width="23" bestFit="1" customWidth="1"/>
    <col min="921" max="921" width="20" bestFit="1" customWidth="1"/>
    <col min="922" max="922" width="15.5703125" bestFit="1" customWidth="1"/>
    <col min="923" max="923" width="51.140625" bestFit="1" customWidth="1"/>
    <col min="924" max="924" width="21" bestFit="1" customWidth="1"/>
    <col min="925" max="925" width="6.5703125" bestFit="1" customWidth="1"/>
    <col min="926" max="926" width="15" bestFit="1" customWidth="1"/>
    <col min="927" max="927" width="44.85546875" bestFit="1" customWidth="1"/>
    <col min="928" max="928" width="6" bestFit="1" customWidth="1"/>
    <col min="929" max="929" width="19.5703125" bestFit="1" customWidth="1"/>
    <col min="930" max="930" width="24.140625" bestFit="1" customWidth="1"/>
    <col min="931" max="931" width="42.5703125" bestFit="1" customWidth="1"/>
    <col min="932" max="932" width="34.140625" bestFit="1" customWidth="1"/>
    <col min="933" max="933" width="17" bestFit="1" customWidth="1"/>
    <col min="934" max="934" width="34.7109375" bestFit="1" customWidth="1"/>
    <col min="935" max="935" width="46.5703125" bestFit="1" customWidth="1"/>
    <col min="936" max="936" width="35.140625" bestFit="1" customWidth="1"/>
    <col min="937" max="937" width="16.140625" bestFit="1" customWidth="1"/>
    <col min="938" max="938" width="23.5703125" bestFit="1" customWidth="1"/>
    <col min="939" max="939" width="24.140625" bestFit="1" customWidth="1"/>
    <col min="940" max="940" width="22.7109375" bestFit="1" customWidth="1"/>
    <col min="941" max="941" width="26.140625" bestFit="1" customWidth="1"/>
    <col min="942" max="942" width="18.28515625" bestFit="1" customWidth="1"/>
    <col min="943" max="943" width="19.7109375" bestFit="1" customWidth="1"/>
    <col min="944" max="944" width="7.28515625" bestFit="1" customWidth="1"/>
    <col min="945" max="945" width="48" bestFit="1" customWidth="1"/>
    <col min="946" max="946" width="46" bestFit="1" customWidth="1"/>
    <col min="947" max="947" width="33.5703125" bestFit="1" customWidth="1"/>
    <col min="948" max="948" width="31.28515625" bestFit="1" customWidth="1"/>
    <col min="949" max="949" width="28.7109375" bestFit="1" customWidth="1"/>
    <col min="950" max="950" width="21.7109375" bestFit="1" customWidth="1"/>
    <col min="951" max="951" width="14.7109375" bestFit="1" customWidth="1"/>
    <col min="952" max="952" width="9.7109375" bestFit="1" customWidth="1"/>
    <col min="953" max="953" width="14.7109375" bestFit="1" customWidth="1"/>
    <col min="954" max="954" width="16.7109375" bestFit="1" customWidth="1"/>
    <col min="955" max="955" width="24.42578125" bestFit="1" customWidth="1"/>
    <col min="956" max="956" width="35.7109375" bestFit="1" customWidth="1"/>
    <col min="957" max="957" width="30.28515625" bestFit="1" customWidth="1"/>
    <col min="958" max="958" width="21.140625" bestFit="1" customWidth="1"/>
    <col min="959" max="959" width="17.28515625" bestFit="1" customWidth="1"/>
    <col min="960" max="960" width="32.42578125" bestFit="1" customWidth="1"/>
    <col min="961" max="961" width="17.7109375" bestFit="1" customWidth="1"/>
    <col min="962" max="962" width="29.42578125" bestFit="1" customWidth="1"/>
    <col min="963" max="963" width="14.42578125" bestFit="1" customWidth="1"/>
    <col min="964" max="964" width="25" bestFit="1" customWidth="1"/>
    <col min="965" max="965" width="12.7109375" bestFit="1" customWidth="1"/>
    <col min="966" max="966" width="40.85546875" bestFit="1" customWidth="1"/>
    <col min="967" max="967" width="21.42578125" bestFit="1" customWidth="1"/>
    <col min="968" max="968" width="28.85546875" bestFit="1" customWidth="1"/>
    <col min="969" max="969" width="18.85546875" bestFit="1" customWidth="1"/>
    <col min="970" max="970" width="19" bestFit="1" customWidth="1"/>
    <col min="971" max="971" width="18.85546875" bestFit="1" customWidth="1"/>
    <col min="972" max="972" width="20.28515625" bestFit="1" customWidth="1"/>
    <col min="973" max="973" width="31.5703125" bestFit="1" customWidth="1"/>
    <col min="974" max="974" width="19.85546875" bestFit="1" customWidth="1"/>
    <col min="975" max="975" width="26.5703125" bestFit="1" customWidth="1"/>
    <col min="976" max="976" width="18" bestFit="1" customWidth="1"/>
    <col min="977" max="977" width="35.7109375" bestFit="1" customWidth="1"/>
    <col min="978" max="978" width="22.7109375" bestFit="1" customWidth="1"/>
    <col min="979" max="979" width="21" bestFit="1" customWidth="1"/>
    <col min="980" max="980" width="29.7109375" bestFit="1" customWidth="1"/>
    <col min="981" max="981" width="30.28515625" bestFit="1" customWidth="1"/>
    <col min="982" max="982" width="25.5703125" bestFit="1" customWidth="1"/>
    <col min="983" max="983" width="13.85546875" bestFit="1" customWidth="1"/>
    <col min="984" max="984" width="32.5703125" bestFit="1" customWidth="1"/>
    <col min="985" max="985" width="23.28515625" bestFit="1" customWidth="1"/>
    <col min="986" max="986" width="21.140625" bestFit="1" customWidth="1"/>
    <col min="987" max="987" width="24" bestFit="1" customWidth="1"/>
    <col min="988" max="988" width="18.28515625" bestFit="1" customWidth="1"/>
    <col min="989" max="989" width="35.28515625" bestFit="1" customWidth="1"/>
    <col min="990" max="990" width="14.140625" bestFit="1" customWidth="1"/>
    <col min="991" max="991" width="9" bestFit="1" customWidth="1"/>
    <col min="992" max="992" width="11.85546875" bestFit="1" customWidth="1"/>
    <col min="993" max="993" width="22.42578125" bestFit="1" customWidth="1"/>
    <col min="994" max="994" width="20.85546875" bestFit="1" customWidth="1"/>
    <col min="995" max="995" width="8.5703125" bestFit="1" customWidth="1"/>
    <col min="996" max="996" width="24.85546875" bestFit="1" customWidth="1"/>
    <col min="997" max="997" width="11.42578125" bestFit="1" customWidth="1"/>
    <col min="998" max="998" width="39.5703125" bestFit="1" customWidth="1"/>
    <col min="999" max="1000" width="23.42578125" bestFit="1" customWidth="1"/>
    <col min="1001" max="1001" width="14.140625" bestFit="1" customWidth="1"/>
    <col min="1002" max="1002" width="16.140625" bestFit="1" customWidth="1"/>
    <col min="1003" max="1003" width="17.28515625" bestFit="1" customWidth="1"/>
    <col min="1004" max="1004" width="16" bestFit="1" customWidth="1"/>
    <col min="1005" max="1005" width="37.140625" bestFit="1" customWidth="1"/>
    <col min="1006" max="1006" width="49.140625" bestFit="1" customWidth="1"/>
    <col min="1007" max="1007" width="17" bestFit="1" customWidth="1"/>
    <col min="1008" max="1008" width="15.140625" bestFit="1" customWidth="1"/>
    <col min="1009" max="1009" width="61" bestFit="1" customWidth="1"/>
    <col min="1010" max="1010" width="24.42578125" bestFit="1" customWidth="1"/>
    <col min="1011" max="1011" width="64" bestFit="1" customWidth="1"/>
    <col min="1012" max="1012" width="15.85546875" bestFit="1" customWidth="1"/>
    <col min="1013" max="1013" width="44.140625" bestFit="1" customWidth="1"/>
    <col min="1014" max="1014" width="12.7109375" bestFit="1" customWidth="1"/>
    <col min="1015" max="1015" width="23.28515625" bestFit="1" customWidth="1"/>
    <col min="1016" max="1016" width="31.28515625" bestFit="1" customWidth="1"/>
    <col min="1017" max="1017" width="21.140625" bestFit="1" customWidth="1"/>
    <col min="1018" max="1018" width="56.140625" bestFit="1" customWidth="1"/>
    <col min="1019" max="1019" width="24.5703125" bestFit="1" customWidth="1"/>
    <col min="1020" max="1020" width="21.28515625" bestFit="1" customWidth="1"/>
    <col min="1021" max="1021" width="18.5703125" bestFit="1" customWidth="1"/>
    <col min="1022" max="1022" width="19.28515625" bestFit="1" customWidth="1"/>
    <col min="1023" max="1023" width="29.42578125" bestFit="1" customWidth="1"/>
    <col min="1024" max="1024" width="18.28515625" bestFit="1" customWidth="1"/>
    <col min="1025" max="1025" width="23.7109375" bestFit="1" customWidth="1"/>
    <col min="1026" max="1026" width="23.42578125" bestFit="1" customWidth="1"/>
    <col min="1027" max="1027" width="10.85546875" bestFit="1" customWidth="1"/>
    <col min="1028" max="1028" width="40.5703125" bestFit="1" customWidth="1"/>
    <col min="1029" max="1029" width="26.140625" bestFit="1" customWidth="1"/>
    <col min="1030" max="1030" width="19.42578125" bestFit="1" customWidth="1"/>
    <col min="1031" max="1032" width="21.140625" bestFit="1" customWidth="1"/>
    <col min="1033" max="1033" width="24.42578125" bestFit="1" customWidth="1"/>
    <col min="1034" max="1034" width="21.28515625" bestFit="1" customWidth="1"/>
    <col min="1035" max="1035" width="19.5703125" bestFit="1" customWidth="1"/>
    <col min="1036" max="1036" width="37.7109375" bestFit="1" customWidth="1"/>
    <col min="1037" max="1037" width="10" bestFit="1" customWidth="1"/>
    <col min="1038" max="1038" width="12.7109375" bestFit="1" customWidth="1"/>
    <col min="1039" max="1039" width="21.7109375" bestFit="1" customWidth="1"/>
    <col min="1040" max="1040" width="24.42578125" bestFit="1" customWidth="1"/>
    <col min="1041" max="1041" width="14.42578125" bestFit="1" customWidth="1"/>
    <col min="1042" max="1042" width="40.5703125" bestFit="1" customWidth="1"/>
    <col min="1043" max="1043" width="20.5703125" bestFit="1" customWidth="1"/>
    <col min="1044" max="1044" width="35.42578125" bestFit="1" customWidth="1"/>
    <col min="1045" max="1045" width="17.85546875" bestFit="1" customWidth="1"/>
    <col min="1046" max="1046" width="21" bestFit="1" customWidth="1"/>
    <col min="1047" max="1047" width="23" bestFit="1" customWidth="1"/>
    <col min="1048" max="1048" width="9.7109375" bestFit="1" customWidth="1"/>
    <col min="1049" max="1049" width="18.85546875" bestFit="1" customWidth="1"/>
    <col min="1050" max="1050" width="15.85546875" bestFit="1" customWidth="1"/>
    <col min="1051" max="1051" width="69.28515625" bestFit="1" customWidth="1"/>
    <col min="1052" max="1052" width="34.140625" bestFit="1" customWidth="1"/>
    <col min="1053" max="1053" width="24.7109375" bestFit="1" customWidth="1"/>
    <col min="1054" max="1054" width="32" bestFit="1" customWidth="1"/>
    <col min="1055" max="1055" width="9.42578125" bestFit="1" customWidth="1"/>
    <col min="1056" max="1056" width="21.140625" bestFit="1" customWidth="1"/>
    <col min="1057" max="1057" width="10.140625" bestFit="1" customWidth="1"/>
    <col min="1058" max="1058" width="22" bestFit="1" customWidth="1"/>
    <col min="1059" max="1059" width="14.140625" bestFit="1" customWidth="1"/>
    <col min="1060" max="1060" width="35" bestFit="1" customWidth="1"/>
    <col min="1061" max="1061" width="24.42578125" bestFit="1" customWidth="1"/>
    <col min="1062" max="1062" width="18.7109375" bestFit="1" customWidth="1"/>
    <col min="1063" max="1063" width="29.42578125" bestFit="1" customWidth="1"/>
    <col min="1064" max="1064" width="19.85546875" bestFit="1" customWidth="1"/>
    <col min="1065" max="1065" width="24.85546875" bestFit="1" customWidth="1"/>
    <col min="1066" max="1066" width="17.85546875" bestFit="1" customWidth="1"/>
    <col min="1067" max="1067" width="30.5703125" bestFit="1" customWidth="1"/>
    <col min="1068" max="1068" width="20" bestFit="1" customWidth="1"/>
    <col min="1069" max="1069" width="29.7109375" bestFit="1" customWidth="1"/>
    <col min="1070" max="1070" width="30.42578125" bestFit="1" customWidth="1"/>
    <col min="1071" max="1071" width="16.42578125" bestFit="1" customWidth="1"/>
    <col min="1072" max="1072" width="37.5703125" bestFit="1" customWidth="1"/>
    <col min="1073" max="1073" width="29.140625" bestFit="1" customWidth="1"/>
    <col min="1074" max="1074" width="24.140625" bestFit="1" customWidth="1"/>
    <col min="1075" max="1075" width="14.42578125" bestFit="1" customWidth="1"/>
    <col min="1076" max="1076" width="17.85546875" bestFit="1" customWidth="1"/>
    <col min="1077" max="1077" width="18.28515625" bestFit="1" customWidth="1"/>
    <col min="1078" max="1078" width="14.85546875" bestFit="1" customWidth="1"/>
    <col min="1079" max="1079" width="41.42578125" bestFit="1" customWidth="1"/>
    <col min="1080" max="1080" width="19.85546875" bestFit="1" customWidth="1"/>
    <col min="1081" max="1081" width="20.85546875" bestFit="1" customWidth="1"/>
    <col min="1082" max="1082" width="10.85546875" bestFit="1" customWidth="1"/>
    <col min="1083" max="1083" width="32.85546875" bestFit="1" customWidth="1"/>
    <col min="1084" max="1084" width="19.7109375" bestFit="1" customWidth="1"/>
    <col min="1085" max="1085" width="9.5703125" bestFit="1" customWidth="1"/>
    <col min="1086" max="1086" width="19.85546875" bestFit="1" customWidth="1"/>
    <col min="1087" max="1087" width="51.85546875" bestFit="1" customWidth="1"/>
    <col min="1088" max="1088" width="19.140625" bestFit="1" customWidth="1"/>
    <col min="1089" max="1089" width="10.7109375" bestFit="1" customWidth="1"/>
    <col min="1090" max="1090" width="38.140625" bestFit="1" customWidth="1"/>
    <col min="1091" max="1091" width="13.28515625" bestFit="1" customWidth="1"/>
    <col min="1092" max="1092" width="15.85546875" bestFit="1" customWidth="1"/>
    <col min="1093" max="1093" width="21.140625" bestFit="1" customWidth="1"/>
    <col min="1094" max="1094" width="18.140625" bestFit="1" customWidth="1"/>
    <col min="1095" max="1095" width="8.85546875" bestFit="1" customWidth="1"/>
    <col min="1096" max="1096" width="18.28515625" bestFit="1" customWidth="1"/>
    <col min="1097" max="1097" width="7.28515625" bestFit="1" customWidth="1"/>
    <col min="1098" max="1098" width="13.28515625" bestFit="1" customWidth="1"/>
    <col min="1099" max="1099" width="25.7109375" bestFit="1" customWidth="1"/>
    <col min="1100" max="1100" width="28.85546875" bestFit="1" customWidth="1"/>
    <col min="1101" max="1101" width="42.140625" bestFit="1" customWidth="1"/>
    <col min="1102" max="1102" width="16.5703125" bestFit="1" customWidth="1"/>
    <col min="1103" max="1103" width="45.28515625" bestFit="1" customWidth="1"/>
    <col min="1104" max="1104" width="18.85546875" bestFit="1" customWidth="1"/>
    <col min="1105" max="1105" width="22.140625" bestFit="1" customWidth="1"/>
    <col min="1106" max="1106" width="34.7109375" bestFit="1" customWidth="1"/>
    <col min="1107" max="1107" width="10.5703125" bestFit="1" customWidth="1"/>
    <col min="1108" max="1108" width="21.7109375" bestFit="1" customWidth="1"/>
    <col min="1109" max="1109" width="31.85546875" bestFit="1" customWidth="1"/>
    <col min="1110" max="1110" width="58.28515625" bestFit="1" customWidth="1"/>
    <col min="1111" max="1111" width="20" bestFit="1" customWidth="1"/>
    <col min="1112" max="1112" width="12.5703125" bestFit="1" customWidth="1"/>
    <col min="1113" max="1113" width="18.42578125" bestFit="1" customWidth="1"/>
    <col min="1114" max="1114" width="20.5703125" bestFit="1" customWidth="1"/>
    <col min="1115" max="1115" width="55.5703125" bestFit="1" customWidth="1"/>
    <col min="1116" max="1116" width="26.42578125" bestFit="1" customWidth="1"/>
    <col min="1117" max="1117" width="61.42578125" bestFit="1" customWidth="1"/>
    <col min="1118" max="1118" width="30.28515625" bestFit="1" customWidth="1"/>
    <col min="1119" max="1119" width="27.28515625" bestFit="1" customWidth="1"/>
    <col min="1120" max="1120" width="22.140625" bestFit="1" customWidth="1"/>
    <col min="1121" max="1121" width="33.140625" bestFit="1" customWidth="1"/>
    <col min="1122" max="1122" width="20.28515625" bestFit="1" customWidth="1"/>
    <col min="1123" max="1123" width="20.7109375" bestFit="1" customWidth="1"/>
    <col min="1124" max="1124" width="16" bestFit="1" customWidth="1"/>
    <col min="1125" max="1125" width="7.28515625" bestFit="1" customWidth="1"/>
    <col min="1126" max="1126" width="33.42578125" bestFit="1" customWidth="1"/>
    <col min="1127" max="1127" width="26.7109375" bestFit="1" customWidth="1"/>
    <col min="1128" max="1128" width="21" bestFit="1" customWidth="1"/>
    <col min="1129" max="1129" width="35.42578125" bestFit="1" customWidth="1"/>
    <col min="1130" max="1130" width="9.7109375" bestFit="1" customWidth="1"/>
    <col min="1131" max="1131" width="24.140625" bestFit="1" customWidth="1"/>
    <col min="1132" max="1132" width="16.7109375" bestFit="1" customWidth="1"/>
    <col min="1133" max="1133" width="9.42578125" bestFit="1" customWidth="1"/>
    <col min="1134" max="1134" width="22" bestFit="1" customWidth="1"/>
    <col min="1135" max="1135" width="27.85546875" bestFit="1" customWidth="1"/>
    <col min="1136" max="1136" width="19.140625" bestFit="1" customWidth="1"/>
    <col min="1137" max="1137" width="18.7109375" bestFit="1" customWidth="1"/>
    <col min="1138" max="1138" width="17.5703125" bestFit="1" customWidth="1"/>
    <col min="1139" max="1139" width="18.5703125" bestFit="1" customWidth="1"/>
    <col min="1140" max="1140" width="13.5703125" bestFit="1" customWidth="1"/>
    <col min="1141" max="1141" width="29.28515625" bestFit="1" customWidth="1"/>
    <col min="1142" max="1142" width="29.7109375" bestFit="1" customWidth="1"/>
    <col min="1143" max="1143" width="24.7109375" bestFit="1" customWidth="1"/>
    <col min="1144" max="1144" width="21.85546875" bestFit="1" customWidth="1"/>
    <col min="1145" max="1145" width="40.28515625" bestFit="1" customWidth="1"/>
    <col min="1146" max="1146" width="33.28515625" bestFit="1" customWidth="1"/>
    <col min="1147" max="1147" width="16.7109375" bestFit="1" customWidth="1"/>
    <col min="1148" max="1148" width="21.42578125" bestFit="1" customWidth="1"/>
    <col min="1149" max="1149" width="14" bestFit="1" customWidth="1"/>
    <col min="1150" max="1150" width="16.85546875" bestFit="1" customWidth="1"/>
    <col min="1151" max="1151" width="22.7109375" bestFit="1" customWidth="1"/>
    <col min="1152" max="1152" width="35.7109375" bestFit="1" customWidth="1"/>
    <col min="1153" max="1153" width="37" bestFit="1" customWidth="1"/>
    <col min="1154" max="1154" width="13.7109375" bestFit="1" customWidth="1"/>
    <col min="1155" max="1155" width="20.85546875" bestFit="1" customWidth="1"/>
    <col min="1156" max="1156" width="32.85546875" bestFit="1" customWidth="1"/>
    <col min="1157" max="1157" width="27.5703125" bestFit="1" customWidth="1"/>
    <col min="1158" max="1158" width="20.85546875" bestFit="1" customWidth="1"/>
    <col min="1159" max="1159" width="23.5703125" bestFit="1" customWidth="1"/>
    <col min="1160" max="1160" width="18.140625" bestFit="1" customWidth="1"/>
    <col min="1161" max="1161" width="13.42578125" bestFit="1" customWidth="1"/>
    <col min="1162" max="1162" width="12.5703125" bestFit="1" customWidth="1"/>
    <col min="1163" max="1163" width="26.5703125" bestFit="1" customWidth="1"/>
    <col min="1164" max="1164" width="32.5703125" bestFit="1" customWidth="1"/>
    <col min="1165" max="1165" width="21.7109375" bestFit="1" customWidth="1"/>
    <col min="1166" max="1166" width="12.42578125" bestFit="1" customWidth="1"/>
    <col min="1167" max="1167" width="24.85546875" bestFit="1" customWidth="1"/>
    <col min="1168" max="1168" width="30" bestFit="1" customWidth="1"/>
    <col min="1169" max="1169" width="23" bestFit="1" customWidth="1"/>
    <col min="1170" max="1170" width="37.5703125" bestFit="1" customWidth="1"/>
    <col min="1171" max="1171" width="45.28515625" bestFit="1" customWidth="1"/>
    <col min="1172" max="1172" width="17.28515625" bestFit="1" customWidth="1"/>
    <col min="1173" max="1173" width="16.7109375" bestFit="1" customWidth="1"/>
    <col min="1174" max="1174" width="27.28515625" bestFit="1" customWidth="1"/>
    <col min="1175" max="1175" width="24.5703125" bestFit="1" customWidth="1"/>
    <col min="1176" max="1176" width="17.5703125" bestFit="1" customWidth="1"/>
    <col min="1177" max="1177" width="18.85546875" bestFit="1" customWidth="1"/>
    <col min="1178" max="1178" width="28" bestFit="1" customWidth="1"/>
    <col min="1179" max="1179" width="13.5703125" bestFit="1" customWidth="1"/>
    <col min="1180" max="1180" width="35.28515625" bestFit="1" customWidth="1"/>
    <col min="1181" max="1181" width="30.140625" bestFit="1" customWidth="1"/>
    <col min="1182" max="1182" width="22.140625" bestFit="1" customWidth="1"/>
    <col min="1183" max="1183" width="20" bestFit="1" customWidth="1"/>
    <col min="1184" max="1184" width="15" bestFit="1" customWidth="1"/>
    <col min="1185" max="1185" width="20.85546875" bestFit="1" customWidth="1"/>
    <col min="1186" max="1186" width="22" bestFit="1" customWidth="1"/>
    <col min="1187" max="1187" width="17.7109375" bestFit="1" customWidth="1"/>
    <col min="1188" max="1188" width="51.42578125" bestFit="1" customWidth="1"/>
    <col min="1189" max="1189" width="34.7109375" bestFit="1" customWidth="1"/>
    <col min="1190" max="1190" width="19.5703125" bestFit="1" customWidth="1"/>
    <col min="1191" max="1191" width="20.140625" bestFit="1" customWidth="1"/>
    <col min="1192" max="1192" width="32.85546875" bestFit="1" customWidth="1"/>
    <col min="1193" max="1193" width="21.42578125" bestFit="1" customWidth="1"/>
    <col min="1194" max="1194" width="37.42578125" bestFit="1" customWidth="1"/>
    <col min="1195" max="1195" width="16.28515625" bestFit="1" customWidth="1"/>
    <col min="1196" max="1196" width="30.85546875" bestFit="1" customWidth="1"/>
    <col min="1197" max="1197" width="13.5703125" bestFit="1" customWidth="1"/>
    <col min="1198" max="1198" width="21.42578125" bestFit="1" customWidth="1"/>
    <col min="1199" max="1199" width="15.7109375" bestFit="1" customWidth="1"/>
    <col min="1200" max="1200" width="20.5703125" bestFit="1" customWidth="1"/>
    <col min="1201" max="1201" width="38.42578125" bestFit="1" customWidth="1"/>
    <col min="1202" max="1202" width="27.28515625" bestFit="1" customWidth="1"/>
    <col min="1203" max="1203" width="10.5703125" bestFit="1" customWidth="1"/>
    <col min="1204" max="1204" width="18.42578125" bestFit="1" customWidth="1"/>
    <col min="1205" max="1205" width="36" bestFit="1" customWidth="1"/>
    <col min="1206" max="1206" width="33.85546875" bestFit="1" customWidth="1"/>
    <col min="1207" max="1207" width="22.42578125" bestFit="1" customWidth="1"/>
    <col min="1208" max="1208" width="24.140625" bestFit="1" customWidth="1"/>
    <col min="1209" max="1209" width="32.42578125" bestFit="1" customWidth="1"/>
    <col min="1210" max="1210" width="15.5703125" bestFit="1" customWidth="1"/>
    <col min="1211" max="1211" width="17.5703125" bestFit="1" customWidth="1"/>
    <col min="1212" max="1212" width="19.42578125" bestFit="1" customWidth="1"/>
    <col min="1213" max="1213" width="7.85546875" bestFit="1" customWidth="1"/>
    <col min="1214" max="1214" width="21.7109375" bestFit="1" customWidth="1"/>
    <col min="1215" max="1215" width="33" bestFit="1" customWidth="1"/>
    <col min="1216" max="1216" width="14.7109375" bestFit="1" customWidth="1"/>
    <col min="1217" max="1217" width="28.85546875" bestFit="1" customWidth="1"/>
    <col min="1218" max="1218" width="16.85546875" bestFit="1" customWidth="1"/>
    <col min="1219" max="1219" width="51.28515625" bestFit="1" customWidth="1"/>
    <col min="1220" max="1220" width="15" bestFit="1" customWidth="1"/>
    <col min="1221" max="1221" width="29.7109375" bestFit="1" customWidth="1"/>
    <col min="1222" max="1222" width="49" bestFit="1" customWidth="1"/>
    <col min="1223" max="1223" width="10.5703125" bestFit="1" customWidth="1"/>
    <col min="1224" max="1224" width="20.5703125" bestFit="1" customWidth="1"/>
    <col min="1225" max="1225" width="45.85546875" bestFit="1" customWidth="1"/>
    <col min="1226" max="1226" width="49.5703125" bestFit="1" customWidth="1"/>
    <col min="1227" max="1227" width="16.28515625" bestFit="1" customWidth="1"/>
    <col min="1228" max="1228" width="25.140625" bestFit="1" customWidth="1"/>
    <col min="1229" max="1229" width="53" bestFit="1" customWidth="1"/>
    <col min="1230" max="1230" width="28.5703125" bestFit="1" customWidth="1"/>
    <col min="1231" max="1231" width="24.7109375" bestFit="1" customWidth="1"/>
    <col min="1232" max="1232" width="15.5703125" bestFit="1" customWidth="1"/>
    <col min="1233" max="1233" width="7.28515625" bestFit="1" customWidth="1"/>
    <col min="1234" max="1234" width="26.28515625" bestFit="1" customWidth="1"/>
    <col min="1235" max="1235" width="12" bestFit="1" customWidth="1"/>
  </cols>
  <sheetData>
    <row r="1" spans="1:12" x14ac:dyDescent="0.25">
      <c r="A1" s="3" t="s">
        <v>16</v>
      </c>
      <c r="B1" t="s">
        <v>29</v>
      </c>
    </row>
    <row r="2" spans="1:12" x14ac:dyDescent="0.25">
      <c r="A2" s="3" t="s">
        <v>0</v>
      </c>
      <c r="B2" t="s">
        <v>6944</v>
      </c>
    </row>
    <row r="3" spans="1:12" x14ac:dyDescent="0.25">
      <c r="A3" s="3" t="s">
        <v>7</v>
      </c>
      <c r="B3" t="s">
        <v>6944</v>
      </c>
    </row>
    <row r="4" spans="1:12" x14ac:dyDescent="0.25">
      <c r="A4" s="3" t="s">
        <v>2</v>
      </c>
      <c r="B4" t="s">
        <v>6943</v>
      </c>
    </row>
    <row r="5" spans="1:12" x14ac:dyDescent="0.25">
      <c r="A5" s="3" t="s">
        <v>6935</v>
      </c>
      <c r="B5" t="s">
        <v>6943</v>
      </c>
    </row>
    <row r="6" spans="1:12" x14ac:dyDescent="0.25">
      <c r="A6" s="3" t="s">
        <v>11</v>
      </c>
      <c r="B6" t="s">
        <v>6944</v>
      </c>
    </row>
    <row r="8" spans="1:12" x14ac:dyDescent="0.25">
      <c r="B8" s="3" t="s">
        <v>6939</v>
      </c>
    </row>
    <row r="9" spans="1:12" x14ac:dyDescent="0.25">
      <c r="B9" t="s">
        <v>210</v>
      </c>
      <c r="C9" t="s">
        <v>1422</v>
      </c>
      <c r="D9" t="s">
        <v>1370</v>
      </c>
      <c r="E9" t="s">
        <v>56</v>
      </c>
      <c r="F9" t="s">
        <v>1458</v>
      </c>
      <c r="G9" t="s">
        <v>505</v>
      </c>
      <c r="H9" t="s">
        <v>1534</v>
      </c>
      <c r="I9" t="s">
        <v>1488</v>
      </c>
      <c r="J9" t="s">
        <v>1414</v>
      </c>
      <c r="K9" t="s">
        <v>1442</v>
      </c>
      <c r="L9" t="s">
        <v>6940</v>
      </c>
    </row>
    <row r="10" spans="1:12" x14ac:dyDescent="0.25">
      <c r="A10" t="s">
        <v>6942</v>
      </c>
      <c r="B10" s="14">
        <v>281.96699999999998</v>
      </c>
      <c r="C10" s="14">
        <v>403.75360000000001</v>
      </c>
      <c r="D10" s="14">
        <v>489.39819999999997</v>
      </c>
      <c r="E10" s="14">
        <v>534.02189999999996</v>
      </c>
      <c r="F10" s="14">
        <v>582.07629999999995</v>
      </c>
      <c r="G10" s="14">
        <v>1981.021</v>
      </c>
      <c r="H10" s="14">
        <v>2441.3805000000002</v>
      </c>
      <c r="I10" s="14">
        <v>2985.2160000000003</v>
      </c>
      <c r="J10" s="14">
        <v>4857.1653999999999</v>
      </c>
      <c r="K10" s="14">
        <v>11499.049099999998</v>
      </c>
      <c r="L10" s="14">
        <v>26055.048999999999</v>
      </c>
    </row>
  </sheetData>
  <sheetProtection algorithmName="SHA-512" hashValue="Z9O91bsg1Itt/XKWZWidXoA+7K35VvDQ9lZAOaYtIB0fdDZN8mONmMBF8LFg9W5Qf3O8tzDE0bZXywvVwnaIeg==" saltValue="4nS8faXGJ56OzzcHa9xfxQ==" spinCount="100000" sheet="1" objects="1" scenarios="1" selectLockedCells="1" pivotTables="0"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C7AE-7480-4255-BD72-7B843BE6AC00}">
  <sheetPr>
    <tabColor theme="9" tint="0.39997558519241921"/>
  </sheetPr>
  <dimension ref="A1:BR28"/>
  <sheetViews>
    <sheetView zoomScale="70" zoomScaleNormal="70" workbookViewId="0"/>
  </sheetViews>
  <sheetFormatPr defaultRowHeight="15" x14ac:dyDescent="0.25"/>
  <cols>
    <col min="1" max="1" width="56.28515625" bestFit="1" customWidth="1"/>
    <col min="2" max="2" width="29.140625" bestFit="1" customWidth="1"/>
    <col min="3" max="3" width="21" bestFit="1" customWidth="1"/>
    <col min="4" max="4" width="17.7109375" bestFit="1" customWidth="1"/>
    <col min="5" max="5" width="34.85546875" bestFit="1" customWidth="1"/>
    <col min="6" max="6" width="19.5703125" bestFit="1" customWidth="1"/>
    <col min="7" max="7" width="15" bestFit="1" customWidth="1"/>
    <col min="8" max="8" width="36.42578125" bestFit="1" customWidth="1"/>
    <col min="9" max="9" width="33.140625" bestFit="1" customWidth="1"/>
    <col min="10" max="10" width="11.7109375" bestFit="1" customWidth="1"/>
    <col min="11" max="11" width="11.5703125" bestFit="1" customWidth="1"/>
    <col min="12" max="12" width="33.140625" bestFit="1" customWidth="1"/>
    <col min="13" max="13" width="15.28515625" bestFit="1" customWidth="1"/>
    <col min="14" max="14" width="21.7109375" bestFit="1" customWidth="1"/>
    <col min="15" max="15" width="22.42578125" bestFit="1" customWidth="1"/>
    <col min="16" max="16" width="9.7109375" bestFit="1" customWidth="1"/>
    <col min="17" max="17" width="11.140625" bestFit="1" customWidth="1"/>
    <col min="18" max="18" width="14" bestFit="1" customWidth="1"/>
    <col min="19" max="19" width="37.28515625" bestFit="1" customWidth="1"/>
    <col min="20" max="20" width="33.42578125" bestFit="1" customWidth="1"/>
    <col min="21" max="21" width="34.28515625" bestFit="1" customWidth="1"/>
    <col min="22" max="22" width="41.42578125" bestFit="1" customWidth="1"/>
    <col min="23" max="23" width="16.7109375" bestFit="1" customWidth="1"/>
    <col min="24" max="25" width="21.140625" bestFit="1" customWidth="1"/>
    <col min="26" max="26" width="35.85546875" bestFit="1" customWidth="1"/>
    <col min="27" max="27" width="17.28515625" bestFit="1" customWidth="1"/>
    <col min="28" max="28" width="11.5703125" bestFit="1" customWidth="1"/>
    <col min="29" max="29" width="19.140625" bestFit="1" customWidth="1"/>
    <col min="30" max="30" width="18.5703125" bestFit="1" customWidth="1"/>
    <col min="31" max="31" width="17.85546875" bestFit="1" customWidth="1"/>
    <col min="32" max="32" width="22" bestFit="1" customWidth="1"/>
    <col min="33" max="33" width="23.140625" bestFit="1" customWidth="1"/>
    <col min="34" max="34" width="18.5703125" bestFit="1" customWidth="1"/>
    <col min="35" max="35" width="21.140625" bestFit="1" customWidth="1"/>
    <col min="36" max="36" width="31.7109375" bestFit="1" customWidth="1"/>
    <col min="37" max="37" width="39.28515625" bestFit="1" customWidth="1"/>
    <col min="38" max="38" width="12.140625" bestFit="1" customWidth="1"/>
    <col min="39" max="39" width="24" bestFit="1" customWidth="1"/>
    <col min="40" max="40" width="27.42578125" bestFit="1" customWidth="1"/>
    <col min="41" max="41" width="28.5703125" bestFit="1" customWidth="1"/>
    <col min="42" max="42" width="16.42578125" bestFit="1" customWidth="1"/>
    <col min="43" max="43" width="19.28515625" bestFit="1" customWidth="1"/>
    <col min="44" max="44" width="13" bestFit="1" customWidth="1"/>
    <col min="45" max="45" width="33" bestFit="1" customWidth="1"/>
    <col min="46" max="46" width="41" bestFit="1" customWidth="1"/>
    <col min="47" max="47" width="13.140625" bestFit="1" customWidth="1"/>
    <col min="48" max="48" width="56.85546875" bestFit="1" customWidth="1"/>
    <col min="49" max="49" width="29.140625" bestFit="1" customWidth="1"/>
    <col min="50" max="50" width="25.85546875" bestFit="1" customWidth="1"/>
    <col min="51" max="51" width="23" bestFit="1" customWidth="1"/>
    <col min="52" max="52" width="52.85546875" bestFit="1" customWidth="1"/>
    <col min="53" max="53" width="55.28515625" bestFit="1" customWidth="1"/>
    <col min="54" max="54" width="49.28515625" bestFit="1" customWidth="1"/>
    <col min="55" max="55" width="13.140625" bestFit="1" customWidth="1"/>
    <col min="56" max="56" width="19.5703125" bestFit="1" customWidth="1"/>
    <col min="57" max="57" width="10.5703125" bestFit="1" customWidth="1"/>
    <col min="58" max="58" width="19.5703125" bestFit="1" customWidth="1"/>
    <col min="59" max="59" width="18.28515625" bestFit="1" customWidth="1"/>
    <col min="60" max="60" width="11" bestFit="1" customWidth="1"/>
    <col min="61" max="61" width="44.5703125" bestFit="1" customWidth="1"/>
    <col min="62" max="62" width="28.7109375" bestFit="1" customWidth="1"/>
    <col min="63" max="63" width="22" bestFit="1" customWidth="1"/>
    <col min="64" max="64" width="65.42578125" bestFit="1" customWidth="1"/>
    <col min="65" max="65" width="16.85546875" bestFit="1" customWidth="1"/>
    <col min="66" max="66" width="43.5703125" bestFit="1" customWidth="1"/>
    <col min="67" max="67" width="24" bestFit="1" customWidth="1"/>
    <col min="68" max="68" width="28.140625" bestFit="1" customWidth="1"/>
    <col min="69" max="69" width="30.7109375" bestFit="1" customWidth="1"/>
    <col min="70" max="70" width="15" bestFit="1" customWidth="1"/>
    <col min="71" max="71" width="24" bestFit="1" customWidth="1"/>
    <col min="72" max="72" width="28.140625" bestFit="1" customWidth="1"/>
    <col min="73" max="73" width="30.7109375" bestFit="1" customWidth="1"/>
    <col min="74" max="74" width="15" bestFit="1" customWidth="1"/>
    <col min="75" max="75" width="32.42578125" bestFit="1" customWidth="1"/>
    <col min="76" max="76" width="44.5703125" bestFit="1" customWidth="1"/>
    <col min="77" max="77" width="28.7109375" bestFit="1" customWidth="1"/>
    <col min="78" max="78" width="67.140625" bestFit="1" customWidth="1"/>
    <col min="79" max="79" width="22" bestFit="1" customWidth="1"/>
    <col min="80" max="80" width="37.42578125" bestFit="1" customWidth="1"/>
    <col min="81" max="81" width="65.42578125" bestFit="1" customWidth="1"/>
    <col min="82" max="82" width="16.85546875" bestFit="1" customWidth="1"/>
    <col min="83" max="83" width="43.5703125" bestFit="1" customWidth="1"/>
    <col min="84" max="84" width="24" bestFit="1" customWidth="1"/>
    <col min="85" max="85" width="28.140625" bestFit="1" customWidth="1"/>
    <col min="86" max="86" width="30.7109375" bestFit="1" customWidth="1"/>
    <col min="87" max="87" width="15" bestFit="1" customWidth="1"/>
    <col min="88" max="88" width="67.140625" bestFit="1" customWidth="1"/>
    <col min="89" max="89" width="22" bestFit="1" customWidth="1"/>
    <col min="90" max="90" width="37.42578125" bestFit="1" customWidth="1"/>
    <col min="91" max="91" width="65.42578125" bestFit="1" customWidth="1"/>
    <col min="92" max="92" width="16.85546875" bestFit="1" customWidth="1"/>
    <col min="93" max="93" width="43" bestFit="1" customWidth="1"/>
    <col min="94" max="94" width="43.5703125" bestFit="1" customWidth="1"/>
    <col min="95" max="95" width="24" bestFit="1" customWidth="1"/>
    <col min="96" max="96" width="28.140625" bestFit="1" customWidth="1"/>
    <col min="97" max="97" width="30.7109375" bestFit="1" customWidth="1"/>
    <col min="98" max="98" width="15" bestFit="1" customWidth="1"/>
    <col min="99" max="99" width="30.7109375" bestFit="1" customWidth="1"/>
    <col min="100" max="100" width="17.7109375" bestFit="1" customWidth="1"/>
    <col min="101" max="101" width="16" bestFit="1" customWidth="1"/>
    <col min="102" max="102" width="12.5703125" bestFit="1" customWidth="1"/>
    <col min="103" max="103" width="36.42578125" bestFit="1" customWidth="1"/>
    <col min="104" max="104" width="32.42578125" bestFit="1" customWidth="1"/>
    <col min="105" max="105" width="19.5703125" bestFit="1" customWidth="1"/>
    <col min="106" max="106" width="10.5703125" bestFit="1" customWidth="1"/>
    <col min="107" max="107" width="19.5703125" bestFit="1" customWidth="1"/>
    <col min="108" max="108" width="18.28515625" bestFit="1" customWidth="1"/>
    <col min="109" max="109" width="25" bestFit="1" customWidth="1"/>
    <col min="110" max="110" width="35.42578125" bestFit="1" customWidth="1"/>
    <col min="111" max="111" width="16" bestFit="1" customWidth="1"/>
    <col min="112" max="112" width="32.42578125" bestFit="1" customWidth="1"/>
    <col min="113" max="113" width="44.5703125" bestFit="1" customWidth="1"/>
    <col min="114" max="114" width="28.7109375" bestFit="1" customWidth="1"/>
    <col min="115" max="115" width="67.140625" bestFit="1" customWidth="1"/>
    <col min="116" max="116" width="22" bestFit="1" customWidth="1"/>
    <col min="117" max="117" width="37.42578125" bestFit="1" customWidth="1"/>
    <col min="118" max="118" width="65.42578125" bestFit="1" customWidth="1"/>
    <col min="119" max="119" width="16.85546875" bestFit="1" customWidth="1"/>
    <col min="120" max="120" width="43" bestFit="1" customWidth="1"/>
    <col min="121" max="121" width="43.5703125" bestFit="1" customWidth="1"/>
    <col min="122" max="122" width="24" bestFit="1" customWidth="1"/>
    <col min="123" max="123" width="28.140625" bestFit="1" customWidth="1"/>
    <col min="124" max="124" width="30.7109375" bestFit="1" customWidth="1"/>
    <col min="125" max="125" width="17.7109375" bestFit="1" customWidth="1"/>
    <col min="126" max="126" width="18.42578125" bestFit="1" customWidth="1"/>
    <col min="127" max="127" width="21.7109375" bestFit="1" customWidth="1"/>
    <col min="128" max="128" width="18.42578125" bestFit="1" customWidth="1"/>
    <col min="129" max="129" width="3.140625" bestFit="1" customWidth="1"/>
    <col min="130" max="130" width="5" bestFit="1" customWidth="1"/>
    <col min="131" max="131" width="21.7109375" bestFit="1" customWidth="1"/>
    <col min="132" max="132" width="29.85546875" bestFit="1" customWidth="1"/>
    <col min="133" max="133" width="4" bestFit="1" customWidth="1"/>
    <col min="134" max="134" width="5" bestFit="1" customWidth="1"/>
    <col min="135" max="135" width="33" bestFit="1" customWidth="1"/>
    <col min="136" max="136" width="20.85546875" bestFit="1" customWidth="1"/>
    <col min="137" max="137" width="24" bestFit="1" customWidth="1"/>
    <col min="138" max="138" width="15.140625" bestFit="1" customWidth="1"/>
    <col min="139" max="139" width="7" bestFit="1" customWidth="1"/>
    <col min="140" max="140" width="6" bestFit="1" customWidth="1"/>
    <col min="141" max="141" width="9" bestFit="1" customWidth="1"/>
    <col min="142" max="143" width="6" bestFit="1" customWidth="1"/>
    <col min="144" max="144" width="18.28515625" bestFit="1" customWidth="1"/>
    <col min="145" max="145" width="10.7109375" bestFit="1" customWidth="1"/>
    <col min="146" max="146" width="6" bestFit="1" customWidth="1"/>
    <col min="147" max="147" width="13.85546875" bestFit="1" customWidth="1"/>
    <col min="148" max="148" width="16.42578125" bestFit="1" customWidth="1"/>
    <col min="149" max="149" width="9" bestFit="1" customWidth="1"/>
    <col min="150" max="150" width="8" bestFit="1" customWidth="1"/>
    <col min="151" max="152" width="7" bestFit="1" customWidth="1"/>
    <col min="153" max="153" width="19.5703125" bestFit="1" customWidth="1"/>
    <col min="154" max="154" width="16.28515625" bestFit="1" customWidth="1"/>
    <col min="155" max="155" width="19.42578125" bestFit="1" customWidth="1"/>
    <col min="156" max="156" width="15.85546875" bestFit="1" customWidth="1"/>
    <col min="157" max="159" width="6" bestFit="1" customWidth="1"/>
    <col min="160" max="160" width="19" bestFit="1" customWidth="1"/>
    <col min="161" max="161" width="12.85546875" bestFit="1" customWidth="1"/>
    <col min="162" max="162" width="16" bestFit="1" customWidth="1"/>
    <col min="163" max="163" width="18.140625" bestFit="1" customWidth="1"/>
    <col min="164" max="165" width="6" bestFit="1" customWidth="1"/>
    <col min="166" max="166" width="7" bestFit="1" customWidth="1"/>
    <col min="167" max="167" width="3.140625" bestFit="1" customWidth="1"/>
    <col min="168" max="168" width="21.42578125" bestFit="1" customWidth="1"/>
    <col min="169" max="169" width="19.28515625" bestFit="1" customWidth="1"/>
    <col min="170" max="170" width="22.42578125" bestFit="1" customWidth="1"/>
    <col min="171" max="171" width="19.85546875" bestFit="1" customWidth="1"/>
    <col min="172" max="172" width="7" bestFit="1" customWidth="1"/>
    <col min="173" max="173" width="6" bestFit="1" customWidth="1"/>
    <col min="174" max="174" width="5" bestFit="1" customWidth="1"/>
    <col min="175" max="175" width="7" bestFit="1" customWidth="1"/>
    <col min="176" max="176" width="23" bestFit="1" customWidth="1"/>
    <col min="177" max="177" width="15.7109375" bestFit="1" customWidth="1"/>
    <col min="178" max="180" width="6" bestFit="1" customWidth="1"/>
    <col min="181" max="181" width="3.140625" bestFit="1" customWidth="1"/>
    <col min="182" max="182" width="18.85546875" bestFit="1" customWidth="1"/>
    <col min="183" max="183" width="18.140625" bestFit="1" customWidth="1"/>
    <col min="184" max="184" width="6" bestFit="1" customWidth="1"/>
    <col min="185" max="185" width="8" bestFit="1" customWidth="1"/>
    <col min="186" max="186" width="7" bestFit="1" customWidth="1"/>
    <col min="187" max="187" width="21.42578125" bestFit="1" customWidth="1"/>
    <col min="188" max="188" width="25.85546875" bestFit="1" customWidth="1"/>
    <col min="189" max="189" width="4" bestFit="1" customWidth="1"/>
    <col min="190" max="190" width="29" bestFit="1" customWidth="1"/>
    <col min="191" max="191" width="32.28515625" bestFit="1" customWidth="1"/>
    <col min="192" max="192" width="7" bestFit="1" customWidth="1"/>
    <col min="193" max="193" width="5" bestFit="1" customWidth="1"/>
    <col min="194" max="194" width="9" bestFit="1" customWidth="1"/>
    <col min="195" max="195" width="6" bestFit="1" customWidth="1"/>
    <col min="196" max="196" width="12" bestFit="1" customWidth="1"/>
    <col min="197" max="197" width="8" bestFit="1" customWidth="1"/>
    <col min="198" max="198" width="6" bestFit="1" customWidth="1"/>
    <col min="199" max="199" width="35.42578125" bestFit="1" customWidth="1"/>
    <col min="200" max="200" width="11.5703125" bestFit="1" customWidth="1"/>
    <col min="201" max="201" width="8" bestFit="1" customWidth="1"/>
    <col min="202" max="203" width="7" bestFit="1" customWidth="1"/>
    <col min="204" max="205" width="9" bestFit="1" customWidth="1"/>
    <col min="206" max="206" width="8" bestFit="1" customWidth="1"/>
    <col min="207" max="207" width="14.7109375" bestFit="1" customWidth="1"/>
    <col min="208" max="208" width="21.28515625" bestFit="1" customWidth="1"/>
    <col min="209" max="209" width="8" bestFit="1" customWidth="1"/>
    <col min="210" max="210" width="9" bestFit="1" customWidth="1"/>
    <col min="211" max="211" width="24.42578125" bestFit="1" customWidth="1"/>
    <col min="212" max="212" width="24" bestFit="1" customWidth="1"/>
    <col min="213" max="214" width="6" bestFit="1" customWidth="1"/>
    <col min="215" max="215" width="27.140625" bestFit="1" customWidth="1"/>
    <col min="216" max="216" width="33" bestFit="1" customWidth="1"/>
    <col min="217" max="217" width="36.140625" bestFit="1" customWidth="1"/>
    <col min="218" max="218" width="24.85546875" bestFit="1" customWidth="1"/>
    <col min="219" max="219" width="6" bestFit="1" customWidth="1"/>
    <col min="220" max="220" width="28" bestFit="1" customWidth="1"/>
    <col min="221" max="221" width="14.42578125" bestFit="1" customWidth="1"/>
    <col min="222" max="225" width="6" bestFit="1" customWidth="1"/>
    <col min="226" max="226" width="17.7109375" bestFit="1" customWidth="1"/>
    <col min="227" max="227" width="16.28515625" bestFit="1" customWidth="1"/>
    <col min="228" max="228" width="8" bestFit="1" customWidth="1"/>
    <col min="229" max="229" width="3.140625" bestFit="1" customWidth="1"/>
    <col min="230" max="230" width="10" bestFit="1" customWidth="1"/>
    <col min="231" max="231" width="19.42578125" bestFit="1" customWidth="1"/>
    <col min="232" max="232" width="11.42578125" bestFit="1" customWidth="1"/>
    <col min="233" max="233" width="9" bestFit="1" customWidth="1"/>
    <col min="234" max="234" width="6" bestFit="1" customWidth="1"/>
    <col min="235" max="235" width="7" bestFit="1" customWidth="1"/>
    <col min="236" max="237" width="6" bestFit="1" customWidth="1"/>
    <col min="238" max="238" width="7" bestFit="1" customWidth="1"/>
    <col min="239" max="239" width="14.5703125" bestFit="1" customWidth="1"/>
    <col min="240" max="240" width="27.42578125" bestFit="1" customWidth="1"/>
    <col min="241" max="242" width="8" bestFit="1" customWidth="1"/>
    <col min="243" max="243" width="6" bestFit="1" customWidth="1"/>
    <col min="244" max="244" width="11" bestFit="1" customWidth="1"/>
    <col min="245" max="245" width="8" bestFit="1" customWidth="1"/>
    <col min="246" max="246" width="30.5703125" bestFit="1" customWidth="1"/>
    <col min="247" max="247" width="33.42578125" bestFit="1" customWidth="1"/>
    <col min="248" max="248" width="7" bestFit="1" customWidth="1"/>
    <col min="249" max="249" width="3.42578125" bestFit="1" customWidth="1"/>
    <col min="250" max="250" width="8" bestFit="1" customWidth="1"/>
    <col min="251" max="251" width="7" bestFit="1" customWidth="1"/>
    <col min="252" max="252" width="6" bestFit="1" customWidth="1"/>
    <col min="253" max="253" width="36.5703125" bestFit="1" customWidth="1"/>
    <col min="254" max="254" width="11.7109375" bestFit="1" customWidth="1"/>
    <col min="255" max="255" width="14.85546875" bestFit="1" customWidth="1"/>
    <col min="256" max="256" width="46.5703125" bestFit="1" customWidth="1"/>
    <col min="257" max="258" width="6" bestFit="1" customWidth="1"/>
    <col min="259" max="259" width="8" bestFit="1" customWidth="1"/>
    <col min="260" max="260" width="7" bestFit="1" customWidth="1"/>
    <col min="261" max="262" width="8" bestFit="1" customWidth="1"/>
    <col min="263" max="263" width="49.7109375" bestFit="1" customWidth="1"/>
    <col min="264" max="264" width="24.7109375" bestFit="1" customWidth="1"/>
    <col min="265" max="265" width="27.85546875" bestFit="1" customWidth="1"/>
    <col min="266" max="266" width="10.85546875" bestFit="1" customWidth="1"/>
    <col min="267" max="267" width="14" bestFit="1" customWidth="1"/>
    <col min="268" max="268" width="21.5703125" bestFit="1" customWidth="1"/>
    <col min="269" max="269" width="8" bestFit="1" customWidth="1"/>
    <col min="270" max="270" width="24.7109375" bestFit="1" customWidth="1"/>
    <col min="271" max="271" width="19.5703125" bestFit="1" customWidth="1"/>
    <col min="272" max="272" width="10" bestFit="1" customWidth="1"/>
    <col min="273" max="273" width="5" bestFit="1" customWidth="1"/>
    <col min="274" max="274" width="8" bestFit="1" customWidth="1"/>
    <col min="275" max="275" width="9" bestFit="1" customWidth="1"/>
    <col min="276" max="276" width="7" bestFit="1" customWidth="1"/>
    <col min="277" max="277" width="22.7109375" bestFit="1" customWidth="1"/>
    <col min="278" max="278" width="34" bestFit="1" customWidth="1"/>
    <col min="279" max="279" width="37.140625" bestFit="1" customWidth="1"/>
    <col min="280" max="280" width="19.7109375" bestFit="1" customWidth="1"/>
    <col min="281" max="281" width="22.85546875" bestFit="1" customWidth="1"/>
    <col min="282" max="282" width="43.28515625" bestFit="1" customWidth="1"/>
    <col min="283" max="283" width="10" bestFit="1" customWidth="1"/>
    <col min="284" max="285" width="7" bestFit="1" customWidth="1"/>
    <col min="286" max="286" width="4" bestFit="1" customWidth="1"/>
    <col min="287" max="287" width="9" bestFit="1" customWidth="1"/>
    <col min="288" max="289" width="8" bestFit="1" customWidth="1"/>
    <col min="290" max="290" width="46.5703125" bestFit="1" customWidth="1"/>
    <col min="291" max="291" width="44.5703125" bestFit="1" customWidth="1"/>
    <col min="292" max="292" width="9" bestFit="1" customWidth="1"/>
    <col min="293" max="293" width="7" bestFit="1" customWidth="1"/>
    <col min="294" max="294" width="3.5703125" bestFit="1" customWidth="1"/>
    <col min="295" max="295" width="6" bestFit="1" customWidth="1"/>
    <col min="296" max="296" width="11" bestFit="1" customWidth="1"/>
    <col min="297" max="297" width="9" bestFit="1" customWidth="1"/>
    <col min="298" max="298" width="7" bestFit="1" customWidth="1"/>
    <col min="299" max="299" width="47.7109375" bestFit="1" customWidth="1"/>
    <col min="300" max="300" width="40.5703125" bestFit="1" customWidth="1"/>
    <col min="301" max="301" width="3.5703125" bestFit="1" customWidth="1"/>
    <col min="302" max="302" width="43.7109375" bestFit="1" customWidth="1"/>
    <col min="303" max="303" width="12" bestFit="1" customWidth="1"/>
    <col min="304" max="304" width="15.140625" bestFit="1" customWidth="1"/>
    <col min="305" max="305" width="26.7109375" bestFit="1" customWidth="1"/>
    <col min="306" max="306" width="7" bestFit="1" customWidth="1"/>
    <col min="307" max="307" width="30" bestFit="1" customWidth="1"/>
    <col min="308" max="308" width="17.28515625" bestFit="1" customWidth="1"/>
    <col min="309" max="309" width="20.42578125" bestFit="1" customWidth="1"/>
    <col min="310" max="310" width="9.7109375" bestFit="1" customWidth="1"/>
    <col min="311" max="311" width="6" bestFit="1" customWidth="1"/>
    <col min="312" max="312" width="12.7109375" bestFit="1" customWidth="1"/>
    <col min="313" max="313" width="17" bestFit="1" customWidth="1"/>
    <col min="314" max="316" width="7" bestFit="1" customWidth="1"/>
    <col min="317" max="317" width="6" bestFit="1" customWidth="1"/>
    <col min="318" max="319" width="9" bestFit="1" customWidth="1"/>
    <col min="320" max="320" width="20.140625" bestFit="1" customWidth="1"/>
    <col min="321" max="321" width="15.28515625" bestFit="1" customWidth="1"/>
    <col min="322" max="322" width="6" bestFit="1" customWidth="1"/>
    <col min="323" max="324" width="7" bestFit="1" customWidth="1"/>
    <col min="325" max="325" width="9" bestFit="1" customWidth="1"/>
    <col min="326" max="326" width="18.42578125" bestFit="1" customWidth="1"/>
    <col min="327" max="327" width="21.28515625" bestFit="1" customWidth="1"/>
    <col min="328" max="328" width="8" bestFit="1" customWidth="1"/>
    <col min="329" max="329" width="9" bestFit="1" customWidth="1"/>
    <col min="330" max="330" width="24.42578125" bestFit="1" customWidth="1"/>
    <col min="331" max="331" width="10.140625" bestFit="1" customWidth="1"/>
    <col min="332" max="332" width="10" bestFit="1" customWidth="1"/>
    <col min="333" max="333" width="7" bestFit="1" customWidth="1"/>
    <col min="334" max="336" width="6" bestFit="1" customWidth="1"/>
    <col min="337" max="337" width="7" bestFit="1" customWidth="1"/>
    <col min="338" max="338" width="11" bestFit="1" customWidth="1"/>
    <col min="339" max="339" width="8" bestFit="1" customWidth="1"/>
    <col min="340" max="340" width="7" bestFit="1" customWidth="1"/>
    <col min="341" max="341" width="13.28515625" bestFit="1" customWidth="1"/>
    <col min="342" max="342" width="25.7109375" bestFit="1" customWidth="1"/>
    <col min="343" max="343" width="28.85546875" bestFit="1" customWidth="1"/>
    <col min="344" max="344" width="37" bestFit="1" customWidth="1"/>
    <col min="345" max="345" width="6" bestFit="1" customWidth="1"/>
    <col min="346" max="346" width="40.140625" bestFit="1" customWidth="1"/>
    <col min="347" max="347" width="24.140625" bestFit="1" customWidth="1"/>
    <col min="348" max="348" width="10" bestFit="1" customWidth="1"/>
    <col min="349" max="350" width="6" bestFit="1" customWidth="1"/>
    <col min="351" max="351" width="8" bestFit="1" customWidth="1"/>
    <col min="352" max="352" width="9" bestFit="1" customWidth="1"/>
    <col min="353" max="353" width="8" bestFit="1" customWidth="1"/>
    <col min="354" max="354" width="27.28515625" bestFit="1" customWidth="1"/>
    <col min="355" max="355" width="53.85546875" bestFit="1" customWidth="1"/>
    <col min="356" max="356" width="6" bestFit="1" customWidth="1"/>
    <col min="357" max="357" width="57" bestFit="1" customWidth="1"/>
    <col min="358" max="358" width="18.85546875" bestFit="1" customWidth="1"/>
    <col min="359" max="359" width="22.140625" bestFit="1" customWidth="1"/>
    <col min="360" max="360" width="30.85546875" bestFit="1" customWidth="1"/>
    <col min="361" max="361" width="9" bestFit="1" customWidth="1"/>
    <col min="362" max="362" width="34.140625" bestFit="1" customWidth="1"/>
    <col min="363" max="363" width="53" bestFit="1" customWidth="1"/>
    <col min="364" max="364" width="6" bestFit="1" customWidth="1"/>
    <col min="365" max="365" width="7" bestFit="1" customWidth="1"/>
    <col min="366" max="366" width="4" bestFit="1" customWidth="1"/>
    <col min="367" max="367" width="6" bestFit="1" customWidth="1"/>
    <col min="368" max="368" width="56.140625" bestFit="1" customWidth="1"/>
    <col min="369" max="369" width="14.42578125" bestFit="1" customWidth="1"/>
    <col min="370" max="370" width="4" bestFit="1" customWidth="1"/>
    <col min="371" max="371" width="7" bestFit="1" customWidth="1"/>
    <col min="372" max="372" width="8" bestFit="1" customWidth="1"/>
    <col min="373" max="373" width="17.7109375" bestFit="1" customWidth="1"/>
    <col min="374" max="374" width="35" bestFit="1" customWidth="1"/>
    <col min="375" max="375" width="7" bestFit="1" customWidth="1"/>
    <col min="376" max="376" width="9" bestFit="1" customWidth="1"/>
    <col min="377" max="377" width="38.28515625" bestFit="1" customWidth="1"/>
    <col min="378" max="378" width="35.28515625" bestFit="1" customWidth="1"/>
    <col min="379" max="379" width="10" bestFit="1" customWidth="1"/>
    <col min="380" max="382" width="8" bestFit="1" customWidth="1"/>
    <col min="383" max="383" width="7" bestFit="1" customWidth="1"/>
    <col min="384" max="384" width="38.5703125" bestFit="1" customWidth="1"/>
    <col min="385" max="385" width="20.7109375" bestFit="1" customWidth="1"/>
    <col min="386" max="386" width="10" bestFit="1" customWidth="1"/>
    <col min="387" max="387" width="6" bestFit="1" customWidth="1"/>
    <col min="388" max="389" width="8" bestFit="1" customWidth="1"/>
    <col min="390" max="390" width="7" bestFit="1" customWidth="1"/>
    <col min="391" max="391" width="23.85546875" bestFit="1" customWidth="1"/>
    <col min="392" max="392" width="24.28515625" bestFit="1" customWidth="1"/>
    <col min="393" max="393" width="7" bestFit="1" customWidth="1"/>
    <col min="394" max="394" width="6" bestFit="1" customWidth="1"/>
    <col min="395" max="395" width="27.42578125" bestFit="1" customWidth="1"/>
    <col min="396" max="396" width="25.28515625" bestFit="1" customWidth="1"/>
    <col min="397" max="397" width="12" bestFit="1" customWidth="1"/>
    <col min="398" max="398" width="6" bestFit="1" customWidth="1"/>
    <col min="399" max="401" width="9" bestFit="1" customWidth="1"/>
    <col min="402" max="402" width="28.42578125" bestFit="1" customWidth="1"/>
    <col min="403" max="403" width="12" bestFit="1" customWidth="1"/>
    <col min="404" max="404" width="44.7109375" bestFit="1" customWidth="1"/>
    <col min="405" max="405" width="17.7109375" bestFit="1" customWidth="1"/>
    <col min="406" max="406" width="41.42578125" bestFit="1" customWidth="1"/>
    <col min="407" max="407" width="42.7109375" bestFit="1" customWidth="1"/>
    <col min="408" max="408" width="8.28515625" bestFit="1" customWidth="1"/>
    <col min="409" max="409" width="22.28515625" bestFit="1" customWidth="1"/>
    <col min="410" max="410" width="23.42578125" bestFit="1" customWidth="1"/>
    <col min="411" max="411" width="10" bestFit="1" customWidth="1"/>
    <col min="412" max="412" width="28.28515625" bestFit="1" customWidth="1"/>
    <col min="413" max="413" width="15.7109375" bestFit="1" customWidth="1"/>
    <col min="414" max="414" width="26.28515625" bestFit="1" customWidth="1"/>
    <col min="415" max="415" width="11.5703125" bestFit="1" customWidth="1"/>
    <col min="416" max="416" width="16.85546875" bestFit="1" customWidth="1"/>
    <col min="417" max="417" width="11.140625" bestFit="1" customWidth="1"/>
    <col min="418" max="418" width="29.28515625" bestFit="1" customWidth="1"/>
    <col min="419" max="419" width="26.42578125" bestFit="1" customWidth="1"/>
    <col min="420" max="420" width="12.28515625" bestFit="1" customWidth="1"/>
    <col min="421" max="421" width="28" bestFit="1" customWidth="1"/>
    <col min="422" max="422" width="13.85546875" bestFit="1" customWidth="1"/>
    <col min="423" max="423" width="16.28515625" bestFit="1" customWidth="1"/>
    <col min="424" max="424" width="30.42578125" bestFit="1" customWidth="1"/>
    <col min="425" max="425" width="9.7109375" bestFit="1" customWidth="1"/>
    <col min="426" max="426" width="19.42578125" bestFit="1" customWidth="1"/>
    <col min="427" max="427" width="25.5703125" bestFit="1" customWidth="1"/>
    <col min="428" max="428" width="31.5703125" bestFit="1" customWidth="1"/>
    <col min="429" max="429" width="44.7109375" bestFit="1" customWidth="1"/>
    <col min="430" max="430" width="19.7109375" bestFit="1" customWidth="1"/>
    <col min="431" max="431" width="42.7109375" bestFit="1" customWidth="1"/>
    <col min="432" max="432" width="8.28515625" bestFit="1" customWidth="1"/>
    <col min="433" max="433" width="22.28515625" bestFit="1" customWidth="1"/>
    <col min="434" max="434" width="33.42578125" bestFit="1" customWidth="1"/>
    <col min="435" max="435" width="18.85546875" bestFit="1" customWidth="1"/>
    <col min="436" max="436" width="23.42578125" bestFit="1" customWidth="1"/>
    <col min="437" max="437" width="10" bestFit="1" customWidth="1"/>
    <col min="438" max="438" width="22.5703125" bestFit="1" customWidth="1"/>
    <col min="439" max="439" width="15.85546875" bestFit="1" customWidth="1"/>
    <col min="440" max="440" width="15.7109375" bestFit="1" customWidth="1"/>
    <col min="441" max="441" width="8.7109375" bestFit="1" customWidth="1"/>
    <col min="442" max="442" width="16.85546875" bestFit="1" customWidth="1"/>
    <col min="443" max="443" width="29.28515625" bestFit="1" customWidth="1"/>
    <col min="444" max="444" width="25.7109375" bestFit="1" customWidth="1"/>
    <col min="445" max="445" width="26.42578125" bestFit="1" customWidth="1"/>
    <col min="446" max="446" width="32.140625" bestFit="1" customWidth="1"/>
    <col min="447" max="447" width="13.28515625" bestFit="1" customWidth="1"/>
    <col min="448" max="448" width="16.28515625" bestFit="1" customWidth="1"/>
    <col min="449" max="449" width="30.42578125" bestFit="1" customWidth="1"/>
    <col min="450" max="450" width="14.42578125" bestFit="1" customWidth="1"/>
    <col min="451" max="451" width="9.5703125" bestFit="1" customWidth="1"/>
    <col min="452" max="452" width="25.5703125" bestFit="1" customWidth="1"/>
    <col min="453" max="453" width="9.85546875" bestFit="1" customWidth="1"/>
    <col min="454" max="454" width="44.7109375" bestFit="1" customWidth="1"/>
    <col min="455" max="455" width="17.7109375" bestFit="1" customWidth="1"/>
    <col min="456" max="456" width="41.42578125" bestFit="1" customWidth="1"/>
    <col min="457" max="457" width="42.7109375" bestFit="1" customWidth="1"/>
    <col min="458" max="458" width="24.85546875" bestFit="1" customWidth="1"/>
    <col min="459" max="459" width="8.28515625" bestFit="1" customWidth="1"/>
    <col min="460" max="460" width="33.42578125" bestFit="1" customWidth="1"/>
    <col min="461" max="461" width="18.85546875" bestFit="1" customWidth="1"/>
    <col min="462" max="462" width="23.42578125" bestFit="1" customWidth="1"/>
    <col min="463" max="463" width="10" bestFit="1" customWidth="1"/>
    <col min="464" max="464" width="22.5703125" bestFit="1" customWidth="1"/>
    <col min="465" max="465" width="15.7109375" bestFit="1" customWidth="1"/>
    <col min="466" max="466" width="8.7109375" bestFit="1" customWidth="1"/>
    <col min="467" max="467" width="16.85546875" bestFit="1" customWidth="1"/>
    <col min="468" max="468" width="25.7109375" bestFit="1" customWidth="1"/>
    <col min="469" max="469" width="32.140625" bestFit="1" customWidth="1"/>
    <col min="470" max="470" width="13.28515625" bestFit="1" customWidth="1"/>
    <col min="471" max="471" width="14.5703125" bestFit="1" customWidth="1"/>
    <col min="472" max="472" width="18" bestFit="1" customWidth="1"/>
    <col min="473" max="473" width="16.28515625" bestFit="1" customWidth="1"/>
    <col min="474" max="474" width="30.42578125" bestFit="1" customWidth="1"/>
    <col min="475" max="475" width="9.7109375" bestFit="1" customWidth="1"/>
    <col min="476" max="476" width="19.42578125" bestFit="1" customWidth="1"/>
    <col min="477" max="477" width="14.42578125" bestFit="1" customWidth="1"/>
    <col min="478" max="478" width="9.5703125" bestFit="1" customWidth="1"/>
    <col min="479" max="479" width="25.5703125" bestFit="1" customWidth="1"/>
    <col min="480" max="480" width="17.7109375" bestFit="1" customWidth="1"/>
    <col min="481" max="481" width="41.42578125" bestFit="1" customWidth="1"/>
    <col min="482" max="482" width="15.140625" bestFit="1" customWidth="1"/>
    <col min="483" max="483" width="13.42578125" bestFit="1" customWidth="1"/>
    <col min="484" max="484" width="8.28515625" bestFit="1" customWidth="1"/>
    <col min="485" max="485" width="22.28515625" bestFit="1" customWidth="1"/>
    <col min="486" max="486" width="51.140625" bestFit="1" customWidth="1"/>
    <col min="487" max="487" width="33.42578125" bestFit="1" customWidth="1"/>
    <col min="488" max="488" width="18.85546875" bestFit="1" customWidth="1"/>
    <col min="489" max="489" width="23.42578125" bestFit="1" customWidth="1"/>
    <col min="490" max="490" width="10" bestFit="1" customWidth="1"/>
    <col min="491" max="491" width="22.5703125" bestFit="1" customWidth="1"/>
    <col min="492" max="492" width="15.7109375" bestFit="1" customWidth="1"/>
    <col min="493" max="493" width="28.7109375" bestFit="1" customWidth="1"/>
    <col min="494" max="494" width="8.7109375" bestFit="1" customWidth="1"/>
    <col min="495" max="495" width="16.85546875" bestFit="1" customWidth="1"/>
    <col min="496" max="496" width="25.7109375" bestFit="1" customWidth="1"/>
    <col min="497" max="497" width="12.28515625" bestFit="1" customWidth="1"/>
    <col min="498" max="498" width="13.28515625" bestFit="1" customWidth="1"/>
    <col min="499" max="499" width="8.85546875" bestFit="1" customWidth="1"/>
    <col min="500" max="500" width="16.28515625" bestFit="1" customWidth="1"/>
    <col min="501" max="501" width="18" bestFit="1" customWidth="1"/>
    <col min="502" max="502" width="30.42578125" bestFit="1" customWidth="1"/>
    <col min="503" max="503" width="9.7109375" bestFit="1" customWidth="1"/>
    <col min="504" max="504" width="22.140625" bestFit="1" customWidth="1"/>
    <col min="505" max="505" width="9.5703125" bestFit="1" customWidth="1"/>
    <col min="506" max="506" width="25.5703125" bestFit="1" customWidth="1"/>
    <col min="507" max="507" width="44.7109375" bestFit="1" customWidth="1"/>
    <col min="508" max="508" width="17.7109375" bestFit="1" customWidth="1"/>
    <col min="509" max="509" width="41.42578125" bestFit="1" customWidth="1"/>
    <col min="510" max="510" width="42.7109375" bestFit="1" customWidth="1"/>
    <col min="511" max="511" width="15.140625" bestFit="1" customWidth="1"/>
    <col min="512" max="512" width="8.28515625" bestFit="1" customWidth="1"/>
    <col min="513" max="513" width="22.28515625" bestFit="1" customWidth="1"/>
    <col min="514" max="514" width="12.5703125" bestFit="1" customWidth="1"/>
    <col min="515" max="515" width="33.42578125" bestFit="1" customWidth="1"/>
    <col min="516" max="516" width="18.85546875" bestFit="1" customWidth="1"/>
    <col min="517" max="517" width="23.42578125" bestFit="1" customWidth="1"/>
    <col min="518" max="518" width="9.85546875" bestFit="1" customWidth="1"/>
    <col min="519" max="519" width="22.5703125" bestFit="1" customWidth="1"/>
    <col min="520" max="520" width="17.85546875" bestFit="1" customWidth="1"/>
    <col min="521" max="521" width="28.28515625" bestFit="1" customWidth="1"/>
    <col min="522" max="522" width="15.7109375" bestFit="1" customWidth="1"/>
    <col min="523" max="523" width="8.7109375" bestFit="1" customWidth="1"/>
    <col min="524" max="524" width="25.7109375" bestFit="1" customWidth="1"/>
    <col min="525" max="525" width="16.85546875" bestFit="1" customWidth="1"/>
    <col min="526" max="526" width="17.28515625" bestFit="1" customWidth="1"/>
    <col min="527" max="527" width="29.28515625" bestFit="1" customWidth="1"/>
    <col min="528" max="528" width="26.42578125" bestFit="1" customWidth="1"/>
    <col min="529" max="529" width="16.5703125" bestFit="1" customWidth="1"/>
    <col min="530" max="530" width="13.28515625" bestFit="1" customWidth="1"/>
    <col min="531" max="531" width="14.5703125" bestFit="1" customWidth="1"/>
    <col min="532" max="532" width="18" bestFit="1" customWidth="1"/>
    <col min="533" max="533" width="16.28515625" bestFit="1" customWidth="1"/>
    <col min="534" max="534" width="30.42578125" bestFit="1" customWidth="1"/>
    <col min="535" max="535" width="9.7109375" bestFit="1" customWidth="1"/>
    <col min="536" max="536" width="9.5703125" bestFit="1" customWidth="1"/>
    <col min="537" max="537" width="22.85546875" bestFit="1" customWidth="1"/>
    <col min="538" max="538" width="19.7109375" bestFit="1" customWidth="1"/>
    <col min="539" max="539" width="17.7109375" bestFit="1" customWidth="1"/>
    <col min="540" max="540" width="41.42578125" bestFit="1" customWidth="1"/>
    <col min="541" max="541" width="42.7109375" bestFit="1" customWidth="1"/>
    <col min="542" max="542" width="13.42578125" bestFit="1" customWidth="1"/>
    <col min="543" max="543" width="19.42578125" bestFit="1" customWidth="1"/>
    <col min="544" max="544" width="8.28515625" bestFit="1" customWidth="1"/>
    <col min="545" max="545" width="22.28515625" bestFit="1" customWidth="1"/>
    <col min="546" max="546" width="33.42578125" bestFit="1" customWidth="1"/>
    <col min="547" max="547" width="18.85546875" bestFit="1" customWidth="1"/>
    <col min="548" max="548" width="23.42578125" bestFit="1" customWidth="1"/>
    <col min="549" max="549" width="10" bestFit="1" customWidth="1"/>
    <col min="550" max="550" width="15.7109375" bestFit="1" customWidth="1"/>
    <col min="551" max="551" width="8.7109375" bestFit="1" customWidth="1"/>
    <col min="552" max="552" width="8.85546875" bestFit="1" customWidth="1"/>
    <col min="553" max="553" width="16.85546875" bestFit="1" customWidth="1"/>
    <col min="554" max="554" width="26.42578125" bestFit="1" customWidth="1"/>
    <col min="555" max="555" width="13.28515625" bestFit="1" customWidth="1"/>
    <col min="556" max="556" width="16.28515625" bestFit="1" customWidth="1"/>
    <col min="557" max="557" width="17.42578125" bestFit="1" customWidth="1"/>
    <col min="558" max="558" width="16.28515625" bestFit="1" customWidth="1"/>
    <col min="559" max="559" width="30.42578125" bestFit="1" customWidth="1"/>
    <col min="560" max="560" width="9.7109375" bestFit="1" customWidth="1"/>
    <col min="561" max="561" width="19.42578125" bestFit="1" customWidth="1"/>
    <col min="562" max="562" width="22.140625" bestFit="1" customWidth="1"/>
    <col min="563" max="563" width="14.42578125" bestFit="1" customWidth="1"/>
    <col min="564" max="564" width="9.5703125" bestFit="1" customWidth="1"/>
    <col min="565" max="565" width="25.5703125" bestFit="1" customWidth="1"/>
    <col min="566" max="566" width="17.7109375" bestFit="1" customWidth="1"/>
    <col min="567" max="567" width="41.42578125" bestFit="1" customWidth="1"/>
    <col min="568" max="568" width="42.7109375" bestFit="1" customWidth="1"/>
    <col min="569" max="569" width="9" bestFit="1" customWidth="1"/>
    <col min="570" max="570" width="22.28515625" bestFit="1" customWidth="1"/>
    <col min="571" max="571" width="18.85546875" bestFit="1" customWidth="1"/>
    <col min="572" max="572" width="23.42578125" bestFit="1" customWidth="1"/>
    <col min="573" max="573" width="10" bestFit="1" customWidth="1"/>
    <col min="574" max="574" width="15.7109375" bestFit="1" customWidth="1"/>
    <col min="575" max="575" width="8.7109375" bestFit="1" customWidth="1"/>
    <col min="576" max="576" width="16.85546875" bestFit="1" customWidth="1"/>
    <col min="577" max="577" width="29.28515625" bestFit="1" customWidth="1"/>
    <col min="578" max="578" width="32.140625" bestFit="1" customWidth="1"/>
    <col min="579" max="579" width="12.28515625" bestFit="1" customWidth="1"/>
    <col min="580" max="580" width="13.28515625" bestFit="1" customWidth="1"/>
    <col min="581" max="581" width="14.5703125" bestFit="1" customWidth="1"/>
    <col min="582" max="582" width="16.28515625" bestFit="1" customWidth="1"/>
    <col min="583" max="583" width="30.42578125" bestFit="1" customWidth="1"/>
    <col min="584" max="584" width="9.7109375" bestFit="1" customWidth="1"/>
    <col min="585" max="585" width="22.140625" bestFit="1" customWidth="1"/>
    <col min="586" max="586" width="12.5703125" bestFit="1" customWidth="1"/>
    <col min="587" max="587" width="9.5703125" bestFit="1" customWidth="1"/>
    <col min="588" max="588" width="44.7109375" bestFit="1" customWidth="1"/>
    <col min="589" max="589" width="17.7109375" bestFit="1" customWidth="1"/>
    <col min="590" max="590" width="41.42578125" bestFit="1" customWidth="1"/>
    <col min="591" max="591" width="42.7109375" bestFit="1" customWidth="1"/>
    <col min="592" max="592" width="15.140625" bestFit="1" customWidth="1"/>
    <col min="593" max="593" width="13.42578125" bestFit="1" customWidth="1"/>
    <col min="594" max="594" width="8.28515625" bestFit="1" customWidth="1"/>
    <col min="595" max="595" width="22.28515625" bestFit="1" customWidth="1"/>
    <col min="596" max="596" width="33.42578125" bestFit="1" customWidth="1"/>
    <col min="597" max="597" width="18.85546875" bestFit="1" customWidth="1"/>
    <col min="598" max="598" width="23.42578125" bestFit="1" customWidth="1"/>
    <col min="599" max="599" width="10" bestFit="1" customWidth="1"/>
    <col min="600" max="600" width="22.5703125" bestFit="1" customWidth="1"/>
    <col min="601" max="601" width="15.7109375" bestFit="1" customWidth="1"/>
    <col min="602" max="602" width="8.7109375" bestFit="1" customWidth="1"/>
    <col min="603" max="603" width="16.85546875" bestFit="1" customWidth="1"/>
    <col min="604" max="604" width="17.28515625" bestFit="1" customWidth="1"/>
    <col min="605" max="605" width="29.28515625" bestFit="1" customWidth="1"/>
    <col min="606" max="606" width="26.42578125" bestFit="1" customWidth="1"/>
    <col min="607" max="607" width="12.28515625" bestFit="1" customWidth="1"/>
    <col min="608" max="608" width="13.28515625" bestFit="1" customWidth="1"/>
    <col min="609" max="609" width="16.28515625" bestFit="1" customWidth="1"/>
    <col min="610" max="610" width="18" bestFit="1" customWidth="1"/>
    <col min="611" max="611" width="30.42578125" bestFit="1" customWidth="1"/>
    <col min="612" max="612" width="9.7109375" bestFit="1" customWidth="1"/>
    <col min="613" max="613" width="22.140625" bestFit="1" customWidth="1"/>
    <col min="614" max="614" width="14.42578125" bestFit="1" customWidth="1"/>
    <col min="615" max="615" width="9.5703125" bestFit="1" customWidth="1"/>
    <col min="616" max="616" width="25.5703125" bestFit="1" customWidth="1"/>
    <col min="617" max="617" width="31.5703125" bestFit="1" customWidth="1"/>
    <col min="618" max="618" width="44.7109375" bestFit="1" customWidth="1"/>
    <col min="619" max="619" width="17.7109375" bestFit="1" customWidth="1"/>
    <col min="620" max="620" width="41.42578125" bestFit="1" customWidth="1"/>
    <col min="621" max="621" width="42.7109375" bestFit="1" customWidth="1"/>
    <col min="622" max="622" width="15.140625" bestFit="1" customWidth="1"/>
    <col min="623" max="623" width="19.42578125" bestFit="1" customWidth="1"/>
    <col min="624" max="624" width="10" bestFit="1" customWidth="1"/>
    <col min="625" max="625" width="22.28515625" bestFit="1" customWidth="1"/>
    <col min="626" max="626" width="52" bestFit="1" customWidth="1"/>
    <col min="627" max="627" width="29" bestFit="1" customWidth="1"/>
    <col min="628" max="628" width="33.42578125" bestFit="1" customWidth="1"/>
    <col min="629" max="629" width="18.85546875" bestFit="1" customWidth="1"/>
    <col min="630" max="630" width="23.42578125" bestFit="1" customWidth="1"/>
    <col min="631" max="631" width="12" bestFit="1" customWidth="1"/>
    <col min="632" max="632" width="22.5703125" bestFit="1" customWidth="1"/>
    <col min="633" max="633" width="24.28515625" bestFit="1" customWidth="1"/>
    <col min="634" max="634" width="34.5703125" bestFit="1" customWidth="1"/>
    <col min="635" max="635" width="15.7109375" bestFit="1" customWidth="1"/>
    <col min="636" max="636" width="8.7109375" bestFit="1" customWidth="1"/>
    <col min="637" max="637" width="29.28515625" bestFit="1" customWidth="1"/>
    <col min="638" max="638" width="26.42578125" bestFit="1" customWidth="1"/>
    <col min="639" max="639" width="12.28515625" bestFit="1" customWidth="1"/>
    <col min="640" max="640" width="13.28515625" bestFit="1" customWidth="1"/>
    <col min="641" max="641" width="14.5703125" bestFit="1" customWidth="1"/>
    <col min="642" max="642" width="14" bestFit="1" customWidth="1"/>
    <col min="643" max="644" width="16.28515625" bestFit="1" customWidth="1"/>
    <col min="645" max="645" width="9.7109375" bestFit="1" customWidth="1"/>
    <col min="646" max="646" width="9.5703125" bestFit="1" customWidth="1"/>
    <col min="647" max="647" width="25.5703125" bestFit="1" customWidth="1"/>
    <col min="648" max="648" width="22.85546875" bestFit="1" customWidth="1"/>
    <col min="649" max="649" width="17.7109375" bestFit="1" customWidth="1"/>
    <col min="650" max="650" width="41.42578125" bestFit="1" customWidth="1"/>
    <col min="651" max="651" width="42.7109375" bestFit="1" customWidth="1"/>
    <col min="652" max="652" width="38.7109375" bestFit="1" customWidth="1"/>
    <col min="653" max="653" width="15.140625" bestFit="1" customWidth="1"/>
    <col min="654" max="654" width="13.42578125" bestFit="1" customWidth="1"/>
    <col min="655" max="655" width="8.28515625" bestFit="1" customWidth="1"/>
    <col min="656" max="656" width="22.28515625" bestFit="1" customWidth="1"/>
    <col min="657" max="657" width="29" bestFit="1" customWidth="1"/>
    <col min="658" max="658" width="33.42578125" bestFit="1" customWidth="1"/>
    <col min="659" max="659" width="18.85546875" bestFit="1" customWidth="1"/>
    <col min="660" max="660" width="23.42578125" bestFit="1" customWidth="1"/>
    <col min="661" max="661" width="12" bestFit="1" customWidth="1"/>
    <col min="662" max="662" width="22.5703125" bestFit="1" customWidth="1"/>
    <col min="663" max="663" width="28.28515625" bestFit="1" customWidth="1"/>
    <col min="664" max="664" width="15.7109375" bestFit="1" customWidth="1"/>
    <col min="665" max="665" width="8.7109375" bestFit="1" customWidth="1"/>
    <col min="666" max="666" width="9" bestFit="1" customWidth="1"/>
    <col min="667" max="667" width="23.7109375" bestFit="1" customWidth="1"/>
    <col min="668" max="668" width="16.85546875" bestFit="1" customWidth="1"/>
    <col min="669" max="669" width="29.28515625" bestFit="1" customWidth="1"/>
    <col min="670" max="670" width="12.28515625" bestFit="1" customWidth="1"/>
    <col min="671" max="671" width="13.28515625" bestFit="1" customWidth="1"/>
    <col min="672" max="672" width="9" bestFit="1" customWidth="1"/>
    <col min="673" max="673" width="11" bestFit="1" customWidth="1"/>
    <col min="674" max="674" width="13.85546875" bestFit="1" customWidth="1"/>
    <col min="675" max="675" width="30.42578125" bestFit="1" customWidth="1"/>
    <col min="676" max="676" width="10" bestFit="1" customWidth="1"/>
    <col min="677" max="677" width="9.5703125" bestFit="1" customWidth="1"/>
    <col min="678" max="678" width="25.5703125" bestFit="1" customWidth="1"/>
    <col min="679" max="679" width="9.85546875" bestFit="1" customWidth="1"/>
    <col min="680" max="680" width="44.7109375" bestFit="1" customWidth="1"/>
    <col min="681" max="681" width="19.7109375" bestFit="1" customWidth="1"/>
    <col min="682" max="682" width="17.7109375" bestFit="1" customWidth="1"/>
    <col min="683" max="683" width="41.42578125" bestFit="1" customWidth="1"/>
    <col min="684" max="684" width="42.7109375" bestFit="1" customWidth="1"/>
    <col min="685" max="685" width="15.140625" bestFit="1" customWidth="1"/>
    <col min="686" max="686" width="13.42578125" bestFit="1" customWidth="1"/>
    <col min="687" max="687" width="19.42578125" bestFit="1" customWidth="1"/>
    <col min="688" max="688" width="8.28515625" bestFit="1" customWidth="1"/>
    <col min="689" max="689" width="22.28515625" bestFit="1" customWidth="1"/>
    <col min="690" max="690" width="33.42578125" bestFit="1" customWidth="1"/>
    <col min="691" max="691" width="18.85546875" bestFit="1" customWidth="1"/>
    <col min="692" max="692" width="12" bestFit="1" customWidth="1"/>
    <col min="693" max="693" width="22.5703125" bestFit="1" customWidth="1"/>
    <col min="694" max="694" width="13.5703125" bestFit="1" customWidth="1"/>
    <col min="695" max="695" width="8.7109375" bestFit="1" customWidth="1"/>
    <col min="696" max="696" width="16.85546875" bestFit="1" customWidth="1"/>
    <col min="697" max="697" width="29.28515625" bestFit="1" customWidth="1"/>
    <col min="698" max="698" width="26.42578125" bestFit="1" customWidth="1"/>
    <col min="699" max="699" width="32.140625" bestFit="1" customWidth="1"/>
    <col min="700" max="700" width="13.28515625" bestFit="1" customWidth="1"/>
    <col min="701" max="701" width="16.28515625" bestFit="1" customWidth="1"/>
    <col min="702" max="702" width="30.42578125" bestFit="1" customWidth="1"/>
    <col min="703" max="703" width="9.7109375" bestFit="1" customWidth="1"/>
    <col min="704" max="704" width="44.7109375" bestFit="1" customWidth="1"/>
    <col min="705" max="705" width="17.7109375" bestFit="1" customWidth="1"/>
    <col min="706" max="706" width="41.42578125" bestFit="1" customWidth="1"/>
    <col min="707" max="707" width="42.7109375" bestFit="1" customWidth="1"/>
    <col min="708" max="708" width="24.85546875" bestFit="1" customWidth="1"/>
    <col min="709" max="709" width="15.140625" bestFit="1" customWidth="1"/>
    <col min="710" max="710" width="13.42578125" bestFit="1" customWidth="1"/>
    <col min="711" max="711" width="19.42578125" bestFit="1" customWidth="1"/>
    <col min="712" max="712" width="9" bestFit="1" customWidth="1"/>
    <col min="713" max="713" width="22.28515625" bestFit="1" customWidth="1"/>
    <col min="714" max="714" width="12.5703125" bestFit="1" customWidth="1"/>
    <col min="715" max="715" width="33.140625" bestFit="1" customWidth="1"/>
    <col min="716" max="716" width="18.85546875" bestFit="1" customWidth="1"/>
    <col min="717" max="717" width="23.42578125" bestFit="1" customWidth="1"/>
    <col min="718" max="718" width="12" bestFit="1" customWidth="1"/>
    <col min="719" max="719" width="22.5703125" bestFit="1" customWidth="1"/>
    <col min="720" max="720" width="34.5703125" bestFit="1" customWidth="1"/>
    <col min="721" max="721" width="15.7109375" bestFit="1" customWidth="1"/>
    <col min="722" max="722" width="26.28515625" bestFit="1" customWidth="1"/>
    <col min="723" max="723" width="16.85546875" bestFit="1" customWidth="1"/>
    <col min="724" max="724" width="17.28515625" bestFit="1" customWidth="1"/>
    <col min="725" max="725" width="29.28515625" bestFit="1" customWidth="1"/>
    <col min="726" max="726" width="12.28515625" bestFit="1" customWidth="1"/>
    <col min="727" max="727" width="13.28515625" bestFit="1" customWidth="1"/>
    <col min="728" max="728" width="14.5703125" bestFit="1" customWidth="1"/>
    <col min="729" max="729" width="14" bestFit="1" customWidth="1"/>
    <col min="730" max="730" width="30.42578125" bestFit="1" customWidth="1"/>
    <col min="731" max="731" width="22.140625" bestFit="1" customWidth="1"/>
    <col min="732" max="732" width="14.42578125" bestFit="1" customWidth="1"/>
    <col min="733" max="733" width="9.5703125" bestFit="1" customWidth="1"/>
    <col min="734" max="734" width="25.5703125" bestFit="1" customWidth="1"/>
    <col min="735" max="735" width="31.5703125" bestFit="1" customWidth="1"/>
    <col min="736" max="736" width="44.7109375" bestFit="1" customWidth="1"/>
    <col min="737" max="737" width="17.7109375" bestFit="1" customWidth="1"/>
    <col min="738" max="738" width="41.42578125" bestFit="1" customWidth="1"/>
    <col min="739" max="739" width="42.7109375" bestFit="1" customWidth="1"/>
    <col min="740" max="740" width="15.140625" bestFit="1" customWidth="1"/>
    <col min="741" max="741" width="9" bestFit="1" customWidth="1"/>
    <col min="742" max="742" width="22.28515625" bestFit="1" customWidth="1"/>
    <col min="743" max="743" width="52" bestFit="1" customWidth="1"/>
    <col min="744" max="744" width="29" bestFit="1" customWidth="1"/>
    <col min="745" max="745" width="33.140625" bestFit="1" customWidth="1"/>
    <col min="746" max="746" width="18.85546875" bestFit="1" customWidth="1"/>
    <col min="747" max="747" width="23.42578125" bestFit="1" customWidth="1"/>
    <col min="748" max="749" width="12" bestFit="1" customWidth="1"/>
    <col min="750" max="750" width="22.28515625" bestFit="1" customWidth="1"/>
    <col min="751" max="751" width="51.140625" bestFit="1" customWidth="1"/>
    <col min="752" max="752" width="18.85546875" bestFit="1" customWidth="1"/>
    <col min="753" max="753" width="10" bestFit="1" customWidth="1"/>
    <col min="754" max="754" width="22.5703125" bestFit="1" customWidth="1"/>
    <col min="755" max="755" width="9.5703125" bestFit="1" customWidth="1"/>
    <col min="756" max="756" width="13.42578125" bestFit="1" customWidth="1"/>
    <col min="757" max="757" width="8.28515625" bestFit="1" customWidth="1"/>
    <col min="758" max="758" width="22.5703125" bestFit="1" customWidth="1"/>
    <col min="759" max="759" width="15.7109375" bestFit="1" customWidth="1"/>
    <col min="760" max="760" width="32.140625" bestFit="1" customWidth="1"/>
    <col min="761" max="761" width="13.28515625" bestFit="1" customWidth="1"/>
    <col min="762" max="762" width="16.28515625" bestFit="1" customWidth="1"/>
    <col min="763" max="763" width="30.42578125" bestFit="1" customWidth="1"/>
    <col min="764" max="764" width="9.7109375" bestFit="1" customWidth="1"/>
    <col min="765" max="765" width="19.42578125" bestFit="1" customWidth="1"/>
    <col min="766" max="766" width="14.42578125" bestFit="1" customWidth="1"/>
    <col min="767" max="767" width="25.5703125" bestFit="1" customWidth="1"/>
    <col min="768" max="768" width="41.42578125" bestFit="1" customWidth="1"/>
    <col min="769" max="769" width="8.28515625" bestFit="1" customWidth="1"/>
    <col min="770" max="770" width="33.42578125" bestFit="1" customWidth="1"/>
    <col min="771" max="771" width="23.42578125" bestFit="1" customWidth="1"/>
    <col min="772" max="772" width="9" bestFit="1" customWidth="1"/>
    <col min="773" max="773" width="25.7109375" bestFit="1" customWidth="1"/>
    <col min="774" max="774" width="15.140625" bestFit="1" customWidth="1"/>
    <col min="775" max="775" width="18.85546875" bestFit="1" customWidth="1"/>
    <col min="776" max="776" width="23.42578125" bestFit="1" customWidth="1"/>
    <col min="777" max="777" width="8.42578125" bestFit="1" customWidth="1"/>
    <col min="778" max="778" width="15.7109375" bestFit="1" customWidth="1"/>
    <col min="779" max="779" width="18" bestFit="1" customWidth="1"/>
    <col min="780" max="780" width="22.28515625" bestFit="1" customWidth="1"/>
    <col min="781" max="781" width="8" bestFit="1" customWidth="1"/>
    <col min="782" max="782" width="10" bestFit="1" customWidth="1"/>
    <col min="783" max="783" width="22.5703125" bestFit="1" customWidth="1"/>
    <col min="784" max="784" width="16.85546875" bestFit="1" customWidth="1"/>
    <col min="785" max="785" width="12.28515625" bestFit="1" customWidth="1"/>
    <col min="786" max="786" width="13.28515625" bestFit="1" customWidth="1"/>
    <col min="787" max="787" width="16.28515625" bestFit="1" customWidth="1"/>
    <col min="788" max="788" width="18" bestFit="1" customWidth="1"/>
    <col min="789" max="789" width="9.5703125" bestFit="1" customWidth="1"/>
    <col min="790" max="790" width="44.7109375" bestFit="1" customWidth="1"/>
    <col min="791" max="791" width="42.7109375" bestFit="1" customWidth="1"/>
    <col min="792" max="792" width="8.28515625" bestFit="1" customWidth="1"/>
    <col min="793" max="793" width="33.42578125" bestFit="1" customWidth="1"/>
    <col min="794" max="794" width="9" bestFit="1" customWidth="1"/>
    <col min="795" max="795" width="8.7109375" bestFit="1" customWidth="1"/>
    <col min="796" max="796" width="8.85546875" bestFit="1" customWidth="1"/>
    <col min="797" max="797" width="9.7109375" bestFit="1" customWidth="1"/>
    <col min="798" max="798" width="33.42578125" bestFit="1" customWidth="1"/>
    <col min="799" max="799" width="9" bestFit="1" customWidth="1"/>
    <col min="800" max="800" width="25.5703125" bestFit="1" customWidth="1"/>
    <col min="801" max="801" width="41.42578125" bestFit="1" customWidth="1"/>
    <col min="802" max="802" width="8.85546875" bestFit="1" customWidth="1"/>
    <col min="803" max="803" width="8.28515625" bestFit="1" customWidth="1"/>
    <col min="804" max="804" width="8.140625" bestFit="1" customWidth="1"/>
    <col min="805" max="805" width="15.7109375" bestFit="1" customWidth="1"/>
    <col min="806" max="806" width="22.28515625" bestFit="1" customWidth="1"/>
    <col min="807" max="807" width="8.28515625" bestFit="1" customWidth="1"/>
    <col min="808" max="808" width="28.7109375" bestFit="1" customWidth="1"/>
    <col min="809" max="809" width="25.7109375" bestFit="1" customWidth="1"/>
    <col min="810" max="810" width="13.28515625" bestFit="1" customWidth="1"/>
    <col min="811" max="811" width="30.42578125" bestFit="1" customWidth="1"/>
    <col min="812" max="812" width="22.140625" bestFit="1" customWidth="1"/>
    <col min="813" max="813" width="25.5703125" bestFit="1" customWidth="1"/>
    <col min="814" max="814" width="44.7109375" bestFit="1" customWidth="1"/>
    <col min="815" max="815" width="41.42578125" bestFit="1" customWidth="1"/>
    <col min="816" max="816" width="22.28515625" bestFit="1" customWidth="1"/>
    <col min="817" max="817" width="12.5703125" bestFit="1" customWidth="1"/>
    <col min="818" max="818" width="33.42578125" bestFit="1" customWidth="1"/>
    <col min="819" max="819" width="18.85546875" bestFit="1" customWidth="1"/>
    <col min="820" max="820" width="23.42578125" bestFit="1" customWidth="1"/>
    <col min="821" max="821" width="9" bestFit="1" customWidth="1"/>
    <col min="822" max="822" width="16.28515625" bestFit="1" customWidth="1"/>
    <col min="823" max="823" width="8" bestFit="1" customWidth="1"/>
    <col min="824" max="824" width="30.42578125" bestFit="1" customWidth="1"/>
    <col min="825" max="825" width="17.7109375" bestFit="1" customWidth="1"/>
    <col min="826" max="826" width="42.7109375" bestFit="1" customWidth="1"/>
    <col min="827" max="827" width="15.140625" bestFit="1" customWidth="1"/>
    <col min="828" max="828" width="23.42578125" bestFit="1" customWidth="1"/>
    <col min="829" max="829" width="8.42578125" bestFit="1" customWidth="1"/>
    <col min="830" max="830" width="18" bestFit="1" customWidth="1"/>
    <col min="831" max="831" width="8" bestFit="1" customWidth="1"/>
    <col min="832" max="832" width="9.85546875" bestFit="1" customWidth="1"/>
    <col min="833" max="833" width="22.5703125" bestFit="1" customWidth="1"/>
    <col min="834" max="834" width="8.7109375" bestFit="1" customWidth="1"/>
    <col min="835" max="835" width="16.85546875" bestFit="1" customWidth="1"/>
    <col min="836" max="836" width="29.28515625" bestFit="1" customWidth="1"/>
    <col min="837" max="837" width="13.28515625" bestFit="1" customWidth="1"/>
    <col min="838" max="838" width="9.7109375" bestFit="1" customWidth="1"/>
    <col min="839" max="839" width="41.42578125" bestFit="1" customWidth="1"/>
    <col min="840" max="840" width="42.7109375" bestFit="1" customWidth="1"/>
    <col min="841" max="841" width="8.28515625" bestFit="1" customWidth="1"/>
    <col min="842" max="842" width="22.28515625" bestFit="1" customWidth="1"/>
    <col min="843" max="843" width="33.42578125" bestFit="1" customWidth="1"/>
    <col min="844" max="844" width="18.85546875" bestFit="1" customWidth="1"/>
    <col min="845" max="845" width="23.42578125" bestFit="1" customWidth="1"/>
    <col min="846" max="846" width="9" bestFit="1" customWidth="1"/>
    <col min="847" max="847" width="15.7109375" bestFit="1" customWidth="1"/>
    <col min="848" max="848" width="26.42578125" bestFit="1" customWidth="1"/>
    <col min="849" max="849" width="13.28515625" bestFit="1" customWidth="1"/>
    <col min="850" max="850" width="17.7109375" bestFit="1" customWidth="1"/>
    <col min="851" max="851" width="41.42578125" bestFit="1" customWidth="1"/>
    <col min="852" max="852" width="42.7109375" bestFit="1" customWidth="1"/>
    <col min="853" max="853" width="9" bestFit="1" customWidth="1"/>
    <col min="854" max="855" width="8.28515625" bestFit="1" customWidth="1"/>
    <col min="856" max="856" width="25.7109375" bestFit="1" customWidth="1"/>
    <col min="857" max="857" width="16.5703125" bestFit="1" customWidth="1"/>
    <col min="858" max="858" width="18" bestFit="1" customWidth="1"/>
    <col min="859" max="859" width="16.28515625" bestFit="1" customWidth="1"/>
    <col min="860" max="860" width="30.42578125" bestFit="1" customWidth="1"/>
    <col min="861" max="861" width="22.85546875" bestFit="1" customWidth="1"/>
    <col min="862" max="862" width="19.7109375" bestFit="1" customWidth="1"/>
    <col min="863" max="863" width="17.7109375" bestFit="1" customWidth="1"/>
    <col min="864" max="864" width="41.42578125" bestFit="1" customWidth="1"/>
    <col min="865" max="865" width="13.42578125" bestFit="1" customWidth="1"/>
    <col min="866" max="866" width="19.42578125" bestFit="1" customWidth="1"/>
    <col min="867" max="867" width="8.28515625" bestFit="1" customWidth="1"/>
    <col min="868" max="868" width="9" bestFit="1" customWidth="1"/>
    <col min="869" max="869" width="17.85546875" bestFit="1" customWidth="1"/>
    <col min="870" max="870" width="28.28515625" bestFit="1" customWidth="1"/>
    <col min="871" max="871" width="17.28515625" bestFit="1" customWidth="1"/>
    <col min="872" max="872" width="14.5703125" bestFit="1" customWidth="1"/>
    <col min="873" max="873" width="41.42578125" bestFit="1" customWidth="1"/>
    <col min="874" max="874" width="13.42578125" bestFit="1" customWidth="1"/>
    <col min="875" max="875" width="8.42578125" bestFit="1" customWidth="1"/>
    <col min="876" max="876" width="8.7109375" bestFit="1" customWidth="1"/>
    <col min="877" max="877" width="9.5703125" bestFit="1" customWidth="1"/>
    <col min="878" max="878" width="8.28515625" bestFit="1" customWidth="1"/>
    <col min="879" max="879" width="8" bestFit="1" customWidth="1"/>
    <col min="880" max="880" width="10" bestFit="1" customWidth="1"/>
    <col min="881" max="881" width="9.7109375" bestFit="1" customWidth="1"/>
    <col min="882" max="882" width="42.7109375" bestFit="1" customWidth="1"/>
    <col min="883" max="884" width="8.28515625" bestFit="1" customWidth="1"/>
    <col min="885" max="885" width="8.7109375" bestFit="1" customWidth="1"/>
    <col min="886" max="886" width="16.85546875" bestFit="1" customWidth="1"/>
    <col min="887" max="887" width="17.7109375" bestFit="1" customWidth="1"/>
    <col min="888" max="888" width="22.28515625" bestFit="1" customWidth="1"/>
    <col min="889" max="889" width="9" bestFit="1" customWidth="1"/>
    <col min="890" max="890" width="26.42578125" bestFit="1" customWidth="1"/>
    <col min="891" max="891" width="8.85546875" bestFit="1" customWidth="1"/>
    <col min="892" max="892" width="9.7109375" bestFit="1" customWidth="1"/>
    <col min="893" max="893" width="25.5703125" bestFit="1" customWidth="1"/>
    <col min="894" max="894" width="8.42578125" bestFit="1" customWidth="1"/>
    <col min="895" max="895" width="8.85546875" bestFit="1" customWidth="1"/>
    <col min="896" max="896" width="26.42578125" bestFit="1" customWidth="1"/>
    <col min="897" max="897" width="13.28515625" bestFit="1" customWidth="1"/>
    <col min="898" max="899" width="16.28515625" bestFit="1" customWidth="1"/>
    <col min="900" max="900" width="30.42578125" bestFit="1" customWidth="1"/>
    <col min="901" max="901" width="22.140625" bestFit="1" customWidth="1"/>
    <col min="902" max="902" width="9.5703125" bestFit="1" customWidth="1"/>
    <col min="903" max="903" width="25.5703125" bestFit="1" customWidth="1"/>
    <col min="904" max="904" width="17.7109375" bestFit="1" customWidth="1"/>
    <col min="905" max="905" width="41.42578125" bestFit="1" customWidth="1"/>
    <col min="906" max="906" width="8.28515625" bestFit="1" customWidth="1"/>
    <col min="907" max="907" width="18.85546875" bestFit="1" customWidth="1"/>
    <col min="908" max="908" width="23.42578125" bestFit="1" customWidth="1"/>
    <col min="909" max="909" width="9" bestFit="1" customWidth="1"/>
    <col min="910" max="910" width="15.7109375" bestFit="1" customWidth="1"/>
    <col min="911" max="911" width="17.42578125" bestFit="1" customWidth="1"/>
    <col min="912" max="912" width="19.42578125" bestFit="1" customWidth="1"/>
    <col min="913" max="913" width="14.42578125" bestFit="1" customWidth="1"/>
    <col min="914" max="914" width="41.42578125" bestFit="1" customWidth="1"/>
    <col min="915" max="915" width="42.7109375" bestFit="1" customWidth="1"/>
    <col min="916" max="916" width="18.85546875" bestFit="1" customWidth="1"/>
    <col min="917" max="917" width="9" bestFit="1" customWidth="1"/>
    <col min="918" max="918" width="9.7109375" bestFit="1" customWidth="1"/>
    <col min="919" max="919" width="41.42578125" bestFit="1" customWidth="1"/>
    <col min="920" max="920" width="8" bestFit="1" customWidth="1"/>
    <col min="921" max="921" width="10" bestFit="1" customWidth="1"/>
    <col min="922" max="922" width="16.85546875" bestFit="1" customWidth="1"/>
    <col min="923" max="923" width="13.28515625" bestFit="1" customWidth="1"/>
    <col min="924" max="924" width="14.5703125" bestFit="1" customWidth="1"/>
    <col min="925" max="925" width="9.7109375" bestFit="1" customWidth="1"/>
    <col min="926" max="926" width="44.7109375" bestFit="1" customWidth="1"/>
    <col min="927" max="927" width="41.42578125" bestFit="1" customWidth="1"/>
    <col min="928" max="928" width="15.140625" bestFit="1" customWidth="1"/>
    <col min="929" max="929" width="13.42578125" bestFit="1" customWidth="1"/>
    <col min="930" max="930" width="8.28515625" bestFit="1" customWidth="1"/>
    <col min="931" max="931" width="33.42578125" bestFit="1" customWidth="1"/>
    <col min="932" max="932" width="10" bestFit="1" customWidth="1"/>
    <col min="933" max="933" width="8.7109375" bestFit="1" customWidth="1"/>
    <col min="934" max="934" width="14.5703125" bestFit="1" customWidth="1"/>
    <col min="935" max="935" width="12.5703125" bestFit="1" customWidth="1"/>
    <col min="936" max="936" width="42.7109375" bestFit="1" customWidth="1"/>
    <col min="937" max="937" width="22.28515625" bestFit="1" customWidth="1"/>
    <col min="938" max="938" width="8.140625" bestFit="1" customWidth="1"/>
    <col min="939" max="939" width="29.28515625" bestFit="1" customWidth="1"/>
    <col min="940" max="940" width="16.28515625" bestFit="1" customWidth="1"/>
    <col min="941" max="941" width="23.42578125" bestFit="1" customWidth="1"/>
    <col min="942" max="942" width="8.85546875" bestFit="1" customWidth="1"/>
    <col min="943" max="943" width="29.28515625" bestFit="1" customWidth="1"/>
    <col min="944" max="944" width="32.140625" bestFit="1" customWidth="1"/>
    <col min="945" max="945" width="12.28515625" bestFit="1" customWidth="1"/>
    <col min="946" max="946" width="13.28515625" bestFit="1" customWidth="1"/>
    <col min="947" max="947" width="30.42578125" bestFit="1" customWidth="1"/>
    <col min="948" max="948" width="17.7109375" bestFit="1" customWidth="1"/>
    <col min="949" max="949" width="41.42578125" bestFit="1" customWidth="1"/>
    <col min="950" max="950" width="18.85546875" bestFit="1" customWidth="1"/>
    <col min="951" max="951" width="23.42578125" bestFit="1" customWidth="1"/>
    <col min="952" max="952" width="8.7109375" bestFit="1" customWidth="1"/>
    <col min="953" max="953" width="15.7109375" bestFit="1" customWidth="1"/>
    <col min="954" max="954" width="29.28515625" bestFit="1" customWidth="1"/>
    <col min="955" max="955" width="30.42578125" bestFit="1" customWidth="1"/>
    <col min="956" max="956" width="22.140625" bestFit="1" customWidth="1"/>
    <col min="957" max="957" width="44.7109375" bestFit="1" customWidth="1"/>
    <col min="958" max="958" width="8.42578125" bestFit="1" customWidth="1"/>
    <col min="959" max="959" width="9.5703125" bestFit="1" customWidth="1"/>
    <col min="960" max="960" width="15.140625" bestFit="1" customWidth="1"/>
    <col min="961" max="961" width="8.28515625" bestFit="1" customWidth="1"/>
    <col min="962" max="962" width="8" bestFit="1" customWidth="1"/>
    <col min="963" max="963" width="10" bestFit="1" customWidth="1"/>
    <col min="964" max="964" width="15.7109375" bestFit="1" customWidth="1"/>
    <col min="965" max="965" width="8.7109375" bestFit="1" customWidth="1"/>
    <col min="966" max="966" width="16.85546875" bestFit="1" customWidth="1"/>
    <col min="967" max="967" width="12.28515625" bestFit="1" customWidth="1"/>
    <col min="968" max="968" width="16.28515625" bestFit="1" customWidth="1"/>
    <col min="969" max="969" width="18" bestFit="1" customWidth="1"/>
    <col min="970" max="970" width="9.5703125" bestFit="1" customWidth="1"/>
    <col min="971" max="971" width="44.7109375" bestFit="1" customWidth="1"/>
    <col min="972" max="972" width="41.42578125" bestFit="1" customWidth="1"/>
    <col min="973" max="973" width="42.7109375" bestFit="1" customWidth="1"/>
    <col min="974" max="974" width="15.140625" bestFit="1" customWidth="1"/>
    <col min="975" max="975" width="8.28515625" bestFit="1" customWidth="1"/>
    <col min="976" max="976" width="22.28515625" bestFit="1" customWidth="1"/>
    <col min="977" max="977" width="29" bestFit="1" customWidth="1"/>
    <col min="978" max="978" width="33.42578125" bestFit="1" customWidth="1"/>
    <col min="979" max="979" width="18.85546875" bestFit="1" customWidth="1"/>
    <col min="980" max="980" width="11" bestFit="1" customWidth="1"/>
    <col min="981" max="981" width="8.7109375" bestFit="1" customWidth="1"/>
    <col min="982" max="982" width="16.85546875" bestFit="1" customWidth="1"/>
    <col min="983" max="983" width="41.42578125" bestFit="1" customWidth="1"/>
    <col min="984" max="984" width="15.140625" bestFit="1" customWidth="1"/>
    <col min="985" max="985" width="22.28515625" bestFit="1" customWidth="1"/>
    <col min="986" max="986" width="52" bestFit="1" customWidth="1"/>
    <col min="987" max="987" width="33.42578125" bestFit="1" customWidth="1"/>
    <col min="988" max="988" width="23.42578125" bestFit="1" customWidth="1"/>
    <col min="989" max="989" width="10" bestFit="1" customWidth="1"/>
    <col min="990" max="990" width="9.5703125" bestFit="1" customWidth="1"/>
    <col min="991" max="991" width="42.7109375" bestFit="1" customWidth="1"/>
    <col min="992" max="992" width="33.42578125" bestFit="1" customWidth="1"/>
    <col min="993" max="993" width="9" bestFit="1" customWidth="1"/>
    <col min="994" max="994" width="23.42578125" bestFit="1" customWidth="1"/>
    <col min="995" max="995" width="8.42578125" bestFit="1" customWidth="1"/>
    <col min="996" max="996" width="22.5703125" bestFit="1" customWidth="1"/>
    <col min="997" max="997" width="15.7109375" bestFit="1" customWidth="1"/>
    <col min="998" max="998" width="29.28515625" bestFit="1" customWidth="1"/>
    <col min="999" max="999" width="26.42578125" bestFit="1" customWidth="1"/>
    <col min="1000" max="1000" width="12.28515625" bestFit="1" customWidth="1"/>
    <col min="1001" max="1001" width="13.28515625" bestFit="1" customWidth="1"/>
    <col min="1002" max="1002" width="30.42578125" bestFit="1" customWidth="1"/>
    <col min="1003" max="1003" width="9.7109375" bestFit="1" customWidth="1"/>
    <col min="1004" max="1004" width="22.140625" bestFit="1" customWidth="1"/>
    <col min="1005" max="1005" width="14.42578125" bestFit="1" customWidth="1"/>
    <col min="1006" max="1006" width="25.5703125" bestFit="1" customWidth="1"/>
    <col min="1007" max="1007" width="31.5703125" bestFit="1" customWidth="1"/>
    <col min="1008" max="1008" width="17.7109375" bestFit="1" customWidth="1"/>
    <col min="1009" max="1009" width="42.7109375" bestFit="1" customWidth="1"/>
    <col min="1010" max="1010" width="19.42578125" bestFit="1" customWidth="1"/>
    <col min="1011" max="1011" width="9" bestFit="1" customWidth="1"/>
    <col min="1012" max="1012" width="22.28515625" bestFit="1" customWidth="1"/>
    <col min="1013" max="1013" width="23.42578125" bestFit="1" customWidth="1"/>
    <col min="1014" max="1014" width="12" bestFit="1" customWidth="1"/>
    <col min="1015" max="1015" width="22.5703125" bestFit="1" customWidth="1"/>
    <col min="1016" max="1016" width="17.28515625" bestFit="1" customWidth="1"/>
    <col min="1017" max="1017" width="26.42578125" bestFit="1" customWidth="1"/>
    <col min="1018" max="1018" width="10" bestFit="1" customWidth="1"/>
    <col min="1019" max="1019" width="30.42578125" bestFit="1" customWidth="1"/>
    <col min="1020" max="1020" width="41.42578125" bestFit="1" customWidth="1"/>
    <col min="1021" max="1021" width="8" bestFit="1" customWidth="1"/>
    <col min="1022" max="1022" width="12" bestFit="1" customWidth="1"/>
    <col min="1023" max="1023" width="8.7109375" bestFit="1" customWidth="1"/>
    <col min="1024" max="1024" width="12.28515625" bestFit="1" customWidth="1"/>
    <col min="1025" max="1025" width="13.28515625" bestFit="1" customWidth="1"/>
    <col min="1026" max="1026" width="14.5703125" bestFit="1" customWidth="1"/>
    <col min="1027" max="1027" width="14" bestFit="1" customWidth="1"/>
    <col min="1028" max="1028" width="16.28515625" bestFit="1" customWidth="1"/>
    <col min="1029" max="1029" width="9.5703125" bestFit="1" customWidth="1"/>
    <col min="1030" max="1030" width="25.5703125" bestFit="1" customWidth="1"/>
    <col min="1031" max="1031" width="41.42578125" bestFit="1" customWidth="1"/>
    <col min="1032" max="1032" width="42.7109375" bestFit="1" customWidth="1"/>
    <col min="1033" max="1033" width="8.28515625" bestFit="1" customWidth="1"/>
    <col min="1034" max="1034" width="22.28515625" bestFit="1" customWidth="1"/>
    <col min="1035" max="1035" width="29" bestFit="1" customWidth="1"/>
    <col min="1036" max="1036" width="33.42578125" bestFit="1" customWidth="1"/>
    <col min="1037" max="1037" width="10" bestFit="1" customWidth="1"/>
    <col min="1038" max="1038" width="17.7109375" bestFit="1" customWidth="1"/>
    <col min="1039" max="1039" width="42.7109375" bestFit="1" customWidth="1"/>
    <col min="1040" max="1040" width="33.42578125" bestFit="1" customWidth="1"/>
    <col min="1041" max="1041" width="9" bestFit="1" customWidth="1"/>
    <col min="1042" max="1042" width="17.7109375" bestFit="1" customWidth="1"/>
    <col min="1043" max="1043" width="8.85546875" bestFit="1" customWidth="1"/>
    <col min="1044" max="1044" width="34.5703125" bestFit="1" customWidth="1"/>
    <col min="1045" max="1045" width="33.42578125" bestFit="1" customWidth="1"/>
    <col min="1046" max="1046" width="8.140625" bestFit="1" customWidth="1"/>
    <col min="1047" max="1047" width="26.42578125" bestFit="1" customWidth="1"/>
    <col min="1048" max="1048" width="8.28515625" bestFit="1" customWidth="1"/>
    <col min="1049" max="1049" width="24.28515625" bestFit="1" customWidth="1"/>
    <col min="1050" max="1050" width="15.7109375" bestFit="1" customWidth="1"/>
    <col min="1051" max="1051" width="26.42578125" bestFit="1" customWidth="1"/>
    <col min="1052" max="1052" width="14" bestFit="1" customWidth="1"/>
    <col min="1053" max="1053" width="25.5703125" bestFit="1" customWidth="1"/>
    <col min="1054" max="1054" width="22.85546875" bestFit="1" customWidth="1"/>
    <col min="1055" max="1055" width="41.42578125" bestFit="1" customWidth="1"/>
    <col min="1056" max="1056" width="42.7109375" bestFit="1" customWidth="1"/>
    <col min="1057" max="1057" width="18.85546875" bestFit="1" customWidth="1"/>
    <col min="1058" max="1058" width="23.42578125" bestFit="1" customWidth="1"/>
    <col min="1059" max="1059" width="9" bestFit="1" customWidth="1"/>
    <col min="1060" max="1060" width="15.7109375" bestFit="1" customWidth="1"/>
    <col min="1061" max="1061" width="29.28515625" bestFit="1" customWidth="1"/>
    <col min="1062" max="1062" width="26.42578125" bestFit="1" customWidth="1"/>
    <col min="1063" max="1063" width="16.28515625" bestFit="1" customWidth="1"/>
    <col min="1064" max="1064" width="9.7109375" bestFit="1" customWidth="1"/>
    <col min="1065" max="1065" width="17.7109375" bestFit="1" customWidth="1"/>
    <col min="1066" max="1066" width="38.7109375" bestFit="1" customWidth="1"/>
    <col min="1067" max="1067" width="13.42578125" bestFit="1" customWidth="1"/>
    <col min="1068" max="1068" width="33.42578125" bestFit="1" customWidth="1"/>
    <col min="1069" max="1069" width="11" bestFit="1" customWidth="1"/>
    <col min="1070" max="1070" width="22.5703125" bestFit="1" customWidth="1"/>
    <col min="1071" max="1071" width="42.7109375" bestFit="1" customWidth="1"/>
    <col min="1072" max="1072" width="15.140625" bestFit="1" customWidth="1"/>
    <col min="1073" max="1073" width="8" bestFit="1" customWidth="1"/>
    <col min="1074" max="1074" width="12" bestFit="1" customWidth="1"/>
    <col min="1075" max="1075" width="22.5703125" bestFit="1" customWidth="1"/>
    <col min="1076" max="1076" width="8.7109375" bestFit="1" customWidth="1"/>
    <col min="1077" max="1077" width="16.85546875" bestFit="1" customWidth="1"/>
    <col min="1078" max="1078" width="29.28515625" bestFit="1" customWidth="1"/>
    <col min="1079" max="1079" width="13.28515625" bestFit="1" customWidth="1"/>
    <col min="1080" max="1080" width="9" bestFit="1" customWidth="1"/>
    <col min="1081" max="1081" width="11" bestFit="1" customWidth="1"/>
    <col min="1082" max="1082" width="10" bestFit="1" customWidth="1"/>
    <col min="1083" max="1083" width="44.7109375" bestFit="1" customWidth="1"/>
    <col min="1084" max="1084" width="41.42578125" bestFit="1" customWidth="1"/>
    <col min="1085" max="1085" width="42.7109375" bestFit="1" customWidth="1"/>
    <col min="1086" max="1086" width="15.140625" bestFit="1" customWidth="1"/>
    <col min="1087" max="1087" width="13.42578125" bestFit="1" customWidth="1"/>
    <col min="1088" max="1088" width="8.28515625" bestFit="1" customWidth="1"/>
    <col min="1089" max="1089" width="12" bestFit="1" customWidth="1"/>
    <col min="1090" max="1090" width="12.28515625" bestFit="1" customWidth="1"/>
    <col min="1091" max="1091" width="25.5703125" bestFit="1" customWidth="1"/>
    <col min="1092" max="1092" width="33.42578125" bestFit="1" customWidth="1"/>
    <col min="1093" max="1093" width="18.85546875" bestFit="1" customWidth="1"/>
    <col min="1094" max="1094" width="10" bestFit="1" customWidth="1"/>
    <col min="1095" max="1095" width="13.85546875" bestFit="1" customWidth="1"/>
    <col min="1096" max="1096" width="41.42578125" bestFit="1" customWidth="1"/>
    <col min="1097" max="1098" width="8.85546875" bestFit="1" customWidth="1"/>
    <col min="1099" max="1099" width="13.28515625" bestFit="1" customWidth="1"/>
    <col min="1100" max="1100" width="30.42578125" bestFit="1" customWidth="1"/>
    <col min="1101" max="1101" width="19.7109375" bestFit="1" customWidth="1"/>
    <col min="1102" max="1102" width="42.7109375" bestFit="1" customWidth="1"/>
    <col min="1103" max="1103" width="33.42578125" bestFit="1" customWidth="1"/>
    <col min="1104" max="1104" width="11" bestFit="1" customWidth="1"/>
    <col min="1105" max="1105" width="28.28515625" bestFit="1" customWidth="1"/>
    <col min="1106" max="1106" width="9" bestFit="1" customWidth="1"/>
    <col min="1107" max="1107" width="23.7109375" bestFit="1" customWidth="1"/>
    <col min="1108" max="1108" width="16.85546875" bestFit="1" customWidth="1"/>
    <col min="1109" max="1109" width="9.7109375" bestFit="1" customWidth="1"/>
    <col min="1110" max="1110" width="25.5703125" bestFit="1" customWidth="1"/>
    <col min="1111" max="1111" width="9.85546875" bestFit="1" customWidth="1"/>
    <col min="1112" max="1112" width="17.7109375" bestFit="1" customWidth="1"/>
    <col min="1113" max="1113" width="42.7109375" bestFit="1" customWidth="1"/>
    <col min="1114" max="1114" width="19.42578125" bestFit="1" customWidth="1"/>
    <col min="1115" max="1115" width="8.28515625" bestFit="1" customWidth="1"/>
    <col min="1116" max="1116" width="33.42578125" bestFit="1" customWidth="1"/>
    <col min="1117" max="1117" width="11" bestFit="1" customWidth="1"/>
    <col min="1118" max="1118" width="15.7109375" bestFit="1" customWidth="1"/>
    <col min="1119" max="1119" width="16.85546875" bestFit="1" customWidth="1"/>
    <col min="1120" max="1120" width="9.5703125" bestFit="1" customWidth="1"/>
    <col min="1121" max="1121" width="17.7109375" bestFit="1" customWidth="1"/>
    <col min="1122" max="1122" width="22.28515625" bestFit="1" customWidth="1"/>
    <col min="1123" max="1123" width="18.85546875" bestFit="1" customWidth="1"/>
    <col min="1124" max="1124" width="9" bestFit="1" customWidth="1"/>
    <col min="1125" max="1125" width="11" bestFit="1" customWidth="1"/>
    <col min="1126" max="1126" width="13.5703125" bestFit="1" customWidth="1"/>
    <col min="1127" max="1127" width="8.7109375" bestFit="1" customWidth="1"/>
    <col min="1128" max="1128" width="16.85546875" bestFit="1" customWidth="1"/>
    <col min="1129" max="1129" width="9.7109375" bestFit="1" customWidth="1"/>
    <col min="1130" max="1130" width="44.7109375" bestFit="1" customWidth="1"/>
    <col min="1131" max="1131" width="17.7109375" bestFit="1" customWidth="1"/>
    <col min="1132" max="1132" width="41.42578125" bestFit="1" customWidth="1"/>
    <col min="1133" max="1133" width="15.140625" bestFit="1" customWidth="1"/>
    <col min="1134" max="1134" width="9" bestFit="1" customWidth="1"/>
    <col min="1135" max="1135" width="22.28515625" bestFit="1" customWidth="1"/>
    <col min="1136" max="1136" width="33.140625" bestFit="1" customWidth="1"/>
    <col min="1137" max="1137" width="18.85546875" bestFit="1" customWidth="1"/>
    <col min="1138" max="1138" width="23.42578125" bestFit="1" customWidth="1"/>
    <col min="1139" max="1139" width="11" bestFit="1" customWidth="1"/>
    <col min="1140" max="1140" width="29.28515625" bestFit="1" customWidth="1"/>
    <col min="1141" max="1141" width="26.42578125" bestFit="1" customWidth="1"/>
    <col min="1142" max="1142" width="42.7109375" bestFit="1" customWidth="1"/>
    <col min="1143" max="1143" width="13.42578125" bestFit="1" customWidth="1"/>
    <col min="1144" max="1144" width="11" bestFit="1" customWidth="1"/>
    <col min="1145" max="1145" width="22.5703125" bestFit="1" customWidth="1"/>
    <col min="1146" max="1146" width="29.28515625" bestFit="1" customWidth="1"/>
    <col min="1147" max="1147" width="32.140625" bestFit="1" customWidth="1"/>
    <col min="1148" max="1148" width="13.28515625" bestFit="1" customWidth="1"/>
    <col min="1149" max="1149" width="30.42578125" bestFit="1" customWidth="1"/>
    <col min="1150" max="1150" width="17.7109375" bestFit="1" customWidth="1"/>
    <col min="1151" max="1151" width="42.7109375" bestFit="1" customWidth="1"/>
    <col min="1152" max="1152" width="24.85546875" bestFit="1" customWidth="1"/>
    <col min="1153" max="1153" width="19.42578125" bestFit="1" customWidth="1"/>
    <col min="1154" max="1154" width="9" bestFit="1" customWidth="1"/>
    <col min="1155" max="1155" width="23.42578125" bestFit="1" customWidth="1"/>
    <col min="1156" max="1156" width="10" bestFit="1" customWidth="1"/>
    <col min="1157" max="1157" width="29.28515625" bestFit="1" customWidth="1"/>
    <col min="1158" max="1158" width="26.42578125" bestFit="1" customWidth="1"/>
    <col min="1159" max="1159" width="16.28515625" bestFit="1" customWidth="1"/>
    <col min="1160" max="1160" width="22.28515625" bestFit="1" customWidth="1"/>
    <col min="1161" max="1161" width="12.5703125" bestFit="1" customWidth="1"/>
    <col min="1162" max="1162" width="10" bestFit="1" customWidth="1"/>
    <col min="1163" max="1163" width="44.7109375" bestFit="1" customWidth="1"/>
    <col min="1164" max="1164" width="22.28515625" bestFit="1" customWidth="1"/>
    <col min="1165" max="1165" width="33.140625" bestFit="1" customWidth="1"/>
    <col min="1166" max="1166" width="8" bestFit="1" customWidth="1"/>
    <col min="1167" max="1167" width="12" bestFit="1" customWidth="1"/>
    <col min="1168" max="1168" width="12.28515625" bestFit="1" customWidth="1"/>
    <col min="1169" max="1169" width="14.5703125" bestFit="1" customWidth="1"/>
    <col min="1170" max="1170" width="22.140625" bestFit="1" customWidth="1"/>
    <col min="1171" max="1171" width="44.7109375" bestFit="1" customWidth="1"/>
    <col min="1172" max="1172" width="41.42578125" bestFit="1" customWidth="1"/>
    <col min="1173" max="1173" width="42.7109375" bestFit="1" customWidth="1"/>
    <col min="1174" max="1174" width="15.140625" bestFit="1" customWidth="1"/>
    <col min="1175" max="1175" width="33.140625" bestFit="1" customWidth="1"/>
    <col min="1176" max="1176" width="11" bestFit="1" customWidth="1"/>
    <col min="1177" max="1177" width="22.5703125" bestFit="1" customWidth="1"/>
    <col min="1178" max="1178" width="34.5703125" bestFit="1" customWidth="1"/>
    <col min="1179" max="1179" width="29.28515625" bestFit="1" customWidth="1"/>
    <col min="1180" max="1180" width="9.5703125" bestFit="1" customWidth="1"/>
    <col min="1181" max="1181" width="41.42578125" bestFit="1" customWidth="1"/>
    <col min="1182" max="1182" width="42.7109375" bestFit="1" customWidth="1"/>
    <col min="1183" max="1183" width="9" bestFit="1" customWidth="1"/>
    <col min="1184" max="1184" width="33.140625" bestFit="1" customWidth="1"/>
    <col min="1185" max="1185" width="18.85546875" bestFit="1" customWidth="1"/>
    <col min="1186" max="1186" width="23.42578125" bestFit="1" customWidth="1"/>
    <col min="1187" max="1187" width="12" bestFit="1" customWidth="1"/>
    <col min="1188" max="1188" width="52" bestFit="1" customWidth="1"/>
    <col min="1189" max="1189" width="8.85546875" bestFit="1" customWidth="1"/>
    <col min="1190" max="1190" width="31.5703125" bestFit="1" customWidth="1"/>
    <col min="1191" max="1191" width="44.7109375" bestFit="1" customWidth="1"/>
    <col min="1192" max="1192" width="8.140625" bestFit="1" customWidth="1"/>
    <col min="1193" max="1193" width="22.5703125" bestFit="1" customWidth="1"/>
    <col min="1194" max="1194" width="15.7109375" bestFit="1" customWidth="1"/>
    <col min="1195" max="1195" width="26.28515625" bestFit="1" customWidth="1"/>
    <col min="1196" max="1196" width="29.28515625" bestFit="1" customWidth="1"/>
    <col min="1197" max="1197" width="13.28515625" bestFit="1" customWidth="1"/>
    <col min="1198" max="1198" width="14" bestFit="1" customWidth="1"/>
    <col min="1199" max="1199" width="30.42578125" bestFit="1" customWidth="1"/>
    <col min="1200" max="1200" width="14.42578125" bestFit="1" customWidth="1"/>
    <col min="1201" max="1201" width="25.5703125" bestFit="1" customWidth="1"/>
    <col min="1202" max="1202" width="31.5703125" bestFit="1" customWidth="1"/>
    <col min="1203" max="1203" width="17.7109375" bestFit="1" customWidth="1"/>
    <col min="1204" max="1204" width="42.7109375" bestFit="1" customWidth="1"/>
    <col min="1205" max="1205" width="15.140625" bestFit="1" customWidth="1"/>
    <col min="1206" max="1206" width="9" bestFit="1" customWidth="1"/>
    <col min="1207" max="1207" width="22.28515625" bestFit="1" customWidth="1"/>
    <col min="1208" max="1208" width="18.85546875" bestFit="1" customWidth="1"/>
    <col min="1209" max="1209" width="23.42578125" bestFit="1" customWidth="1"/>
    <col min="1210" max="1210" width="11" bestFit="1" customWidth="1"/>
    <col min="1211" max="1211" width="17.28515625" bestFit="1" customWidth="1"/>
    <col min="1212" max="1212" width="22.140625" bestFit="1" customWidth="1"/>
    <col min="1213" max="1213" width="42.7109375" bestFit="1" customWidth="1"/>
    <col min="1214" max="1214" width="29" bestFit="1" customWidth="1"/>
    <col min="1215" max="1215" width="23.42578125" bestFit="1" customWidth="1"/>
    <col min="1216" max="1216" width="12" bestFit="1" customWidth="1"/>
    <col min="1217" max="1217" width="16.85546875" bestFit="1" customWidth="1"/>
    <col min="1218" max="1218" width="44.7109375" bestFit="1" customWidth="1"/>
    <col min="1219" max="1219" width="33.140625" bestFit="1" customWidth="1"/>
    <col min="1220" max="1220" width="8" bestFit="1" customWidth="1"/>
    <col min="1221" max="1222" width="12" bestFit="1" customWidth="1"/>
    <col min="1223" max="1223" width="10.5703125" bestFit="1" customWidth="1"/>
    <col min="1224" max="1224" width="20.5703125" bestFit="1" customWidth="1"/>
    <col min="1225" max="1225" width="45.85546875" bestFit="1" customWidth="1"/>
    <col min="1226" max="1226" width="49.5703125" bestFit="1" customWidth="1"/>
    <col min="1227" max="1227" width="16.28515625" bestFit="1" customWidth="1"/>
    <col min="1228" max="1228" width="25.140625" bestFit="1" customWidth="1"/>
    <col min="1229" max="1229" width="53" bestFit="1" customWidth="1"/>
    <col min="1230" max="1230" width="28.5703125" bestFit="1" customWidth="1"/>
    <col min="1231" max="1231" width="24.7109375" bestFit="1" customWidth="1"/>
    <col min="1232" max="1232" width="15.5703125" bestFit="1" customWidth="1"/>
    <col min="1233" max="1233" width="7.28515625" bestFit="1" customWidth="1"/>
    <col min="1234" max="1234" width="26.28515625" bestFit="1" customWidth="1"/>
    <col min="1235" max="1235" width="12" bestFit="1" customWidth="1"/>
  </cols>
  <sheetData>
    <row r="1" spans="1:70" x14ac:dyDescent="0.25">
      <c r="A1" s="3" t="s">
        <v>16</v>
      </c>
      <c r="B1" t="s">
        <v>29</v>
      </c>
    </row>
    <row r="2" spans="1:70" x14ac:dyDescent="0.25">
      <c r="A2" s="3" t="s">
        <v>7</v>
      </c>
      <c r="B2" t="s">
        <v>6944</v>
      </c>
    </row>
    <row r="3" spans="1:70" x14ac:dyDescent="0.25">
      <c r="A3" s="3" t="s">
        <v>11</v>
      </c>
      <c r="B3" t="s">
        <v>6944</v>
      </c>
    </row>
    <row r="4" spans="1:70" x14ac:dyDescent="0.25">
      <c r="A4" s="3" t="s">
        <v>2</v>
      </c>
      <c r="B4" t="s">
        <v>6943</v>
      </c>
    </row>
    <row r="5" spans="1:70" x14ac:dyDescent="0.25">
      <c r="A5" s="3" t="s">
        <v>6935</v>
      </c>
      <c r="B5" t="s">
        <v>6943</v>
      </c>
    </row>
    <row r="7" spans="1:70" x14ac:dyDescent="0.25">
      <c r="A7" s="3" t="s">
        <v>6946</v>
      </c>
      <c r="B7" s="3" t="s">
        <v>6939</v>
      </c>
    </row>
    <row r="8" spans="1:70" x14ac:dyDescent="0.25">
      <c r="A8" s="3" t="s">
        <v>6941</v>
      </c>
      <c r="B8" t="s">
        <v>428</v>
      </c>
      <c r="C8" t="s">
        <v>669</v>
      </c>
      <c r="D8" t="s">
        <v>1763</v>
      </c>
      <c r="E8" t="s">
        <v>118</v>
      </c>
      <c r="F8" t="s">
        <v>505</v>
      </c>
      <c r="G8" t="s">
        <v>1175</v>
      </c>
      <c r="H8" t="s">
        <v>683</v>
      </c>
      <c r="I8" t="s">
        <v>914</v>
      </c>
      <c r="J8" t="s">
        <v>349</v>
      </c>
      <c r="K8" t="s">
        <v>173</v>
      </c>
      <c r="L8" t="s">
        <v>408</v>
      </c>
      <c r="M8" t="s">
        <v>2162</v>
      </c>
      <c r="N8" t="s">
        <v>1442</v>
      </c>
      <c r="O8" t="s">
        <v>1407</v>
      </c>
      <c r="P8" t="s">
        <v>412</v>
      </c>
      <c r="Q8" t="s">
        <v>1884</v>
      </c>
      <c r="R8" t="s">
        <v>731</v>
      </c>
      <c r="S8" t="s">
        <v>210</v>
      </c>
      <c r="T8" t="s">
        <v>185</v>
      </c>
      <c r="U8" t="s">
        <v>178</v>
      </c>
      <c r="V8" t="s">
        <v>1127</v>
      </c>
      <c r="W8" t="s">
        <v>924</v>
      </c>
      <c r="X8" t="s">
        <v>373</v>
      </c>
      <c r="Y8" t="s">
        <v>436</v>
      </c>
      <c r="Z8" t="s">
        <v>487</v>
      </c>
      <c r="AA8" t="s">
        <v>130</v>
      </c>
      <c r="AB8" t="s">
        <v>1516</v>
      </c>
      <c r="AC8" t="s">
        <v>332</v>
      </c>
      <c r="AD8" t="s">
        <v>1505</v>
      </c>
      <c r="AE8" t="s">
        <v>192</v>
      </c>
      <c r="AF8" t="s">
        <v>87</v>
      </c>
      <c r="AG8" t="s">
        <v>1550</v>
      </c>
      <c r="AH8" t="s">
        <v>265</v>
      </c>
      <c r="AI8" t="s">
        <v>81</v>
      </c>
      <c r="AJ8" t="s">
        <v>36</v>
      </c>
      <c r="AK8" t="s">
        <v>137</v>
      </c>
      <c r="AL8" t="s">
        <v>56</v>
      </c>
      <c r="AM8" t="s">
        <v>23</v>
      </c>
      <c r="AN8" t="s">
        <v>779</v>
      </c>
      <c r="AO8" t="s">
        <v>221</v>
      </c>
      <c r="AP8" t="s">
        <v>845</v>
      </c>
      <c r="AQ8" t="s">
        <v>521</v>
      </c>
      <c r="AR8" t="s">
        <v>492</v>
      </c>
      <c r="AS8" t="s">
        <v>63</v>
      </c>
      <c r="AT8" t="s">
        <v>403</v>
      </c>
      <c r="AU8" t="s">
        <v>282</v>
      </c>
      <c r="AV8" t="s">
        <v>1534</v>
      </c>
      <c r="AW8" t="s">
        <v>46</v>
      </c>
      <c r="AX8" t="s">
        <v>649</v>
      </c>
      <c r="AY8" t="s">
        <v>98</v>
      </c>
      <c r="AZ8" t="s">
        <v>1370</v>
      </c>
      <c r="BA8" t="s">
        <v>1422</v>
      </c>
      <c r="BB8" t="s">
        <v>1181</v>
      </c>
      <c r="BC8" t="s">
        <v>2049</v>
      </c>
      <c r="BD8" t="s">
        <v>615</v>
      </c>
      <c r="BE8" t="s">
        <v>2202</v>
      </c>
      <c r="BF8" t="s">
        <v>1414</v>
      </c>
      <c r="BG8" t="s">
        <v>338</v>
      </c>
      <c r="BH8" t="s">
        <v>71</v>
      </c>
      <c r="BI8" t="s">
        <v>1581</v>
      </c>
      <c r="BJ8" t="s">
        <v>1488</v>
      </c>
      <c r="BK8" t="s">
        <v>479</v>
      </c>
      <c r="BL8" t="s">
        <v>526</v>
      </c>
      <c r="BM8" t="s">
        <v>1124</v>
      </c>
      <c r="BN8" t="s">
        <v>1458</v>
      </c>
      <c r="BO8" t="s">
        <v>272</v>
      </c>
      <c r="BP8" t="s">
        <v>387</v>
      </c>
      <c r="BQ8" t="s">
        <v>153</v>
      </c>
      <c r="BR8" t="s">
        <v>6940</v>
      </c>
    </row>
    <row r="9" spans="1:70" x14ac:dyDescent="0.25">
      <c r="A9" s="4">
        <v>1997</v>
      </c>
      <c r="B9" s="14"/>
      <c r="C9" s="14"/>
      <c r="D9" s="14"/>
      <c r="E9" s="14"/>
      <c r="F9" s="14"/>
      <c r="G9" s="14"/>
      <c r="H9" s="14"/>
      <c r="I9" s="14"/>
      <c r="J9" s="14"/>
      <c r="K9" s="14"/>
      <c r="L9" s="14">
        <v>1</v>
      </c>
      <c r="M9" s="14"/>
      <c r="N9" s="14"/>
      <c r="O9" s="14"/>
      <c r="P9" s="14"/>
      <c r="Q9" s="14"/>
      <c r="R9" s="14"/>
      <c r="S9" s="14"/>
      <c r="T9" s="14"/>
      <c r="U9" s="14"/>
      <c r="V9" s="14"/>
      <c r="W9" s="14"/>
      <c r="X9" s="14"/>
      <c r="Y9" s="14">
        <v>1</v>
      </c>
      <c r="Z9" s="14"/>
      <c r="AA9" s="14"/>
      <c r="AB9" s="14"/>
      <c r="AC9" s="14"/>
      <c r="AD9" s="14"/>
      <c r="AE9" s="14"/>
      <c r="AF9" s="14"/>
      <c r="AG9" s="14"/>
      <c r="AH9" s="14"/>
      <c r="AI9" s="14"/>
      <c r="AJ9" s="14"/>
      <c r="AK9" s="14"/>
      <c r="AL9" s="14">
        <v>1</v>
      </c>
      <c r="AM9" s="14"/>
      <c r="AN9" s="14"/>
      <c r="AO9" s="14"/>
      <c r="AP9" s="14"/>
      <c r="AQ9" s="14"/>
      <c r="AR9" s="14"/>
      <c r="AS9" s="14"/>
      <c r="AT9" s="14"/>
      <c r="AU9" s="14"/>
      <c r="AV9" s="14"/>
      <c r="AW9" s="14"/>
      <c r="AX9" s="14"/>
      <c r="AY9" s="14"/>
      <c r="AZ9" s="14"/>
      <c r="BA9" s="14"/>
      <c r="BB9" s="14"/>
      <c r="BC9" s="14"/>
      <c r="BD9" s="14"/>
      <c r="BE9" s="14"/>
      <c r="BF9" s="14"/>
      <c r="BG9" s="14"/>
      <c r="BH9" s="14"/>
      <c r="BI9" s="14">
        <v>1</v>
      </c>
      <c r="BJ9" s="14"/>
      <c r="BK9" s="14"/>
      <c r="BL9" s="14"/>
      <c r="BM9" s="14"/>
      <c r="BN9" s="14"/>
      <c r="BO9" s="14"/>
      <c r="BP9" s="14"/>
      <c r="BQ9" s="14"/>
      <c r="BR9" s="14">
        <v>4</v>
      </c>
    </row>
    <row r="10" spans="1:70" x14ac:dyDescent="0.25">
      <c r="A10" s="4">
        <v>1998</v>
      </c>
      <c r="B10" s="14">
        <v>1</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v>1</v>
      </c>
      <c r="AQ10" s="14">
        <v>1</v>
      </c>
      <c r="AR10" s="14"/>
      <c r="AS10" s="14"/>
      <c r="AT10" s="14"/>
      <c r="AU10" s="14"/>
      <c r="AV10" s="14"/>
      <c r="AW10" s="14"/>
      <c r="AX10" s="14">
        <v>1</v>
      </c>
      <c r="AY10" s="14"/>
      <c r="AZ10" s="14"/>
      <c r="BA10" s="14"/>
      <c r="BB10" s="14"/>
      <c r="BC10" s="14"/>
      <c r="BD10" s="14"/>
      <c r="BE10" s="14"/>
      <c r="BF10" s="14"/>
      <c r="BG10" s="14"/>
      <c r="BH10" s="14">
        <v>1</v>
      </c>
      <c r="BI10" s="14"/>
      <c r="BJ10" s="14"/>
      <c r="BK10" s="14">
        <v>1</v>
      </c>
      <c r="BL10" s="14"/>
      <c r="BM10" s="14"/>
      <c r="BN10" s="14"/>
      <c r="BO10" s="14"/>
      <c r="BP10" s="14">
        <v>1</v>
      </c>
      <c r="BQ10" s="14">
        <v>1</v>
      </c>
      <c r="BR10" s="14">
        <v>8</v>
      </c>
    </row>
    <row r="11" spans="1:70" x14ac:dyDescent="0.25">
      <c r="A11" s="4">
        <v>1999</v>
      </c>
      <c r="B11" s="14">
        <v>1</v>
      </c>
      <c r="C11" s="14"/>
      <c r="D11" s="14"/>
      <c r="E11" s="14"/>
      <c r="F11" s="14">
        <v>1</v>
      </c>
      <c r="G11" s="14"/>
      <c r="H11" s="14"/>
      <c r="I11" s="14"/>
      <c r="J11" s="14">
        <v>1</v>
      </c>
      <c r="K11" s="14"/>
      <c r="L11" s="14"/>
      <c r="M11" s="14"/>
      <c r="N11" s="14"/>
      <c r="O11" s="14"/>
      <c r="P11" s="14"/>
      <c r="Q11" s="14"/>
      <c r="R11" s="14"/>
      <c r="S11" s="14">
        <v>1</v>
      </c>
      <c r="T11" s="14"/>
      <c r="U11" s="14"/>
      <c r="V11" s="14"/>
      <c r="W11" s="14">
        <v>2</v>
      </c>
      <c r="X11" s="14"/>
      <c r="Y11" s="14"/>
      <c r="Z11" s="14"/>
      <c r="AA11" s="14"/>
      <c r="AB11" s="14"/>
      <c r="AC11" s="14"/>
      <c r="AD11" s="14"/>
      <c r="AE11" s="14"/>
      <c r="AF11" s="14"/>
      <c r="AG11" s="14"/>
      <c r="AH11" s="14"/>
      <c r="AI11" s="14">
        <v>1</v>
      </c>
      <c r="AJ11" s="14"/>
      <c r="AK11" s="14"/>
      <c r="AL11" s="14"/>
      <c r="AM11" s="14"/>
      <c r="AN11" s="14"/>
      <c r="AO11" s="14"/>
      <c r="AP11" s="14"/>
      <c r="AQ11" s="14"/>
      <c r="AR11" s="14"/>
      <c r="AS11" s="14"/>
      <c r="AT11" s="14">
        <v>1</v>
      </c>
      <c r="AU11" s="14"/>
      <c r="AV11" s="14"/>
      <c r="AW11" s="14"/>
      <c r="AX11" s="14"/>
      <c r="AY11" s="14"/>
      <c r="AZ11" s="14"/>
      <c r="BA11" s="14"/>
      <c r="BB11" s="14"/>
      <c r="BC11" s="14"/>
      <c r="BD11" s="14"/>
      <c r="BE11" s="14"/>
      <c r="BF11" s="14"/>
      <c r="BG11" s="14">
        <v>1</v>
      </c>
      <c r="BH11" s="14"/>
      <c r="BI11" s="14"/>
      <c r="BJ11" s="14"/>
      <c r="BK11" s="14"/>
      <c r="BL11" s="14"/>
      <c r="BM11" s="14"/>
      <c r="BN11" s="14"/>
      <c r="BO11" s="14"/>
      <c r="BP11" s="14">
        <v>2</v>
      </c>
      <c r="BQ11" s="14"/>
      <c r="BR11" s="14">
        <v>11</v>
      </c>
    </row>
    <row r="12" spans="1:70" x14ac:dyDescent="0.25">
      <c r="A12" s="4">
        <v>2000</v>
      </c>
      <c r="B12" s="14"/>
      <c r="C12" s="14"/>
      <c r="D12" s="14"/>
      <c r="E12" s="14"/>
      <c r="F12" s="14"/>
      <c r="G12" s="14"/>
      <c r="H12" s="14"/>
      <c r="I12" s="14"/>
      <c r="J12" s="14"/>
      <c r="K12" s="14"/>
      <c r="L12" s="14">
        <v>1</v>
      </c>
      <c r="M12" s="14"/>
      <c r="N12" s="14"/>
      <c r="O12" s="14"/>
      <c r="P12" s="14"/>
      <c r="Q12" s="14"/>
      <c r="R12" s="14"/>
      <c r="S12" s="14"/>
      <c r="T12" s="14"/>
      <c r="U12" s="14"/>
      <c r="V12" s="14"/>
      <c r="W12" s="14"/>
      <c r="X12" s="14"/>
      <c r="Y12" s="14"/>
      <c r="Z12" s="14"/>
      <c r="AA12" s="14"/>
      <c r="AB12" s="14"/>
      <c r="AC12" s="14">
        <v>1</v>
      </c>
      <c r="AD12" s="14">
        <v>1</v>
      </c>
      <c r="AE12" s="14"/>
      <c r="AF12" s="14">
        <v>1</v>
      </c>
      <c r="AG12" s="14"/>
      <c r="AH12" s="14">
        <v>3</v>
      </c>
      <c r="AI12" s="14"/>
      <c r="AJ12" s="14"/>
      <c r="AK12" s="14"/>
      <c r="AL12" s="14">
        <v>2</v>
      </c>
      <c r="AM12" s="14"/>
      <c r="AN12" s="14">
        <v>1</v>
      </c>
      <c r="AO12" s="14"/>
      <c r="AP12" s="14"/>
      <c r="AQ12" s="14">
        <v>1</v>
      </c>
      <c r="AR12" s="14"/>
      <c r="AS12" s="14"/>
      <c r="AT12" s="14"/>
      <c r="AU12" s="14"/>
      <c r="AV12" s="14"/>
      <c r="AW12" s="14"/>
      <c r="AX12" s="14">
        <v>1</v>
      </c>
      <c r="AY12" s="14"/>
      <c r="AZ12" s="14"/>
      <c r="BA12" s="14"/>
      <c r="BB12" s="14"/>
      <c r="BC12" s="14"/>
      <c r="BD12" s="14"/>
      <c r="BE12" s="14"/>
      <c r="BF12" s="14"/>
      <c r="BG12" s="14"/>
      <c r="BH12" s="14"/>
      <c r="BI12" s="14"/>
      <c r="BJ12" s="14"/>
      <c r="BK12" s="14"/>
      <c r="BL12" s="14"/>
      <c r="BM12" s="14"/>
      <c r="BN12" s="14"/>
      <c r="BO12" s="14">
        <v>1</v>
      </c>
      <c r="BP12" s="14"/>
      <c r="BQ12" s="14"/>
      <c r="BR12" s="14">
        <v>13</v>
      </c>
    </row>
    <row r="13" spans="1:70" x14ac:dyDescent="0.25">
      <c r="A13" s="4">
        <v>2001</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row>
    <row r="14" spans="1:70" x14ac:dyDescent="0.25">
      <c r="A14" s="4">
        <v>2002</v>
      </c>
      <c r="B14" s="14"/>
      <c r="C14" s="14"/>
      <c r="D14" s="14"/>
      <c r="E14" s="14"/>
      <c r="F14" s="14"/>
      <c r="G14" s="14"/>
      <c r="H14" s="14"/>
      <c r="I14" s="14"/>
      <c r="J14" s="14">
        <v>1</v>
      </c>
      <c r="K14" s="14"/>
      <c r="L14" s="14"/>
      <c r="M14" s="14"/>
      <c r="N14" s="14">
        <v>1</v>
      </c>
      <c r="O14" s="14"/>
      <c r="P14" s="14"/>
      <c r="Q14" s="14"/>
      <c r="R14" s="14"/>
      <c r="S14" s="14"/>
      <c r="T14" s="14">
        <v>1</v>
      </c>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v>1</v>
      </c>
      <c r="BB14" s="14"/>
      <c r="BC14" s="14"/>
      <c r="BD14" s="14"/>
      <c r="BE14" s="14"/>
      <c r="BF14" s="14">
        <v>1</v>
      </c>
      <c r="BG14" s="14">
        <v>1</v>
      </c>
      <c r="BH14" s="14"/>
      <c r="BI14" s="14"/>
      <c r="BJ14" s="14">
        <v>2</v>
      </c>
      <c r="BK14" s="14"/>
      <c r="BL14" s="14">
        <v>1</v>
      </c>
      <c r="BM14" s="14"/>
      <c r="BN14" s="14"/>
      <c r="BO14" s="14"/>
      <c r="BP14" s="14"/>
      <c r="BQ14" s="14"/>
      <c r="BR14" s="14">
        <v>9</v>
      </c>
    </row>
    <row r="15" spans="1:70" x14ac:dyDescent="0.25">
      <c r="A15" s="4">
        <v>2003</v>
      </c>
      <c r="B15" s="14"/>
      <c r="C15" s="14"/>
      <c r="D15" s="14"/>
      <c r="E15" s="14"/>
      <c r="F15" s="14">
        <v>1</v>
      </c>
      <c r="G15" s="14"/>
      <c r="H15" s="14"/>
      <c r="I15" s="14"/>
      <c r="J15" s="14"/>
      <c r="K15" s="14"/>
      <c r="L15" s="14"/>
      <c r="M15" s="14"/>
      <c r="N15" s="14">
        <v>1</v>
      </c>
      <c r="O15" s="14"/>
      <c r="P15" s="14"/>
      <c r="Q15" s="14"/>
      <c r="R15" s="14"/>
      <c r="S15" s="14"/>
      <c r="T15" s="14"/>
      <c r="U15" s="14">
        <v>1</v>
      </c>
      <c r="V15" s="14"/>
      <c r="W15" s="14">
        <v>1</v>
      </c>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v>2</v>
      </c>
      <c r="AW15" s="14"/>
      <c r="AX15" s="14"/>
      <c r="AY15" s="14">
        <v>1</v>
      </c>
      <c r="AZ15" s="14">
        <v>2</v>
      </c>
      <c r="BA15" s="14">
        <v>2</v>
      </c>
      <c r="BB15" s="14"/>
      <c r="BC15" s="14">
        <v>1</v>
      </c>
      <c r="BD15" s="14"/>
      <c r="BE15" s="14"/>
      <c r="BF15" s="14"/>
      <c r="BG15" s="14">
        <v>3</v>
      </c>
      <c r="BH15" s="14">
        <v>2</v>
      </c>
      <c r="BI15" s="14"/>
      <c r="BJ15" s="14"/>
      <c r="BK15" s="14"/>
      <c r="BL15" s="14"/>
      <c r="BM15" s="14">
        <v>1</v>
      </c>
      <c r="BN15" s="14"/>
      <c r="BO15" s="14"/>
      <c r="BP15" s="14"/>
      <c r="BQ15" s="14"/>
      <c r="BR15" s="14">
        <v>18</v>
      </c>
    </row>
    <row r="16" spans="1:70" x14ac:dyDescent="0.25">
      <c r="A16" s="4">
        <v>2004</v>
      </c>
      <c r="B16" s="14">
        <v>1</v>
      </c>
      <c r="C16" s="14"/>
      <c r="D16" s="14"/>
      <c r="E16" s="14"/>
      <c r="F16" s="14">
        <v>2</v>
      </c>
      <c r="G16" s="14"/>
      <c r="H16" s="14"/>
      <c r="I16" s="14">
        <v>1</v>
      </c>
      <c r="J16" s="14">
        <v>1</v>
      </c>
      <c r="K16" s="14"/>
      <c r="L16" s="14"/>
      <c r="M16" s="14"/>
      <c r="N16" s="14">
        <v>2</v>
      </c>
      <c r="O16" s="14"/>
      <c r="P16" s="14"/>
      <c r="Q16" s="14"/>
      <c r="R16" s="14"/>
      <c r="S16" s="14"/>
      <c r="T16" s="14"/>
      <c r="U16" s="14"/>
      <c r="V16" s="14"/>
      <c r="W16" s="14"/>
      <c r="X16" s="14"/>
      <c r="Y16" s="14"/>
      <c r="Z16" s="14"/>
      <c r="AA16" s="14"/>
      <c r="AB16" s="14"/>
      <c r="AC16" s="14"/>
      <c r="AD16" s="14"/>
      <c r="AE16" s="14"/>
      <c r="AF16" s="14"/>
      <c r="AG16" s="14"/>
      <c r="AH16" s="14"/>
      <c r="AI16" s="14"/>
      <c r="AJ16" s="14"/>
      <c r="AK16" s="14"/>
      <c r="AL16" s="14">
        <v>1</v>
      </c>
      <c r="AM16" s="14"/>
      <c r="AN16" s="14"/>
      <c r="AO16" s="14"/>
      <c r="AP16" s="14"/>
      <c r="AQ16" s="14"/>
      <c r="AR16" s="14"/>
      <c r="AS16" s="14">
        <v>1</v>
      </c>
      <c r="AT16" s="14"/>
      <c r="AU16" s="14"/>
      <c r="AV16" s="14">
        <v>2</v>
      </c>
      <c r="AW16" s="14"/>
      <c r="AX16" s="14"/>
      <c r="AY16" s="14"/>
      <c r="AZ16" s="14">
        <v>3</v>
      </c>
      <c r="BA16" s="14">
        <v>2</v>
      </c>
      <c r="BB16" s="14"/>
      <c r="BC16" s="14"/>
      <c r="BD16" s="14"/>
      <c r="BE16" s="14"/>
      <c r="BF16" s="14">
        <v>1</v>
      </c>
      <c r="BG16" s="14">
        <v>1</v>
      </c>
      <c r="BH16" s="14"/>
      <c r="BI16" s="14"/>
      <c r="BJ16" s="14">
        <v>1</v>
      </c>
      <c r="BK16" s="14"/>
      <c r="BL16" s="14">
        <v>1</v>
      </c>
      <c r="BM16" s="14"/>
      <c r="BN16" s="14"/>
      <c r="BO16" s="14">
        <v>1</v>
      </c>
      <c r="BP16" s="14"/>
      <c r="BQ16" s="14"/>
      <c r="BR16" s="14">
        <v>21</v>
      </c>
    </row>
    <row r="17" spans="1:70" x14ac:dyDescent="0.25">
      <c r="A17" s="4">
        <v>2005</v>
      </c>
      <c r="B17" s="14">
        <v>1</v>
      </c>
      <c r="C17" s="14"/>
      <c r="D17" s="14"/>
      <c r="E17" s="14"/>
      <c r="F17" s="14"/>
      <c r="G17" s="14"/>
      <c r="H17" s="14"/>
      <c r="I17" s="14"/>
      <c r="J17" s="14"/>
      <c r="K17" s="14"/>
      <c r="L17" s="14"/>
      <c r="M17" s="14"/>
      <c r="N17" s="14">
        <v>1</v>
      </c>
      <c r="O17" s="14"/>
      <c r="P17" s="14"/>
      <c r="Q17" s="14"/>
      <c r="R17" s="14"/>
      <c r="S17" s="14"/>
      <c r="T17" s="14"/>
      <c r="U17" s="14">
        <v>1</v>
      </c>
      <c r="V17" s="14"/>
      <c r="W17" s="14"/>
      <c r="X17" s="14"/>
      <c r="Y17" s="14"/>
      <c r="Z17" s="14"/>
      <c r="AA17" s="14"/>
      <c r="AB17" s="14"/>
      <c r="AC17" s="14"/>
      <c r="AD17" s="14"/>
      <c r="AE17" s="14"/>
      <c r="AF17" s="14">
        <v>1</v>
      </c>
      <c r="AG17" s="14"/>
      <c r="AH17" s="14"/>
      <c r="AI17" s="14"/>
      <c r="AJ17" s="14"/>
      <c r="AK17" s="14"/>
      <c r="AL17" s="14"/>
      <c r="AM17" s="14"/>
      <c r="AN17" s="14"/>
      <c r="AO17" s="14"/>
      <c r="AP17" s="14"/>
      <c r="AQ17" s="14"/>
      <c r="AR17" s="14">
        <v>2</v>
      </c>
      <c r="AS17" s="14"/>
      <c r="AT17" s="14">
        <v>1</v>
      </c>
      <c r="AU17" s="14"/>
      <c r="AV17" s="14">
        <v>1</v>
      </c>
      <c r="AW17" s="14"/>
      <c r="AX17" s="14">
        <v>1</v>
      </c>
      <c r="AY17" s="14"/>
      <c r="AZ17" s="14">
        <v>2</v>
      </c>
      <c r="BA17" s="14">
        <v>2</v>
      </c>
      <c r="BB17" s="14"/>
      <c r="BC17" s="14"/>
      <c r="BD17" s="14"/>
      <c r="BE17" s="14"/>
      <c r="BF17" s="14"/>
      <c r="BG17" s="14">
        <v>3</v>
      </c>
      <c r="BH17" s="14">
        <v>1</v>
      </c>
      <c r="BI17" s="14"/>
      <c r="BJ17" s="14"/>
      <c r="BK17" s="14"/>
      <c r="BL17" s="14"/>
      <c r="BM17" s="14"/>
      <c r="BN17" s="14"/>
      <c r="BO17" s="14">
        <v>1</v>
      </c>
      <c r="BP17" s="14"/>
      <c r="BQ17" s="14">
        <v>2</v>
      </c>
      <c r="BR17" s="14">
        <v>20</v>
      </c>
    </row>
    <row r="18" spans="1:70" x14ac:dyDescent="0.25">
      <c r="A18" s="4">
        <v>2006</v>
      </c>
      <c r="B18" s="14"/>
      <c r="C18" s="14">
        <v>1</v>
      </c>
      <c r="D18" s="14"/>
      <c r="E18" s="14"/>
      <c r="F18" s="14"/>
      <c r="G18" s="14"/>
      <c r="H18" s="14"/>
      <c r="I18" s="14"/>
      <c r="J18" s="14"/>
      <c r="K18" s="14"/>
      <c r="L18" s="14"/>
      <c r="M18" s="14"/>
      <c r="N18" s="14">
        <v>1</v>
      </c>
      <c r="O18" s="14"/>
      <c r="P18" s="14"/>
      <c r="Q18" s="14"/>
      <c r="R18" s="14"/>
      <c r="S18" s="14">
        <v>1</v>
      </c>
      <c r="T18" s="14"/>
      <c r="U18" s="14"/>
      <c r="V18" s="14">
        <v>1</v>
      </c>
      <c r="W18" s="14"/>
      <c r="X18" s="14"/>
      <c r="Y18" s="14"/>
      <c r="Z18" s="14"/>
      <c r="AA18" s="14">
        <v>1</v>
      </c>
      <c r="AB18" s="14"/>
      <c r="AC18" s="14"/>
      <c r="AD18" s="14"/>
      <c r="AE18" s="14"/>
      <c r="AF18" s="14">
        <v>1</v>
      </c>
      <c r="AG18" s="14"/>
      <c r="AH18" s="14"/>
      <c r="AI18" s="14"/>
      <c r="AJ18" s="14"/>
      <c r="AK18" s="14"/>
      <c r="AL18" s="14"/>
      <c r="AM18" s="14"/>
      <c r="AN18" s="14"/>
      <c r="AO18" s="14">
        <v>1</v>
      </c>
      <c r="AP18" s="14">
        <v>1</v>
      </c>
      <c r="AQ18" s="14"/>
      <c r="AR18" s="14">
        <v>1</v>
      </c>
      <c r="AS18" s="14"/>
      <c r="AT18" s="14"/>
      <c r="AU18" s="14"/>
      <c r="AV18" s="14">
        <v>1</v>
      </c>
      <c r="AW18" s="14">
        <v>1</v>
      </c>
      <c r="AX18" s="14">
        <v>1</v>
      </c>
      <c r="AY18" s="14">
        <v>1</v>
      </c>
      <c r="AZ18" s="14">
        <v>4</v>
      </c>
      <c r="BA18" s="14">
        <v>2</v>
      </c>
      <c r="BB18" s="14"/>
      <c r="BC18" s="14"/>
      <c r="BD18" s="14"/>
      <c r="BE18" s="14"/>
      <c r="BF18" s="14">
        <v>1</v>
      </c>
      <c r="BG18" s="14">
        <v>1</v>
      </c>
      <c r="BH18" s="14"/>
      <c r="BI18" s="14"/>
      <c r="BJ18" s="14">
        <v>1</v>
      </c>
      <c r="BK18" s="14"/>
      <c r="BL18" s="14"/>
      <c r="BM18" s="14"/>
      <c r="BN18" s="14">
        <v>1</v>
      </c>
      <c r="BO18" s="14"/>
      <c r="BP18" s="14"/>
      <c r="BQ18" s="14">
        <v>1</v>
      </c>
      <c r="BR18" s="14">
        <v>24</v>
      </c>
    </row>
    <row r="19" spans="1:70" x14ac:dyDescent="0.25">
      <c r="A19" s="4">
        <v>2007</v>
      </c>
      <c r="B19" s="14"/>
      <c r="C19" s="14"/>
      <c r="D19" s="14"/>
      <c r="E19" s="14"/>
      <c r="F19" s="14">
        <v>1</v>
      </c>
      <c r="G19" s="14"/>
      <c r="H19" s="14"/>
      <c r="I19" s="14"/>
      <c r="J19" s="14"/>
      <c r="K19" s="14"/>
      <c r="L19" s="14"/>
      <c r="M19" s="14"/>
      <c r="N19" s="14">
        <v>1</v>
      </c>
      <c r="O19" s="14"/>
      <c r="P19" s="14"/>
      <c r="Q19" s="14"/>
      <c r="R19" s="14"/>
      <c r="S19" s="14"/>
      <c r="T19" s="14"/>
      <c r="U19" s="14"/>
      <c r="V19" s="14"/>
      <c r="W19" s="14"/>
      <c r="X19" s="14"/>
      <c r="Y19" s="14"/>
      <c r="Z19" s="14"/>
      <c r="AA19" s="14">
        <v>1</v>
      </c>
      <c r="AB19" s="14"/>
      <c r="AC19" s="14"/>
      <c r="AD19" s="14"/>
      <c r="AE19" s="14"/>
      <c r="AF19" s="14"/>
      <c r="AG19" s="14">
        <v>1</v>
      </c>
      <c r="AH19" s="14"/>
      <c r="AI19" s="14"/>
      <c r="AJ19" s="14"/>
      <c r="AK19" s="14"/>
      <c r="AL19" s="14"/>
      <c r="AM19" s="14">
        <v>3</v>
      </c>
      <c r="AN19" s="14">
        <v>1</v>
      </c>
      <c r="AO19" s="14"/>
      <c r="AP19" s="14"/>
      <c r="AQ19" s="14"/>
      <c r="AR19" s="14"/>
      <c r="AS19" s="14">
        <v>2</v>
      </c>
      <c r="AT19" s="14"/>
      <c r="AU19" s="14"/>
      <c r="AV19" s="14">
        <v>1</v>
      </c>
      <c r="AW19" s="14"/>
      <c r="AX19" s="14"/>
      <c r="AY19" s="14">
        <v>1</v>
      </c>
      <c r="AZ19" s="14">
        <v>4</v>
      </c>
      <c r="BA19" s="14">
        <v>3</v>
      </c>
      <c r="BB19" s="14"/>
      <c r="BC19" s="14"/>
      <c r="BD19" s="14"/>
      <c r="BE19" s="14"/>
      <c r="BF19" s="14"/>
      <c r="BG19" s="14"/>
      <c r="BH19" s="14">
        <v>1</v>
      </c>
      <c r="BI19" s="14"/>
      <c r="BJ19" s="14"/>
      <c r="BK19" s="14"/>
      <c r="BL19" s="14"/>
      <c r="BM19" s="14"/>
      <c r="BN19" s="14">
        <v>3</v>
      </c>
      <c r="BO19" s="14"/>
      <c r="BP19" s="14"/>
      <c r="BQ19" s="14">
        <v>1</v>
      </c>
      <c r="BR19" s="14">
        <v>24</v>
      </c>
    </row>
    <row r="20" spans="1:70" x14ac:dyDescent="0.25">
      <c r="A20" s="4">
        <v>2008</v>
      </c>
      <c r="B20" s="14"/>
      <c r="C20" s="14"/>
      <c r="D20" s="14"/>
      <c r="E20" s="14"/>
      <c r="F20" s="14"/>
      <c r="G20" s="14"/>
      <c r="H20" s="14"/>
      <c r="I20" s="14"/>
      <c r="J20" s="14"/>
      <c r="K20" s="14"/>
      <c r="L20" s="14"/>
      <c r="M20" s="14"/>
      <c r="N20" s="14">
        <v>4</v>
      </c>
      <c r="O20" s="14"/>
      <c r="P20" s="14"/>
      <c r="Q20" s="14"/>
      <c r="R20" s="14"/>
      <c r="S20" s="14"/>
      <c r="T20" s="14"/>
      <c r="U20" s="14"/>
      <c r="V20" s="14"/>
      <c r="W20" s="14"/>
      <c r="X20" s="14"/>
      <c r="Y20" s="14"/>
      <c r="Z20" s="14"/>
      <c r="AA20" s="14">
        <v>1</v>
      </c>
      <c r="AB20" s="14"/>
      <c r="AC20" s="14"/>
      <c r="AD20" s="14"/>
      <c r="AE20" s="14">
        <v>1</v>
      </c>
      <c r="AF20" s="14"/>
      <c r="AG20" s="14">
        <v>1</v>
      </c>
      <c r="AH20" s="14"/>
      <c r="AI20" s="14"/>
      <c r="AJ20" s="14"/>
      <c r="AK20" s="14">
        <v>2</v>
      </c>
      <c r="AL20" s="14"/>
      <c r="AM20" s="14"/>
      <c r="AN20" s="14"/>
      <c r="AO20" s="14"/>
      <c r="AP20" s="14"/>
      <c r="AQ20" s="14"/>
      <c r="AR20" s="14"/>
      <c r="AS20" s="14"/>
      <c r="AT20" s="14">
        <v>1</v>
      </c>
      <c r="AU20" s="14">
        <v>1</v>
      </c>
      <c r="AV20" s="14">
        <v>1</v>
      </c>
      <c r="AW20" s="14"/>
      <c r="AX20" s="14"/>
      <c r="AY20" s="14"/>
      <c r="AZ20" s="14">
        <v>3</v>
      </c>
      <c r="BA20" s="14">
        <v>5</v>
      </c>
      <c r="BB20" s="14"/>
      <c r="BC20" s="14"/>
      <c r="BD20" s="14">
        <v>1</v>
      </c>
      <c r="BE20" s="14">
        <v>1</v>
      </c>
      <c r="BF20" s="14"/>
      <c r="BG20" s="14"/>
      <c r="BH20" s="14"/>
      <c r="BI20" s="14"/>
      <c r="BJ20" s="14"/>
      <c r="BK20" s="14"/>
      <c r="BL20" s="14"/>
      <c r="BM20" s="14"/>
      <c r="BN20" s="14">
        <v>1</v>
      </c>
      <c r="BO20" s="14"/>
      <c r="BP20" s="14"/>
      <c r="BQ20" s="14">
        <v>1</v>
      </c>
      <c r="BR20" s="14">
        <v>24</v>
      </c>
    </row>
    <row r="21" spans="1:70" x14ac:dyDescent="0.25">
      <c r="A21" s="4">
        <v>2009</v>
      </c>
      <c r="B21" s="14"/>
      <c r="C21" s="14"/>
      <c r="D21" s="14"/>
      <c r="E21" s="14"/>
      <c r="F21" s="14"/>
      <c r="G21" s="14"/>
      <c r="H21" s="14"/>
      <c r="I21" s="14"/>
      <c r="J21" s="14">
        <v>1</v>
      </c>
      <c r="K21" s="14"/>
      <c r="L21" s="14"/>
      <c r="M21" s="14"/>
      <c r="N21" s="14"/>
      <c r="O21" s="14">
        <v>1</v>
      </c>
      <c r="P21" s="14"/>
      <c r="Q21" s="14"/>
      <c r="R21" s="14"/>
      <c r="S21" s="14">
        <v>1</v>
      </c>
      <c r="T21" s="14"/>
      <c r="U21" s="14">
        <v>2</v>
      </c>
      <c r="V21" s="14"/>
      <c r="W21" s="14"/>
      <c r="X21" s="14"/>
      <c r="Y21" s="14"/>
      <c r="Z21" s="14"/>
      <c r="AA21" s="14"/>
      <c r="AB21" s="14"/>
      <c r="AC21" s="14">
        <v>1</v>
      </c>
      <c r="AD21" s="14"/>
      <c r="AE21" s="14">
        <v>4</v>
      </c>
      <c r="AF21" s="14"/>
      <c r="AG21" s="14"/>
      <c r="AH21" s="14"/>
      <c r="AI21" s="14"/>
      <c r="AJ21" s="14"/>
      <c r="AK21" s="14"/>
      <c r="AL21" s="14">
        <v>1</v>
      </c>
      <c r="AM21" s="14"/>
      <c r="AN21" s="14"/>
      <c r="AO21" s="14"/>
      <c r="AP21" s="14"/>
      <c r="AQ21" s="14"/>
      <c r="AR21" s="14"/>
      <c r="AS21" s="14"/>
      <c r="AT21" s="14"/>
      <c r="AU21" s="14"/>
      <c r="AV21" s="14">
        <v>3</v>
      </c>
      <c r="AW21" s="14"/>
      <c r="AX21" s="14"/>
      <c r="AY21" s="14"/>
      <c r="AZ21" s="14"/>
      <c r="BA21" s="14">
        <v>1</v>
      </c>
      <c r="BB21" s="14">
        <v>1</v>
      </c>
      <c r="BC21" s="14"/>
      <c r="BD21" s="14"/>
      <c r="BE21" s="14"/>
      <c r="BF21" s="14"/>
      <c r="BG21" s="14"/>
      <c r="BH21" s="14"/>
      <c r="BI21" s="14">
        <v>1</v>
      </c>
      <c r="BJ21" s="14"/>
      <c r="BK21" s="14"/>
      <c r="BL21" s="14">
        <v>1</v>
      </c>
      <c r="BM21" s="14"/>
      <c r="BN21" s="14">
        <v>1</v>
      </c>
      <c r="BO21" s="14"/>
      <c r="BP21" s="14"/>
      <c r="BQ21" s="14">
        <v>2</v>
      </c>
      <c r="BR21" s="14">
        <v>21</v>
      </c>
    </row>
    <row r="22" spans="1:70" x14ac:dyDescent="0.25">
      <c r="A22" s="4">
        <v>2010</v>
      </c>
      <c r="B22" s="14">
        <v>1</v>
      </c>
      <c r="C22" s="14"/>
      <c r="D22" s="14"/>
      <c r="E22" s="14"/>
      <c r="F22" s="14"/>
      <c r="G22" s="14"/>
      <c r="H22" s="14">
        <v>1</v>
      </c>
      <c r="I22" s="14"/>
      <c r="J22" s="14"/>
      <c r="K22" s="14">
        <v>1</v>
      </c>
      <c r="L22" s="14"/>
      <c r="M22" s="14"/>
      <c r="N22" s="14">
        <v>2</v>
      </c>
      <c r="O22" s="14"/>
      <c r="P22" s="14"/>
      <c r="Q22" s="14"/>
      <c r="R22" s="14"/>
      <c r="S22" s="14">
        <v>1</v>
      </c>
      <c r="T22" s="14"/>
      <c r="U22" s="14">
        <v>1</v>
      </c>
      <c r="V22" s="14"/>
      <c r="W22" s="14"/>
      <c r="X22" s="14"/>
      <c r="Y22" s="14"/>
      <c r="Z22" s="14"/>
      <c r="AA22" s="14">
        <v>1</v>
      </c>
      <c r="AB22" s="14"/>
      <c r="AC22" s="14"/>
      <c r="AD22" s="14"/>
      <c r="AE22" s="14"/>
      <c r="AF22" s="14"/>
      <c r="AG22" s="14"/>
      <c r="AH22" s="14"/>
      <c r="AI22" s="14"/>
      <c r="AJ22" s="14"/>
      <c r="AK22" s="14"/>
      <c r="AL22" s="14"/>
      <c r="AM22" s="14"/>
      <c r="AN22" s="14"/>
      <c r="AO22" s="14"/>
      <c r="AP22" s="14"/>
      <c r="AQ22" s="14"/>
      <c r="AR22" s="14"/>
      <c r="AS22" s="14"/>
      <c r="AT22" s="14"/>
      <c r="AU22" s="14"/>
      <c r="AV22" s="14">
        <v>1</v>
      </c>
      <c r="AW22" s="14"/>
      <c r="AX22" s="14"/>
      <c r="AY22" s="14">
        <v>1</v>
      </c>
      <c r="AZ22" s="14">
        <v>4</v>
      </c>
      <c r="BA22" s="14">
        <v>3</v>
      </c>
      <c r="BB22" s="14"/>
      <c r="BC22" s="14"/>
      <c r="BD22" s="14">
        <v>1</v>
      </c>
      <c r="BE22" s="14"/>
      <c r="BF22" s="14"/>
      <c r="BG22" s="14"/>
      <c r="BH22" s="14">
        <v>1</v>
      </c>
      <c r="BI22" s="14"/>
      <c r="BJ22" s="14">
        <v>1</v>
      </c>
      <c r="BK22" s="14"/>
      <c r="BL22" s="14"/>
      <c r="BM22" s="14"/>
      <c r="BN22" s="14"/>
      <c r="BO22" s="14"/>
      <c r="BP22" s="14"/>
      <c r="BQ22" s="14"/>
      <c r="BR22" s="14">
        <v>20</v>
      </c>
    </row>
    <row r="23" spans="1:70" x14ac:dyDescent="0.25">
      <c r="A23" s="4">
        <v>2011</v>
      </c>
      <c r="B23" s="14"/>
      <c r="C23" s="14"/>
      <c r="D23" s="14">
        <v>2</v>
      </c>
      <c r="E23" s="14"/>
      <c r="F23" s="14"/>
      <c r="G23" s="14"/>
      <c r="H23" s="14"/>
      <c r="I23" s="14"/>
      <c r="J23" s="14"/>
      <c r="K23" s="14"/>
      <c r="L23" s="14"/>
      <c r="M23" s="14"/>
      <c r="N23" s="14"/>
      <c r="O23" s="14"/>
      <c r="P23" s="14"/>
      <c r="Q23" s="14">
        <v>1</v>
      </c>
      <c r="R23" s="14"/>
      <c r="S23" s="14"/>
      <c r="T23" s="14"/>
      <c r="U23" s="14"/>
      <c r="V23" s="14"/>
      <c r="W23" s="14"/>
      <c r="X23" s="14">
        <v>1</v>
      </c>
      <c r="Y23" s="14"/>
      <c r="Z23" s="14"/>
      <c r="AA23" s="14"/>
      <c r="AB23" s="14"/>
      <c r="AC23" s="14"/>
      <c r="AD23" s="14"/>
      <c r="AE23" s="14"/>
      <c r="AF23" s="14"/>
      <c r="AG23" s="14">
        <v>1</v>
      </c>
      <c r="AH23" s="14"/>
      <c r="AI23" s="14"/>
      <c r="AJ23" s="14"/>
      <c r="AK23" s="14"/>
      <c r="AL23" s="14">
        <v>2</v>
      </c>
      <c r="AM23" s="14">
        <v>1</v>
      </c>
      <c r="AN23" s="14"/>
      <c r="AO23" s="14"/>
      <c r="AP23" s="14"/>
      <c r="AQ23" s="14"/>
      <c r="AR23" s="14"/>
      <c r="AS23" s="14"/>
      <c r="AT23" s="14">
        <v>1</v>
      </c>
      <c r="AU23" s="14"/>
      <c r="AV23" s="14">
        <v>4</v>
      </c>
      <c r="AW23" s="14"/>
      <c r="AX23" s="14"/>
      <c r="AY23" s="14">
        <v>2</v>
      </c>
      <c r="AZ23" s="14">
        <v>3</v>
      </c>
      <c r="BA23" s="14">
        <v>1</v>
      </c>
      <c r="BB23" s="14"/>
      <c r="BC23" s="14"/>
      <c r="BD23" s="14"/>
      <c r="BE23" s="14"/>
      <c r="BF23" s="14"/>
      <c r="BG23" s="14"/>
      <c r="BH23" s="14"/>
      <c r="BI23" s="14"/>
      <c r="BJ23" s="14">
        <v>1</v>
      </c>
      <c r="BK23" s="14"/>
      <c r="BL23" s="14"/>
      <c r="BM23" s="14"/>
      <c r="BN23" s="14"/>
      <c r="BO23" s="14"/>
      <c r="BP23" s="14"/>
      <c r="BQ23" s="14">
        <v>1</v>
      </c>
      <c r="BR23" s="14">
        <v>21</v>
      </c>
    </row>
    <row r="24" spans="1:70" x14ac:dyDescent="0.25">
      <c r="A24" s="4">
        <v>2012</v>
      </c>
      <c r="B24" s="14"/>
      <c r="C24" s="14"/>
      <c r="D24" s="14"/>
      <c r="E24" s="14">
        <v>1</v>
      </c>
      <c r="F24" s="14">
        <v>2</v>
      </c>
      <c r="G24" s="14"/>
      <c r="H24" s="14"/>
      <c r="I24" s="14"/>
      <c r="J24" s="14"/>
      <c r="K24" s="14"/>
      <c r="L24" s="14"/>
      <c r="M24" s="14">
        <v>1</v>
      </c>
      <c r="N24" s="14">
        <v>4</v>
      </c>
      <c r="O24" s="14"/>
      <c r="P24" s="14"/>
      <c r="Q24" s="14"/>
      <c r="R24" s="14">
        <v>1</v>
      </c>
      <c r="S24" s="14"/>
      <c r="T24" s="14"/>
      <c r="U24" s="14">
        <v>1</v>
      </c>
      <c r="V24" s="14"/>
      <c r="W24" s="14"/>
      <c r="X24" s="14"/>
      <c r="Y24" s="14"/>
      <c r="Z24" s="14">
        <v>1</v>
      </c>
      <c r="AA24" s="14"/>
      <c r="AB24" s="14"/>
      <c r="AC24" s="14"/>
      <c r="AD24" s="14"/>
      <c r="AE24" s="14"/>
      <c r="AF24" s="14"/>
      <c r="AG24" s="14"/>
      <c r="AH24" s="14">
        <v>1</v>
      </c>
      <c r="AI24" s="14">
        <v>1</v>
      </c>
      <c r="AJ24" s="14"/>
      <c r="AK24" s="14"/>
      <c r="AL24" s="14"/>
      <c r="AM24" s="14"/>
      <c r="AN24" s="14"/>
      <c r="AO24" s="14"/>
      <c r="AP24" s="14"/>
      <c r="AQ24" s="14"/>
      <c r="AR24" s="14"/>
      <c r="AS24" s="14"/>
      <c r="AT24" s="14">
        <v>1</v>
      </c>
      <c r="AU24" s="14"/>
      <c r="AV24" s="14">
        <v>2</v>
      </c>
      <c r="AW24" s="14"/>
      <c r="AX24" s="14"/>
      <c r="AY24" s="14"/>
      <c r="AZ24" s="14"/>
      <c r="BA24" s="14">
        <v>1</v>
      </c>
      <c r="BB24" s="14"/>
      <c r="BC24" s="14"/>
      <c r="BD24" s="14"/>
      <c r="BE24" s="14"/>
      <c r="BF24" s="14"/>
      <c r="BG24" s="14"/>
      <c r="BH24" s="14"/>
      <c r="BI24" s="14"/>
      <c r="BJ24" s="14">
        <v>1</v>
      </c>
      <c r="BK24" s="14"/>
      <c r="BL24" s="14"/>
      <c r="BM24" s="14"/>
      <c r="BN24" s="14">
        <v>1</v>
      </c>
      <c r="BO24" s="14">
        <v>1</v>
      </c>
      <c r="BP24" s="14"/>
      <c r="BQ24" s="14">
        <v>1</v>
      </c>
      <c r="BR24" s="14">
        <v>21</v>
      </c>
    </row>
    <row r="25" spans="1:70" x14ac:dyDescent="0.25">
      <c r="A25" s="4">
        <v>2013</v>
      </c>
      <c r="B25" s="14"/>
      <c r="C25" s="14">
        <v>1</v>
      </c>
      <c r="D25" s="14"/>
      <c r="E25" s="14"/>
      <c r="F25" s="14">
        <v>1</v>
      </c>
      <c r="G25" s="14"/>
      <c r="H25" s="14"/>
      <c r="I25" s="14"/>
      <c r="J25" s="14"/>
      <c r="K25" s="14"/>
      <c r="L25" s="14"/>
      <c r="M25" s="14"/>
      <c r="N25" s="14">
        <v>1</v>
      </c>
      <c r="O25" s="14"/>
      <c r="P25" s="14"/>
      <c r="Q25" s="14"/>
      <c r="R25" s="14"/>
      <c r="S25" s="14"/>
      <c r="T25" s="14">
        <v>1</v>
      </c>
      <c r="U25" s="14">
        <v>1</v>
      </c>
      <c r="V25" s="14">
        <v>1</v>
      </c>
      <c r="W25" s="14"/>
      <c r="X25" s="14"/>
      <c r="Y25" s="14"/>
      <c r="Z25" s="14"/>
      <c r="AA25" s="14"/>
      <c r="AB25" s="14"/>
      <c r="AC25" s="14"/>
      <c r="AD25" s="14"/>
      <c r="AE25" s="14"/>
      <c r="AF25" s="14"/>
      <c r="AG25" s="14"/>
      <c r="AH25" s="14"/>
      <c r="AI25" s="14">
        <v>1</v>
      </c>
      <c r="AJ25" s="14"/>
      <c r="AK25" s="14"/>
      <c r="AL25" s="14"/>
      <c r="AM25" s="14"/>
      <c r="AN25" s="14"/>
      <c r="AO25" s="14"/>
      <c r="AP25" s="14"/>
      <c r="AQ25" s="14"/>
      <c r="AR25" s="14">
        <v>1</v>
      </c>
      <c r="AS25" s="14">
        <v>1</v>
      </c>
      <c r="AT25" s="14"/>
      <c r="AU25" s="14">
        <v>1</v>
      </c>
      <c r="AV25" s="14">
        <v>1</v>
      </c>
      <c r="AW25" s="14"/>
      <c r="AX25" s="14"/>
      <c r="AY25" s="14">
        <v>1</v>
      </c>
      <c r="AZ25" s="14">
        <v>2</v>
      </c>
      <c r="BA25" s="14">
        <v>4</v>
      </c>
      <c r="BB25" s="14"/>
      <c r="BC25" s="14"/>
      <c r="BD25" s="14"/>
      <c r="BE25" s="14"/>
      <c r="BF25" s="14"/>
      <c r="BG25" s="14"/>
      <c r="BH25" s="14">
        <v>2</v>
      </c>
      <c r="BI25" s="14"/>
      <c r="BJ25" s="14"/>
      <c r="BK25" s="14"/>
      <c r="BL25" s="14"/>
      <c r="BM25" s="14"/>
      <c r="BN25" s="14">
        <v>1</v>
      </c>
      <c r="BO25" s="14"/>
      <c r="BP25" s="14"/>
      <c r="BQ25" s="14"/>
      <c r="BR25" s="14">
        <v>21</v>
      </c>
    </row>
    <row r="26" spans="1:70" x14ac:dyDescent="0.25">
      <c r="A26" s="4">
        <v>2014</v>
      </c>
      <c r="B26" s="14">
        <v>1</v>
      </c>
      <c r="C26" s="14"/>
      <c r="D26" s="14"/>
      <c r="E26" s="14"/>
      <c r="F26" s="14">
        <v>1</v>
      </c>
      <c r="G26" s="14"/>
      <c r="H26" s="14"/>
      <c r="I26" s="14"/>
      <c r="J26" s="14"/>
      <c r="K26" s="14"/>
      <c r="L26" s="14"/>
      <c r="M26" s="14"/>
      <c r="N26" s="14">
        <v>2</v>
      </c>
      <c r="O26" s="14"/>
      <c r="P26" s="14"/>
      <c r="Q26" s="14"/>
      <c r="R26" s="14"/>
      <c r="S26" s="14"/>
      <c r="T26" s="14"/>
      <c r="U26" s="14"/>
      <c r="V26" s="14"/>
      <c r="W26" s="14"/>
      <c r="X26" s="14"/>
      <c r="Y26" s="14"/>
      <c r="Z26" s="14"/>
      <c r="AA26" s="14"/>
      <c r="AB26" s="14"/>
      <c r="AC26" s="14"/>
      <c r="AD26" s="14"/>
      <c r="AE26" s="14"/>
      <c r="AF26" s="14"/>
      <c r="AG26" s="14">
        <v>1</v>
      </c>
      <c r="AH26" s="14"/>
      <c r="AI26" s="14">
        <v>1</v>
      </c>
      <c r="AJ26" s="14"/>
      <c r="AK26" s="14"/>
      <c r="AL26" s="14">
        <v>2</v>
      </c>
      <c r="AM26" s="14"/>
      <c r="AN26" s="14"/>
      <c r="AO26" s="14"/>
      <c r="AP26" s="14"/>
      <c r="AQ26" s="14">
        <v>1</v>
      </c>
      <c r="AR26" s="14"/>
      <c r="AS26" s="14">
        <v>1</v>
      </c>
      <c r="AT26" s="14"/>
      <c r="AU26" s="14"/>
      <c r="AV26" s="14"/>
      <c r="AW26" s="14"/>
      <c r="AX26" s="14"/>
      <c r="AY26" s="14"/>
      <c r="AZ26" s="14">
        <v>1</v>
      </c>
      <c r="BA26" s="14"/>
      <c r="BB26" s="14"/>
      <c r="BC26" s="14"/>
      <c r="BD26" s="14"/>
      <c r="BE26" s="14"/>
      <c r="BF26" s="14">
        <v>1</v>
      </c>
      <c r="BG26" s="14"/>
      <c r="BH26" s="14">
        <v>1</v>
      </c>
      <c r="BI26" s="14"/>
      <c r="BJ26" s="14">
        <v>3</v>
      </c>
      <c r="BK26" s="14"/>
      <c r="BL26" s="14"/>
      <c r="BM26" s="14"/>
      <c r="BN26" s="14">
        <v>1</v>
      </c>
      <c r="BO26" s="14"/>
      <c r="BP26" s="14"/>
      <c r="BQ26" s="14">
        <v>2</v>
      </c>
      <c r="BR26" s="14">
        <v>19</v>
      </c>
    </row>
    <row r="27" spans="1:70" x14ac:dyDescent="0.25">
      <c r="A27" s="4">
        <v>2015</v>
      </c>
      <c r="B27" s="14"/>
      <c r="C27" s="14"/>
      <c r="D27" s="14"/>
      <c r="E27" s="14"/>
      <c r="F27" s="14"/>
      <c r="G27" s="14"/>
      <c r="H27" s="14"/>
      <c r="I27" s="14"/>
      <c r="J27" s="14"/>
      <c r="K27" s="14"/>
      <c r="L27" s="14"/>
      <c r="M27" s="14"/>
      <c r="N27" s="14">
        <v>1</v>
      </c>
      <c r="O27" s="14"/>
      <c r="P27" s="14"/>
      <c r="Q27" s="14"/>
      <c r="R27" s="14"/>
      <c r="S27" s="14"/>
      <c r="T27" s="14">
        <v>1</v>
      </c>
      <c r="U27" s="14"/>
      <c r="V27" s="14"/>
      <c r="W27" s="14">
        <v>1</v>
      </c>
      <c r="X27" s="14"/>
      <c r="Y27" s="14"/>
      <c r="Z27" s="14"/>
      <c r="AA27" s="14"/>
      <c r="AB27" s="14">
        <v>1</v>
      </c>
      <c r="AC27" s="14"/>
      <c r="AD27" s="14"/>
      <c r="AE27" s="14"/>
      <c r="AF27" s="14"/>
      <c r="AG27" s="14"/>
      <c r="AH27" s="14"/>
      <c r="AI27" s="14"/>
      <c r="AJ27" s="14"/>
      <c r="AK27" s="14">
        <v>1</v>
      </c>
      <c r="AL27" s="14"/>
      <c r="AM27" s="14"/>
      <c r="AN27" s="14">
        <v>1</v>
      </c>
      <c r="AO27" s="14"/>
      <c r="AP27" s="14"/>
      <c r="AQ27" s="14"/>
      <c r="AR27" s="14"/>
      <c r="AS27" s="14">
        <v>1</v>
      </c>
      <c r="AT27" s="14"/>
      <c r="AU27" s="14"/>
      <c r="AV27" s="14">
        <v>2</v>
      </c>
      <c r="AW27" s="14"/>
      <c r="AX27" s="14"/>
      <c r="AY27" s="14">
        <v>1</v>
      </c>
      <c r="AZ27" s="14">
        <v>1</v>
      </c>
      <c r="BA27" s="14">
        <v>2</v>
      </c>
      <c r="BB27" s="14"/>
      <c r="BC27" s="14"/>
      <c r="BD27" s="14"/>
      <c r="BE27" s="14"/>
      <c r="BF27" s="14">
        <v>1</v>
      </c>
      <c r="BG27" s="14"/>
      <c r="BH27" s="14">
        <v>1</v>
      </c>
      <c r="BI27" s="14"/>
      <c r="BJ27" s="14">
        <v>1</v>
      </c>
      <c r="BK27" s="14"/>
      <c r="BL27" s="14"/>
      <c r="BM27" s="14">
        <v>1</v>
      </c>
      <c r="BN27" s="14">
        <v>3</v>
      </c>
      <c r="BO27" s="14">
        <v>1</v>
      </c>
      <c r="BP27" s="14"/>
      <c r="BQ27" s="14"/>
      <c r="BR27" s="14">
        <v>21</v>
      </c>
    </row>
    <row r="28" spans="1:70" x14ac:dyDescent="0.25">
      <c r="A28" s="4" t="s">
        <v>6940</v>
      </c>
      <c r="B28" s="14">
        <v>6</v>
      </c>
      <c r="C28" s="14">
        <v>2</v>
      </c>
      <c r="D28" s="14">
        <v>2</v>
      </c>
      <c r="E28" s="14">
        <v>1</v>
      </c>
      <c r="F28" s="14">
        <v>9</v>
      </c>
      <c r="G28" s="14"/>
      <c r="H28" s="14">
        <v>1</v>
      </c>
      <c r="I28" s="14">
        <v>1</v>
      </c>
      <c r="J28" s="14">
        <v>4</v>
      </c>
      <c r="K28" s="14">
        <v>1</v>
      </c>
      <c r="L28" s="14">
        <v>2</v>
      </c>
      <c r="M28" s="14">
        <v>1</v>
      </c>
      <c r="N28" s="14">
        <v>21</v>
      </c>
      <c r="O28" s="14">
        <v>1</v>
      </c>
      <c r="P28" s="14"/>
      <c r="Q28" s="14">
        <v>1</v>
      </c>
      <c r="R28" s="14">
        <v>1</v>
      </c>
      <c r="S28" s="14">
        <v>4</v>
      </c>
      <c r="T28" s="14">
        <v>3</v>
      </c>
      <c r="U28" s="14">
        <v>7</v>
      </c>
      <c r="V28" s="14">
        <v>2</v>
      </c>
      <c r="W28" s="14">
        <v>4</v>
      </c>
      <c r="X28" s="14">
        <v>1</v>
      </c>
      <c r="Y28" s="14">
        <v>1</v>
      </c>
      <c r="Z28" s="14">
        <v>1</v>
      </c>
      <c r="AA28" s="14">
        <v>4</v>
      </c>
      <c r="AB28" s="14">
        <v>1</v>
      </c>
      <c r="AC28" s="14">
        <v>2</v>
      </c>
      <c r="AD28" s="14">
        <v>1</v>
      </c>
      <c r="AE28" s="14">
        <v>5</v>
      </c>
      <c r="AF28" s="14">
        <v>3</v>
      </c>
      <c r="AG28" s="14">
        <v>4</v>
      </c>
      <c r="AH28" s="14">
        <v>4</v>
      </c>
      <c r="AI28" s="14">
        <v>4</v>
      </c>
      <c r="AJ28" s="14"/>
      <c r="AK28" s="14">
        <v>3</v>
      </c>
      <c r="AL28" s="14">
        <v>9</v>
      </c>
      <c r="AM28" s="14">
        <v>4</v>
      </c>
      <c r="AN28" s="14">
        <v>3</v>
      </c>
      <c r="AO28" s="14">
        <v>1</v>
      </c>
      <c r="AP28" s="14">
        <v>2</v>
      </c>
      <c r="AQ28" s="14">
        <v>3</v>
      </c>
      <c r="AR28" s="14">
        <v>4</v>
      </c>
      <c r="AS28" s="14">
        <v>6</v>
      </c>
      <c r="AT28" s="14">
        <v>5</v>
      </c>
      <c r="AU28" s="14">
        <v>2</v>
      </c>
      <c r="AV28" s="14">
        <v>21</v>
      </c>
      <c r="AW28" s="14">
        <v>1</v>
      </c>
      <c r="AX28" s="14">
        <v>4</v>
      </c>
      <c r="AY28" s="14">
        <v>8</v>
      </c>
      <c r="AZ28" s="14">
        <v>29</v>
      </c>
      <c r="BA28" s="14">
        <v>29</v>
      </c>
      <c r="BB28" s="14">
        <v>1</v>
      </c>
      <c r="BC28" s="14">
        <v>1</v>
      </c>
      <c r="BD28" s="14">
        <v>2</v>
      </c>
      <c r="BE28" s="14">
        <v>1</v>
      </c>
      <c r="BF28" s="14">
        <v>5</v>
      </c>
      <c r="BG28" s="14">
        <v>10</v>
      </c>
      <c r="BH28" s="14">
        <v>10</v>
      </c>
      <c r="BI28" s="14">
        <v>2</v>
      </c>
      <c r="BJ28" s="14">
        <v>11</v>
      </c>
      <c r="BK28" s="14">
        <v>1</v>
      </c>
      <c r="BL28" s="14">
        <v>3</v>
      </c>
      <c r="BM28" s="14">
        <v>2</v>
      </c>
      <c r="BN28" s="14">
        <v>12</v>
      </c>
      <c r="BO28" s="14">
        <v>5</v>
      </c>
      <c r="BP28" s="14">
        <v>3</v>
      </c>
      <c r="BQ28" s="14">
        <v>12</v>
      </c>
      <c r="BR28" s="14">
        <v>320</v>
      </c>
    </row>
  </sheetData>
  <sheetProtection algorithmName="SHA-512" hashValue="aVGuFRU58TV/OK2cr05EIdCwK0NMmKZxMhCE2OuRH71pG+Lo8KTM+09EwF4OOmLk2HcSOARmEVBate5kp3i9lw==" saltValue="6tINPcfL/+NT1/8p6XN95Q==" spinCount="100000" sheet="1" objects="1" scenarios="1" selectLockedCells="1" pivotTables="0" selectUn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241A-E702-42FE-B540-9A79DF8791B1}">
  <sheetPr>
    <tabColor theme="9" tint="0.39997558519241921"/>
  </sheetPr>
  <dimension ref="A1:G28"/>
  <sheetViews>
    <sheetView workbookViewId="0"/>
  </sheetViews>
  <sheetFormatPr defaultRowHeight="15" x14ac:dyDescent="0.25"/>
  <cols>
    <col min="1" max="1" width="53.140625" bestFit="1" customWidth="1"/>
    <col min="2" max="2" width="17.85546875" bestFit="1" customWidth="1"/>
    <col min="3" max="4" width="10" bestFit="1" customWidth="1"/>
    <col min="5" max="5" width="11" bestFit="1" customWidth="1"/>
    <col min="6" max="6" width="10" bestFit="1" customWidth="1"/>
    <col min="7" max="7" width="11.28515625" bestFit="1" customWidth="1"/>
    <col min="8" max="8" width="6" bestFit="1" customWidth="1"/>
    <col min="9" max="9" width="7" bestFit="1" customWidth="1"/>
    <col min="10" max="10" width="9" bestFit="1" customWidth="1"/>
    <col min="11" max="11" width="10" bestFit="1" customWidth="1"/>
    <col min="12" max="14" width="12" bestFit="1" customWidth="1"/>
    <col min="15" max="15" width="10" bestFit="1" customWidth="1"/>
    <col min="16" max="16" width="7" bestFit="1" customWidth="1"/>
    <col min="17" max="17" width="8" bestFit="1" customWidth="1"/>
    <col min="18" max="18" width="7" bestFit="1" customWidth="1"/>
    <col min="19" max="19" width="11" bestFit="1" customWidth="1"/>
    <col min="20" max="20" width="22" bestFit="1" customWidth="1"/>
    <col min="21" max="21" width="28.28515625" bestFit="1" customWidth="1"/>
    <col min="22" max="22" width="10" bestFit="1" customWidth="1"/>
    <col min="23" max="24" width="6" bestFit="1" customWidth="1"/>
    <col min="25" max="25" width="9" bestFit="1" customWidth="1"/>
    <col min="26" max="26" width="10" bestFit="1" customWidth="1"/>
    <col min="27" max="27" width="11" bestFit="1" customWidth="1"/>
    <col min="28" max="28" width="6" bestFit="1" customWidth="1"/>
    <col min="29" max="29" width="31.42578125" bestFit="1" customWidth="1"/>
    <col min="30" max="30" width="32.28515625" bestFit="1" customWidth="1"/>
    <col min="31" max="31" width="7" bestFit="1" customWidth="1"/>
    <col min="32" max="32" width="5" bestFit="1" customWidth="1"/>
    <col min="33" max="33" width="9" bestFit="1" customWidth="1"/>
    <col min="34" max="34" width="6" bestFit="1" customWidth="1"/>
    <col min="35" max="35" width="12" bestFit="1" customWidth="1"/>
    <col min="36" max="36" width="8" bestFit="1" customWidth="1"/>
    <col min="37" max="37" width="6" bestFit="1" customWidth="1"/>
    <col min="38" max="38" width="35.42578125" bestFit="1" customWidth="1"/>
    <col min="39" max="39" width="27.42578125" bestFit="1" customWidth="1"/>
    <col min="40" max="41" width="8" bestFit="1" customWidth="1"/>
    <col min="42" max="42" width="6" bestFit="1" customWidth="1"/>
    <col min="43" max="43" width="11" bestFit="1" customWidth="1"/>
    <col min="44" max="44" width="8" bestFit="1" customWidth="1"/>
    <col min="45" max="45" width="30.5703125" bestFit="1" customWidth="1"/>
    <col min="46" max="46" width="46.5703125" bestFit="1" customWidth="1"/>
    <col min="47" max="48" width="6" bestFit="1" customWidth="1"/>
    <col min="49" max="49" width="8" bestFit="1" customWidth="1"/>
    <col min="50" max="50" width="7" bestFit="1" customWidth="1"/>
    <col min="51" max="52" width="8" bestFit="1" customWidth="1"/>
    <col min="53" max="53" width="49.7109375" bestFit="1" customWidth="1"/>
    <col min="54" max="54" width="19.5703125" bestFit="1" customWidth="1"/>
    <col min="55" max="55" width="10" bestFit="1" customWidth="1"/>
    <col min="56" max="56" width="5" bestFit="1" customWidth="1"/>
    <col min="57" max="57" width="8" bestFit="1" customWidth="1"/>
    <col min="58" max="58" width="9" bestFit="1" customWidth="1"/>
    <col min="59" max="59" width="7" bestFit="1" customWidth="1"/>
    <col min="60" max="60" width="22.7109375" bestFit="1" customWidth="1"/>
    <col min="61" max="61" width="17" bestFit="1" customWidth="1"/>
    <col min="62" max="64" width="7" bestFit="1" customWidth="1"/>
    <col min="65" max="65" width="6" bestFit="1" customWidth="1"/>
    <col min="66" max="67" width="9" bestFit="1" customWidth="1"/>
    <col min="68" max="68" width="20.140625" bestFit="1" customWidth="1"/>
    <col min="69" max="69" width="25.28515625" bestFit="1" customWidth="1"/>
    <col min="70" max="70" width="12" bestFit="1" customWidth="1"/>
    <col min="71" max="71" width="6" bestFit="1" customWidth="1"/>
    <col min="72" max="74" width="9" bestFit="1" customWidth="1"/>
    <col min="75" max="75" width="28.42578125" bestFit="1" customWidth="1"/>
    <col min="76" max="76" width="12" bestFit="1" customWidth="1"/>
    <col min="77" max="77" width="10.140625" bestFit="1" customWidth="1"/>
    <col min="78" max="78" width="24.85546875" bestFit="1" customWidth="1"/>
    <col min="79" max="79" width="15.42578125" bestFit="1" customWidth="1"/>
    <col min="80" max="80" width="7.85546875" bestFit="1" customWidth="1"/>
    <col min="81" max="81" width="15.140625" bestFit="1" customWidth="1"/>
    <col min="82" max="82" width="13.42578125" bestFit="1" customWidth="1"/>
    <col min="83" max="83" width="19.42578125" bestFit="1" customWidth="1"/>
    <col min="84" max="84" width="11" bestFit="1" customWidth="1"/>
    <col min="85" max="85" width="23.85546875" bestFit="1" customWidth="1"/>
    <col min="86" max="86" width="35.140625" bestFit="1" customWidth="1"/>
    <col min="87" max="87" width="22.28515625" bestFit="1" customWidth="1"/>
    <col min="88" max="88" width="52" bestFit="1" customWidth="1"/>
    <col min="89" max="89" width="17" bestFit="1" customWidth="1"/>
    <col min="90" max="90" width="29" bestFit="1" customWidth="1"/>
    <col min="91" max="91" width="51.140625" bestFit="1" customWidth="1"/>
    <col min="92" max="92" width="12.5703125" bestFit="1" customWidth="1"/>
    <col min="93" max="93" width="33.140625" bestFit="1" customWidth="1"/>
    <col min="94" max="94" width="33.42578125" bestFit="1" customWidth="1"/>
    <col min="95" max="95" width="18.85546875" bestFit="1" customWidth="1"/>
    <col min="96" max="96" width="22.42578125" bestFit="1" customWidth="1"/>
    <col min="97" max="97" width="23.42578125" bestFit="1" customWidth="1"/>
    <col min="98" max="98" width="12" bestFit="1" customWidth="1"/>
    <col min="99" max="99" width="33" bestFit="1" customWidth="1"/>
    <col min="100" max="100" width="32.28515625" bestFit="1" customWidth="1"/>
    <col min="101" max="101" width="44.5703125" bestFit="1" customWidth="1"/>
    <col min="102" max="102" width="9.7109375" bestFit="1" customWidth="1"/>
    <col min="103" max="103" width="25.7109375" bestFit="1" customWidth="1"/>
    <col min="104" max="104" width="13.5703125" bestFit="1" customWidth="1"/>
    <col min="105" max="105" width="19.85546875" bestFit="1" customWidth="1"/>
    <col min="106" max="106" width="35.140625" bestFit="1" customWidth="1"/>
    <col min="107" max="107" width="39" bestFit="1" customWidth="1"/>
    <col min="108" max="108" width="14.7109375" bestFit="1" customWidth="1"/>
    <col min="109" max="109" width="14.5703125" bestFit="1" customWidth="1"/>
    <col min="110" max="110" width="10.85546875" bestFit="1" customWidth="1"/>
    <col min="111" max="111" width="23.140625" bestFit="1" customWidth="1"/>
    <col min="112" max="112" width="6.5703125" bestFit="1" customWidth="1"/>
    <col min="113" max="113" width="45.5703125" bestFit="1" customWidth="1"/>
    <col min="114" max="114" width="45.7109375" bestFit="1" customWidth="1"/>
    <col min="115" max="115" width="36.42578125" bestFit="1" customWidth="1"/>
    <col min="116" max="116" width="23" bestFit="1" customWidth="1"/>
    <col min="117" max="117" width="12.42578125" bestFit="1" customWidth="1"/>
    <col min="118" max="118" width="7.28515625" bestFit="1" customWidth="1"/>
    <col min="119" max="119" width="24.5703125" bestFit="1" customWidth="1"/>
    <col min="120" max="120" width="43.28515625" bestFit="1" customWidth="1"/>
    <col min="121" max="121" width="44.140625" bestFit="1" customWidth="1"/>
    <col min="122" max="122" width="47.7109375" bestFit="1" customWidth="1"/>
    <col min="123" max="123" width="27.42578125" bestFit="1" customWidth="1"/>
    <col min="124" max="124" width="54.140625" bestFit="1" customWidth="1"/>
    <col min="125" max="125" width="7.28515625" bestFit="1" customWidth="1"/>
    <col min="126" max="126" width="46.5703125" bestFit="1" customWidth="1"/>
    <col min="127" max="127" width="34.7109375" bestFit="1" customWidth="1"/>
    <col min="128" max="128" width="21.42578125" bestFit="1" customWidth="1"/>
    <col min="129" max="129" width="19.5703125" bestFit="1" customWidth="1"/>
    <col min="130" max="130" width="28.85546875" bestFit="1" customWidth="1"/>
    <col min="131" max="131" width="44.5703125" bestFit="1" customWidth="1"/>
    <col min="132" max="132" width="18.7109375" bestFit="1" customWidth="1"/>
    <col min="133" max="133" width="26.85546875" bestFit="1" customWidth="1"/>
    <col min="134" max="134" width="30" bestFit="1" customWidth="1"/>
    <col min="135" max="135" width="38" bestFit="1" customWidth="1"/>
    <col min="136" max="136" width="18.42578125" bestFit="1" customWidth="1"/>
    <col min="137" max="137" width="47.7109375" bestFit="1" customWidth="1"/>
    <col min="138" max="138" width="31.140625" bestFit="1" customWidth="1"/>
    <col min="139" max="139" width="14" bestFit="1" customWidth="1"/>
    <col min="140" max="140" width="38.7109375" bestFit="1" customWidth="1"/>
    <col min="141" max="141" width="54.140625" bestFit="1" customWidth="1"/>
    <col min="142" max="142" width="19.7109375" bestFit="1" customWidth="1"/>
    <col min="143" max="143" width="41.85546875" bestFit="1" customWidth="1"/>
    <col min="144" max="144" width="30" bestFit="1" customWidth="1"/>
    <col min="145" max="145" width="11.5703125" bestFit="1" customWidth="1"/>
    <col min="146" max="146" width="11.42578125" bestFit="1" customWidth="1"/>
    <col min="147" max="147" width="32.85546875" bestFit="1" customWidth="1"/>
    <col min="148" max="148" width="27.28515625" bestFit="1" customWidth="1"/>
    <col min="149" max="149" width="22.5703125" bestFit="1" customWidth="1"/>
    <col min="150" max="150" width="44.7109375" bestFit="1" customWidth="1"/>
    <col min="151" max="151" width="19" bestFit="1" customWidth="1"/>
    <col min="152" max="152" width="9.7109375" bestFit="1" customWidth="1"/>
    <col min="153" max="153" width="36.140625" bestFit="1" customWidth="1"/>
    <col min="154" max="154" width="38.85546875" bestFit="1" customWidth="1"/>
    <col min="155" max="155" width="18.42578125" bestFit="1" customWidth="1"/>
    <col min="156" max="156" width="40.5703125" bestFit="1" customWidth="1"/>
    <col min="157" max="157" width="18.28515625" bestFit="1" customWidth="1"/>
    <col min="158" max="158" width="36.42578125" bestFit="1" customWidth="1"/>
    <col min="159" max="159" width="42.140625" bestFit="1" customWidth="1"/>
    <col min="160" max="160" width="18.7109375" bestFit="1" customWidth="1"/>
    <col min="161" max="161" width="28.42578125" bestFit="1" customWidth="1"/>
    <col min="162" max="162" width="15.85546875" bestFit="1" customWidth="1"/>
    <col min="163" max="163" width="16.28515625" bestFit="1" customWidth="1"/>
    <col min="164" max="164" width="7.28515625" bestFit="1" customWidth="1"/>
    <col min="165" max="165" width="21.7109375" bestFit="1" customWidth="1"/>
    <col min="166" max="166" width="21.42578125" bestFit="1" customWidth="1"/>
    <col min="167" max="167" width="24.5703125" bestFit="1" customWidth="1"/>
    <col min="168" max="168" width="13.140625" bestFit="1" customWidth="1"/>
    <col min="169" max="169" width="16.28515625" bestFit="1" customWidth="1"/>
    <col min="170" max="170" width="29.140625" bestFit="1" customWidth="1"/>
    <col min="171" max="171" width="18" bestFit="1" customWidth="1"/>
    <col min="172" max="172" width="18.28515625" bestFit="1" customWidth="1"/>
    <col min="173" max="173" width="7.28515625" bestFit="1" customWidth="1"/>
    <col min="174" max="174" width="32.28515625" bestFit="1" customWidth="1"/>
    <col min="175" max="175" width="25.5703125" bestFit="1" customWidth="1"/>
    <col min="176" max="176" width="46.7109375" bestFit="1" customWidth="1"/>
    <col min="177" max="177" width="51.28515625" bestFit="1" customWidth="1"/>
    <col min="178" max="178" width="59.140625" bestFit="1" customWidth="1"/>
    <col min="179" max="179" width="28.7109375" bestFit="1" customWidth="1"/>
    <col min="180" max="180" width="26.140625" bestFit="1" customWidth="1"/>
    <col min="181" max="181" width="7.28515625" bestFit="1" customWidth="1"/>
    <col min="182" max="182" width="29.28515625" bestFit="1" customWidth="1"/>
    <col min="183" max="183" width="15.85546875" bestFit="1" customWidth="1"/>
    <col min="184" max="184" width="32.7109375" bestFit="1" customWidth="1"/>
    <col min="185" max="185" width="9.42578125" bestFit="1" customWidth="1"/>
    <col min="186" max="186" width="27.85546875" bestFit="1" customWidth="1"/>
    <col min="187" max="187" width="24.140625" bestFit="1" customWidth="1"/>
    <col min="188" max="188" width="31.7109375" bestFit="1" customWidth="1"/>
    <col min="189" max="189" width="18.7109375" bestFit="1" customWidth="1"/>
    <col min="190" max="190" width="16.140625" bestFit="1" customWidth="1"/>
    <col min="191" max="191" width="30.5703125" bestFit="1" customWidth="1"/>
    <col min="192" max="192" width="16.42578125" bestFit="1" customWidth="1"/>
    <col min="193" max="193" width="38.85546875" bestFit="1" customWidth="1"/>
    <col min="194" max="194" width="28.85546875" bestFit="1" customWidth="1"/>
    <col min="195" max="195" width="25.28515625" bestFit="1" customWidth="1"/>
    <col min="196" max="196" width="18.28515625" bestFit="1" customWidth="1"/>
    <col min="197" max="197" width="24.28515625" bestFit="1" customWidth="1"/>
    <col min="198" max="198" width="38.5703125" bestFit="1" customWidth="1"/>
    <col min="199" max="199" width="9.140625" bestFit="1" customWidth="1"/>
    <col min="200" max="200" width="36.140625" bestFit="1" customWidth="1"/>
    <col min="201" max="201" width="26.85546875" bestFit="1" customWidth="1"/>
    <col min="202" max="202" width="15.140625" bestFit="1" customWidth="1"/>
    <col min="203" max="203" width="33" bestFit="1" customWidth="1"/>
    <col min="204" max="204" width="13.7109375" bestFit="1" customWidth="1"/>
    <col min="205" max="205" width="25.7109375" bestFit="1" customWidth="1"/>
    <col min="206" max="206" width="12.5703125" bestFit="1" customWidth="1"/>
    <col min="207" max="207" width="17.28515625" bestFit="1" customWidth="1"/>
    <col min="208" max="208" width="17.85546875" bestFit="1" customWidth="1"/>
    <col min="209" max="209" width="19" bestFit="1" customWidth="1"/>
    <col min="210" max="210" width="15" bestFit="1" customWidth="1"/>
    <col min="211" max="211" width="24.140625" bestFit="1" customWidth="1"/>
    <col min="212" max="212" width="16.5703125" bestFit="1" customWidth="1"/>
    <col min="213" max="213" width="34.7109375" bestFit="1" customWidth="1"/>
    <col min="214" max="214" width="19.28515625" bestFit="1" customWidth="1"/>
    <col min="215" max="215" width="14.42578125" bestFit="1" customWidth="1"/>
    <col min="216" max="216" width="44.140625" bestFit="1" customWidth="1"/>
    <col min="217" max="217" width="42.28515625" bestFit="1" customWidth="1"/>
    <col min="218" max="218" width="16.28515625" bestFit="1" customWidth="1"/>
    <col min="219" max="219" width="21" bestFit="1" customWidth="1"/>
    <col min="220" max="220" width="39.42578125" bestFit="1" customWidth="1"/>
    <col min="221" max="221" width="10.5703125" bestFit="1" customWidth="1"/>
    <col min="222" max="222" width="16.7109375" bestFit="1" customWidth="1"/>
    <col min="223" max="223" width="50.7109375" bestFit="1" customWidth="1"/>
    <col min="224" max="224" width="25" bestFit="1" customWidth="1"/>
    <col min="225" max="225" width="26" bestFit="1" customWidth="1"/>
    <col min="226" max="226" width="28.42578125" bestFit="1" customWidth="1"/>
    <col min="227" max="227" width="7.28515625" bestFit="1" customWidth="1"/>
    <col min="228" max="228" width="15.28515625" bestFit="1" customWidth="1"/>
    <col min="229" max="229" width="28.140625" bestFit="1" customWidth="1"/>
    <col min="230" max="230" width="31.28515625" bestFit="1" customWidth="1"/>
    <col min="231" max="231" width="8.85546875" bestFit="1" customWidth="1"/>
    <col min="232" max="232" width="11.85546875" bestFit="1" customWidth="1"/>
    <col min="233" max="233" width="9" bestFit="1" customWidth="1"/>
    <col min="234" max="234" width="11.7109375" bestFit="1" customWidth="1"/>
    <col min="235" max="235" width="23.140625" bestFit="1" customWidth="1"/>
    <col min="236" max="236" width="18.7109375" bestFit="1" customWidth="1"/>
    <col min="237" max="237" width="7.28515625" bestFit="1" customWidth="1"/>
    <col min="238" max="238" width="17.42578125" bestFit="1" customWidth="1"/>
    <col min="239" max="239" width="26.5703125" bestFit="1" customWidth="1"/>
    <col min="240" max="240" width="13.7109375" bestFit="1" customWidth="1"/>
    <col min="241" max="241" width="26.28515625" bestFit="1" customWidth="1"/>
    <col min="242" max="242" width="14" bestFit="1" customWidth="1"/>
    <col min="243" max="243" width="31.28515625" bestFit="1" customWidth="1"/>
    <col min="244" max="244" width="16.140625" bestFit="1" customWidth="1"/>
    <col min="245" max="245" width="19" bestFit="1" customWidth="1"/>
    <col min="246" max="246" width="17.85546875" bestFit="1" customWidth="1"/>
    <col min="247" max="247" width="26.85546875" bestFit="1" customWidth="1"/>
    <col min="248" max="248" width="11.140625" bestFit="1" customWidth="1"/>
    <col min="249" max="249" width="9" bestFit="1" customWidth="1"/>
    <col min="250" max="250" width="15.85546875" bestFit="1" customWidth="1"/>
    <col min="251" max="251" width="15.28515625" bestFit="1" customWidth="1"/>
    <col min="252" max="252" width="18.42578125" bestFit="1" customWidth="1"/>
    <col min="253" max="253" width="41.42578125" bestFit="1" customWidth="1"/>
    <col min="254" max="254" width="22.140625" bestFit="1" customWidth="1"/>
    <col min="255" max="255" width="12.7109375" bestFit="1" customWidth="1"/>
    <col min="256" max="256" width="19.5703125" bestFit="1" customWidth="1"/>
    <col min="257" max="257" width="18.42578125" bestFit="1" customWidth="1"/>
    <col min="258" max="258" width="41.140625" bestFit="1" customWidth="1"/>
    <col min="259" max="259" width="35" bestFit="1" customWidth="1"/>
    <col min="260" max="260" width="15.7109375" bestFit="1" customWidth="1"/>
    <col min="261" max="261" width="24.140625" bestFit="1" customWidth="1"/>
    <col min="262" max="262" width="12.85546875" bestFit="1" customWidth="1"/>
    <col min="263" max="263" width="18.140625" bestFit="1" customWidth="1"/>
    <col min="264" max="264" width="61" bestFit="1" customWidth="1"/>
    <col min="265" max="265" width="15.5703125" bestFit="1" customWidth="1"/>
    <col min="266" max="266" width="10.5703125" bestFit="1" customWidth="1"/>
    <col min="267" max="267" width="29" bestFit="1" customWidth="1"/>
    <col min="268" max="268" width="9.42578125" bestFit="1" customWidth="1"/>
    <col min="269" max="269" width="20.28515625" bestFit="1" customWidth="1"/>
    <col min="270" max="270" width="24.85546875" bestFit="1" customWidth="1"/>
    <col min="271" max="271" width="54.7109375" bestFit="1" customWidth="1"/>
    <col min="272" max="272" width="17.7109375" bestFit="1" customWidth="1"/>
    <col min="273" max="273" width="29.85546875" bestFit="1" customWidth="1"/>
    <col min="274" max="274" width="16.7109375" bestFit="1" customWidth="1"/>
    <col min="275" max="275" width="19.42578125" bestFit="1" customWidth="1"/>
    <col min="276" max="276" width="15.85546875" bestFit="1" customWidth="1"/>
    <col min="277" max="277" width="11.7109375" bestFit="1" customWidth="1"/>
    <col min="278" max="278" width="35.7109375" bestFit="1" customWidth="1"/>
    <col min="279" max="279" width="7.28515625" bestFit="1" customWidth="1"/>
    <col min="280" max="280" width="29.85546875" bestFit="1" customWidth="1"/>
    <col min="281" max="281" width="25.28515625" bestFit="1" customWidth="1"/>
    <col min="282" max="282" width="21" bestFit="1" customWidth="1"/>
    <col min="283" max="283" width="41.140625" bestFit="1" customWidth="1"/>
    <col min="284" max="284" width="14.7109375" bestFit="1" customWidth="1"/>
    <col min="285" max="285" width="16.140625" bestFit="1" customWidth="1"/>
    <col min="286" max="286" width="28.42578125" bestFit="1" customWidth="1"/>
    <col min="287" max="287" width="35.7109375" bestFit="1" customWidth="1"/>
    <col min="288" max="288" width="24.7109375" bestFit="1" customWidth="1"/>
    <col min="289" max="289" width="31.140625" bestFit="1" customWidth="1"/>
    <col min="290" max="290" width="16.42578125" bestFit="1" customWidth="1"/>
    <col min="291" max="291" width="27.42578125" bestFit="1" customWidth="1"/>
    <col min="292" max="292" width="34.7109375" bestFit="1" customWidth="1"/>
    <col min="293" max="293" width="7.28515625" bestFit="1" customWidth="1"/>
    <col min="294" max="294" width="16.28515625" bestFit="1" customWidth="1"/>
    <col min="295" max="295" width="18.42578125" bestFit="1" customWidth="1"/>
    <col min="296" max="296" width="16" bestFit="1" customWidth="1"/>
    <col min="297" max="297" width="23.140625" bestFit="1" customWidth="1"/>
    <col min="298" max="298" width="24.5703125" bestFit="1" customWidth="1"/>
    <col min="299" max="299" width="50.7109375" bestFit="1" customWidth="1"/>
    <col min="300" max="300" width="20" bestFit="1" customWidth="1"/>
    <col min="301" max="301" width="28.42578125" bestFit="1" customWidth="1"/>
    <col min="302" max="302" width="24.140625" bestFit="1" customWidth="1"/>
    <col min="303" max="303" width="23.28515625" bestFit="1" customWidth="1"/>
    <col min="304" max="304" width="10.5703125" bestFit="1" customWidth="1"/>
    <col min="305" max="305" width="12.85546875" bestFit="1" customWidth="1"/>
    <col min="306" max="306" width="28" bestFit="1" customWidth="1"/>
    <col min="307" max="307" width="17.5703125" bestFit="1" customWidth="1"/>
    <col min="308" max="308" width="19" bestFit="1" customWidth="1"/>
    <col min="309" max="309" width="15.42578125" bestFit="1" customWidth="1"/>
    <col min="310" max="310" width="17.7109375" bestFit="1" customWidth="1"/>
    <col min="311" max="311" width="14" bestFit="1" customWidth="1"/>
    <col min="312" max="312" width="25.140625" bestFit="1" customWidth="1"/>
    <col min="313" max="313" width="35.42578125" bestFit="1" customWidth="1"/>
    <col min="314" max="314" width="37.5703125" bestFit="1" customWidth="1"/>
    <col min="315" max="315" width="17.42578125" bestFit="1" customWidth="1"/>
    <col min="316" max="316" width="38.85546875" bestFit="1" customWidth="1"/>
    <col min="317" max="317" width="36" bestFit="1" customWidth="1"/>
    <col min="318" max="318" width="23.7109375" bestFit="1" customWidth="1"/>
    <col min="319" max="319" width="39.28515625" bestFit="1" customWidth="1"/>
    <col min="320" max="320" width="38.85546875" bestFit="1" customWidth="1"/>
    <col min="321" max="321" width="30.28515625" bestFit="1" customWidth="1"/>
    <col min="322" max="322" width="34.28515625" bestFit="1" customWidth="1"/>
    <col min="323" max="323" width="18.28515625" bestFit="1" customWidth="1"/>
    <col min="324" max="324" width="42.140625" bestFit="1" customWidth="1"/>
    <col min="325" max="325" width="21.85546875" bestFit="1" customWidth="1"/>
    <col min="326" max="326" width="39.140625" bestFit="1" customWidth="1"/>
    <col min="327" max="327" width="40.28515625" bestFit="1" customWidth="1"/>
    <col min="328" max="328" width="43.42578125" bestFit="1" customWidth="1"/>
    <col min="329" max="329" width="37.5703125" bestFit="1" customWidth="1"/>
    <col min="330" max="330" width="21.5703125" bestFit="1" customWidth="1"/>
    <col min="331" max="331" width="18.28515625" bestFit="1" customWidth="1"/>
    <col min="332" max="332" width="14.85546875" bestFit="1" customWidth="1"/>
    <col min="333" max="333" width="18.7109375" bestFit="1" customWidth="1"/>
    <col min="334" max="334" width="40.7109375" bestFit="1" customWidth="1"/>
    <col min="335" max="335" width="27.42578125" bestFit="1" customWidth="1"/>
    <col min="336" max="336" width="35" bestFit="1" customWidth="1"/>
    <col min="337" max="337" width="46.28515625" bestFit="1" customWidth="1"/>
    <col min="338" max="338" width="10.140625" bestFit="1" customWidth="1"/>
    <col min="339" max="339" width="10.85546875" bestFit="1" customWidth="1"/>
    <col min="340" max="340" width="29.85546875" bestFit="1" customWidth="1"/>
    <col min="341" max="341" width="22.140625" bestFit="1" customWidth="1"/>
    <col min="342" max="342" width="23.85546875" bestFit="1" customWidth="1"/>
    <col min="343" max="343" width="21.140625" bestFit="1" customWidth="1"/>
    <col min="344" max="344" width="19" bestFit="1" customWidth="1"/>
    <col min="345" max="345" width="22" bestFit="1" customWidth="1"/>
    <col min="346" max="346" width="41.42578125" bestFit="1" customWidth="1"/>
    <col min="347" max="347" width="36.85546875" bestFit="1" customWidth="1"/>
    <col min="348" max="348" width="41.42578125" bestFit="1" customWidth="1"/>
    <col min="349" max="349" width="11.5703125" bestFit="1" customWidth="1"/>
    <col min="350" max="350" width="21.42578125" bestFit="1" customWidth="1"/>
    <col min="351" max="351" width="27.42578125" bestFit="1" customWidth="1"/>
    <col min="352" max="352" width="15.7109375" bestFit="1" customWidth="1"/>
    <col min="353" max="353" width="27.28515625" bestFit="1" customWidth="1"/>
    <col min="354" max="354" width="38.85546875" bestFit="1" customWidth="1"/>
    <col min="355" max="355" width="14.85546875" bestFit="1" customWidth="1"/>
    <col min="356" max="356" width="13.5703125" bestFit="1" customWidth="1"/>
    <col min="357" max="357" width="35.5703125" bestFit="1" customWidth="1"/>
    <col min="358" max="358" width="37.28515625" bestFit="1" customWidth="1"/>
    <col min="359" max="359" width="9" bestFit="1" customWidth="1"/>
    <col min="360" max="360" width="28.42578125" bestFit="1" customWidth="1"/>
    <col min="361" max="361" width="26.7109375" bestFit="1" customWidth="1"/>
    <col min="362" max="362" width="32.42578125" bestFit="1" customWidth="1"/>
    <col min="363" max="363" width="19.5703125" bestFit="1" customWidth="1"/>
    <col min="364" max="364" width="24.42578125" bestFit="1" customWidth="1"/>
    <col min="365" max="365" width="9.140625" bestFit="1" customWidth="1"/>
    <col min="366" max="366" width="21.7109375" bestFit="1" customWidth="1"/>
    <col min="367" max="367" width="5.7109375" bestFit="1" customWidth="1"/>
    <col min="368" max="368" width="27.85546875" bestFit="1" customWidth="1"/>
    <col min="369" max="369" width="32.7109375" bestFit="1" customWidth="1"/>
    <col min="370" max="370" width="42.85546875" bestFit="1" customWidth="1"/>
    <col min="371" max="371" width="32.5703125" bestFit="1" customWidth="1"/>
    <col min="372" max="372" width="38.5703125" bestFit="1" customWidth="1"/>
    <col min="373" max="373" width="24.7109375" bestFit="1" customWidth="1"/>
    <col min="374" max="374" width="45.7109375" bestFit="1" customWidth="1"/>
    <col min="375" max="375" width="54.85546875" bestFit="1" customWidth="1"/>
    <col min="376" max="376" width="23.28515625" bestFit="1" customWidth="1"/>
    <col min="377" max="377" width="14.42578125" bestFit="1" customWidth="1"/>
    <col min="378" max="378" width="27.7109375" bestFit="1" customWidth="1"/>
    <col min="379" max="379" width="20.28515625" bestFit="1" customWidth="1"/>
    <col min="380" max="380" width="30.85546875" bestFit="1" customWidth="1"/>
    <col min="381" max="381" width="7.28515625" bestFit="1" customWidth="1"/>
    <col min="382" max="382" width="28.42578125" bestFit="1" customWidth="1"/>
    <col min="383" max="383" width="35.42578125" bestFit="1" customWidth="1"/>
    <col min="384" max="384" width="13.42578125" bestFit="1" customWidth="1"/>
    <col min="385" max="385" width="20.85546875" bestFit="1" customWidth="1"/>
    <col min="386" max="386" width="24" bestFit="1" customWidth="1"/>
    <col min="387" max="387" width="33" bestFit="1" customWidth="1"/>
    <col min="388" max="388" width="24.7109375" bestFit="1" customWidth="1"/>
    <col min="389" max="389" width="18.28515625" bestFit="1" customWidth="1"/>
    <col min="390" max="390" width="8.85546875" bestFit="1" customWidth="1"/>
    <col min="391" max="391" width="17.7109375" bestFit="1" customWidth="1"/>
    <col min="392" max="392" width="32.7109375" bestFit="1" customWidth="1"/>
    <col min="393" max="393" width="19.85546875" bestFit="1" customWidth="1"/>
    <col min="394" max="394" width="24.7109375" bestFit="1" customWidth="1"/>
    <col min="395" max="395" width="18.42578125" bestFit="1" customWidth="1"/>
    <col min="396" max="396" width="23" bestFit="1" customWidth="1"/>
    <col min="397" max="397" width="10.85546875" bestFit="1" customWidth="1"/>
    <col min="398" max="398" width="16.140625" bestFit="1" customWidth="1"/>
    <col min="399" max="399" width="24.7109375" bestFit="1" customWidth="1"/>
    <col min="400" max="400" width="14.7109375" bestFit="1" customWidth="1"/>
    <col min="401" max="401" width="27.5703125" bestFit="1" customWidth="1"/>
    <col min="402" max="402" width="30.7109375" bestFit="1" customWidth="1"/>
    <col min="403" max="403" width="17.42578125" bestFit="1" customWidth="1"/>
    <col min="404" max="404" width="23.85546875" bestFit="1" customWidth="1"/>
    <col min="405" max="405" width="9.5703125" bestFit="1" customWidth="1"/>
    <col min="406" max="406" width="35.140625" bestFit="1" customWidth="1"/>
    <col min="407" max="407" width="50.7109375" bestFit="1" customWidth="1"/>
    <col min="408" max="408" width="21.7109375" bestFit="1" customWidth="1"/>
    <col min="409" max="409" width="28.5703125" bestFit="1" customWidth="1"/>
    <col min="410" max="410" width="21" bestFit="1" customWidth="1"/>
    <col min="411" max="411" width="33.5703125" bestFit="1" customWidth="1"/>
    <col min="412" max="412" width="31.7109375" bestFit="1" customWidth="1"/>
    <col min="413" max="413" width="46.140625" bestFit="1" customWidth="1"/>
    <col min="414" max="414" width="16" bestFit="1" customWidth="1"/>
    <col min="415" max="415" width="24.7109375" bestFit="1" customWidth="1"/>
    <col min="416" max="416" width="49.28515625" bestFit="1" customWidth="1"/>
    <col min="417" max="417" width="19.140625" bestFit="1" customWidth="1"/>
    <col min="418" max="418" width="22.28515625" bestFit="1" customWidth="1"/>
    <col min="419" max="419" width="19.28515625" bestFit="1" customWidth="1"/>
    <col min="420" max="420" width="44" bestFit="1" customWidth="1"/>
    <col min="421" max="421" width="18.5703125" bestFit="1" customWidth="1"/>
    <col min="422" max="422" width="42.7109375" bestFit="1" customWidth="1"/>
    <col min="423" max="423" width="32.85546875" bestFit="1" customWidth="1"/>
    <col min="424" max="424" width="16" bestFit="1" customWidth="1"/>
    <col min="425" max="425" width="23.85546875" bestFit="1" customWidth="1"/>
    <col min="426" max="426" width="25.28515625" bestFit="1" customWidth="1"/>
    <col min="427" max="427" width="42.7109375" bestFit="1" customWidth="1"/>
    <col min="428" max="428" width="29.42578125" bestFit="1" customWidth="1"/>
    <col min="429" max="429" width="43" bestFit="1" customWidth="1"/>
    <col min="430" max="430" width="26.42578125" bestFit="1" customWidth="1"/>
    <col min="431" max="431" width="9" bestFit="1" customWidth="1"/>
    <col min="432" max="432" width="16.85546875" bestFit="1" customWidth="1"/>
    <col min="433" max="433" width="34.85546875" bestFit="1" customWidth="1"/>
    <col min="434" max="434" width="33.85546875" bestFit="1" customWidth="1"/>
    <col min="435" max="435" width="21" bestFit="1" customWidth="1"/>
    <col min="436" max="436" width="22.85546875" bestFit="1" customWidth="1"/>
    <col min="437" max="437" width="44.7109375" bestFit="1" customWidth="1"/>
    <col min="438" max="438" width="7.28515625" bestFit="1" customWidth="1"/>
    <col min="439" max="439" width="22.42578125" bestFit="1" customWidth="1"/>
    <col min="440" max="440" width="22.28515625" bestFit="1" customWidth="1"/>
    <col min="441" max="441" width="21.140625" bestFit="1" customWidth="1"/>
    <col min="442" max="442" width="8" bestFit="1" customWidth="1"/>
    <col min="443" max="443" width="17.28515625" bestFit="1" customWidth="1"/>
    <col min="444" max="444" width="35.42578125" bestFit="1" customWidth="1"/>
    <col min="445" max="445" width="18.28515625" bestFit="1" customWidth="1"/>
    <col min="446" max="446" width="13.140625" bestFit="1" customWidth="1"/>
    <col min="447" max="447" width="30.85546875" bestFit="1" customWidth="1"/>
    <col min="448" max="448" width="23.42578125" bestFit="1" customWidth="1"/>
    <col min="449" max="449" width="19.42578125" bestFit="1" customWidth="1"/>
    <col min="450" max="450" width="12.28515625" bestFit="1" customWidth="1"/>
    <col min="451" max="451" width="20.7109375" bestFit="1" customWidth="1"/>
    <col min="452" max="452" width="30.5703125" bestFit="1" customWidth="1"/>
    <col min="453" max="453" width="14.140625" bestFit="1" customWidth="1"/>
    <col min="454" max="454" width="17.28515625" bestFit="1" customWidth="1"/>
    <col min="455" max="455" width="28.85546875" bestFit="1" customWidth="1"/>
    <col min="456" max="456" width="25.28515625" bestFit="1" customWidth="1"/>
    <col min="457" max="457" width="16.42578125" bestFit="1" customWidth="1"/>
    <col min="458" max="458" width="18.28515625" bestFit="1" customWidth="1"/>
    <col min="459" max="459" width="38.42578125" bestFit="1" customWidth="1"/>
    <col min="460" max="460" width="22.42578125" bestFit="1" customWidth="1"/>
    <col min="461" max="461" width="20.28515625" bestFit="1" customWidth="1"/>
    <col min="462" max="462" width="14.5703125" bestFit="1" customWidth="1"/>
    <col min="463" max="463" width="25.140625" bestFit="1" customWidth="1"/>
    <col min="464" max="464" width="31.42578125" bestFit="1" customWidth="1"/>
    <col min="465" max="465" width="17.85546875" bestFit="1" customWidth="1"/>
    <col min="466" max="466" width="12.42578125" bestFit="1" customWidth="1"/>
    <col min="467" max="467" width="18.28515625" bestFit="1" customWidth="1"/>
    <col min="468" max="468" width="18.85546875" bestFit="1" customWidth="1"/>
    <col min="469" max="469" width="26.140625" bestFit="1" customWidth="1"/>
    <col min="470" max="470" width="13.85546875" bestFit="1" customWidth="1"/>
    <col min="471" max="471" width="35.7109375" bestFit="1" customWidth="1"/>
    <col min="472" max="472" width="21" bestFit="1" customWidth="1"/>
    <col min="473" max="473" width="34" bestFit="1" customWidth="1"/>
    <col min="474" max="474" width="25.140625" bestFit="1" customWidth="1"/>
    <col min="475" max="475" width="9.42578125" bestFit="1" customWidth="1"/>
    <col min="476" max="476" width="19.5703125" bestFit="1" customWidth="1"/>
    <col min="477" max="477" width="47.7109375" bestFit="1" customWidth="1"/>
    <col min="478" max="478" width="35.7109375" bestFit="1" customWidth="1"/>
    <col min="479" max="479" width="30.28515625" bestFit="1" customWidth="1"/>
    <col min="480" max="480" width="22.140625" bestFit="1" customWidth="1"/>
    <col min="481" max="481" width="56.5703125" bestFit="1" customWidth="1"/>
    <col min="482" max="482" width="24.42578125" bestFit="1" customWidth="1"/>
    <col min="483" max="483" width="16.140625" bestFit="1" customWidth="1"/>
    <col min="484" max="484" width="12.42578125" bestFit="1" customWidth="1"/>
    <col min="485" max="485" width="30.5703125" bestFit="1" customWidth="1"/>
    <col min="486" max="486" width="27.140625" bestFit="1" customWidth="1"/>
    <col min="487" max="487" width="9.140625" bestFit="1" customWidth="1"/>
    <col min="488" max="488" width="28.85546875" bestFit="1" customWidth="1"/>
    <col min="489" max="489" width="28.5703125" bestFit="1" customWidth="1"/>
    <col min="490" max="490" width="21.7109375" bestFit="1" customWidth="1"/>
    <col min="491" max="491" width="7.28515625" bestFit="1" customWidth="1"/>
    <col min="492" max="492" width="19.5703125" bestFit="1" customWidth="1"/>
    <col min="493" max="493" width="20.5703125" bestFit="1" customWidth="1"/>
    <col min="494" max="494" width="23.7109375" bestFit="1" customWidth="1"/>
    <col min="495" max="495" width="43" bestFit="1" customWidth="1"/>
    <col min="496" max="496" width="13.5703125" bestFit="1" customWidth="1"/>
    <col min="497" max="497" width="23.5703125" bestFit="1" customWidth="1"/>
    <col min="498" max="498" width="23.28515625" bestFit="1" customWidth="1"/>
    <col min="499" max="499" width="25.7109375" bestFit="1" customWidth="1"/>
    <col min="500" max="500" width="33.5703125" bestFit="1" customWidth="1"/>
    <col min="501" max="501" width="15.42578125" bestFit="1" customWidth="1"/>
    <col min="502" max="502" width="34.140625" bestFit="1" customWidth="1"/>
    <col min="503" max="503" width="34" bestFit="1" customWidth="1"/>
    <col min="504" max="504" width="52.5703125" bestFit="1" customWidth="1"/>
    <col min="505" max="505" width="29.42578125" bestFit="1" customWidth="1"/>
    <col min="506" max="506" width="26" bestFit="1" customWidth="1"/>
    <col min="507" max="507" width="8.85546875" bestFit="1" customWidth="1"/>
    <col min="508" max="508" width="14.85546875" bestFit="1" customWidth="1"/>
    <col min="509" max="509" width="23.42578125" bestFit="1" customWidth="1"/>
    <col min="510" max="510" width="19" bestFit="1" customWidth="1"/>
    <col min="511" max="511" width="30" bestFit="1" customWidth="1"/>
    <col min="512" max="512" width="14.28515625" bestFit="1" customWidth="1"/>
    <col min="513" max="513" width="43" bestFit="1" customWidth="1"/>
    <col min="514" max="514" width="18.5703125" bestFit="1" customWidth="1"/>
    <col min="515" max="515" width="19" bestFit="1" customWidth="1"/>
    <col min="516" max="516" width="11.5703125" bestFit="1" customWidth="1"/>
    <col min="517" max="517" width="22.140625" bestFit="1" customWidth="1"/>
    <col min="518" max="518" width="17.5703125" bestFit="1" customWidth="1"/>
    <col min="519" max="519" width="13.85546875" bestFit="1" customWidth="1"/>
    <col min="520" max="520" width="20.85546875" bestFit="1" customWidth="1"/>
    <col min="521" max="521" width="32.7109375" bestFit="1" customWidth="1"/>
    <col min="522" max="522" width="14.42578125" bestFit="1" customWidth="1"/>
    <col min="523" max="523" width="29" bestFit="1" customWidth="1"/>
    <col min="524" max="524" width="18.5703125" bestFit="1" customWidth="1"/>
    <col min="525" max="525" width="65" bestFit="1" customWidth="1"/>
    <col min="526" max="526" width="39.5703125" bestFit="1" customWidth="1"/>
    <col min="527" max="527" width="31.140625" bestFit="1" customWidth="1"/>
    <col min="528" max="528" width="53.85546875" bestFit="1" customWidth="1"/>
    <col min="529" max="529" width="15" bestFit="1" customWidth="1"/>
    <col min="530" max="530" width="14.28515625" bestFit="1" customWidth="1"/>
    <col min="531" max="531" width="44.140625" bestFit="1" customWidth="1"/>
    <col min="532" max="532" width="17" bestFit="1" customWidth="1"/>
    <col min="533" max="533" width="17.85546875" bestFit="1" customWidth="1"/>
    <col min="534" max="534" width="23.140625" bestFit="1" customWidth="1"/>
    <col min="535" max="535" width="15.42578125" bestFit="1" customWidth="1"/>
    <col min="536" max="536" width="26.140625" bestFit="1" customWidth="1"/>
    <col min="537" max="537" width="13.42578125" bestFit="1" customWidth="1"/>
    <col min="538" max="538" width="22.85546875" bestFit="1" customWidth="1"/>
    <col min="539" max="539" width="14.7109375" bestFit="1" customWidth="1"/>
    <col min="540" max="540" width="7" bestFit="1" customWidth="1"/>
    <col min="541" max="541" width="50.7109375" bestFit="1" customWidth="1"/>
    <col min="542" max="542" width="39.5703125" bestFit="1" customWidth="1"/>
    <col min="543" max="543" width="25.5703125" bestFit="1" customWidth="1"/>
    <col min="544" max="544" width="21.140625" bestFit="1" customWidth="1"/>
    <col min="545" max="545" width="30.7109375" bestFit="1" customWidth="1"/>
    <col min="546" max="546" width="22.7109375" bestFit="1" customWidth="1"/>
    <col min="547" max="547" width="30.140625" bestFit="1" customWidth="1"/>
    <col min="548" max="548" width="21.42578125" bestFit="1" customWidth="1"/>
    <col min="549" max="549" width="34.140625" bestFit="1" customWidth="1"/>
    <col min="550" max="550" width="38.85546875" bestFit="1" customWidth="1"/>
    <col min="551" max="551" width="14.140625" bestFit="1" customWidth="1"/>
    <col min="552" max="552" width="20.28515625" bestFit="1" customWidth="1"/>
    <col min="553" max="553" width="14.85546875" bestFit="1" customWidth="1"/>
    <col min="554" max="554" width="13.85546875" bestFit="1" customWidth="1"/>
    <col min="555" max="555" width="8" bestFit="1" customWidth="1"/>
    <col min="556" max="556" width="33.140625" bestFit="1" customWidth="1"/>
    <col min="557" max="557" width="26.7109375" bestFit="1" customWidth="1"/>
    <col min="558" max="558" width="12.85546875" bestFit="1" customWidth="1"/>
    <col min="559" max="559" width="36.5703125" bestFit="1" customWidth="1"/>
    <col min="560" max="560" width="30.7109375" bestFit="1" customWidth="1"/>
    <col min="561" max="561" width="36.42578125" bestFit="1" customWidth="1"/>
    <col min="562" max="562" width="15.5703125" bestFit="1" customWidth="1"/>
    <col min="563" max="563" width="19.42578125" bestFit="1" customWidth="1"/>
    <col min="564" max="564" width="32.42578125" bestFit="1" customWidth="1"/>
    <col min="565" max="565" width="8.7109375" bestFit="1" customWidth="1"/>
    <col min="566" max="566" width="15.85546875" bestFit="1" customWidth="1"/>
    <col min="567" max="567" width="44.28515625" bestFit="1" customWidth="1"/>
    <col min="568" max="568" width="36.85546875" bestFit="1" customWidth="1"/>
    <col min="569" max="569" width="20.85546875" bestFit="1" customWidth="1"/>
    <col min="570" max="570" width="28.85546875" bestFit="1" customWidth="1"/>
    <col min="571" max="571" width="16.85546875" bestFit="1" customWidth="1"/>
    <col min="572" max="572" width="15.85546875" bestFit="1" customWidth="1"/>
    <col min="573" max="573" width="23.42578125" bestFit="1" customWidth="1"/>
    <col min="574" max="574" width="32.5703125" bestFit="1" customWidth="1"/>
    <col min="575" max="575" width="55.5703125" bestFit="1" customWidth="1"/>
    <col min="576" max="576" width="18.5703125" bestFit="1" customWidth="1"/>
    <col min="577" max="577" width="8.42578125" bestFit="1" customWidth="1"/>
    <col min="578" max="578" width="25.85546875" bestFit="1" customWidth="1"/>
    <col min="579" max="579" width="33.28515625" bestFit="1" customWidth="1"/>
    <col min="580" max="580" width="19" bestFit="1" customWidth="1"/>
    <col min="581" max="581" width="19.5703125" bestFit="1" customWidth="1"/>
    <col min="582" max="582" width="18.7109375" bestFit="1" customWidth="1"/>
    <col min="583" max="583" width="19.5703125" bestFit="1" customWidth="1"/>
    <col min="584" max="584" width="22.42578125" bestFit="1" customWidth="1"/>
    <col min="585" max="585" width="18.7109375" bestFit="1" customWidth="1"/>
    <col min="586" max="586" width="31.28515625" bestFit="1" customWidth="1"/>
    <col min="587" max="587" width="30" bestFit="1" customWidth="1"/>
    <col min="588" max="588" width="25.85546875" bestFit="1" customWidth="1"/>
    <col min="589" max="589" width="15.42578125" bestFit="1" customWidth="1"/>
    <col min="590" max="590" width="16.42578125" bestFit="1" customWidth="1"/>
    <col min="591" max="591" width="31.85546875" bestFit="1" customWidth="1"/>
    <col min="592" max="592" width="9.7109375" bestFit="1" customWidth="1"/>
    <col min="593" max="593" width="24.140625" bestFit="1" customWidth="1"/>
    <col min="594" max="594" width="20" bestFit="1" customWidth="1"/>
    <col min="595" max="595" width="9.42578125" bestFit="1" customWidth="1"/>
    <col min="596" max="596" width="27.85546875" bestFit="1" customWidth="1"/>
    <col min="597" max="597" width="14.42578125" bestFit="1" customWidth="1"/>
    <col min="598" max="598" width="12.85546875" bestFit="1" customWidth="1"/>
    <col min="599" max="599" width="17" bestFit="1" customWidth="1"/>
    <col min="600" max="600" width="22.5703125" bestFit="1" customWidth="1"/>
    <col min="601" max="601" width="18.28515625" bestFit="1" customWidth="1"/>
    <col min="602" max="602" width="24.7109375" bestFit="1" customWidth="1"/>
    <col min="603" max="603" width="24.5703125" bestFit="1" customWidth="1"/>
    <col min="604" max="604" width="36.28515625" bestFit="1" customWidth="1"/>
    <col min="605" max="605" width="22.140625" bestFit="1" customWidth="1"/>
    <col min="606" max="606" width="11.5703125" bestFit="1" customWidth="1"/>
    <col min="607" max="607" width="20" bestFit="1" customWidth="1"/>
    <col min="608" max="608" width="7.28515625" bestFit="1" customWidth="1"/>
    <col min="609" max="609" width="31.5703125" bestFit="1" customWidth="1"/>
    <col min="610" max="610" width="16.7109375" bestFit="1" customWidth="1"/>
    <col min="611" max="611" width="29.140625" bestFit="1" customWidth="1"/>
    <col min="612" max="612" width="16.140625" bestFit="1" customWidth="1"/>
    <col min="613" max="613" width="14.42578125" bestFit="1" customWidth="1"/>
    <col min="614" max="614" width="7.140625" bestFit="1" customWidth="1"/>
    <col min="615" max="615" width="9.42578125" bestFit="1" customWidth="1"/>
    <col min="616" max="616" width="39.28515625" bestFit="1" customWidth="1"/>
    <col min="617" max="617" width="21.7109375" bestFit="1" customWidth="1"/>
    <col min="618" max="618" width="16.7109375" bestFit="1" customWidth="1"/>
    <col min="619" max="619" width="33.140625" bestFit="1" customWidth="1"/>
    <col min="620" max="620" width="15" bestFit="1" customWidth="1"/>
    <col min="621" max="621" width="18.140625" bestFit="1" customWidth="1"/>
    <col min="622" max="622" width="15" bestFit="1" customWidth="1"/>
    <col min="623" max="623" width="23.42578125" bestFit="1" customWidth="1"/>
    <col min="624" max="624" width="25.7109375" bestFit="1" customWidth="1"/>
    <col min="625" max="625" width="27.7109375" bestFit="1" customWidth="1"/>
    <col min="626" max="626" width="7.28515625" bestFit="1" customWidth="1"/>
    <col min="627" max="627" width="14.7109375" bestFit="1" customWidth="1"/>
    <col min="628" max="628" width="33" bestFit="1" customWidth="1"/>
    <col min="629" max="629" width="36.140625" bestFit="1" customWidth="1"/>
    <col min="630" max="630" width="20.28515625" bestFit="1" customWidth="1"/>
    <col min="631" max="631" width="13.140625" bestFit="1" customWidth="1"/>
    <col min="632" max="632" width="39.42578125" bestFit="1" customWidth="1"/>
    <col min="633" max="633" width="28" bestFit="1" customWidth="1"/>
    <col min="634" max="634" width="10.140625" bestFit="1" customWidth="1"/>
    <col min="635" max="635" width="7.5703125" bestFit="1" customWidth="1"/>
    <col min="636" max="636" width="36.28515625" bestFit="1" customWidth="1"/>
    <col min="637" max="637" width="19.42578125" bestFit="1" customWidth="1"/>
    <col min="638" max="638" width="11.5703125" bestFit="1" customWidth="1"/>
    <col min="639" max="639" width="22.85546875" bestFit="1" customWidth="1"/>
    <col min="640" max="640" width="18.42578125" bestFit="1" customWidth="1"/>
    <col min="641" max="641" width="23" bestFit="1" customWidth="1"/>
    <col min="642" max="642" width="7.28515625" bestFit="1" customWidth="1"/>
    <col min="643" max="643" width="23.42578125" bestFit="1" customWidth="1"/>
    <col min="644" max="644" width="33" bestFit="1" customWidth="1"/>
    <col min="645" max="645" width="26" bestFit="1" customWidth="1"/>
    <col min="646" max="646" width="32" bestFit="1" customWidth="1"/>
    <col min="647" max="647" width="25.7109375" bestFit="1" customWidth="1"/>
    <col min="648" max="648" width="11.5703125" bestFit="1" customWidth="1"/>
    <col min="649" max="649" width="9.140625" bestFit="1" customWidth="1"/>
    <col min="650" max="650" width="11.42578125" bestFit="1" customWidth="1"/>
    <col min="651" max="651" width="46.42578125" bestFit="1" customWidth="1"/>
    <col min="652" max="652" width="18.42578125" bestFit="1" customWidth="1"/>
    <col min="653" max="653" width="19.28515625" bestFit="1" customWidth="1"/>
    <col min="654" max="654" width="12.42578125" bestFit="1" customWidth="1"/>
    <col min="655" max="655" width="26.140625" bestFit="1" customWidth="1"/>
    <col min="656" max="656" width="23" bestFit="1" customWidth="1"/>
    <col min="657" max="657" width="46.7109375" bestFit="1" customWidth="1"/>
    <col min="658" max="658" width="24.7109375" bestFit="1" customWidth="1"/>
    <col min="659" max="659" width="35.28515625" bestFit="1" customWidth="1"/>
    <col min="660" max="660" width="20.7109375" bestFit="1" customWidth="1"/>
    <col min="661" max="661" width="58.28515625" bestFit="1" customWidth="1"/>
    <col min="662" max="662" width="20" bestFit="1" customWidth="1"/>
    <col min="663" max="663" width="25" bestFit="1" customWidth="1"/>
    <col min="664" max="664" width="22.140625" bestFit="1" customWidth="1"/>
    <col min="665" max="665" width="27.28515625" bestFit="1" customWidth="1"/>
    <col min="666" max="666" width="25.28515625" bestFit="1" customWidth="1"/>
    <col min="667" max="667" width="14" bestFit="1" customWidth="1"/>
    <col min="668" max="668" width="20.5703125" bestFit="1" customWidth="1"/>
    <col min="669" max="669" width="23.140625" bestFit="1" customWidth="1"/>
    <col min="670" max="670" width="10.5703125" bestFit="1" customWidth="1"/>
    <col min="671" max="671" width="12.85546875" bestFit="1" customWidth="1"/>
    <col min="672" max="672" width="33.42578125" bestFit="1" customWidth="1"/>
    <col min="673" max="673" width="43.5703125" bestFit="1" customWidth="1"/>
    <col min="674" max="674" width="35.85546875" bestFit="1" customWidth="1"/>
    <col min="675" max="675" width="17.85546875" bestFit="1" customWidth="1"/>
    <col min="676" max="676" width="55" bestFit="1" customWidth="1"/>
    <col min="677" max="677" width="29.7109375" bestFit="1" customWidth="1"/>
    <col min="678" max="678" width="16.85546875" bestFit="1" customWidth="1"/>
    <col min="679" max="679" width="28" bestFit="1" customWidth="1"/>
    <col min="680" max="680" width="42.7109375" bestFit="1" customWidth="1"/>
    <col min="681" max="681" width="15.28515625" bestFit="1" customWidth="1"/>
    <col min="682" max="682" width="31.140625" bestFit="1" customWidth="1"/>
    <col min="683" max="683" width="17.85546875" bestFit="1" customWidth="1"/>
    <col min="684" max="684" width="20.28515625" bestFit="1" customWidth="1"/>
    <col min="685" max="685" width="59.28515625" bestFit="1" customWidth="1"/>
    <col min="686" max="686" width="32.140625" bestFit="1" customWidth="1"/>
    <col min="687" max="687" width="29.28515625" bestFit="1" customWidth="1"/>
    <col min="688" max="688" width="38.28515625" bestFit="1" customWidth="1"/>
    <col min="689" max="689" width="26.140625" bestFit="1" customWidth="1"/>
    <col min="690" max="690" width="29.85546875" bestFit="1" customWidth="1"/>
    <col min="691" max="691" width="26.28515625" bestFit="1" customWidth="1"/>
    <col min="692" max="692" width="25.85546875" bestFit="1" customWidth="1"/>
    <col min="693" max="693" width="7.28515625" bestFit="1" customWidth="1"/>
    <col min="694" max="694" width="28" bestFit="1" customWidth="1"/>
    <col min="695" max="695" width="18.85546875" bestFit="1" customWidth="1"/>
    <col min="696" max="696" width="15.85546875" bestFit="1" customWidth="1"/>
    <col min="697" max="697" width="25.140625" bestFit="1" customWidth="1"/>
    <col min="698" max="698" width="22.7109375" bestFit="1" customWidth="1"/>
    <col min="699" max="699" width="10" bestFit="1" customWidth="1"/>
    <col min="700" max="700" width="25.5703125" bestFit="1" customWidth="1"/>
    <col min="701" max="701" width="7.28515625" bestFit="1" customWidth="1"/>
    <col min="702" max="702" width="16.42578125" bestFit="1" customWidth="1"/>
    <col min="703" max="703" width="29.85546875" bestFit="1" customWidth="1"/>
    <col min="704" max="704" width="17.85546875" bestFit="1" customWidth="1"/>
    <col min="705" max="705" width="22.7109375" bestFit="1" customWidth="1"/>
    <col min="706" max="706" width="34.140625" bestFit="1" customWidth="1"/>
    <col min="707" max="707" width="41.42578125" bestFit="1" customWidth="1"/>
    <col min="708" max="708" width="21.140625" bestFit="1" customWidth="1"/>
    <col min="709" max="709" width="19.28515625" bestFit="1" customWidth="1"/>
    <col min="710" max="710" width="32.85546875" bestFit="1" customWidth="1"/>
    <col min="711" max="711" width="15.28515625" bestFit="1" customWidth="1"/>
    <col min="712" max="712" width="56.5703125" bestFit="1" customWidth="1"/>
    <col min="713" max="713" width="38.85546875" bestFit="1" customWidth="1"/>
    <col min="714" max="714" width="23" bestFit="1" customWidth="1"/>
    <col min="715" max="715" width="21.7109375" bestFit="1" customWidth="1"/>
    <col min="716" max="716" width="15.42578125" bestFit="1" customWidth="1"/>
    <col min="717" max="717" width="20.28515625" bestFit="1" customWidth="1"/>
    <col min="718" max="718" width="42.42578125" bestFit="1" customWidth="1"/>
    <col min="719" max="719" width="29" bestFit="1" customWidth="1"/>
    <col min="720" max="720" width="33.140625" bestFit="1" customWidth="1"/>
    <col min="721" max="721" width="18.42578125" bestFit="1" customWidth="1"/>
    <col min="722" max="722" width="20.7109375" bestFit="1" customWidth="1"/>
    <col min="723" max="723" width="14.28515625" bestFit="1" customWidth="1"/>
    <col min="724" max="724" width="14.5703125" bestFit="1" customWidth="1"/>
    <col min="725" max="725" width="28" bestFit="1" customWidth="1"/>
    <col min="726" max="726" width="13.5703125" bestFit="1" customWidth="1"/>
    <col min="727" max="727" width="16.140625" bestFit="1" customWidth="1"/>
    <col min="728" max="728" width="20.5703125" bestFit="1" customWidth="1"/>
    <col min="729" max="729" width="39.140625" bestFit="1" customWidth="1"/>
    <col min="730" max="730" width="29" bestFit="1" customWidth="1"/>
    <col min="731" max="731" width="23.42578125" bestFit="1" customWidth="1"/>
    <col min="732" max="732" width="18.85546875" bestFit="1" customWidth="1"/>
    <col min="733" max="733" width="39.42578125" bestFit="1" customWidth="1"/>
    <col min="734" max="734" width="34.28515625" bestFit="1" customWidth="1"/>
    <col min="735" max="735" width="30.85546875" bestFit="1" customWidth="1"/>
    <col min="736" max="736" width="35.28515625" bestFit="1" customWidth="1"/>
    <col min="737" max="737" width="14.85546875" bestFit="1" customWidth="1"/>
    <col min="738" max="738" width="18.42578125" bestFit="1" customWidth="1"/>
    <col min="739" max="739" width="19.5703125" bestFit="1" customWidth="1"/>
    <col min="740" max="740" width="41.42578125" bestFit="1" customWidth="1"/>
    <col min="741" max="741" width="21.140625" bestFit="1" customWidth="1"/>
    <col min="742" max="742" width="40.5703125" bestFit="1" customWidth="1"/>
    <col min="743" max="743" width="16.28515625" bestFit="1" customWidth="1"/>
    <col min="744" max="744" width="32.7109375" bestFit="1" customWidth="1"/>
    <col min="745" max="745" width="12.140625" bestFit="1" customWidth="1"/>
    <col min="746" max="746" width="26.28515625" bestFit="1" customWidth="1"/>
    <col min="747" max="748" width="22.140625" bestFit="1" customWidth="1"/>
    <col min="749" max="749" width="29.42578125" bestFit="1" customWidth="1"/>
    <col min="750" max="750" width="12.5703125" bestFit="1" customWidth="1"/>
    <col min="751" max="751" width="43.140625" bestFit="1" customWidth="1"/>
    <col min="752" max="752" width="35.140625" bestFit="1" customWidth="1"/>
    <col min="753" max="753" width="42.85546875" bestFit="1" customWidth="1"/>
    <col min="754" max="754" width="23.85546875" bestFit="1" customWidth="1"/>
    <col min="755" max="755" width="15.7109375" bestFit="1" customWidth="1"/>
    <col min="756" max="756" width="20.28515625" bestFit="1" customWidth="1"/>
    <col min="757" max="757" width="15.42578125" bestFit="1" customWidth="1"/>
    <col min="758" max="758" width="19.85546875" bestFit="1" customWidth="1"/>
    <col min="759" max="759" width="28.28515625" bestFit="1" customWidth="1"/>
    <col min="760" max="760" width="36.140625" bestFit="1" customWidth="1"/>
    <col min="761" max="761" width="9.7109375" bestFit="1" customWidth="1"/>
    <col min="762" max="762" width="13.5703125" bestFit="1" customWidth="1"/>
    <col min="763" max="763" width="18.140625" bestFit="1" customWidth="1"/>
    <col min="764" max="764" width="14.28515625" bestFit="1" customWidth="1"/>
    <col min="765" max="765" width="8.28515625" bestFit="1" customWidth="1"/>
    <col min="766" max="766" width="50" bestFit="1" customWidth="1"/>
    <col min="767" max="767" width="21.42578125" bestFit="1" customWidth="1"/>
    <col min="768" max="768" width="18.85546875" bestFit="1" customWidth="1"/>
    <col min="769" max="769" width="29.140625" bestFit="1" customWidth="1"/>
    <col min="770" max="770" width="23" bestFit="1" customWidth="1"/>
    <col min="771" max="771" width="39.28515625" bestFit="1" customWidth="1"/>
    <col min="772" max="772" width="42.140625" bestFit="1" customWidth="1"/>
    <col min="773" max="773" width="7.85546875" bestFit="1" customWidth="1"/>
    <col min="774" max="774" width="24.5703125" bestFit="1" customWidth="1"/>
    <col min="775" max="775" width="27.85546875" bestFit="1" customWidth="1"/>
    <col min="776" max="776" width="47.5703125" bestFit="1" customWidth="1"/>
    <col min="777" max="777" width="8.140625" bestFit="1" customWidth="1"/>
    <col min="778" max="778" width="22" bestFit="1" customWidth="1"/>
    <col min="779" max="779" width="50.7109375" bestFit="1" customWidth="1"/>
    <col min="780" max="780" width="22.42578125" bestFit="1" customWidth="1"/>
    <col min="781" max="781" width="22.140625" bestFit="1" customWidth="1"/>
    <col min="782" max="782" width="45" bestFit="1" customWidth="1"/>
    <col min="783" max="783" width="40" bestFit="1" customWidth="1"/>
    <col min="784" max="784" width="16.7109375" bestFit="1" customWidth="1"/>
    <col min="785" max="785" width="15.42578125" bestFit="1" customWidth="1"/>
    <col min="786" max="786" width="41.7109375" bestFit="1" customWidth="1"/>
    <col min="787" max="787" width="30.7109375" bestFit="1" customWidth="1"/>
    <col min="788" max="788" width="26.28515625" bestFit="1" customWidth="1"/>
    <col min="789" max="789" width="19.42578125" bestFit="1" customWidth="1"/>
    <col min="790" max="790" width="31.140625" bestFit="1" customWidth="1"/>
    <col min="791" max="791" width="17.7109375" bestFit="1" customWidth="1"/>
    <col min="792" max="792" width="21.85546875" bestFit="1" customWidth="1"/>
    <col min="793" max="793" width="42.5703125" bestFit="1" customWidth="1"/>
    <col min="794" max="794" width="28.140625" bestFit="1" customWidth="1"/>
    <col min="795" max="795" width="21.7109375" bestFit="1" customWidth="1"/>
    <col min="796" max="796" width="34.28515625" bestFit="1" customWidth="1"/>
    <col min="797" max="797" width="40.140625" bestFit="1" customWidth="1"/>
    <col min="798" max="798" width="28.85546875" bestFit="1" customWidth="1"/>
    <col min="799" max="799" width="54.140625" bestFit="1" customWidth="1"/>
    <col min="800" max="800" width="18.85546875" bestFit="1" customWidth="1"/>
    <col min="801" max="801" width="31.85546875" bestFit="1" customWidth="1"/>
    <col min="802" max="802" width="22.85546875" bestFit="1" customWidth="1"/>
    <col min="803" max="803" width="23.42578125" bestFit="1" customWidth="1"/>
    <col min="804" max="804" width="23.28515625" bestFit="1" customWidth="1"/>
    <col min="805" max="805" width="27.140625" bestFit="1" customWidth="1"/>
    <col min="806" max="806" width="17" bestFit="1" customWidth="1"/>
    <col min="807" max="807" width="18.7109375" bestFit="1" customWidth="1"/>
    <col min="808" max="808" width="48.42578125" bestFit="1" customWidth="1"/>
    <col min="809" max="809" width="37" bestFit="1" customWidth="1"/>
    <col min="810" max="810" width="27.42578125" bestFit="1" customWidth="1"/>
    <col min="811" max="811" width="25" bestFit="1" customWidth="1"/>
    <col min="812" max="812" width="34.85546875" bestFit="1" customWidth="1"/>
    <col min="813" max="813" width="25.7109375" bestFit="1" customWidth="1"/>
    <col min="814" max="814" width="19" bestFit="1" customWidth="1"/>
    <col min="815" max="815" width="15.85546875" bestFit="1" customWidth="1"/>
    <col min="816" max="816" width="48.140625" bestFit="1" customWidth="1"/>
    <col min="817" max="817" width="21.140625" bestFit="1" customWidth="1"/>
    <col min="818" max="818" width="14" bestFit="1" customWidth="1"/>
    <col min="819" max="819" width="20.28515625" bestFit="1" customWidth="1"/>
    <col min="820" max="820" width="26.140625" bestFit="1" customWidth="1"/>
    <col min="821" max="821" width="24.5703125" bestFit="1" customWidth="1"/>
    <col min="822" max="822" width="12.5703125" bestFit="1" customWidth="1"/>
    <col min="823" max="823" width="6" bestFit="1" customWidth="1"/>
    <col min="824" max="824" width="18.28515625" bestFit="1" customWidth="1"/>
    <col min="825" max="825" width="22.42578125" bestFit="1" customWidth="1"/>
    <col min="826" max="826" width="33.140625" bestFit="1" customWidth="1"/>
    <col min="827" max="827" width="19.7109375" bestFit="1" customWidth="1"/>
    <col min="828" max="828" width="30.7109375" bestFit="1" customWidth="1"/>
    <col min="829" max="829" width="15" bestFit="1" customWidth="1"/>
    <col min="830" max="830" width="7.28515625" bestFit="1" customWidth="1"/>
    <col min="831" max="831" width="23.42578125" bestFit="1" customWidth="1"/>
    <col min="832" max="832" width="38" bestFit="1" customWidth="1"/>
    <col min="833" max="833" width="41.140625" bestFit="1" customWidth="1"/>
    <col min="834" max="834" width="35.5703125" bestFit="1" customWidth="1"/>
    <col min="835" max="835" width="34.7109375" bestFit="1" customWidth="1"/>
    <col min="836" max="836" width="47.7109375" bestFit="1" customWidth="1"/>
    <col min="837" max="837" width="20.42578125" bestFit="1" customWidth="1"/>
    <col min="838" max="838" width="44.42578125" bestFit="1" customWidth="1"/>
    <col min="839" max="839" width="18.85546875" bestFit="1" customWidth="1"/>
    <col min="840" max="840" width="52" bestFit="1" customWidth="1"/>
    <col min="841" max="841" width="24.7109375" bestFit="1" customWidth="1"/>
    <col min="842" max="842" width="15.42578125" bestFit="1" customWidth="1"/>
    <col min="843" max="843" width="22.28515625" bestFit="1" customWidth="1"/>
    <col min="844" max="844" width="23.42578125" bestFit="1" customWidth="1"/>
    <col min="845" max="845" width="29.140625" bestFit="1" customWidth="1"/>
    <col min="846" max="846" width="29.42578125" bestFit="1" customWidth="1"/>
    <col min="847" max="847" width="20.28515625" bestFit="1" customWidth="1"/>
    <col min="848" max="848" width="31" bestFit="1" customWidth="1"/>
    <col min="849" max="849" width="29.28515625" bestFit="1" customWidth="1"/>
    <col min="850" max="850" width="10.5703125" bestFit="1" customWidth="1"/>
    <col min="851" max="851" width="35.140625" bestFit="1" customWidth="1"/>
    <col min="852" max="852" width="37.28515625" bestFit="1" customWidth="1"/>
    <col min="853" max="853" width="14" bestFit="1" customWidth="1"/>
    <col min="854" max="854" width="9.85546875" bestFit="1" customWidth="1"/>
    <col min="855" max="855" width="20" bestFit="1" customWidth="1"/>
    <col min="856" max="856" width="19.7109375" bestFit="1" customWidth="1"/>
    <col min="857" max="857" width="25.7109375" bestFit="1" customWidth="1"/>
    <col min="858" max="858" width="18.42578125" bestFit="1" customWidth="1"/>
    <col min="859" max="859" width="11.5703125" bestFit="1" customWidth="1"/>
    <col min="860" max="860" width="13.28515625" bestFit="1" customWidth="1"/>
    <col min="861" max="861" width="7.5703125" bestFit="1" customWidth="1"/>
    <col min="862" max="862" width="40.7109375" bestFit="1" customWidth="1"/>
    <col min="863" max="863" width="46.42578125" bestFit="1" customWidth="1"/>
    <col min="864" max="864" width="17.85546875" bestFit="1" customWidth="1"/>
    <col min="865" max="865" width="19.85546875" bestFit="1" customWidth="1"/>
    <col min="866" max="867" width="17.28515625" bestFit="1" customWidth="1"/>
    <col min="868" max="868" width="28.5703125" bestFit="1" customWidth="1"/>
    <col min="869" max="869" width="35.42578125" bestFit="1" customWidth="1"/>
    <col min="870" max="870" width="23" bestFit="1" customWidth="1"/>
    <col min="871" max="871" width="21.85546875" bestFit="1" customWidth="1"/>
    <col min="872" max="872" width="30.28515625" bestFit="1" customWidth="1"/>
    <col min="873" max="873" width="24.28515625" bestFit="1" customWidth="1"/>
    <col min="874" max="874" width="22.7109375" bestFit="1" customWidth="1"/>
    <col min="875" max="875" width="47.28515625" bestFit="1" customWidth="1"/>
    <col min="876" max="876" width="19.7109375" bestFit="1" customWidth="1"/>
    <col min="877" max="877" width="33.42578125" bestFit="1" customWidth="1"/>
    <col min="878" max="878" width="25.140625" bestFit="1" customWidth="1"/>
    <col min="879" max="879" width="24.28515625" bestFit="1" customWidth="1"/>
    <col min="880" max="880" width="23.5703125" bestFit="1" customWidth="1"/>
    <col min="881" max="881" width="26.7109375" bestFit="1" customWidth="1"/>
    <col min="882" max="882" width="25.28515625" bestFit="1" customWidth="1"/>
    <col min="883" max="883" width="17.28515625" bestFit="1" customWidth="1"/>
    <col min="884" max="884" width="14.7109375" bestFit="1" customWidth="1"/>
    <col min="885" max="885" width="7.28515625" bestFit="1" customWidth="1"/>
    <col min="886" max="886" width="28.42578125" bestFit="1" customWidth="1"/>
    <col min="887" max="887" width="44.85546875" bestFit="1" customWidth="1"/>
    <col min="888" max="888" width="34.85546875" bestFit="1" customWidth="1"/>
    <col min="889" max="889" width="21.85546875" bestFit="1" customWidth="1"/>
    <col min="890" max="890" width="10.140625" bestFit="1" customWidth="1"/>
    <col min="891" max="891" width="16" bestFit="1" customWidth="1"/>
    <col min="892" max="892" width="36.28515625" bestFit="1" customWidth="1"/>
    <col min="893" max="893" width="9.7109375" bestFit="1" customWidth="1"/>
    <col min="894" max="894" width="17.28515625" bestFit="1" customWidth="1"/>
    <col min="895" max="895" width="38.85546875" bestFit="1" customWidth="1"/>
    <col min="896" max="896" width="19.140625" bestFit="1" customWidth="1"/>
    <col min="897" max="897" width="13.85546875" bestFit="1" customWidth="1"/>
    <col min="898" max="898" width="15.85546875" bestFit="1" customWidth="1"/>
    <col min="899" max="899" width="32.140625" bestFit="1" customWidth="1"/>
    <col min="900" max="900" width="27.28515625" bestFit="1" customWidth="1"/>
    <col min="901" max="901" width="44.85546875" bestFit="1" customWidth="1"/>
    <col min="902" max="902" width="29" bestFit="1" customWidth="1"/>
    <col min="903" max="903" width="12" bestFit="1" customWidth="1"/>
    <col min="904" max="904" width="40.42578125" bestFit="1" customWidth="1"/>
    <col min="905" max="905" width="37.28515625" bestFit="1" customWidth="1"/>
    <col min="906" max="906" width="12.5703125" bestFit="1" customWidth="1"/>
    <col min="907" max="907" width="14.28515625" bestFit="1" customWidth="1"/>
    <col min="908" max="908" width="14.85546875" bestFit="1" customWidth="1"/>
    <col min="909" max="909" width="20.28515625" bestFit="1" customWidth="1"/>
    <col min="910" max="910" width="44.5703125" bestFit="1" customWidth="1"/>
    <col min="911" max="911" width="19.5703125" bestFit="1" customWidth="1"/>
    <col min="912" max="912" width="32" bestFit="1" customWidth="1"/>
    <col min="913" max="913" width="28.28515625" bestFit="1" customWidth="1"/>
    <col min="914" max="914" width="22.140625" bestFit="1" customWidth="1"/>
    <col min="915" max="915" width="14.5703125" bestFit="1" customWidth="1"/>
    <col min="916" max="916" width="13.42578125" bestFit="1" customWidth="1"/>
    <col min="917" max="917" width="28.85546875" bestFit="1" customWidth="1"/>
    <col min="918" max="918" width="19.85546875" bestFit="1" customWidth="1"/>
    <col min="919" max="919" width="36.28515625" bestFit="1" customWidth="1"/>
    <col min="920" max="920" width="23" bestFit="1" customWidth="1"/>
    <col min="921" max="921" width="20" bestFit="1" customWidth="1"/>
    <col min="922" max="922" width="15.5703125" bestFit="1" customWidth="1"/>
    <col min="923" max="923" width="51.140625" bestFit="1" customWidth="1"/>
    <col min="924" max="924" width="21" bestFit="1" customWidth="1"/>
    <col min="925" max="925" width="6.5703125" bestFit="1" customWidth="1"/>
    <col min="926" max="926" width="15" bestFit="1" customWidth="1"/>
    <col min="927" max="927" width="44.85546875" bestFit="1" customWidth="1"/>
    <col min="928" max="928" width="6" bestFit="1" customWidth="1"/>
    <col min="929" max="929" width="19.5703125" bestFit="1" customWidth="1"/>
    <col min="930" max="930" width="24.140625" bestFit="1" customWidth="1"/>
    <col min="931" max="931" width="42.5703125" bestFit="1" customWidth="1"/>
    <col min="932" max="932" width="34.140625" bestFit="1" customWidth="1"/>
    <col min="933" max="933" width="17" bestFit="1" customWidth="1"/>
    <col min="934" max="934" width="34.7109375" bestFit="1" customWidth="1"/>
    <col min="935" max="935" width="46.5703125" bestFit="1" customWidth="1"/>
    <col min="936" max="936" width="35.140625" bestFit="1" customWidth="1"/>
    <col min="937" max="937" width="16.140625" bestFit="1" customWidth="1"/>
    <col min="938" max="938" width="23.5703125" bestFit="1" customWidth="1"/>
    <col min="939" max="939" width="24.140625" bestFit="1" customWidth="1"/>
    <col min="940" max="940" width="22.7109375" bestFit="1" customWidth="1"/>
    <col min="941" max="941" width="26.140625" bestFit="1" customWidth="1"/>
    <col min="942" max="942" width="18.28515625" bestFit="1" customWidth="1"/>
    <col min="943" max="943" width="19.7109375" bestFit="1" customWidth="1"/>
    <col min="944" max="944" width="7.28515625" bestFit="1" customWidth="1"/>
    <col min="945" max="945" width="48" bestFit="1" customWidth="1"/>
    <col min="946" max="946" width="46" bestFit="1" customWidth="1"/>
    <col min="947" max="947" width="33.5703125" bestFit="1" customWidth="1"/>
    <col min="948" max="948" width="31.28515625" bestFit="1" customWidth="1"/>
    <col min="949" max="949" width="28.7109375" bestFit="1" customWidth="1"/>
    <col min="950" max="950" width="21.7109375" bestFit="1" customWidth="1"/>
    <col min="951" max="951" width="14.7109375" bestFit="1" customWidth="1"/>
    <col min="952" max="952" width="9.7109375" bestFit="1" customWidth="1"/>
    <col min="953" max="953" width="14.7109375" bestFit="1" customWidth="1"/>
    <col min="954" max="954" width="16.7109375" bestFit="1" customWidth="1"/>
    <col min="955" max="955" width="24.42578125" bestFit="1" customWidth="1"/>
    <col min="956" max="956" width="35.7109375" bestFit="1" customWidth="1"/>
    <col min="957" max="957" width="30.28515625" bestFit="1" customWidth="1"/>
    <col min="958" max="958" width="21.140625" bestFit="1" customWidth="1"/>
    <col min="959" max="959" width="17.28515625" bestFit="1" customWidth="1"/>
    <col min="960" max="960" width="32.42578125" bestFit="1" customWidth="1"/>
    <col min="961" max="961" width="17.7109375" bestFit="1" customWidth="1"/>
    <col min="962" max="962" width="29.42578125" bestFit="1" customWidth="1"/>
    <col min="963" max="963" width="14.42578125" bestFit="1" customWidth="1"/>
    <col min="964" max="964" width="25" bestFit="1" customWidth="1"/>
    <col min="965" max="965" width="12.7109375" bestFit="1" customWidth="1"/>
    <col min="966" max="966" width="40.85546875" bestFit="1" customWidth="1"/>
    <col min="967" max="967" width="21.42578125" bestFit="1" customWidth="1"/>
    <col min="968" max="968" width="28.85546875" bestFit="1" customWidth="1"/>
    <col min="969" max="969" width="18.85546875" bestFit="1" customWidth="1"/>
    <col min="970" max="970" width="19" bestFit="1" customWidth="1"/>
    <col min="971" max="971" width="18.85546875" bestFit="1" customWidth="1"/>
    <col min="972" max="972" width="20.28515625" bestFit="1" customWidth="1"/>
    <col min="973" max="973" width="31.5703125" bestFit="1" customWidth="1"/>
    <col min="974" max="974" width="19.85546875" bestFit="1" customWidth="1"/>
    <col min="975" max="975" width="26.5703125" bestFit="1" customWidth="1"/>
    <col min="976" max="976" width="18" bestFit="1" customWidth="1"/>
    <col min="977" max="977" width="35.7109375" bestFit="1" customWidth="1"/>
    <col min="978" max="978" width="22.7109375" bestFit="1" customWidth="1"/>
    <col min="979" max="979" width="21" bestFit="1" customWidth="1"/>
    <col min="980" max="980" width="29.7109375" bestFit="1" customWidth="1"/>
    <col min="981" max="981" width="30.28515625" bestFit="1" customWidth="1"/>
    <col min="982" max="982" width="25.5703125" bestFit="1" customWidth="1"/>
    <col min="983" max="983" width="13.85546875" bestFit="1" customWidth="1"/>
    <col min="984" max="984" width="32.5703125" bestFit="1" customWidth="1"/>
    <col min="985" max="985" width="23.28515625" bestFit="1" customWidth="1"/>
    <col min="986" max="986" width="21.140625" bestFit="1" customWidth="1"/>
    <col min="987" max="987" width="24" bestFit="1" customWidth="1"/>
    <col min="988" max="988" width="18.28515625" bestFit="1" customWidth="1"/>
    <col min="989" max="989" width="35.28515625" bestFit="1" customWidth="1"/>
    <col min="990" max="990" width="14.140625" bestFit="1" customWidth="1"/>
    <col min="991" max="991" width="9" bestFit="1" customWidth="1"/>
    <col min="992" max="992" width="11.85546875" bestFit="1" customWidth="1"/>
    <col min="993" max="993" width="22.42578125" bestFit="1" customWidth="1"/>
    <col min="994" max="994" width="20.85546875" bestFit="1" customWidth="1"/>
    <col min="995" max="995" width="8.5703125" bestFit="1" customWidth="1"/>
    <col min="996" max="996" width="24.85546875" bestFit="1" customWidth="1"/>
    <col min="997" max="997" width="11.42578125" bestFit="1" customWidth="1"/>
    <col min="998" max="998" width="39.5703125" bestFit="1" customWidth="1"/>
    <col min="999" max="1000" width="23.42578125" bestFit="1" customWidth="1"/>
    <col min="1001" max="1001" width="14.140625" bestFit="1" customWidth="1"/>
    <col min="1002" max="1002" width="16.140625" bestFit="1" customWidth="1"/>
    <col min="1003" max="1003" width="17.28515625" bestFit="1" customWidth="1"/>
    <col min="1004" max="1004" width="16" bestFit="1" customWidth="1"/>
    <col min="1005" max="1005" width="37.140625" bestFit="1" customWidth="1"/>
    <col min="1006" max="1006" width="49.140625" bestFit="1" customWidth="1"/>
    <col min="1007" max="1007" width="17" bestFit="1" customWidth="1"/>
    <col min="1008" max="1008" width="15.140625" bestFit="1" customWidth="1"/>
    <col min="1009" max="1009" width="61" bestFit="1" customWidth="1"/>
    <col min="1010" max="1010" width="24.42578125" bestFit="1" customWidth="1"/>
    <col min="1011" max="1011" width="64" bestFit="1" customWidth="1"/>
    <col min="1012" max="1012" width="15.85546875" bestFit="1" customWidth="1"/>
    <col min="1013" max="1013" width="44.140625" bestFit="1" customWidth="1"/>
    <col min="1014" max="1014" width="12.7109375" bestFit="1" customWidth="1"/>
    <col min="1015" max="1015" width="23.28515625" bestFit="1" customWidth="1"/>
    <col min="1016" max="1016" width="31.28515625" bestFit="1" customWidth="1"/>
    <col min="1017" max="1017" width="21.140625" bestFit="1" customWidth="1"/>
    <col min="1018" max="1018" width="56.140625" bestFit="1" customWidth="1"/>
    <col min="1019" max="1019" width="24.5703125" bestFit="1" customWidth="1"/>
    <col min="1020" max="1020" width="21.28515625" bestFit="1" customWidth="1"/>
    <col min="1021" max="1021" width="18.5703125" bestFit="1" customWidth="1"/>
    <col min="1022" max="1022" width="19.28515625" bestFit="1" customWidth="1"/>
    <col min="1023" max="1023" width="29.42578125" bestFit="1" customWidth="1"/>
    <col min="1024" max="1024" width="18.28515625" bestFit="1" customWidth="1"/>
    <col min="1025" max="1025" width="23.7109375" bestFit="1" customWidth="1"/>
    <col min="1026" max="1026" width="23.42578125" bestFit="1" customWidth="1"/>
    <col min="1027" max="1027" width="10.85546875" bestFit="1" customWidth="1"/>
    <col min="1028" max="1028" width="40.5703125" bestFit="1" customWidth="1"/>
    <col min="1029" max="1029" width="26.140625" bestFit="1" customWidth="1"/>
    <col min="1030" max="1030" width="19.42578125" bestFit="1" customWidth="1"/>
    <col min="1031" max="1032" width="21.140625" bestFit="1" customWidth="1"/>
    <col min="1033" max="1033" width="24.42578125" bestFit="1" customWidth="1"/>
    <col min="1034" max="1034" width="21.28515625" bestFit="1" customWidth="1"/>
    <col min="1035" max="1035" width="19.5703125" bestFit="1" customWidth="1"/>
    <col min="1036" max="1036" width="37.7109375" bestFit="1" customWidth="1"/>
    <col min="1037" max="1037" width="10" bestFit="1" customWidth="1"/>
    <col min="1038" max="1038" width="12.7109375" bestFit="1" customWidth="1"/>
    <col min="1039" max="1039" width="21.7109375" bestFit="1" customWidth="1"/>
    <col min="1040" max="1040" width="24.42578125" bestFit="1" customWidth="1"/>
    <col min="1041" max="1041" width="14.42578125" bestFit="1" customWidth="1"/>
    <col min="1042" max="1042" width="40.5703125" bestFit="1" customWidth="1"/>
    <col min="1043" max="1043" width="20.5703125" bestFit="1" customWidth="1"/>
    <col min="1044" max="1044" width="35.42578125" bestFit="1" customWidth="1"/>
    <col min="1045" max="1045" width="17.85546875" bestFit="1" customWidth="1"/>
    <col min="1046" max="1046" width="21" bestFit="1" customWidth="1"/>
    <col min="1047" max="1047" width="23" bestFit="1" customWidth="1"/>
    <col min="1048" max="1048" width="9.7109375" bestFit="1" customWidth="1"/>
    <col min="1049" max="1049" width="18.85546875" bestFit="1" customWidth="1"/>
    <col min="1050" max="1050" width="15.85546875" bestFit="1" customWidth="1"/>
    <col min="1051" max="1051" width="69.28515625" bestFit="1" customWidth="1"/>
    <col min="1052" max="1052" width="34.140625" bestFit="1" customWidth="1"/>
    <col min="1053" max="1053" width="24.7109375" bestFit="1" customWidth="1"/>
    <col min="1054" max="1054" width="32" bestFit="1" customWidth="1"/>
    <col min="1055" max="1055" width="9.42578125" bestFit="1" customWidth="1"/>
    <col min="1056" max="1056" width="21.140625" bestFit="1" customWidth="1"/>
    <col min="1057" max="1057" width="10.140625" bestFit="1" customWidth="1"/>
    <col min="1058" max="1058" width="22" bestFit="1" customWidth="1"/>
    <col min="1059" max="1059" width="14.140625" bestFit="1" customWidth="1"/>
    <col min="1060" max="1060" width="35" bestFit="1" customWidth="1"/>
    <col min="1061" max="1061" width="24.42578125" bestFit="1" customWidth="1"/>
    <col min="1062" max="1062" width="18.7109375" bestFit="1" customWidth="1"/>
    <col min="1063" max="1063" width="29.42578125" bestFit="1" customWidth="1"/>
    <col min="1064" max="1064" width="19.85546875" bestFit="1" customWidth="1"/>
    <col min="1065" max="1065" width="24.85546875" bestFit="1" customWidth="1"/>
    <col min="1066" max="1066" width="17.85546875" bestFit="1" customWidth="1"/>
    <col min="1067" max="1067" width="30.5703125" bestFit="1" customWidth="1"/>
    <col min="1068" max="1068" width="20" bestFit="1" customWidth="1"/>
    <col min="1069" max="1069" width="29.7109375" bestFit="1" customWidth="1"/>
    <col min="1070" max="1070" width="30.42578125" bestFit="1" customWidth="1"/>
    <col min="1071" max="1071" width="16.42578125" bestFit="1" customWidth="1"/>
    <col min="1072" max="1072" width="37.5703125" bestFit="1" customWidth="1"/>
    <col min="1073" max="1073" width="29.140625" bestFit="1" customWidth="1"/>
    <col min="1074" max="1074" width="24.140625" bestFit="1" customWidth="1"/>
    <col min="1075" max="1075" width="14.42578125" bestFit="1" customWidth="1"/>
    <col min="1076" max="1076" width="17.85546875" bestFit="1" customWidth="1"/>
    <col min="1077" max="1077" width="18.28515625" bestFit="1" customWidth="1"/>
    <col min="1078" max="1078" width="14.85546875" bestFit="1" customWidth="1"/>
    <col min="1079" max="1079" width="41.42578125" bestFit="1" customWidth="1"/>
    <col min="1080" max="1080" width="19.85546875" bestFit="1" customWidth="1"/>
    <col min="1081" max="1081" width="20.85546875" bestFit="1" customWidth="1"/>
    <col min="1082" max="1082" width="10.85546875" bestFit="1" customWidth="1"/>
    <col min="1083" max="1083" width="32.85546875" bestFit="1" customWidth="1"/>
    <col min="1084" max="1084" width="19.7109375" bestFit="1" customWidth="1"/>
    <col min="1085" max="1085" width="9.5703125" bestFit="1" customWidth="1"/>
    <col min="1086" max="1086" width="19.85546875" bestFit="1" customWidth="1"/>
    <col min="1087" max="1087" width="51.85546875" bestFit="1" customWidth="1"/>
    <col min="1088" max="1088" width="19.140625" bestFit="1" customWidth="1"/>
    <col min="1089" max="1089" width="10.7109375" bestFit="1" customWidth="1"/>
    <col min="1090" max="1090" width="38.140625" bestFit="1" customWidth="1"/>
    <col min="1091" max="1091" width="13.28515625" bestFit="1" customWidth="1"/>
    <col min="1092" max="1092" width="15.85546875" bestFit="1" customWidth="1"/>
    <col min="1093" max="1093" width="21.140625" bestFit="1" customWidth="1"/>
    <col min="1094" max="1094" width="18.140625" bestFit="1" customWidth="1"/>
    <col min="1095" max="1095" width="8.85546875" bestFit="1" customWidth="1"/>
    <col min="1096" max="1096" width="18.28515625" bestFit="1" customWidth="1"/>
    <col min="1097" max="1097" width="7.28515625" bestFit="1" customWidth="1"/>
    <col min="1098" max="1098" width="13.28515625" bestFit="1" customWidth="1"/>
    <col min="1099" max="1099" width="25.7109375" bestFit="1" customWidth="1"/>
    <col min="1100" max="1100" width="28.85546875" bestFit="1" customWidth="1"/>
    <col min="1101" max="1101" width="42.140625" bestFit="1" customWidth="1"/>
    <col min="1102" max="1102" width="16.5703125" bestFit="1" customWidth="1"/>
    <col min="1103" max="1103" width="45.28515625" bestFit="1" customWidth="1"/>
    <col min="1104" max="1104" width="18.85546875" bestFit="1" customWidth="1"/>
    <col min="1105" max="1105" width="22.140625" bestFit="1" customWidth="1"/>
    <col min="1106" max="1106" width="34.7109375" bestFit="1" customWidth="1"/>
    <col min="1107" max="1107" width="10.5703125" bestFit="1" customWidth="1"/>
    <col min="1108" max="1108" width="21.7109375" bestFit="1" customWidth="1"/>
    <col min="1109" max="1109" width="31.85546875" bestFit="1" customWidth="1"/>
    <col min="1110" max="1110" width="58.28515625" bestFit="1" customWidth="1"/>
    <col min="1111" max="1111" width="20" bestFit="1" customWidth="1"/>
    <col min="1112" max="1112" width="12.5703125" bestFit="1" customWidth="1"/>
    <col min="1113" max="1113" width="18.42578125" bestFit="1" customWidth="1"/>
    <col min="1114" max="1114" width="20.5703125" bestFit="1" customWidth="1"/>
    <col min="1115" max="1115" width="55.5703125" bestFit="1" customWidth="1"/>
    <col min="1116" max="1116" width="26.42578125" bestFit="1" customWidth="1"/>
    <col min="1117" max="1117" width="61.42578125" bestFit="1" customWidth="1"/>
    <col min="1118" max="1118" width="30.28515625" bestFit="1" customWidth="1"/>
    <col min="1119" max="1119" width="27.28515625" bestFit="1" customWidth="1"/>
    <col min="1120" max="1120" width="22.140625" bestFit="1" customWidth="1"/>
    <col min="1121" max="1121" width="33.140625" bestFit="1" customWidth="1"/>
    <col min="1122" max="1122" width="20.28515625" bestFit="1" customWidth="1"/>
    <col min="1123" max="1123" width="20.7109375" bestFit="1" customWidth="1"/>
    <col min="1124" max="1124" width="16" bestFit="1" customWidth="1"/>
    <col min="1125" max="1125" width="7.28515625" bestFit="1" customWidth="1"/>
    <col min="1126" max="1126" width="33.42578125" bestFit="1" customWidth="1"/>
    <col min="1127" max="1127" width="26.7109375" bestFit="1" customWidth="1"/>
    <col min="1128" max="1128" width="21" bestFit="1" customWidth="1"/>
    <col min="1129" max="1129" width="35.42578125" bestFit="1" customWidth="1"/>
    <col min="1130" max="1130" width="9.7109375" bestFit="1" customWidth="1"/>
    <col min="1131" max="1131" width="24.140625" bestFit="1" customWidth="1"/>
    <col min="1132" max="1132" width="16.7109375" bestFit="1" customWidth="1"/>
    <col min="1133" max="1133" width="9.42578125" bestFit="1" customWidth="1"/>
    <col min="1134" max="1134" width="22" bestFit="1" customWidth="1"/>
    <col min="1135" max="1135" width="27.85546875" bestFit="1" customWidth="1"/>
    <col min="1136" max="1136" width="19.140625" bestFit="1" customWidth="1"/>
    <col min="1137" max="1137" width="18.7109375" bestFit="1" customWidth="1"/>
    <col min="1138" max="1138" width="17.5703125" bestFit="1" customWidth="1"/>
    <col min="1139" max="1139" width="18.5703125" bestFit="1" customWidth="1"/>
    <col min="1140" max="1140" width="13.5703125" bestFit="1" customWidth="1"/>
    <col min="1141" max="1141" width="29.28515625" bestFit="1" customWidth="1"/>
    <col min="1142" max="1142" width="29.7109375" bestFit="1" customWidth="1"/>
    <col min="1143" max="1143" width="24.7109375" bestFit="1" customWidth="1"/>
    <col min="1144" max="1144" width="21.85546875" bestFit="1" customWidth="1"/>
    <col min="1145" max="1145" width="40.28515625" bestFit="1" customWidth="1"/>
    <col min="1146" max="1146" width="33.28515625" bestFit="1" customWidth="1"/>
    <col min="1147" max="1147" width="16.7109375" bestFit="1" customWidth="1"/>
    <col min="1148" max="1148" width="21.42578125" bestFit="1" customWidth="1"/>
    <col min="1149" max="1149" width="14" bestFit="1" customWidth="1"/>
    <col min="1150" max="1150" width="16.85546875" bestFit="1" customWidth="1"/>
    <col min="1151" max="1151" width="22.7109375" bestFit="1" customWidth="1"/>
    <col min="1152" max="1152" width="35.7109375" bestFit="1" customWidth="1"/>
    <col min="1153" max="1153" width="37" bestFit="1" customWidth="1"/>
    <col min="1154" max="1154" width="13.7109375" bestFit="1" customWidth="1"/>
    <col min="1155" max="1155" width="20.85546875" bestFit="1" customWidth="1"/>
    <col min="1156" max="1156" width="32.85546875" bestFit="1" customWidth="1"/>
    <col min="1157" max="1157" width="27.5703125" bestFit="1" customWidth="1"/>
    <col min="1158" max="1158" width="20.85546875" bestFit="1" customWidth="1"/>
    <col min="1159" max="1159" width="23.5703125" bestFit="1" customWidth="1"/>
    <col min="1160" max="1160" width="18.140625" bestFit="1" customWidth="1"/>
    <col min="1161" max="1161" width="13.42578125" bestFit="1" customWidth="1"/>
    <col min="1162" max="1162" width="12.5703125" bestFit="1" customWidth="1"/>
    <col min="1163" max="1163" width="26.5703125" bestFit="1" customWidth="1"/>
    <col min="1164" max="1164" width="32.5703125" bestFit="1" customWidth="1"/>
    <col min="1165" max="1165" width="21.7109375" bestFit="1" customWidth="1"/>
    <col min="1166" max="1166" width="12.42578125" bestFit="1" customWidth="1"/>
    <col min="1167" max="1167" width="24.85546875" bestFit="1" customWidth="1"/>
    <col min="1168" max="1168" width="30" bestFit="1" customWidth="1"/>
    <col min="1169" max="1169" width="23" bestFit="1" customWidth="1"/>
    <col min="1170" max="1170" width="37.5703125" bestFit="1" customWidth="1"/>
    <col min="1171" max="1171" width="45.28515625" bestFit="1" customWidth="1"/>
    <col min="1172" max="1172" width="17.28515625" bestFit="1" customWidth="1"/>
    <col min="1173" max="1173" width="16.7109375" bestFit="1" customWidth="1"/>
    <col min="1174" max="1174" width="27.28515625" bestFit="1" customWidth="1"/>
    <col min="1175" max="1175" width="24.5703125" bestFit="1" customWidth="1"/>
    <col min="1176" max="1176" width="17.5703125" bestFit="1" customWidth="1"/>
    <col min="1177" max="1177" width="18.85546875" bestFit="1" customWidth="1"/>
    <col min="1178" max="1178" width="28" bestFit="1" customWidth="1"/>
    <col min="1179" max="1179" width="13.5703125" bestFit="1" customWidth="1"/>
    <col min="1180" max="1180" width="35.28515625" bestFit="1" customWidth="1"/>
    <col min="1181" max="1181" width="30.140625" bestFit="1" customWidth="1"/>
    <col min="1182" max="1182" width="22.140625" bestFit="1" customWidth="1"/>
    <col min="1183" max="1183" width="20" bestFit="1" customWidth="1"/>
    <col min="1184" max="1184" width="15" bestFit="1" customWidth="1"/>
    <col min="1185" max="1185" width="20.85546875" bestFit="1" customWidth="1"/>
    <col min="1186" max="1186" width="22" bestFit="1" customWidth="1"/>
    <col min="1187" max="1187" width="17.7109375" bestFit="1" customWidth="1"/>
    <col min="1188" max="1188" width="51.42578125" bestFit="1" customWidth="1"/>
    <col min="1189" max="1189" width="34.7109375" bestFit="1" customWidth="1"/>
    <col min="1190" max="1190" width="19.5703125" bestFit="1" customWidth="1"/>
    <col min="1191" max="1191" width="20.140625" bestFit="1" customWidth="1"/>
    <col min="1192" max="1192" width="32.85546875" bestFit="1" customWidth="1"/>
    <col min="1193" max="1193" width="21.42578125" bestFit="1" customWidth="1"/>
    <col min="1194" max="1194" width="37.42578125" bestFit="1" customWidth="1"/>
    <col min="1195" max="1195" width="16.28515625" bestFit="1" customWidth="1"/>
    <col min="1196" max="1196" width="30.85546875" bestFit="1" customWidth="1"/>
    <col min="1197" max="1197" width="13.5703125" bestFit="1" customWidth="1"/>
    <col min="1198" max="1198" width="21.42578125" bestFit="1" customWidth="1"/>
    <col min="1199" max="1199" width="15.7109375" bestFit="1" customWidth="1"/>
    <col min="1200" max="1200" width="20.5703125" bestFit="1" customWidth="1"/>
    <col min="1201" max="1201" width="38.42578125" bestFit="1" customWidth="1"/>
    <col min="1202" max="1202" width="27.28515625" bestFit="1" customWidth="1"/>
    <col min="1203" max="1203" width="10.5703125" bestFit="1" customWidth="1"/>
    <col min="1204" max="1204" width="18.42578125" bestFit="1" customWidth="1"/>
    <col min="1205" max="1205" width="36" bestFit="1" customWidth="1"/>
    <col min="1206" max="1206" width="33.85546875" bestFit="1" customWidth="1"/>
    <col min="1207" max="1207" width="22.42578125" bestFit="1" customWidth="1"/>
    <col min="1208" max="1208" width="24.140625" bestFit="1" customWidth="1"/>
    <col min="1209" max="1209" width="32.42578125" bestFit="1" customWidth="1"/>
    <col min="1210" max="1210" width="15.5703125" bestFit="1" customWidth="1"/>
    <col min="1211" max="1211" width="17.5703125" bestFit="1" customWidth="1"/>
    <col min="1212" max="1212" width="19.42578125" bestFit="1" customWidth="1"/>
    <col min="1213" max="1213" width="7.85546875" bestFit="1" customWidth="1"/>
    <col min="1214" max="1214" width="21.7109375" bestFit="1" customWidth="1"/>
    <col min="1215" max="1215" width="33" bestFit="1" customWidth="1"/>
    <col min="1216" max="1216" width="14.7109375" bestFit="1" customWidth="1"/>
    <col min="1217" max="1217" width="28.85546875" bestFit="1" customWidth="1"/>
    <col min="1218" max="1218" width="16.85546875" bestFit="1" customWidth="1"/>
    <col min="1219" max="1219" width="51.28515625" bestFit="1" customWidth="1"/>
    <col min="1220" max="1220" width="15" bestFit="1" customWidth="1"/>
    <col min="1221" max="1221" width="29.7109375" bestFit="1" customWidth="1"/>
    <col min="1222" max="1222" width="49" bestFit="1" customWidth="1"/>
    <col min="1223" max="1223" width="10.5703125" bestFit="1" customWidth="1"/>
    <col min="1224" max="1224" width="20.5703125" bestFit="1" customWidth="1"/>
    <col min="1225" max="1225" width="45.85546875" bestFit="1" customWidth="1"/>
    <col min="1226" max="1226" width="49.5703125" bestFit="1" customWidth="1"/>
    <col min="1227" max="1227" width="16.28515625" bestFit="1" customWidth="1"/>
    <col min="1228" max="1228" width="25.140625" bestFit="1" customWidth="1"/>
    <col min="1229" max="1229" width="53" bestFit="1" customWidth="1"/>
    <col min="1230" max="1230" width="28.5703125" bestFit="1" customWidth="1"/>
    <col min="1231" max="1231" width="24.7109375" bestFit="1" customWidth="1"/>
    <col min="1232" max="1232" width="15.5703125" bestFit="1" customWidth="1"/>
    <col min="1233" max="1233" width="7.28515625" bestFit="1" customWidth="1"/>
    <col min="1234" max="1234" width="26.28515625" bestFit="1" customWidth="1"/>
    <col min="1235" max="1235" width="12" bestFit="1" customWidth="1"/>
  </cols>
  <sheetData>
    <row r="1" spans="1:7" x14ac:dyDescent="0.25">
      <c r="A1" s="3" t="s">
        <v>16</v>
      </c>
      <c r="B1" t="s">
        <v>29</v>
      </c>
    </row>
    <row r="2" spans="1:7" x14ac:dyDescent="0.25">
      <c r="A2" s="3" t="s">
        <v>9</v>
      </c>
      <c r="B2" t="s">
        <v>6943</v>
      </c>
    </row>
    <row r="3" spans="1:7" x14ac:dyDescent="0.25">
      <c r="A3" s="3" t="s">
        <v>2</v>
      </c>
      <c r="B3" t="s">
        <v>6943</v>
      </c>
    </row>
    <row r="4" spans="1:7" x14ac:dyDescent="0.25">
      <c r="A4" s="3" t="s">
        <v>6935</v>
      </c>
      <c r="B4" t="s">
        <v>6943</v>
      </c>
    </row>
    <row r="5" spans="1:7" x14ac:dyDescent="0.25">
      <c r="A5" s="3" t="s">
        <v>11</v>
      </c>
      <c r="B5" t="s">
        <v>6944</v>
      </c>
    </row>
    <row r="7" spans="1:7" x14ac:dyDescent="0.25">
      <c r="A7" s="3" t="s">
        <v>6942</v>
      </c>
      <c r="B7" s="3" t="s">
        <v>6939</v>
      </c>
    </row>
    <row r="8" spans="1:7" x14ac:dyDescent="0.25">
      <c r="A8" s="3" t="s">
        <v>6941</v>
      </c>
      <c r="B8" t="s">
        <v>243</v>
      </c>
      <c r="C8" t="s">
        <v>79</v>
      </c>
      <c r="D8" t="s">
        <v>21</v>
      </c>
      <c r="E8" t="s">
        <v>69</v>
      </c>
      <c r="F8" t="s">
        <v>85</v>
      </c>
      <c r="G8" t="s">
        <v>6940</v>
      </c>
    </row>
    <row r="9" spans="1:7" x14ac:dyDescent="0.25">
      <c r="A9" s="4">
        <v>1997</v>
      </c>
      <c r="B9" s="14"/>
      <c r="C9" s="14">
        <v>73.8</v>
      </c>
      <c r="D9" s="14">
        <v>0.24000000000000002</v>
      </c>
      <c r="E9" s="14">
        <v>1E-3</v>
      </c>
      <c r="F9" s="14">
        <v>1.41</v>
      </c>
      <c r="G9" s="14">
        <v>75.450999999999993</v>
      </c>
    </row>
    <row r="10" spans="1:7" x14ac:dyDescent="0.25">
      <c r="A10" s="4">
        <v>1998</v>
      </c>
      <c r="B10" s="14"/>
      <c r="C10" s="14"/>
      <c r="D10" s="14">
        <v>40.445</v>
      </c>
      <c r="E10" s="14"/>
      <c r="F10" s="14">
        <v>6.7530000000000001</v>
      </c>
      <c r="G10" s="14">
        <v>47.198</v>
      </c>
    </row>
    <row r="11" spans="1:7" x14ac:dyDescent="0.25">
      <c r="A11" s="4">
        <v>1999</v>
      </c>
      <c r="B11" s="14"/>
      <c r="C11" s="14">
        <v>293.92499999999995</v>
      </c>
      <c r="D11" s="14">
        <v>136.57899999999998</v>
      </c>
      <c r="E11" s="14"/>
      <c r="F11" s="14">
        <v>0.53500000000000003</v>
      </c>
      <c r="G11" s="14">
        <v>431.03899999999993</v>
      </c>
    </row>
    <row r="12" spans="1:7" x14ac:dyDescent="0.25">
      <c r="A12" s="4">
        <v>2000</v>
      </c>
      <c r="B12" s="14"/>
      <c r="C12" s="14">
        <v>44.15</v>
      </c>
      <c r="D12" s="14">
        <v>5.2</v>
      </c>
      <c r="E12" s="14">
        <v>5.5270000000000001</v>
      </c>
      <c r="F12" s="14">
        <v>56.384</v>
      </c>
      <c r="G12" s="14">
        <v>111.261</v>
      </c>
    </row>
    <row r="13" spans="1:7" x14ac:dyDescent="0.25">
      <c r="A13" s="4">
        <v>2001</v>
      </c>
      <c r="B13" s="14"/>
      <c r="C13" s="14">
        <v>6.6000000000000003E-2</v>
      </c>
      <c r="D13" s="14">
        <v>2.27</v>
      </c>
      <c r="E13" s="14">
        <v>0.1</v>
      </c>
      <c r="F13" s="14"/>
      <c r="G13" s="14">
        <v>2.4359999999999999</v>
      </c>
    </row>
    <row r="14" spans="1:7" x14ac:dyDescent="0.25">
      <c r="A14" s="4">
        <v>2002</v>
      </c>
      <c r="B14" s="14">
        <v>36</v>
      </c>
      <c r="C14" s="14">
        <v>48.362000000000002</v>
      </c>
      <c r="D14" s="14">
        <v>81.34899999999999</v>
      </c>
      <c r="E14" s="14">
        <v>6.8</v>
      </c>
      <c r="F14" s="14">
        <v>0.69800000000000006</v>
      </c>
      <c r="G14" s="14">
        <v>173.209</v>
      </c>
    </row>
    <row r="15" spans="1:7" x14ac:dyDescent="0.25">
      <c r="A15" s="4">
        <v>2003</v>
      </c>
      <c r="B15" s="14">
        <v>2692.1709999999998</v>
      </c>
      <c r="C15" s="14">
        <v>179.66300000000001</v>
      </c>
      <c r="D15" s="14">
        <v>180.29500000000002</v>
      </c>
      <c r="E15" s="14">
        <v>0.64200000000000002</v>
      </c>
      <c r="F15" s="14">
        <v>105.59599999999999</v>
      </c>
      <c r="G15" s="14">
        <v>3158.3669999999997</v>
      </c>
    </row>
    <row r="16" spans="1:7" x14ac:dyDescent="0.25">
      <c r="A16" s="4">
        <v>2004</v>
      </c>
      <c r="B16" s="14">
        <v>0.26500000000000001</v>
      </c>
      <c r="C16" s="14">
        <v>176.14500000000001</v>
      </c>
      <c r="D16" s="14">
        <v>103.09699999999999</v>
      </c>
      <c r="E16" s="14">
        <v>607.678</v>
      </c>
      <c r="F16" s="14">
        <v>312.685</v>
      </c>
      <c r="G16" s="14">
        <v>1199.8699999999999</v>
      </c>
    </row>
    <row r="17" spans="1:7" x14ac:dyDescent="0.25">
      <c r="A17" s="4">
        <v>2005</v>
      </c>
      <c r="B17" s="14"/>
      <c r="C17" s="14">
        <v>205.49299999999997</v>
      </c>
      <c r="D17" s="14">
        <v>183.78300000000002</v>
      </c>
      <c r="E17" s="14">
        <v>23.682000000000002</v>
      </c>
      <c r="F17" s="14">
        <v>256.32700000000006</v>
      </c>
      <c r="G17" s="14">
        <v>669.28500000000008</v>
      </c>
    </row>
    <row r="18" spans="1:7" x14ac:dyDescent="0.25">
      <c r="A18" s="4">
        <v>2006</v>
      </c>
      <c r="B18" s="14">
        <v>4090.73</v>
      </c>
      <c r="C18" s="14">
        <v>0.17400000000000002</v>
      </c>
      <c r="D18" s="14">
        <v>155.51299999999998</v>
      </c>
      <c r="E18" s="14">
        <v>56.015000000000001</v>
      </c>
      <c r="F18" s="14">
        <v>5.6020000000000003</v>
      </c>
      <c r="G18" s="14">
        <v>4308.0340000000006</v>
      </c>
    </row>
    <row r="19" spans="1:7" x14ac:dyDescent="0.25">
      <c r="A19" s="4">
        <v>2007</v>
      </c>
      <c r="B19" s="14">
        <v>14.016999999999999</v>
      </c>
      <c r="C19" s="14">
        <v>156.21</v>
      </c>
      <c r="D19" s="14">
        <v>1282.7130000000002</v>
      </c>
      <c r="E19" s="14">
        <v>7807.7540000000008</v>
      </c>
      <c r="F19" s="14">
        <v>446.01400000000001</v>
      </c>
      <c r="G19" s="14">
        <v>9706.7080000000005</v>
      </c>
    </row>
    <row r="20" spans="1:7" x14ac:dyDescent="0.25">
      <c r="A20" s="4">
        <v>2008</v>
      </c>
      <c r="B20" s="14">
        <v>3.2160000000000002</v>
      </c>
      <c r="C20" s="14">
        <v>4.8899999999999997</v>
      </c>
      <c r="D20" s="14">
        <v>58.948</v>
      </c>
      <c r="E20" s="14">
        <v>221.26900000000001</v>
      </c>
      <c r="F20" s="14">
        <v>134.74799999999999</v>
      </c>
      <c r="G20" s="14">
        <v>423.07099999999997</v>
      </c>
    </row>
    <row r="21" spans="1:7" x14ac:dyDescent="0.25">
      <c r="A21" s="4">
        <v>2009</v>
      </c>
      <c r="B21" s="14">
        <v>4.8000000000000001E-2</v>
      </c>
      <c r="C21" s="14">
        <v>192.92400000000001</v>
      </c>
      <c r="D21" s="14">
        <v>9.7810000000000006</v>
      </c>
      <c r="E21" s="14">
        <v>1.702</v>
      </c>
      <c r="F21" s="14">
        <v>374.26400000000001</v>
      </c>
      <c r="G21" s="14">
        <v>578.71900000000005</v>
      </c>
    </row>
    <row r="22" spans="1:7" x14ac:dyDescent="0.25">
      <c r="A22" s="4">
        <v>2010</v>
      </c>
      <c r="B22" s="14">
        <v>165.72800000000001</v>
      </c>
      <c r="C22" s="14">
        <v>10.2006</v>
      </c>
      <c r="D22" s="14">
        <v>144.2319</v>
      </c>
      <c r="E22" s="14"/>
      <c r="F22" s="14">
        <v>27.622600000000002</v>
      </c>
      <c r="G22" s="14">
        <v>347.78309999999999</v>
      </c>
    </row>
    <row r="23" spans="1:7" x14ac:dyDescent="0.25">
      <c r="A23" s="4">
        <v>2011</v>
      </c>
      <c r="B23" s="14">
        <v>2.3449999999999998</v>
      </c>
      <c r="C23" s="14">
        <v>61.393799999999999</v>
      </c>
      <c r="D23" s="14">
        <v>124.70359999999999</v>
      </c>
      <c r="E23" s="14">
        <v>36.956299999999999</v>
      </c>
      <c r="F23" s="14">
        <v>162.81470000000002</v>
      </c>
      <c r="G23" s="14">
        <v>388.21339999999998</v>
      </c>
    </row>
    <row r="24" spans="1:7" x14ac:dyDescent="0.25">
      <c r="A24" s="4">
        <v>2012</v>
      </c>
      <c r="B24" s="14">
        <v>7.2000000000000008E-2</v>
      </c>
      <c r="C24" s="14">
        <v>10.231999999999999</v>
      </c>
      <c r="D24" s="14">
        <v>109.911</v>
      </c>
      <c r="E24" s="14">
        <v>42.347000000000001</v>
      </c>
      <c r="F24" s="14">
        <v>1168.3631</v>
      </c>
      <c r="G24" s="14">
        <v>1330.9250999999999</v>
      </c>
    </row>
    <row r="25" spans="1:7" x14ac:dyDescent="0.25">
      <c r="A25" s="4">
        <v>2013</v>
      </c>
      <c r="B25" s="14">
        <v>10.916</v>
      </c>
      <c r="C25" s="14">
        <v>18.178000000000001</v>
      </c>
      <c r="D25" s="14">
        <v>4.7134</v>
      </c>
      <c r="E25" s="14">
        <v>43.150199999999998</v>
      </c>
      <c r="F25" s="14">
        <v>72.082499999999982</v>
      </c>
      <c r="G25" s="14">
        <v>149.0401</v>
      </c>
    </row>
    <row r="26" spans="1:7" x14ac:dyDescent="0.25">
      <c r="A26" s="4">
        <v>2014</v>
      </c>
      <c r="B26" s="14">
        <v>17.843999999999998</v>
      </c>
      <c r="C26" s="14">
        <v>716.99199999999996</v>
      </c>
      <c r="D26" s="14">
        <v>561.04600000000005</v>
      </c>
      <c r="E26" s="14">
        <v>2796.9210000000003</v>
      </c>
      <c r="F26" s="14">
        <v>23.364999999999998</v>
      </c>
      <c r="G26" s="14">
        <v>4116.1680000000006</v>
      </c>
    </row>
    <row r="27" spans="1:7" x14ac:dyDescent="0.25">
      <c r="A27" s="4">
        <v>2015</v>
      </c>
      <c r="B27" s="14"/>
      <c r="C27" s="14">
        <v>36.473399999999998</v>
      </c>
      <c r="D27" s="14">
        <v>38.286200000000001</v>
      </c>
      <c r="E27" s="14">
        <v>158.97630000000001</v>
      </c>
      <c r="F27" s="14">
        <v>151.39050000000003</v>
      </c>
      <c r="G27" s="14">
        <v>385.12640000000005</v>
      </c>
    </row>
    <row r="28" spans="1:7" x14ac:dyDescent="0.25">
      <c r="A28" s="4" t="s">
        <v>6940</v>
      </c>
      <c r="B28" s="14">
        <v>7033.3519999999999</v>
      </c>
      <c r="C28" s="14">
        <v>2229.2717999999995</v>
      </c>
      <c r="D28" s="14">
        <v>3223.1051000000002</v>
      </c>
      <c r="E28" s="14">
        <v>11809.5208</v>
      </c>
      <c r="F28" s="14">
        <v>3306.6543999999999</v>
      </c>
      <c r="G28" s="14">
        <v>27601.904100000003</v>
      </c>
    </row>
  </sheetData>
  <sheetProtection algorithmName="SHA-512" hashValue="2jFxaUTqVD6kz1KCpYXeMT3W9hqJrsjax00tjHWXqt7yyCESxRul3fxXT1G9DK5fcAPMhJsbX0j+CsLi0nwVCg==" saltValue="nI1x2xouC3Ih6cAjeTWk3A==" spinCount="100000" sheet="1" objects="1" scenarios="1" selectLockedCells="1" pivotTables="0" selectUn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C182-ADFB-45AA-8A36-6BBE3960789E}">
  <sheetPr>
    <tabColor theme="9" tint="0.39997558519241921"/>
  </sheetPr>
  <dimension ref="A1:B16"/>
  <sheetViews>
    <sheetView workbookViewId="0"/>
  </sheetViews>
  <sheetFormatPr defaultRowHeight="15" x14ac:dyDescent="0.25"/>
  <cols>
    <col min="1" max="1" width="53.140625" bestFit="1" customWidth="1"/>
    <col min="2" max="2" width="25.28515625" bestFit="1" customWidth="1"/>
    <col min="3" max="3" width="13.5703125" bestFit="1" customWidth="1"/>
    <col min="4" max="4" width="28.42578125" bestFit="1" customWidth="1"/>
    <col min="5" max="5" width="15.85546875" bestFit="1" customWidth="1"/>
    <col min="6" max="6" width="15.7109375" bestFit="1" customWidth="1"/>
    <col min="7" max="7" width="24.28515625" bestFit="1" customWidth="1"/>
    <col min="8" max="8" width="17.85546875" bestFit="1" customWidth="1"/>
    <col min="9" max="9" width="13.42578125" bestFit="1" customWidth="1"/>
    <col min="10" max="10" width="8.42578125" bestFit="1" customWidth="1"/>
    <col min="11" max="11" width="28.28515625" bestFit="1" customWidth="1"/>
    <col min="12" max="12" width="34.5703125" bestFit="1" customWidth="1"/>
    <col min="13" max="13" width="15.7109375" bestFit="1" customWidth="1"/>
    <col min="14" max="14" width="11.28515625" bestFit="1" customWidth="1"/>
    <col min="15" max="15" width="28.7109375" bestFit="1" customWidth="1"/>
    <col min="16" max="16" width="26.5703125" bestFit="1" customWidth="1"/>
    <col min="17" max="17" width="26.28515625" bestFit="1" customWidth="1"/>
    <col min="18" max="18" width="10" bestFit="1" customWidth="1"/>
    <col min="19" max="19" width="9" bestFit="1" customWidth="1"/>
    <col min="20" max="20" width="23.7109375" bestFit="1" customWidth="1"/>
    <col min="21" max="21" width="25.7109375" bestFit="1" customWidth="1"/>
    <col min="22" max="22" width="11.5703125" bestFit="1" customWidth="1"/>
    <col min="23" max="23" width="15.7109375" bestFit="1" customWidth="1"/>
    <col min="24" max="24" width="16.85546875" bestFit="1" customWidth="1"/>
    <col min="25" max="25" width="17.28515625" bestFit="1" customWidth="1"/>
    <col min="26" max="26" width="7" bestFit="1" customWidth="1"/>
    <col min="27" max="27" width="8.5703125" bestFit="1" customWidth="1"/>
    <col min="28" max="28" width="11.140625" bestFit="1" customWidth="1"/>
    <col min="29" max="29" width="29.28515625" bestFit="1" customWidth="1"/>
    <col min="30" max="30" width="25.7109375" bestFit="1" customWidth="1"/>
    <col min="31" max="31" width="26.42578125" bestFit="1" customWidth="1"/>
    <col min="32" max="32" width="32.140625" bestFit="1" customWidth="1"/>
    <col min="33" max="33" width="35.7109375" bestFit="1" customWidth="1"/>
    <col min="34" max="34" width="8.42578125" bestFit="1" customWidth="1"/>
    <col min="35" max="35" width="15.28515625" bestFit="1" customWidth="1"/>
    <col min="36" max="36" width="12.28515625" bestFit="1" customWidth="1"/>
    <col min="37" max="38" width="16.5703125" bestFit="1" customWidth="1"/>
    <col min="39" max="39" width="28" bestFit="1" customWidth="1"/>
    <col min="40" max="40" width="13.28515625" bestFit="1" customWidth="1"/>
    <col min="41" max="41" width="9" bestFit="1" customWidth="1"/>
    <col min="42" max="42" width="14.5703125" bestFit="1" customWidth="1"/>
    <col min="43" max="43" width="14.42578125" bestFit="1" customWidth="1"/>
    <col min="44" max="44" width="14" bestFit="1" customWidth="1"/>
    <col min="45" max="45" width="11" bestFit="1" customWidth="1"/>
    <col min="46" max="46" width="16.28515625" bestFit="1" customWidth="1"/>
    <col min="47" max="47" width="17.42578125" bestFit="1" customWidth="1"/>
    <col min="48" max="48" width="18" bestFit="1" customWidth="1"/>
    <col min="49" max="49" width="13.85546875" bestFit="1" customWidth="1"/>
    <col min="50" max="50" width="16.28515625" bestFit="1" customWidth="1"/>
    <col min="51" max="51" width="24" bestFit="1" customWidth="1"/>
    <col min="52" max="52" width="30.42578125" bestFit="1" customWidth="1"/>
    <col min="53" max="53" width="12" bestFit="1" customWidth="1"/>
    <col min="54" max="54" width="19.42578125" bestFit="1" customWidth="1"/>
    <col min="55" max="55" width="22.140625" bestFit="1" customWidth="1"/>
    <col min="56" max="56" width="31.140625" bestFit="1" customWidth="1"/>
    <col min="57" max="57" width="23" bestFit="1" customWidth="1"/>
    <col min="58" max="58" width="12.5703125" bestFit="1" customWidth="1"/>
    <col min="59" max="59" width="14.42578125" bestFit="1" customWidth="1"/>
    <col min="60" max="60" width="10" bestFit="1" customWidth="1"/>
    <col min="61" max="61" width="25.5703125" bestFit="1" customWidth="1"/>
    <col min="62" max="62" width="31.5703125" bestFit="1" customWidth="1"/>
    <col min="63" max="63" width="9.85546875" bestFit="1" customWidth="1"/>
    <col min="64" max="64" width="44.7109375" bestFit="1" customWidth="1"/>
    <col min="65" max="65" width="22.85546875" bestFit="1" customWidth="1"/>
    <col min="66" max="66" width="19.7109375" bestFit="1" customWidth="1"/>
    <col min="67" max="67" width="17.7109375" bestFit="1" customWidth="1"/>
    <col min="68" max="68" width="32.140625" bestFit="1" customWidth="1"/>
    <col min="69" max="69" width="17.85546875" bestFit="1" customWidth="1"/>
    <col min="70" max="70" width="41.42578125" bestFit="1" customWidth="1"/>
    <col min="71" max="71" width="42.7109375" bestFit="1" customWidth="1"/>
    <col min="72" max="72" width="38.7109375" bestFit="1" customWidth="1"/>
    <col min="73" max="73" width="10.140625" bestFit="1" customWidth="1"/>
    <col min="74" max="74" width="24.85546875" bestFit="1" customWidth="1"/>
    <col min="75" max="75" width="15.42578125" bestFit="1" customWidth="1"/>
    <col min="76" max="76" width="7.85546875" bestFit="1" customWidth="1"/>
    <col min="77" max="77" width="15.140625" bestFit="1" customWidth="1"/>
    <col min="78" max="78" width="13.42578125" bestFit="1" customWidth="1"/>
    <col min="79" max="79" width="19.42578125" bestFit="1" customWidth="1"/>
    <col min="80" max="80" width="11" bestFit="1" customWidth="1"/>
    <col min="81" max="81" width="23.85546875" bestFit="1" customWidth="1"/>
    <col min="82" max="82" width="35.140625" bestFit="1" customWidth="1"/>
    <col min="83" max="83" width="22.28515625" bestFit="1" customWidth="1"/>
    <col min="84" max="84" width="52" bestFit="1" customWidth="1"/>
    <col min="85" max="85" width="17" bestFit="1" customWidth="1"/>
    <col min="86" max="86" width="29" bestFit="1" customWidth="1"/>
    <col min="87" max="87" width="51.140625" bestFit="1" customWidth="1"/>
    <col min="88" max="88" width="12.5703125" bestFit="1" customWidth="1"/>
    <col min="89" max="89" width="33.140625" bestFit="1" customWidth="1"/>
    <col min="90" max="90" width="33.42578125" bestFit="1" customWidth="1"/>
    <col min="91" max="91" width="18.85546875" bestFit="1" customWidth="1"/>
    <col min="92" max="92" width="22.42578125" bestFit="1" customWidth="1"/>
    <col min="93" max="93" width="23.42578125" bestFit="1" customWidth="1"/>
    <col min="94" max="94" width="12" bestFit="1" customWidth="1"/>
    <col min="95" max="95" width="12.5703125" bestFit="1" customWidth="1"/>
    <col min="96" max="96" width="33.42578125" bestFit="1" customWidth="1"/>
    <col min="97" max="97" width="18.85546875" bestFit="1" customWidth="1"/>
    <col min="98" max="98" width="22.42578125" bestFit="1" customWidth="1"/>
    <col min="99" max="99" width="23.42578125" bestFit="1" customWidth="1"/>
    <col min="100" max="100" width="12" bestFit="1" customWidth="1"/>
    <col min="101" max="101" width="11" bestFit="1" customWidth="1"/>
    <col min="102" max="102" width="9.85546875" bestFit="1" customWidth="1"/>
    <col min="103" max="103" width="28.42578125" bestFit="1" customWidth="1"/>
    <col min="104" max="104" width="24.85546875" bestFit="1" customWidth="1"/>
    <col min="105" max="105" width="15.42578125" bestFit="1" customWidth="1"/>
    <col min="106" max="106" width="7.85546875" bestFit="1" customWidth="1"/>
    <col min="107" max="107" width="15.140625" bestFit="1" customWidth="1"/>
    <col min="108" max="108" width="13.42578125" bestFit="1" customWidth="1"/>
    <col min="109" max="109" width="19.42578125" bestFit="1" customWidth="1"/>
    <col min="110" max="110" width="27.7109375" bestFit="1" customWidth="1"/>
    <col min="111" max="111" width="11" bestFit="1" customWidth="1"/>
    <col min="112" max="112" width="23.85546875" bestFit="1" customWidth="1"/>
    <col min="113" max="113" width="35.140625" bestFit="1" customWidth="1"/>
    <col min="114" max="114" width="22.28515625" bestFit="1" customWidth="1"/>
    <col min="115" max="115" width="52" bestFit="1" customWidth="1"/>
    <col min="116" max="116" width="17" bestFit="1" customWidth="1"/>
    <col min="117" max="117" width="29" bestFit="1" customWidth="1"/>
    <col min="118" max="118" width="51.140625" bestFit="1" customWidth="1"/>
    <col min="119" max="119" width="12.5703125" bestFit="1" customWidth="1"/>
    <col min="120" max="120" width="33.140625" bestFit="1" customWidth="1"/>
    <col min="121" max="121" width="33.42578125" bestFit="1" customWidth="1"/>
    <col min="122" max="122" width="18.85546875" bestFit="1" customWidth="1"/>
    <col min="123" max="123" width="22.42578125" bestFit="1" customWidth="1"/>
    <col min="124" max="124" width="23.42578125" bestFit="1" customWidth="1"/>
    <col min="125" max="125" width="12" bestFit="1" customWidth="1"/>
    <col min="126" max="126" width="24.85546875" bestFit="1" customWidth="1"/>
    <col min="127" max="127" width="28" bestFit="1" customWidth="1"/>
    <col min="128" max="128" width="13.28515625" bestFit="1" customWidth="1"/>
    <col min="129" max="129" width="16.42578125" bestFit="1" customWidth="1"/>
    <col min="130" max="130" width="11.42578125" bestFit="1" customWidth="1"/>
    <col min="131" max="131" width="14.5703125" bestFit="1" customWidth="1"/>
    <col min="132" max="132" width="25.5703125" bestFit="1" customWidth="1"/>
    <col min="133" max="133" width="28.28515625" bestFit="1" customWidth="1"/>
    <col min="134" max="134" width="36.140625" bestFit="1" customWidth="1"/>
    <col min="135" max="135" width="39.28515625" bestFit="1" customWidth="1"/>
    <col min="136" max="136" width="24.7109375" bestFit="1" customWidth="1"/>
    <col min="137" max="137" width="27.85546875" bestFit="1" customWidth="1"/>
    <col min="138" max="138" width="47.5703125" bestFit="1" customWidth="1"/>
    <col min="139" max="139" width="50.7109375" bestFit="1" customWidth="1"/>
    <col min="140" max="140" width="18.85546875" bestFit="1" customWidth="1"/>
    <col min="141" max="141" width="22.140625" bestFit="1" customWidth="1"/>
    <col min="142" max="142" width="45" bestFit="1" customWidth="1"/>
    <col min="143" max="143" width="48.140625" bestFit="1" customWidth="1"/>
    <col min="144" max="144" width="10.85546875" bestFit="1" customWidth="1"/>
    <col min="145" max="145" width="14" bestFit="1" customWidth="1"/>
    <col min="146" max="146" width="20.28515625" bestFit="1" customWidth="1"/>
    <col min="147" max="147" width="23.42578125" bestFit="1" customWidth="1"/>
    <col min="148" max="148" width="38" bestFit="1" customWidth="1"/>
    <col min="149" max="149" width="41.140625" bestFit="1" customWidth="1"/>
    <col min="150" max="150" width="18.5703125" bestFit="1" customWidth="1"/>
    <col min="151" max="151" width="21.85546875" bestFit="1" customWidth="1"/>
    <col min="152" max="152" width="30.28515625" bestFit="1" customWidth="1"/>
    <col min="153" max="153" width="33.42578125" bestFit="1" customWidth="1"/>
    <col min="154" max="154" width="21.140625" bestFit="1" customWidth="1"/>
    <col min="155" max="155" width="24.28515625" bestFit="1" customWidth="1"/>
    <col min="156" max="156" width="23.5703125" bestFit="1" customWidth="1"/>
    <col min="157" max="157" width="26.7109375" bestFit="1" customWidth="1"/>
    <col min="158" max="158" width="25.28515625" bestFit="1" customWidth="1"/>
    <col min="159" max="159" width="28.42578125" bestFit="1" customWidth="1"/>
    <col min="160" max="160" width="44.85546875" bestFit="1" customWidth="1"/>
    <col min="161" max="161" width="48" bestFit="1" customWidth="1"/>
    <col min="162" max="162" width="46" bestFit="1" customWidth="1"/>
    <col min="163" max="163" width="49.140625" bestFit="1" customWidth="1"/>
    <col min="164" max="164" width="12" bestFit="1" customWidth="1"/>
    <col min="165" max="165" width="15.140625" bestFit="1" customWidth="1"/>
    <col min="166" max="166" width="61" bestFit="1" customWidth="1"/>
    <col min="167" max="167" width="64" bestFit="1" customWidth="1"/>
    <col min="168" max="168" width="9.7109375" bestFit="1" customWidth="1"/>
    <col min="169" max="169" width="12.7109375" bestFit="1" customWidth="1"/>
    <col min="170" max="170" width="21.42578125" bestFit="1" customWidth="1"/>
    <col min="171" max="171" width="24.5703125" bestFit="1" customWidth="1"/>
    <col min="172" max="172" width="21.28515625" bestFit="1" customWidth="1"/>
    <col min="173" max="173" width="24.42578125" bestFit="1" customWidth="1"/>
    <col min="174" max="174" width="21.28515625" bestFit="1" customWidth="1"/>
    <col min="175" max="175" width="24.42578125" bestFit="1" customWidth="1"/>
    <col min="176" max="176" width="11" bestFit="1" customWidth="1"/>
    <col min="177" max="177" width="13.28515625" bestFit="1" customWidth="1"/>
    <col min="178" max="178" width="25.7109375" bestFit="1" customWidth="1"/>
    <col min="179" max="179" width="28.85546875" bestFit="1" customWidth="1"/>
    <col min="180" max="180" width="42.140625" bestFit="1" customWidth="1"/>
    <col min="181" max="181" width="45.28515625" bestFit="1" customWidth="1"/>
    <col min="182" max="182" width="18.85546875" bestFit="1" customWidth="1"/>
    <col min="183" max="183" width="22.140625" bestFit="1" customWidth="1"/>
    <col min="184" max="184" width="29" bestFit="1" customWidth="1"/>
    <col min="185" max="185" width="31.85546875" bestFit="1" customWidth="1"/>
    <col min="186" max="186" width="58.28515625" bestFit="1" customWidth="1"/>
    <col min="187" max="187" width="61.42578125" bestFit="1" customWidth="1"/>
    <col min="188" max="188" width="30.28515625" bestFit="1" customWidth="1"/>
    <col min="189" max="189" width="33.42578125" bestFit="1" customWidth="1"/>
    <col min="190" max="190" width="26.7109375" bestFit="1" customWidth="1"/>
    <col min="191" max="191" width="30" bestFit="1" customWidth="1"/>
    <col min="192" max="192" width="23.42578125" bestFit="1" customWidth="1"/>
    <col min="193" max="193" width="26.28515625" bestFit="1" customWidth="1"/>
    <col min="194" max="194" width="12" bestFit="1" customWidth="1"/>
    <col min="195" max="195" width="25.28515625" bestFit="1" customWidth="1"/>
    <col min="196" max="196" width="18.28515625" bestFit="1" customWidth="1"/>
    <col min="197" max="197" width="24.28515625" bestFit="1" customWidth="1"/>
    <col min="198" max="198" width="38.5703125" bestFit="1" customWidth="1"/>
    <col min="199" max="199" width="9.140625" bestFit="1" customWidth="1"/>
    <col min="200" max="200" width="36.140625" bestFit="1" customWidth="1"/>
    <col min="201" max="201" width="26.85546875" bestFit="1" customWidth="1"/>
    <col min="202" max="202" width="15.140625" bestFit="1" customWidth="1"/>
    <col min="203" max="203" width="33" bestFit="1" customWidth="1"/>
    <col min="204" max="204" width="13.7109375" bestFit="1" customWidth="1"/>
    <col min="205" max="205" width="25.7109375" bestFit="1" customWidth="1"/>
    <col min="206" max="206" width="12.5703125" bestFit="1" customWidth="1"/>
    <col min="207" max="207" width="17.28515625" bestFit="1" customWidth="1"/>
    <col min="208" max="208" width="17.85546875" bestFit="1" customWidth="1"/>
    <col min="209" max="209" width="19" bestFit="1" customWidth="1"/>
    <col min="210" max="210" width="15" bestFit="1" customWidth="1"/>
    <col min="211" max="211" width="24.140625" bestFit="1" customWidth="1"/>
    <col min="212" max="212" width="16.5703125" bestFit="1" customWidth="1"/>
    <col min="213" max="213" width="34.7109375" bestFit="1" customWidth="1"/>
    <col min="214" max="214" width="19.28515625" bestFit="1" customWidth="1"/>
    <col min="215" max="215" width="14.42578125" bestFit="1" customWidth="1"/>
    <col min="216" max="216" width="44.140625" bestFit="1" customWidth="1"/>
    <col min="217" max="217" width="42.28515625" bestFit="1" customWidth="1"/>
    <col min="218" max="218" width="16.28515625" bestFit="1" customWidth="1"/>
    <col min="219" max="219" width="21" bestFit="1" customWidth="1"/>
    <col min="220" max="220" width="39.42578125" bestFit="1" customWidth="1"/>
    <col min="221" max="221" width="10.5703125" bestFit="1" customWidth="1"/>
    <col min="222" max="222" width="16.7109375" bestFit="1" customWidth="1"/>
    <col min="223" max="223" width="50.7109375" bestFit="1" customWidth="1"/>
    <col min="224" max="224" width="25" bestFit="1" customWidth="1"/>
    <col min="225" max="225" width="26" bestFit="1" customWidth="1"/>
    <col min="226" max="226" width="28.42578125" bestFit="1" customWidth="1"/>
    <col min="227" max="227" width="7.28515625" bestFit="1" customWidth="1"/>
    <col min="228" max="228" width="15.28515625" bestFit="1" customWidth="1"/>
    <col min="229" max="229" width="28.140625" bestFit="1" customWidth="1"/>
    <col min="230" max="230" width="31.28515625" bestFit="1" customWidth="1"/>
    <col min="231" max="231" width="8.85546875" bestFit="1" customWidth="1"/>
    <col min="232" max="232" width="11.85546875" bestFit="1" customWidth="1"/>
    <col min="233" max="233" width="9" bestFit="1" customWidth="1"/>
    <col min="234" max="234" width="11.7109375" bestFit="1" customWidth="1"/>
    <col min="235" max="235" width="23.140625" bestFit="1" customWidth="1"/>
    <col min="236" max="236" width="18.7109375" bestFit="1" customWidth="1"/>
    <col min="237" max="237" width="7.28515625" bestFit="1" customWidth="1"/>
    <col min="238" max="238" width="17.42578125" bestFit="1" customWidth="1"/>
    <col min="239" max="239" width="26.5703125" bestFit="1" customWidth="1"/>
    <col min="240" max="240" width="13.7109375" bestFit="1" customWidth="1"/>
    <col min="241" max="241" width="26.28515625" bestFit="1" customWidth="1"/>
    <col min="242" max="242" width="14" bestFit="1" customWidth="1"/>
    <col min="243" max="243" width="31.28515625" bestFit="1" customWidth="1"/>
    <col min="244" max="244" width="16.140625" bestFit="1" customWidth="1"/>
    <col min="245" max="245" width="19" bestFit="1" customWidth="1"/>
    <col min="246" max="246" width="17.85546875" bestFit="1" customWidth="1"/>
    <col min="247" max="247" width="26.85546875" bestFit="1" customWidth="1"/>
    <col min="248" max="248" width="11.140625" bestFit="1" customWidth="1"/>
    <col min="249" max="249" width="9" bestFit="1" customWidth="1"/>
    <col min="250" max="250" width="15.85546875" bestFit="1" customWidth="1"/>
    <col min="251" max="251" width="15.28515625" bestFit="1" customWidth="1"/>
    <col min="252" max="252" width="18.42578125" bestFit="1" customWidth="1"/>
    <col min="253" max="253" width="41.42578125" bestFit="1" customWidth="1"/>
    <col min="254" max="254" width="22.140625" bestFit="1" customWidth="1"/>
    <col min="255" max="255" width="12.7109375" bestFit="1" customWidth="1"/>
    <col min="256" max="256" width="19.5703125" bestFit="1" customWidth="1"/>
    <col min="257" max="257" width="18.42578125" bestFit="1" customWidth="1"/>
    <col min="258" max="258" width="41.140625" bestFit="1" customWidth="1"/>
    <col min="259" max="259" width="35" bestFit="1" customWidth="1"/>
    <col min="260" max="260" width="15.7109375" bestFit="1" customWidth="1"/>
    <col min="261" max="261" width="24.140625" bestFit="1" customWidth="1"/>
    <col min="262" max="262" width="12.85546875" bestFit="1" customWidth="1"/>
    <col min="263" max="263" width="18.140625" bestFit="1" customWidth="1"/>
    <col min="264" max="264" width="61" bestFit="1" customWidth="1"/>
    <col min="265" max="265" width="15.5703125" bestFit="1" customWidth="1"/>
    <col min="266" max="266" width="10.5703125" bestFit="1" customWidth="1"/>
    <col min="267" max="267" width="29" bestFit="1" customWidth="1"/>
    <col min="268" max="268" width="9.42578125" bestFit="1" customWidth="1"/>
    <col min="269" max="269" width="20.28515625" bestFit="1" customWidth="1"/>
    <col min="270" max="270" width="24.85546875" bestFit="1" customWidth="1"/>
    <col min="271" max="271" width="54.7109375" bestFit="1" customWidth="1"/>
    <col min="272" max="272" width="17.7109375" bestFit="1" customWidth="1"/>
    <col min="273" max="273" width="29.85546875" bestFit="1" customWidth="1"/>
    <col min="274" max="274" width="16.7109375" bestFit="1" customWidth="1"/>
    <col min="275" max="275" width="19.42578125" bestFit="1" customWidth="1"/>
    <col min="276" max="276" width="15.85546875" bestFit="1" customWidth="1"/>
    <col min="277" max="277" width="11.7109375" bestFit="1" customWidth="1"/>
    <col min="278" max="278" width="35.7109375" bestFit="1" customWidth="1"/>
    <col min="279" max="279" width="7.28515625" bestFit="1" customWidth="1"/>
    <col min="280" max="280" width="29.85546875" bestFit="1" customWidth="1"/>
    <col min="281" max="281" width="25.28515625" bestFit="1" customWidth="1"/>
    <col min="282" max="282" width="21" bestFit="1" customWidth="1"/>
    <col min="283" max="283" width="41.140625" bestFit="1" customWidth="1"/>
    <col min="284" max="284" width="14.7109375" bestFit="1" customWidth="1"/>
    <col min="285" max="285" width="16.140625" bestFit="1" customWidth="1"/>
    <col min="286" max="286" width="28.42578125" bestFit="1" customWidth="1"/>
    <col min="287" max="287" width="35.7109375" bestFit="1" customWidth="1"/>
    <col min="288" max="288" width="24.7109375" bestFit="1" customWidth="1"/>
    <col min="289" max="289" width="31.140625" bestFit="1" customWidth="1"/>
    <col min="290" max="290" width="16.42578125" bestFit="1" customWidth="1"/>
    <col min="291" max="291" width="27.42578125" bestFit="1" customWidth="1"/>
    <col min="292" max="292" width="34.7109375" bestFit="1" customWidth="1"/>
    <col min="293" max="293" width="7.28515625" bestFit="1" customWidth="1"/>
    <col min="294" max="294" width="16.28515625" bestFit="1" customWidth="1"/>
    <col min="295" max="295" width="18.42578125" bestFit="1" customWidth="1"/>
    <col min="296" max="296" width="16" bestFit="1" customWidth="1"/>
    <col min="297" max="297" width="23.140625" bestFit="1" customWidth="1"/>
    <col min="298" max="298" width="24.5703125" bestFit="1" customWidth="1"/>
    <col min="299" max="299" width="50.7109375" bestFit="1" customWidth="1"/>
    <col min="300" max="300" width="20" bestFit="1" customWidth="1"/>
    <col min="301" max="301" width="28.42578125" bestFit="1" customWidth="1"/>
    <col min="302" max="302" width="24.140625" bestFit="1" customWidth="1"/>
    <col min="303" max="303" width="23.28515625" bestFit="1" customWidth="1"/>
    <col min="304" max="304" width="10.5703125" bestFit="1" customWidth="1"/>
    <col min="305" max="305" width="12.85546875" bestFit="1" customWidth="1"/>
    <col min="306" max="306" width="28" bestFit="1" customWidth="1"/>
    <col min="307" max="307" width="17.5703125" bestFit="1" customWidth="1"/>
    <col min="308" max="308" width="19" bestFit="1" customWidth="1"/>
    <col min="309" max="309" width="15.42578125" bestFit="1" customWidth="1"/>
    <col min="310" max="310" width="17.7109375" bestFit="1" customWidth="1"/>
    <col min="311" max="311" width="14" bestFit="1" customWidth="1"/>
    <col min="312" max="312" width="25.140625" bestFit="1" customWidth="1"/>
    <col min="313" max="313" width="35.42578125" bestFit="1" customWidth="1"/>
    <col min="314" max="314" width="37.5703125" bestFit="1" customWidth="1"/>
    <col min="315" max="315" width="17.42578125" bestFit="1" customWidth="1"/>
    <col min="316" max="316" width="38.85546875" bestFit="1" customWidth="1"/>
    <col min="317" max="317" width="36" bestFit="1" customWidth="1"/>
    <col min="318" max="318" width="23.7109375" bestFit="1" customWidth="1"/>
    <col min="319" max="319" width="39.28515625" bestFit="1" customWidth="1"/>
    <col min="320" max="320" width="38.85546875" bestFit="1" customWidth="1"/>
    <col min="321" max="321" width="30.28515625" bestFit="1" customWidth="1"/>
    <col min="322" max="322" width="34.28515625" bestFit="1" customWidth="1"/>
    <col min="323" max="323" width="18.28515625" bestFit="1" customWidth="1"/>
    <col min="324" max="324" width="42.140625" bestFit="1" customWidth="1"/>
    <col min="325" max="325" width="21.85546875" bestFit="1" customWidth="1"/>
    <col min="326" max="326" width="39.140625" bestFit="1" customWidth="1"/>
    <col min="327" max="327" width="40.28515625" bestFit="1" customWidth="1"/>
    <col min="328" max="328" width="43.42578125" bestFit="1" customWidth="1"/>
    <col min="329" max="329" width="37.5703125" bestFit="1" customWidth="1"/>
    <col min="330" max="330" width="21.5703125" bestFit="1" customWidth="1"/>
    <col min="331" max="331" width="18.28515625" bestFit="1" customWidth="1"/>
    <col min="332" max="332" width="14.85546875" bestFit="1" customWidth="1"/>
    <col min="333" max="333" width="18.7109375" bestFit="1" customWidth="1"/>
    <col min="334" max="334" width="40.7109375" bestFit="1" customWidth="1"/>
    <col min="335" max="335" width="27.42578125" bestFit="1" customWidth="1"/>
    <col min="336" max="336" width="35" bestFit="1" customWidth="1"/>
    <col min="337" max="337" width="46.28515625" bestFit="1" customWidth="1"/>
    <col min="338" max="338" width="10.140625" bestFit="1" customWidth="1"/>
    <col min="339" max="339" width="10.85546875" bestFit="1" customWidth="1"/>
    <col min="340" max="340" width="29.85546875" bestFit="1" customWidth="1"/>
    <col min="341" max="341" width="22.140625" bestFit="1" customWidth="1"/>
    <col min="342" max="342" width="23.85546875" bestFit="1" customWidth="1"/>
    <col min="343" max="343" width="21.140625" bestFit="1" customWidth="1"/>
    <col min="344" max="344" width="19" bestFit="1" customWidth="1"/>
    <col min="345" max="345" width="22" bestFit="1" customWidth="1"/>
    <col min="346" max="346" width="41.42578125" bestFit="1" customWidth="1"/>
    <col min="347" max="347" width="36.85546875" bestFit="1" customWidth="1"/>
    <col min="348" max="348" width="41.42578125" bestFit="1" customWidth="1"/>
    <col min="349" max="349" width="11.5703125" bestFit="1" customWidth="1"/>
    <col min="350" max="350" width="21.42578125" bestFit="1" customWidth="1"/>
    <col min="351" max="351" width="27.42578125" bestFit="1" customWidth="1"/>
    <col min="352" max="352" width="15.7109375" bestFit="1" customWidth="1"/>
    <col min="353" max="353" width="27.28515625" bestFit="1" customWidth="1"/>
    <col min="354" max="354" width="38.85546875" bestFit="1" customWidth="1"/>
    <col min="355" max="355" width="14.85546875" bestFit="1" customWidth="1"/>
    <col min="356" max="356" width="13.5703125" bestFit="1" customWidth="1"/>
    <col min="357" max="357" width="35.5703125" bestFit="1" customWidth="1"/>
    <col min="358" max="358" width="37.28515625" bestFit="1" customWidth="1"/>
    <col min="359" max="359" width="9" bestFit="1" customWidth="1"/>
    <col min="360" max="360" width="28.42578125" bestFit="1" customWidth="1"/>
    <col min="361" max="361" width="26.7109375" bestFit="1" customWidth="1"/>
    <col min="362" max="362" width="32.42578125" bestFit="1" customWidth="1"/>
    <col min="363" max="363" width="19.5703125" bestFit="1" customWidth="1"/>
    <col min="364" max="364" width="24.42578125" bestFit="1" customWidth="1"/>
    <col min="365" max="365" width="9.140625" bestFit="1" customWidth="1"/>
    <col min="366" max="366" width="21.7109375" bestFit="1" customWidth="1"/>
    <col min="367" max="367" width="5.7109375" bestFit="1" customWidth="1"/>
    <col min="368" max="368" width="27.85546875" bestFit="1" customWidth="1"/>
    <col min="369" max="369" width="32.7109375" bestFit="1" customWidth="1"/>
    <col min="370" max="370" width="42.85546875" bestFit="1" customWidth="1"/>
    <col min="371" max="371" width="32.5703125" bestFit="1" customWidth="1"/>
    <col min="372" max="372" width="38.5703125" bestFit="1" customWidth="1"/>
    <col min="373" max="373" width="24.7109375" bestFit="1" customWidth="1"/>
    <col min="374" max="374" width="45.7109375" bestFit="1" customWidth="1"/>
    <col min="375" max="375" width="54.85546875" bestFit="1" customWidth="1"/>
    <col min="376" max="376" width="23.28515625" bestFit="1" customWidth="1"/>
    <col min="377" max="377" width="14.42578125" bestFit="1" customWidth="1"/>
    <col min="378" max="378" width="27.7109375" bestFit="1" customWidth="1"/>
    <col min="379" max="379" width="20.28515625" bestFit="1" customWidth="1"/>
    <col min="380" max="380" width="30.85546875" bestFit="1" customWidth="1"/>
    <col min="381" max="381" width="7.28515625" bestFit="1" customWidth="1"/>
    <col min="382" max="382" width="28.42578125" bestFit="1" customWidth="1"/>
    <col min="383" max="383" width="35.42578125" bestFit="1" customWidth="1"/>
    <col min="384" max="384" width="13.42578125" bestFit="1" customWidth="1"/>
    <col min="385" max="385" width="20.85546875" bestFit="1" customWidth="1"/>
    <col min="386" max="386" width="24" bestFit="1" customWidth="1"/>
    <col min="387" max="387" width="33" bestFit="1" customWidth="1"/>
    <col min="388" max="388" width="24.7109375" bestFit="1" customWidth="1"/>
    <col min="389" max="389" width="18.28515625" bestFit="1" customWidth="1"/>
    <col min="390" max="390" width="8.85546875" bestFit="1" customWidth="1"/>
    <col min="391" max="391" width="17.7109375" bestFit="1" customWidth="1"/>
    <col min="392" max="392" width="32.7109375" bestFit="1" customWidth="1"/>
    <col min="393" max="393" width="19.85546875" bestFit="1" customWidth="1"/>
    <col min="394" max="394" width="24.7109375" bestFit="1" customWidth="1"/>
    <col min="395" max="395" width="18.42578125" bestFit="1" customWidth="1"/>
    <col min="396" max="396" width="23" bestFit="1" customWidth="1"/>
    <col min="397" max="397" width="10.85546875" bestFit="1" customWidth="1"/>
    <col min="398" max="398" width="16.140625" bestFit="1" customWidth="1"/>
    <col min="399" max="399" width="24.7109375" bestFit="1" customWidth="1"/>
    <col min="400" max="400" width="14.7109375" bestFit="1" customWidth="1"/>
    <col min="401" max="401" width="27.5703125" bestFit="1" customWidth="1"/>
    <col min="402" max="402" width="30.7109375" bestFit="1" customWidth="1"/>
    <col min="403" max="403" width="17.42578125" bestFit="1" customWidth="1"/>
    <col min="404" max="404" width="23.85546875" bestFit="1" customWidth="1"/>
    <col min="405" max="405" width="9.5703125" bestFit="1" customWidth="1"/>
    <col min="406" max="406" width="35.140625" bestFit="1" customWidth="1"/>
    <col min="407" max="407" width="50.7109375" bestFit="1" customWidth="1"/>
    <col min="408" max="408" width="21.7109375" bestFit="1" customWidth="1"/>
    <col min="409" max="409" width="28.5703125" bestFit="1" customWidth="1"/>
    <col min="410" max="410" width="21" bestFit="1" customWidth="1"/>
    <col min="411" max="411" width="33.5703125" bestFit="1" customWidth="1"/>
    <col min="412" max="412" width="31.7109375" bestFit="1" customWidth="1"/>
    <col min="413" max="413" width="46.140625" bestFit="1" customWidth="1"/>
    <col min="414" max="414" width="16" bestFit="1" customWidth="1"/>
    <col min="415" max="415" width="24.7109375" bestFit="1" customWidth="1"/>
    <col min="416" max="416" width="49.28515625" bestFit="1" customWidth="1"/>
    <col min="417" max="417" width="19.140625" bestFit="1" customWidth="1"/>
    <col min="418" max="418" width="22.28515625" bestFit="1" customWidth="1"/>
    <col min="419" max="419" width="19.28515625" bestFit="1" customWidth="1"/>
    <col min="420" max="420" width="44" bestFit="1" customWidth="1"/>
    <col min="421" max="421" width="18.5703125" bestFit="1" customWidth="1"/>
    <col min="422" max="422" width="42.7109375" bestFit="1" customWidth="1"/>
    <col min="423" max="423" width="32.85546875" bestFit="1" customWidth="1"/>
    <col min="424" max="424" width="16" bestFit="1" customWidth="1"/>
    <col min="425" max="425" width="23.85546875" bestFit="1" customWidth="1"/>
    <col min="426" max="426" width="25.28515625" bestFit="1" customWidth="1"/>
    <col min="427" max="427" width="42.7109375" bestFit="1" customWidth="1"/>
    <col min="428" max="428" width="29.42578125" bestFit="1" customWidth="1"/>
    <col min="429" max="429" width="43" bestFit="1" customWidth="1"/>
    <col min="430" max="430" width="26.42578125" bestFit="1" customWidth="1"/>
    <col min="431" max="431" width="9" bestFit="1" customWidth="1"/>
    <col min="432" max="432" width="16.85546875" bestFit="1" customWidth="1"/>
    <col min="433" max="433" width="34.85546875" bestFit="1" customWidth="1"/>
    <col min="434" max="434" width="33.85546875" bestFit="1" customWidth="1"/>
    <col min="435" max="435" width="21" bestFit="1" customWidth="1"/>
    <col min="436" max="436" width="22.85546875" bestFit="1" customWidth="1"/>
    <col min="437" max="437" width="44.7109375" bestFit="1" customWidth="1"/>
    <col min="438" max="438" width="7.28515625" bestFit="1" customWidth="1"/>
    <col min="439" max="439" width="22.42578125" bestFit="1" customWidth="1"/>
    <col min="440" max="440" width="22.28515625" bestFit="1" customWidth="1"/>
    <col min="441" max="441" width="21.140625" bestFit="1" customWidth="1"/>
    <col min="442" max="442" width="8" bestFit="1" customWidth="1"/>
    <col min="443" max="443" width="17.28515625" bestFit="1" customWidth="1"/>
    <col min="444" max="444" width="35.42578125" bestFit="1" customWidth="1"/>
    <col min="445" max="445" width="18.28515625" bestFit="1" customWidth="1"/>
    <col min="446" max="446" width="13.140625" bestFit="1" customWidth="1"/>
    <col min="447" max="447" width="30.85546875" bestFit="1" customWidth="1"/>
    <col min="448" max="448" width="23.42578125" bestFit="1" customWidth="1"/>
    <col min="449" max="449" width="19.42578125" bestFit="1" customWidth="1"/>
    <col min="450" max="450" width="12.28515625" bestFit="1" customWidth="1"/>
    <col min="451" max="451" width="20.7109375" bestFit="1" customWidth="1"/>
    <col min="452" max="452" width="30.5703125" bestFit="1" customWidth="1"/>
    <col min="453" max="453" width="14.140625" bestFit="1" customWidth="1"/>
    <col min="454" max="454" width="17.28515625" bestFit="1" customWidth="1"/>
    <col min="455" max="455" width="28.85546875" bestFit="1" customWidth="1"/>
    <col min="456" max="456" width="25.28515625" bestFit="1" customWidth="1"/>
    <col min="457" max="457" width="16.42578125" bestFit="1" customWidth="1"/>
    <col min="458" max="458" width="18.28515625" bestFit="1" customWidth="1"/>
    <col min="459" max="459" width="38.42578125" bestFit="1" customWidth="1"/>
    <col min="460" max="460" width="22.42578125" bestFit="1" customWidth="1"/>
    <col min="461" max="461" width="20.28515625" bestFit="1" customWidth="1"/>
    <col min="462" max="462" width="14.5703125" bestFit="1" customWidth="1"/>
    <col min="463" max="463" width="25.140625" bestFit="1" customWidth="1"/>
    <col min="464" max="464" width="31.42578125" bestFit="1" customWidth="1"/>
    <col min="465" max="465" width="17.85546875" bestFit="1" customWidth="1"/>
    <col min="466" max="466" width="12.42578125" bestFit="1" customWidth="1"/>
    <col min="467" max="467" width="18.28515625" bestFit="1" customWidth="1"/>
    <col min="468" max="468" width="18.85546875" bestFit="1" customWidth="1"/>
    <col min="469" max="469" width="26.140625" bestFit="1" customWidth="1"/>
    <col min="470" max="470" width="13.85546875" bestFit="1" customWidth="1"/>
    <col min="471" max="471" width="35.7109375" bestFit="1" customWidth="1"/>
    <col min="472" max="472" width="21" bestFit="1" customWidth="1"/>
    <col min="473" max="473" width="34" bestFit="1" customWidth="1"/>
    <col min="474" max="474" width="25.140625" bestFit="1" customWidth="1"/>
    <col min="475" max="475" width="9.42578125" bestFit="1" customWidth="1"/>
    <col min="476" max="476" width="19.5703125" bestFit="1" customWidth="1"/>
    <col min="477" max="477" width="47.7109375" bestFit="1" customWidth="1"/>
    <col min="478" max="478" width="35.7109375" bestFit="1" customWidth="1"/>
    <col min="479" max="479" width="30.28515625" bestFit="1" customWidth="1"/>
    <col min="480" max="480" width="22.140625" bestFit="1" customWidth="1"/>
    <col min="481" max="481" width="56.5703125" bestFit="1" customWidth="1"/>
    <col min="482" max="482" width="24.42578125" bestFit="1" customWidth="1"/>
    <col min="483" max="483" width="16.140625" bestFit="1" customWidth="1"/>
    <col min="484" max="484" width="12.42578125" bestFit="1" customWidth="1"/>
    <col min="485" max="485" width="30.5703125" bestFit="1" customWidth="1"/>
    <col min="486" max="486" width="27.140625" bestFit="1" customWidth="1"/>
    <col min="487" max="487" width="9.140625" bestFit="1" customWidth="1"/>
    <col min="488" max="488" width="28.85546875" bestFit="1" customWidth="1"/>
    <col min="489" max="489" width="28.5703125" bestFit="1" customWidth="1"/>
    <col min="490" max="490" width="21.7109375" bestFit="1" customWidth="1"/>
    <col min="491" max="491" width="7.28515625" bestFit="1" customWidth="1"/>
    <col min="492" max="492" width="19.5703125" bestFit="1" customWidth="1"/>
    <col min="493" max="493" width="20.5703125" bestFit="1" customWidth="1"/>
    <col min="494" max="494" width="23.7109375" bestFit="1" customWidth="1"/>
    <col min="495" max="495" width="43" bestFit="1" customWidth="1"/>
    <col min="496" max="496" width="13.5703125" bestFit="1" customWidth="1"/>
    <col min="497" max="497" width="23.5703125" bestFit="1" customWidth="1"/>
    <col min="498" max="498" width="23.28515625" bestFit="1" customWidth="1"/>
    <col min="499" max="499" width="25.7109375" bestFit="1" customWidth="1"/>
    <col min="500" max="500" width="33.5703125" bestFit="1" customWidth="1"/>
    <col min="501" max="501" width="15.42578125" bestFit="1" customWidth="1"/>
    <col min="502" max="502" width="34.140625" bestFit="1" customWidth="1"/>
    <col min="503" max="503" width="34" bestFit="1" customWidth="1"/>
    <col min="504" max="504" width="52.5703125" bestFit="1" customWidth="1"/>
    <col min="505" max="505" width="29.42578125" bestFit="1" customWidth="1"/>
    <col min="506" max="506" width="26" bestFit="1" customWidth="1"/>
    <col min="507" max="507" width="8.85546875" bestFit="1" customWidth="1"/>
    <col min="508" max="508" width="14.85546875" bestFit="1" customWidth="1"/>
    <col min="509" max="509" width="23.42578125" bestFit="1" customWidth="1"/>
    <col min="510" max="510" width="19" bestFit="1" customWidth="1"/>
    <col min="511" max="511" width="30" bestFit="1" customWidth="1"/>
    <col min="512" max="512" width="14.28515625" bestFit="1" customWidth="1"/>
    <col min="513" max="513" width="43" bestFit="1" customWidth="1"/>
    <col min="514" max="514" width="18.5703125" bestFit="1" customWidth="1"/>
    <col min="515" max="515" width="19" bestFit="1" customWidth="1"/>
    <col min="516" max="516" width="11.5703125" bestFit="1" customWidth="1"/>
    <col min="517" max="517" width="22.140625" bestFit="1" customWidth="1"/>
    <col min="518" max="518" width="17.5703125" bestFit="1" customWidth="1"/>
    <col min="519" max="519" width="13.85546875" bestFit="1" customWidth="1"/>
    <col min="520" max="520" width="20.85546875" bestFit="1" customWidth="1"/>
    <col min="521" max="521" width="32.7109375" bestFit="1" customWidth="1"/>
    <col min="522" max="522" width="14.42578125" bestFit="1" customWidth="1"/>
    <col min="523" max="523" width="29" bestFit="1" customWidth="1"/>
    <col min="524" max="524" width="18.5703125" bestFit="1" customWidth="1"/>
    <col min="525" max="525" width="65" bestFit="1" customWidth="1"/>
    <col min="526" max="526" width="39.5703125" bestFit="1" customWidth="1"/>
    <col min="527" max="527" width="31.140625" bestFit="1" customWidth="1"/>
    <col min="528" max="528" width="53.85546875" bestFit="1" customWidth="1"/>
    <col min="529" max="529" width="15" bestFit="1" customWidth="1"/>
    <col min="530" max="530" width="14.28515625" bestFit="1" customWidth="1"/>
    <col min="531" max="531" width="44.140625" bestFit="1" customWidth="1"/>
    <col min="532" max="532" width="17" bestFit="1" customWidth="1"/>
    <col min="533" max="533" width="17.85546875" bestFit="1" customWidth="1"/>
    <col min="534" max="534" width="23.140625" bestFit="1" customWidth="1"/>
    <col min="535" max="535" width="15.42578125" bestFit="1" customWidth="1"/>
    <col min="536" max="536" width="26.140625" bestFit="1" customWidth="1"/>
    <col min="537" max="537" width="13.42578125" bestFit="1" customWidth="1"/>
    <col min="538" max="538" width="22.85546875" bestFit="1" customWidth="1"/>
    <col min="539" max="539" width="14.7109375" bestFit="1" customWidth="1"/>
    <col min="540" max="540" width="7" bestFit="1" customWidth="1"/>
    <col min="541" max="541" width="50.7109375" bestFit="1" customWidth="1"/>
    <col min="542" max="542" width="39.5703125" bestFit="1" customWidth="1"/>
    <col min="543" max="543" width="25.5703125" bestFit="1" customWidth="1"/>
    <col min="544" max="544" width="21.140625" bestFit="1" customWidth="1"/>
    <col min="545" max="545" width="30.7109375" bestFit="1" customWidth="1"/>
    <col min="546" max="546" width="22.7109375" bestFit="1" customWidth="1"/>
    <col min="547" max="547" width="30.140625" bestFit="1" customWidth="1"/>
    <col min="548" max="548" width="21.42578125" bestFit="1" customWidth="1"/>
    <col min="549" max="549" width="34.140625" bestFit="1" customWidth="1"/>
    <col min="550" max="550" width="38.85546875" bestFit="1" customWidth="1"/>
    <col min="551" max="551" width="14.140625" bestFit="1" customWidth="1"/>
    <col min="552" max="552" width="20.28515625" bestFit="1" customWidth="1"/>
    <col min="553" max="553" width="14.85546875" bestFit="1" customWidth="1"/>
    <col min="554" max="554" width="13.85546875" bestFit="1" customWidth="1"/>
    <col min="555" max="555" width="8" bestFit="1" customWidth="1"/>
    <col min="556" max="556" width="33.140625" bestFit="1" customWidth="1"/>
    <col min="557" max="557" width="26.7109375" bestFit="1" customWidth="1"/>
    <col min="558" max="558" width="12.85546875" bestFit="1" customWidth="1"/>
    <col min="559" max="559" width="36.5703125" bestFit="1" customWidth="1"/>
    <col min="560" max="560" width="30.7109375" bestFit="1" customWidth="1"/>
    <col min="561" max="561" width="36.42578125" bestFit="1" customWidth="1"/>
    <col min="562" max="562" width="15.5703125" bestFit="1" customWidth="1"/>
    <col min="563" max="563" width="19.42578125" bestFit="1" customWidth="1"/>
    <col min="564" max="564" width="32.42578125" bestFit="1" customWidth="1"/>
    <col min="565" max="565" width="8.7109375" bestFit="1" customWidth="1"/>
    <col min="566" max="566" width="15.85546875" bestFit="1" customWidth="1"/>
    <col min="567" max="567" width="44.28515625" bestFit="1" customWidth="1"/>
    <col min="568" max="568" width="36.85546875" bestFit="1" customWidth="1"/>
    <col min="569" max="569" width="20.85546875" bestFit="1" customWidth="1"/>
    <col min="570" max="570" width="28.85546875" bestFit="1" customWidth="1"/>
    <col min="571" max="571" width="16.85546875" bestFit="1" customWidth="1"/>
    <col min="572" max="572" width="15.85546875" bestFit="1" customWidth="1"/>
    <col min="573" max="573" width="23.42578125" bestFit="1" customWidth="1"/>
    <col min="574" max="574" width="32.5703125" bestFit="1" customWidth="1"/>
    <col min="575" max="575" width="55.5703125" bestFit="1" customWidth="1"/>
    <col min="576" max="576" width="18.5703125" bestFit="1" customWidth="1"/>
    <col min="577" max="577" width="8.42578125" bestFit="1" customWidth="1"/>
    <col min="578" max="578" width="25.85546875" bestFit="1" customWidth="1"/>
    <col min="579" max="579" width="33.28515625" bestFit="1" customWidth="1"/>
    <col min="580" max="580" width="19" bestFit="1" customWidth="1"/>
    <col min="581" max="581" width="19.5703125" bestFit="1" customWidth="1"/>
    <col min="582" max="582" width="18.7109375" bestFit="1" customWidth="1"/>
    <col min="583" max="583" width="19.5703125" bestFit="1" customWidth="1"/>
    <col min="584" max="584" width="22.42578125" bestFit="1" customWidth="1"/>
    <col min="585" max="585" width="18.7109375" bestFit="1" customWidth="1"/>
    <col min="586" max="586" width="31.28515625" bestFit="1" customWidth="1"/>
    <col min="587" max="587" width="30" bestFit="1" customWidth="1"/>
    <col min="588" max="588" width="25.85546875" bestFit="1" customWidth="1"/>
    <col min="589" max="589" width="15.42578125" bestFit="1" customWidth="1"/>
    <col min="590" max="590" width="16.42578125" bestFit="1" customWidth="1"/>
    <col min="591" max="591" width="31.85546875" bestFit="1" customWidth="1"/>
    <col min="592" max="592" width="9.7109375" bestFit="1" customWidth="1"/>
    <col min="593" max="593" width="24.140625" bestFit="1" customWidth="1"/>
    <col min="594" max="594" width="20" bestFit="1" customWidth="1"/>
    <col min="595" max="595" width="9.42578125" bestFit="1" customWidth="1"/>
    <col min="596" max="596" width="27.85546875" bestFit="1" customWidth="1"/>
    <col min="597" max="597" width="14.42578125" bestFit="1" customWidth="1"/>
    <col min="598" max="598" width="12.85546875" bestFit="1" customWidth="1"/>
    <col min="599" max="599" width="17" bestFit="1" customWidth="1"/>
    <col min="600" max="600" width="22.5703125" bestFit="1" customWidth="1"/>
    <col min="601" max="601" width="18.28515625" bestFit="1" customWidth="1"/>
    <col min="602" max="602" width="24.7109375" bestFit="1" customWidth="1"/>
    <col min="603" max="603" width="24.5703125" bestFit="1" customWidth="1"/>
    <col min="604" max="604" width="36.28515625" bestFit="1" customWidth="1"/>
    <col min="605" max="605" width="22.140625" bestFit="1" customWidth="1"/>
    <col min="606" max="606" width="11.5703125" bestFit="1" customWidth="1"/>
    <col min="607" max="607" width="20" bestFit="1" customWidth="1"/>
    <col min="608" max="608" width="7.28515625" bestFit="1" customWidth="1"/>
    <col min="609" max="609" width="31.5703125" bestFit="1" customWidth="1"/>
    <col min="610" max="610" width="16.7109375" bestFit="1" customWidth="1"/>
    <col min="611" max="611" width="29.140625" bestFit="1" customWidth="1"/>
    <col min="612" max="612" width="16.140625" bestFit="1" customWidth="1"/>
    <col min="613" max="613" width="14.42578125" bestFit="1" customWidth="1"/>
    <col min="614" max="614" width="7.140625" bestFit="1" customWidth="1"/>
    <col min="615" max="615" width="9.42578125" bestFit="1" customWidth="1"/>
    <col min="616" max="616" width="39.28515625" bestFit="1" customWidth="1"/>
    <col min="617" max="617" width="21.7109375" bestFit="1" customWidth="1"/>
    <col min="618" max="618" width="16.7109375" bestFit="1" customWidth="1"/>
    <col min="619" max="619" width="33.140625" bestFit="1" customWidth="1"/>
    <col min="620" max="620" width="15" bestFit="1" customWidth="1"/>
    <col min="621" max="621" width="18.140625" bestFit="1" customWidth="1"/>
    <col min="622" max="622" width="15" bestFit="1" customWidth="1"/>
    <col min="623" max="623" width="23.42578125" bestFit="1" customWidth="1"/>
    <col min="624" max="624" width="25.7109375" bestFit="1" customWidth="1"/>
    <col min="625" max="625" width="27.7109375" bestFit="1" customWidth="1"/>
    <col min="626" max="626" width="7.28515625" bestFit="1" customWidth="1"/>
    <col min="627" max="627" width="14.7109375" bestFit="1" customWidth="1"/>
    <col min="628" max="628" width="33" bestFit="1" customWidth="1"/>
    <col min="629" max="629" width="36.140625" bestFit="1" customWidth="1"/>
    <col min="630" max="630" width="20.28515625" bestFit="1" customWidth="1"/>
    <col min="631" max="631" width="13.140625" bestFit="1" customWidth="1"/>
    <col min="632" max="632" width="39.42578125" bestFit="1" customWidth="1"/>
    <col min="633" max="633" width="28" bestFit="1" customWidth="1"/>
    <col min="634" max="634" width="10.140625" bestFit="1" customWidth="1"/>
    <col min="635" max="635" width="7.5703125" bestFit="1" customWidth="1"/>
    <col min="636" max="636" width="36.28515625" bestFit="1" customWidth="1"/>
    <col min="637" max="637" width="19.42578125" bestFit="1" customWidth="1"/>
    <col min="638" max="638" width="11.5703125" bestFit="1" customWidth="1"/>
    <col min="639" max="639" width="22.85546875" bestFit="1" customWidth="1"/>
    <col min="640" max="640" width="18.42578125" bestFit="1" customWidth="1"/>
    <col min="641" max="641" width="23" bestFit="1" customWidth="1"/>
    <col min="642" max="642" width="7.28515625" bestFit="1" customWidth="1"/>
    <col min="643" max="643" width="23.42578125" bestFit="1" customWidth="1"/>
    <col min="644" max="644" width="33" bestFit="1" customWidth="1"/>
    <col min="645" max="645" width="26" bestFit="1" customWidth="1"/>
    <col min="646" max="646" width="32" bestFit="1" customWidth="1"/>
    <col min="647" max="647" width="25.7109375" bestFit="1" customWidth="1"/>
    <col min="648" max="648" width="11.5703125" bestFit="1" customWidth="1"/>
    <col min="649" max="649" width="9.140625" bestFit="1" customWidth="1"/>
    <col min="650" max="650" width="11.42578125" bestFit="1" customWidth="1"/>
    <col min="651" max="651" width="46.42578125" bestFit="1" customWidth="1"/>
    <col min="652" max="652" width="18.42578125" bestFit="1" customWidth="1"/>
    <col min="653" max="653" width="19.28515625" bestFit="1" customWidth="1"/>
    <col min="654" max="654" width="12.42578125" bestFit="1" customWidth="1"/>
    <col min="655" max="655" width="26.140625" bestFit="1" customWidth="1"/>
    <col min="656" max="656" width="23" bestFit="1" customWidth="1"/>
    <col min="657" max="657" width="46.7109375" bestFit="1" customWidth="1"/>
    <col min="658" max="658" width="24.7109375" bestFit="1" customWidth="1"/>
    <col min="659" max="659" width="35.28515625" bestFit="1" customWidth="1"/>
    <col min="660" max="660" width="20.7109375" bestFit="1" customWidth="1"/>
    <col min="661" max="661" width="58.28515625" bestFit="1" customWidth="1"/>
    <col min="662" max="662" width="20" bestFit="1" customWidth="1"/>
    <col min="663" max="663" width="25" bestFit="1" customWidth="1"/>
    <col min="664" max="664" width="22.140625" bestFit="1" customWidth="1"/>
    <col min="665" max="665" width="27.28515625" bestFit="1" customWidth="1"/>
    <col min="666" max="666" width="25.28515625" bestFit="1" customWidth="1"/>
    <col min="667" max="667" width="14" bestFit="1" customWidth="1"/>
    <col min="668" max="668" width="20.5703125" bestFit="1" customWidth="1"/>
    <col min="669" max="669" width="23.140625" bestFit="1" customWidth="1"/>
    <col min="670" max="670" width="10.5703125" bestFit="1" customWidth="1"/>
    <col min="671" max="671" width="12.85546875" bestFit="1" customWidth="1"/>
    <col min="672" max="672" width="33.42578125" bestFit="1" customWidth="1"/>
    <col min="673" max="673" width="43.5703125" bestFit="1" customWidth="1"/>
    <col min="674" max="674" width="35.85546875" bestFit="1" customWidth="1"/>
    <col min="675" max="675" width="17.85546875" bestFit="1" customWidth="1"/>
    <col min="676" max="676" width="55" bestFit="1" customWidth="1"/>
    <col min="677" max="677" width="29.7109375" bestFit="1" customWidth="1"/>
    <col min="678" max="678" width="16.85546875" bestFit="1" customWidth="1"/>
    <col min="679" max="679" width="28" bestFit="1" customWidth="1"/>
    <col min="680" max="680" width="42.7109375" bestFit="1" customWidth="1"/>
    <col min="681" max="681" width="15.28515625" bestFit="1" customWidth="1"/>
    <col min="682" max="682" width="31.140625" bestFit="1" customWidth="1"/>
    <col min="683" max="683" width="17.85546875" bestFit="1" customWidth="1"/>
    <col min="684" max="684" width="20.28515625" bestFit="1" customWidth="1"/>
    <col min="685" max="685" width="59.28515625" bestFit="1" customWidth="1"/>
    <col min="686" max="686" width="32.140625" bestFit="1" customWidth="1"/>
    <col min="687" max="687" width="29.28515625" bestFit="1" customWidth="1"/>
    <col min="688" max="688" width="38.28515625" bestFit="1" customWidth="1"/>
    <col min="689" max="689" width="26.140625" bestFit="1" customWidth="1"/>
    <col min="690" max="690" width="29.85546875" bestFit="1" customWidth="1"/>
    <col min="691" max="691" width="26.28515625" bestFit="1" customWidth="1"/>
    <col min="692" max="692" width="25.85546875" bestFit="1" customWidth="1"/>
    <col min="693" max="693" width="7.28515625" bestFit="1" customWidth="1"/>
    <col min="694" max="694" width="28" bestFit="1" customWidth="1"/>
    <col min="695" max="695" width="18.85546875" bestFit="1" customWidth="1"/>
    <col min="696" max="696" width="15.85546875" bestFit="1" customWidth="1"/>
    <col min="697" max="697" width="25.140625" bestFit="1" customWidth="1"/>
    <col min="698" max="698" width="22.7109375" bestFit="1" customWidth="1"/>
    <col min="699" max="699" width="10" bestFit="1" customWidth="1"/>
    <col min="700" max="700" width="25.5703125" bestFit="1" customWidth="1"/>
    <col min="701" max="701" width="7.28515625" bestFit="1" customWidth="1"/>
    <col min="702" max="702" width="16.42578125" bestFit="1" customWidth="1"/>
    <col min="703" max="703" width="29.85546875" bestFit="1" customWidth="1"/>
    <col min="704" max="704" width="17.85546875" bestFit="1" customWidth="1"/>
    <col min="705" max="705" width="22.7109375" bestFit="1" customWidth="1"/>
    <col min="706" max="706" width="34.140625" bestFit="1" customWidth="1"/>
    <col min="707" max="707" width="41.42578125" bestFit="1" customWidth="1"/>
    <col min="708" max="708" width="21.140625" bestFit="1" customWidth="1"/>
    <col min="709" max="709" width="19.28515625" bestFit="1" customWidth="1"/>
    <col min="710" max="710" width="32.85546875" bestFit="1" customWidth="1"/>
    <col min="711" max="711" width="15.28515625" bestFit="1" customWidth="1"/>
    <col min="712" max="712" width="56.5703125" bestFit="1" customWidth="1"/>
    <col min="713" max="713" width="38.85546875" bestFit="1" customWidth="1"/>
    <col min="714" max="714" width="23" bestFit="1" customWidth="1"/>
    <col min="715" max="715" width="21.7109375" bestFit="1" customWidth="1"/>
    <col min="716" max="716" width="15.42578125" bestFit="1" customWidth="1"/>
    <col min="717" max="717" width="20.28515625" bestFit="1" customWidth="1"/>
    <col min="718" max="718" width="42.42578125" bestFit="1" customWidth="1"/>
    <col min="719" max="719" width="29" bestFit="1" customWidth="1"/>
    <col min="720" max="720" width="33.140625" bestFit="1" customWidth="1"/>
    <col min="721" max="721" width="18.42578125" bestFit="1" customWidth="1"/>
    <col min="722" max="722" width="20.7109375" bestFit="1" customWidth="1"/>
    <col min="723" max="723" width="14.28515625" bestFit="1" customWidth="1"/>
    <col min="724" max="724" width="14.5703125" bestFit="1" customWidth="1"/>
    <col min="725" max="725" width="28" bestFit="1" customWidth="1"/>
    <col min="726" max="726" width="13.5703125" bestFit="1" customWidth="1"/>
    <col min="727" max="727" width="16.140625" bestFit="1" customWidth="1"/>
    <col min="728" max="728" width="20.5703125" bestFit="1" customWidth="1"/>
    <col min="729" max="729" width="39.140625" bestFit="1" customWidth="1"/>
    <col min="730" max="730" width="29" bestFit="1" customWidth="1"/>
    <col min="731" max="731" width="23.42578125" bestFit="1" customWidth="1"/>
    <col min="732" max="732" width="18.85546875" bestFit="1" customWidth="1"/>
    <col min="733" max="733" width="39.42578125" bestFit="1" customWidth="1"/>
    <col min="734" max="734" width="34.28515625" bestFit="1" customWidth="1"/>
    <col min="735" max="735" width="30.85546875" bestFit="1" customWidth="1"/>
    <col min="736" max="736" width="35.28515625" bestFit="1" customWidth="1"/>
    <col min="737" max="737" width="14.85546875" bestFit="1" customWidth="1"/>
    <col min="738" max="738" width="18.42578125" bestFit="1" customWidth="1"/>
    <col min="739" max="739" width="19.5703125" bestFit="1" customWidth="1"/>
    <col min="740" max="740" width="41.42578125" bestFit="1" customWidth="1"/>
    <col min="741" max="741" width="21.140625" bestFit="1" customWidth="1"/>
    <col min="742" max="742" width="40.5703125" bestFit="1" customWidth="1"/>
    <col min="743" max="743" width="16.28515625" bestFit="1" customWidth="1"/>
    <col min="744" max="744" width="32.7109375" bestFit="1" customWidth="1"/>
    <col min="745" max="745" width="12.140625" bestFit="1" customWidth="1"/>
    <col min="746" max="746" width="26.28515625" bestFit="1" customWidth="1"/>
    <col min="747" max="748" width="22.140625" bestFit="1" customWidth="1"/>
    <col min="749" max="749" width="29.42578125" bestFit="1" customWidth="1"/>
    <col min="750" max="750" width="12.5703125" bestFit="1" customWidth="1"/>
    <col min="751" max="751" width="43.140625" bestFit="1" customWidth="1"/>
    <col min="752" max="752" width="35.140625" bestFit="1" customWidth="1"/>
    <col min="753" max="753" width="42.85546875" bestFit="1" customWidth="1"/>
    <col min="754" max="754" width="23.85546875" bestFit="1" customWidth="1"/>
    <col min="755" max="755" width="15.7109375" bestFit="1" customWidth="1"/>
    <col min="756" max="756" width="20.28515625" bestFit="1" customWidth="1"/>
    <col min="757" max="757" width="15.42578125" bestFit="1" customWidth="1"/>
    <col min="758" max="758" width="19.85546875" bestFit="1" customWidth="1"/>
    <col min="759" max="759" width="28.28515625" bestFit="1" customWidth="1"/>
    <col min="760" max="760" width="36.140625" bestFit="1" customWidth="1"/>
    <col min="761" max="761" width="9.7109375" bestFit="1" customWidth="1"/>
    <col min="762" max="762" width="13.5703125" bestFit="1" customWidth="1"/>
    <col min="763" max="763" width="18.140625" bestFit="1" customWidth="1"/>
    <col min="764" max="764" width="14.28515625" bestFit="1" customWidth="1"/>
    <col min="765" max="765" width="8.28515625" bestFit="1" customWidth="1"/>
    <col min="766" max="766" width="50" bestFit="1" customWidth="1"/>
    <col min="767" max="767" width="21.42578125" bestFit="1" customWidth="1"/>
    <col min="768" max="768" width="18.85546875" bestFit="1" customWidth="1"/>
    <col min="769" max="769" width="29.140625" bestFit="1" customWidth="1"/>
    <col min="770" max="770" width="23" bestFit="1" customWidth="1"/>
    <col min="771" max="771" width="39.28515625" bestFit="1" customWidth="1"/>
    <col min="772" max="772" width="42.140625" bestFit="1" customWidth="1"/>
    <col min="773" max="773" width="7.85546875" bestFit="1" customWidth="1"/>
    <col min="774" max="774" width="24.5703125" bestFit="1" customWidth="1"/>
    <col min="775" max="775" width="27.85546875" bestFit="1" customWidth="1"/>
    <col min="776" max="776" width="47.5703125" bestFit="1" customWidth="1"/>
    <col min="777" max="777" width="8.140625" bestFit="1" customWidth="1"/>
    <col min="778" max="778" width="22" bestFit="1" customWidth="1"/>
    <col min="779" max="779" width="50.7109375" bestFit="1" customWidth="1"/>
    <col min="780" max="780" width="22.42578125" bestFit="1" customWidth="1"/>
    <col min="781" max="781" width="22.140625" bestFit="1" customWidth="1"/>
    <col min="782" max="782" width="45" bestFit="1" customWidth="1"/>
    <col min="783" max="783" width="40" bestFit="1" customWidth="1"/>
    <col min="784" max="784" width="16.7109375" bestFit="1" customWidth="1"/>
    <col min="785" max="785" width="15.42578125" bestFit="1" customWidth="1"/>
    <col min="786" max="786" width="41.7109375" bestFit="1" customWidth="1"/>
    <col min="787" max="787" width="30.7109375" bestFit="1" customWidth="1"/>
    <col min="788" max="788" width="26.28515625" bestFit="1" customWidth="1"/>
    <col min="789" max="789" width="19.42578125" bestFit="1" customWidth="1"/>
    <col min="790" max="790" width="31.140625" bestFit="1" customWidth="1"/>
    <col min="791" max="791" width="17.7109375" bestFit="1" customWidth="1"/>
    <col min="792" max="792" width="21.85546875" bestFit="1" customWidth="1"/>
    <col min="793" max="793" width="42.5703125" bestFit="1" customWidth="1"/>
    <col min="794" max="794" width="28.140625" bestFit="1" customWidth="1"/>
    <col min="795" max="795" width="21.7109375" bestFit="1" customWidth="1"/>
    <col min="796" max="796" width="34.28515625" bestFit="1" customWidth="1"/>
    <col min="797" max="797" width="40.140625" bestFit="1" customWidth="1"/>
    <col min="798" max="798" width="28.85546875" bestFit="1" customWidth="1"/>
    <col min="799" max="799" width="54.140625" bestFit="1" customWidth="1"/>
    <col min="800" max="800" width="18.85546875" bestFit="1" customWidth="1"/>
    <col min="801" max="801" width="31.85546875" bestFit="1" customWidth="1"/>
    <col min="802" max="802" width="22.85546875" bestFit="1" customWidth="1"/>
    <col min="803" max="803" width="23.42578125" bestFit="1" customWidth="1"/>
    <col min="804" max="804" width="23.28515625" bestFit="1" customWidth="1"/>
    <col min="805" max="805" width="27.140625" bestFit="1" customWidth="1"/>
    <col min="806" max="806" width="17" bestFit="1" customWidth="1"/>
    <col min="807" max="807" width="18.7109375" bestFit="1" customWidth="1"/>
    <col min="808" max="808" width="48.42578125" bestFit="1" customWidth="1"/>
    <col min="809" max="809" width="37" bestFit="1" customWidth="1"/>
    <col min="810" max="810" width="27.42578125" bestFit="1" customWidth="1"/>
    <col min="811" max="811" width="25" bestFit="1" customWidth="1"/>
    <col min="812" max="812" width="34.85546875" bestFit="1" customWidth="1"/>
    <col min="813" max="813" width="25.7109375" bestFit="1" customWidth="1"/>
    <col min="814" max="814" width="19" bestFit="1" customWidth="1"/>
    <col min="815" max="815" width="15.85546875" bestFit="1" customWidth="1"/>
    <col min="816" max="816" width="48.140625" bestFit="1" customWidth="1"/>
    <col min="817" max="817" width="21.140625" bestFit="1" customWidth="1"/>
    <col min="818" max="818" width="14" bestFit="1" customWidth="1"/>
    <col min="819" max="819" width="20.28515625" bestFit="1" customWidth="1"/>
    <col min="820" max="820" width="26.140625" bestFit="1" customWidth="1"/>
    <col min="821" max="821" width="24.5703125" bestFit="1" customWidth="1"/>
    <col min="822" max="822" width="12.5703125" bestFit="1" customWidth="1"/>
    <col min="823" max="823" width="6" bestFit="1" customWidth="1"/>
    <col min="824" max="824" width="18.28515625" bestFit="1" customWidth="1"/>
    <col min="825" max="825" width="22.42578125" bestFit="1" customWidth="1"/>
    <col min="826" max="826" width="33.140625" bestFit="1" customWidth="1"/>
    <col min="827" max="827" width="19.7109375" bestFit="1" customWidth="1"/>
    <col min="828" max="828" width="30.7109375" bestFit="1" customWidth="1"/>
    <col min="829" max="829" width="15" bestFit="1" customWidth="1"/>
    <col min="830" max="830" width="7.28515625" bestFit="1" customWidth="1"/>
    <col min="831" max="831" width="23.42578125" bestFit="1" customWidth="1"/>
    <col min="832" max="832" width="38" bestFit="1" customWidth="1"/>
    <col min="833" max="833" width="41.140625" bestFit="1" customWidth="1"/>
    <col min="834" max="834" width="35.5703125" bestFit="1" customWidth="1"/>
    <col min="835" max="835" width="34.7109375" bestFit="1" customWidth="1"/>
    <col min="836" max="836" width="47.7109375" bestFit="1" customWidth="1"/>
    <col min="837" max="837" width="20.42578125" bestFit="1" customWidth="1"/>
    <col min="838" max="838" width="44.42578125" bestFit="1" customWidth="1"/>
    <col min="839" max="839" width="18.85546875" bestFit="1" customWidth="1"/>
    <col min="840" max="840" width="52" bestFit="1" customWidth="1"/>
    <col min="841" max="841" width="24.7109375" bestFit="1" customWidth="1"/>
    <col min="842" max="842" width="15.42578125" bestFit="1" customWidth="1"/>
    <col min="843" max="843" width="22.28515625" bestFit="1" customWidth="1"/>
    <col min="844" max="844" width="23.42578125" bestFit="1" customWidth="1"/>
    <col min="845" max="845" width="29.140625" bestFit="1" customWidth="1"/>
    <col min="846" max="846" width="29.42578125" bestFit="1" customWidth="1"/>
    <col min="847" max="847" width="20.28515625" bestFit="1" customWidth="1"/>
    <col min="848" max="848" width="31" bestFit="1" customWidth="1"/>
    <col min="849" max="849" width="29.28515625" bestFit="1" customWidth="1"/>
    <col min="850" max="850" width="10.5703125" bestFit="1" customWidth="1"/>
    <col min="851" max="851" width="35.140625" bestFit="1" customWidth="1"/>
    <col min="852" max="852" width="37.28515625" bestFit="1" customWidth="1"/>
    <col min="853" max="853" width="14" bestFit="1" customWidth="1"/>
    <col min="854" max="854" width="9.85546875" bestFit="1" customWidth="1"/>
    <col min="855" max="855" width="20" bestFit="1" customWidth="1"/>
    <col min="856" max="856" width="19.7109375" bestFit="1" customWidth="1"/>
    <col min="857" max="857" width="25.7109375" bestFit="1" customWidth="1"/>
    <col min="858" max="858" width="18.42578125" bestFit="1" customWidth="1"/>
    <col min="859" max="859" width="11.5703125" bestFit="1" customWidth="1"/>
    <col min="860" max="860" width="13.28515625" bestFit="1" customWidth="1"/>
    <col min="861" max="861" width="7.5703125" bestFit="1" customWidth="1"/>
    <col min="862" max="862" width="40.7109375" bestFit="1" customWidth="1"/>
    <col min="863" max="863" width="46.42578125" bestFit="1" customWidth="1"/>
    <col min="864" max="864" width="17.85546875" bestFit="1" customWidth="1"/>
    <col min="865" max="865" width="19.85546875" bestFit="1" customWidth="1"/>
    <col min="866" max="867" width="17.28515625" bestFit="1" customWidth="1"/>
    <col min="868" max="868" width="28.5703125" bestFit="1" customWidth="1"/>
    <col min="869" max="869" width="35.42578125" bestFit="1" customWidth="1"/>
    <col min="870" max="870" width="23" bestFit="1" customWidth="1"/>
    <col min="871" max="871" width="21.85546875" bestFit="1" customWidth="1"/>
    <col min="872" max="872" width="30.28515625" bestFit="1" customWidth="1"/>
    <col min="873" max="873" width="24.28515625" bestFit="1" customWidth="1"/>
    <col min="874" max="874" width="22.7109375" bestFit="1" customWidth="1"/>
    <col min="875" max="875" width="47.28515625" bestFit="1" customWidth="1"/>
    <col min="876" max="876" width="19.7109375" bestFit="1" customWidth="1"/>
    <col min="877" max="877" width="33.42578125" bestFit="1" customWidth="1"/>
    <col min="878" max="878" width="25.140625" bestFit="1" customWidth="1"/>
    <col min="879" max="879" width="24.28515625" bestFit="1" customWidth="1"/>
    <col min="880" max="880" width="23.5703125" bestFit="1" customWidth="1"/>
    <col min="881" max="881" width="26.7109375" bestFit="1" customWidth="1"/>
    <col min="882" max="882" width="25.28515625" bestFit="1" customWidth="1"/>
    <col min="883" max="883" width="17.28515625" bestFit="1" customWidth="1"/>
    <col min="884" max="884" width="14.7109375" bestFit="1" customWidth="1"/>
    <col min="885" max="885" width="7.28515625" bestFit="1" customWidth="1"/>
    <col min="886" max="886" width="28.42578125" bestFit="1" customWidth="1"/>
    <col min="887" max="887" width="44.85546875" bestFit="1" customWidth="1"/>
    <col min="888" max="888" width="34.85546875" bestFit="1" customWidth="1"/>
    <col min="889" max="889" width="21.85546875" bestFit="1" customWidth="1"/>
    <col min="890" max="890" width="10.140625" bestFit="1" customWidth="1"/>
    <col min="891" max="891" width="16" bestFit="1" customWidth="1"/>
    <col min="892" max="892" width="36.28515625" bestFit="1" customWidth="1"/>
    <col min="893" max="893" width="9.7109375" bestFit="1" customWidth="1"/>
    <col min="894" max="894" width="17.28515625" bestFit="1" customWidth="1"/>
    <col min="895" max="895" width="38.85546875" bestFit="1" customWidth="1"/>
    <col min="896" max="896" width="19.140625" bestFit="1" customWidth="1"/>
    <col min="897" max="897" width="13.85546875" bestFit="1" customWidth="1"/>
    <col min="898" max="898" width="15.85546875" bestFit="1" customWidth="1"/>
    <col min="899" max="899" width="32.140625" bestFit="1" customWidth="1"/>
    <col min="900" max="900" width="27.28515625" bestFit="1" customWidth="1"/>
    <col min="901" max="901" width="44.85546875" bestFit="1" customWidth="1"/>
    <col min="902" max="902" width="29" bestFit="1" customWidth="1"/>
    <col min="903" max="903" width="12" bestFit="1" customWidth="1"/>
    <col min="904" max="904" width="40.42578125" bestFit="1" customWidth="1"/>
    <col min="905" max="905" width="37.28515625" bestFit="1" customWidth="1"/>
    <col min="906" max="906" width="12.5703125" bestFit="1" customWidth="1"/>
    <col min="907" max="907" width="14.28515625" bestFit="1" customWidth="1"/>
    <col min="908" max="908" width="14.85546875" bestFit="1" customWidth="1"/>
    <col min="909" max="909" width="20.28515625" bestFit="1" customWidth="1"/>
    <col min="910" max="910" width="44.5703125" bestFit="1" customWidth="1"/>
    <col min="911" max="911" width="19.5703125" bestFit="1" customWidth="1"/>
    <col min="912" max="912" width="32" bestFit="1" customWidth="1"/>
    <col min="913" max="913" width="28.28515625" bestFit="1" customWidth="1"/>
    <col min="914" max="914" width="22.140625" bestFit="1" customWidth="1"/>
    <col min="915" max="915" width="14.5703125" bestFit="1" customWidth="1"/>
    <col min="916" max="916" width="13.42578125" bestFit="1" customWidth="1"/>
    <col min="917" max="917" width="28.85546875" bestFit="1" customWidth="1"/>
    <col min="918" max="918" width="19.85546875" bestFit="1" customWidth="1"/>
    <col min="919" max="919" width="36.28515625" bestFit="1" customWidth="1"/>
    <col min="920" max="920" width="23" bestFit="1" customWidth="1"/>
    <col min="921" max="921" width="20" bestFit="1" customWidth="1"/>
    <col min="922" max="922" width="15.5703125" bestFit="1" customWidth="1"/>
    <col min="923" max="923" width="51.140625" bestFit="1" customWidth="1"/>
    <col min="924" max="924" width="21" bestFit="1" customWidth="1"/>
    <col min="925" max="925" width="6.5703125" bestFit="1" customWidth="1"/>
    <col min="926" max="926" width="15" bestFit="1" customWidth="1"/>
    <col min="927" max="927" width="44.85546875" bestFit="1" customWidth="1"/>
    <col min="928" max="928" width="6" bestFit="1" customWidth="1"/>
    <col min="929" max="929" width="19.5703125" bestFit="1" customWidth="1"/>
    <col min="930" max="930" width="24.140625" bestFit="1" customWidth="1"/>
    <col min="931" max="931" width="42.5703125" bestFit="1" customWidth="1"/>
    <col min="932" max="932" width="34.140625" bestFit="1" customWidth="1"/>
    <col min="933" max="933" width="17" bestFit="1" customWidth="1"/>
    <col min="934" max="934" width="34.7109375" bestFit="1" customWidth="1"/>
    <col min="935" max="935" width="46.5703125" bestFit="1" customWidth="1"/>
    <col min="936" max="936" width="35.140625" bestFit="1" customWidth="1"/>
    <col min="937" max="937" width="16.140625" bestFit="1" customWidth="1"/>
    <col min="938" max="938" width="23.5703125" bestFit="1" customWidth="1"/>
    <col min="939" max="939" width="24.140625" bestFit="1" customWidth="1"/>
    <col min="940" max="940" width="22.7109375" bestFit="1" customWidth="1"/>
    <col min="941" max="941" width="26.140625" bestFit="1" customWidth="1"/>
    <col min="942" max="942" width="18.28515625" bestFit="1" customWidth="1"/>
    <col min="943" max="943" width="19.7109375" bestFit="1" customWidth="1"/>
    <col min="944" max="944" width="7.28515625" bestFit="1" customWidth="1"/>
    <col min="945" max="945" width="48" bestFit="1" customWidth="1"/>
    <col min="946" max="946" width="46" bestFit="1" customWidth="1"/>
    <col min="947" max="947" width="33.5703125" bestFit="1" customWidth="1"/>
    <col min="948" max="948" width="31.28515625" bestFit="1" customWidth="1"/>
    <col min="949" max="949" width="28.7109375" bestFit="1" customWidth="1"/>
    <col min="950" max="950" width="21.7109375" bestFit="1" customWidth="1"/>
    <col min="951" max="951" width="14.7109375" bestFit="1" customWidth="1"/>
    <col min="952" max="952" width="9.7109375" bestFit="1" customWidth="1"/>
    <col min="953" max="953" width="14.7109375" bestFit="1" customWidth="1"/>
    <col min="954" max="954" width="16.7109375" bestFit="1" customWidth="1"/>
    <col min="955" max="955" width="24.42578125" bestFit="1" customWidth="1"/>
    <col min="956" max="956" width="35.7109375" bestFit="1" customWidth="1"/>
    <col min="957" max="957" width="30.28515625" bestFit="1" customWidth="1"/>
    <col min="958" max="958" width="21.140625" bestFit="1" customWidth="1"/>
    <col min="959" max="959" width="17.28515625" bestFit="1" customWidth="1"/>
    <col min="960" max="960" width="32.42578125" bestFit="1" customWidth="1"/>
    <col min="961" max="961" width="17.7109375" bestFit="1" customWidth="1"/>
    <col min="962" max="962" width="29.42578125" bestFit="1" customWidth="1"/>
    <col min="963" max="963" width="14.42578125" bestFit="1" customWidth="1"/>
    <col min="964" max="964" width="25" bestFit="1" customWidth="1"/>
    <col min="965" max="965" width="12.7109375" bestFit="1" customWidth="1"/>
    <col min="966" max="966" width="40.85546875" bestFit="1" customWidth="1"/>
    <col min="967" max="967" width="21.42578125" bestFit="1" customWidth="1"/>
    <col min="968" max="968" width="28.85546875" bestFit="1" customWidth="1"/>
    <col min="969" max="969" width="18.85546875" bestFit="1" customWidth="1"/>
    <col min="970" max="970" width="19" bestFit="1" customWidth="1"/>
    <col min="971" max="971" width="18.85546875" bestFit="1" customWidth="1"/>
    <col min="972" max="972" width="20.28515625" bestFit="1" customWidth="1"/>
    <col min="973" max="973" width="31.5703125" bestFit="1" customWidth="1"/>
    <col min="974" max="974" width="19.85546875" bestFit="1" customWidth="1"/>
    <col min="975" max="975" width="26.5703125" bestFit="1" customWidth="1"/>
    <col min="976" max="976" width="18" bestFit="1" customWidth="1"/>
    <col min="977" max="977" width="35.7109375" bestFit="1" customWidth="1"/>
    <col min="978" max="978" width="22.7109375" bestFit="1" customWidth="1"/>
    <col min="979" max="979" width="21" bestFit="1" customWidth="1"/>
    <col min="980" max="980" width="29.7109375" bestFit="1" customWidth="1"/>
    <col min="981" max="981" width="30.28515625" bestFit="1" customWidth="1"/>
    <col min="982" max="982" width="25.5703125" bestFit="1" customWidth="1"/>
    <col min="983" max="983" width="13.85546875" bestFit="1" customWidth="1"/>
    <col min="984" max="984" width="32.5703125" bestFit="1" customWidth="1"/>
    <col min="985" max="985" width="23.28515625" bestFit="1" customWidth="1"/>
    <col min="986" max="986" width="21.140625" bestFit="1" customWidth="1"/>
    <col min="987" max="987" width="24" bestFit="1" customWidth="1"/>
    <col min="988" max="988" width="18.28515625" bestFit="1" customWidth="1"/>
    <col min="989" max="989" width="35.28515625" bestFit="1" customWidth="1"/>
    <col min="990" max="990" width="14.140625" bestFit="1" customWidth="1"/>
    <col min="991" max="991" width="9" bestFit="1" customWidth="1"/>
    <col min="992" max="992" width="11.85546875" bestFit="1" customWidth="1"/>
    <col min="993" max="993" width="22.42578125" bestFit="1" customWidth="1"/>
    <col min="994" max="994" width="20.85546875" bestFit="1" customWidth="1"/>
    <col min="995" max="995" width="8.5703125" bestFit="1" customWidth="1"/>
    <col min="996" max="996" width="24.85546875" bestFit="1" customWidth="1"/>
    <col min="997" max="997" width="11.42578125" bestFit="1" customWidth="1"/>
    <col min="998" max="998" width="39.5703125" bestFit="1" customWidth="1"/>
    <col min="999" max="1000" width="23.42578125" bestFit="1" customWidth="1"/>
    <col min="1001" max="1001" width="14.140625" bestFit="1" customWidth="1"/>
    <col min="1002" max="1002" width="16.140625" bestFit="1" customWidth="1"/>
    <col min="1003" max="1003" width="17.28515625" bestFit="1" customWidth="1"/>
    <col min="1004" max="1004" width="16" bestFit="1" customWidth="1"/>
    <col min="1005" max="1005" width="37.140625" bestFit="1" customWidth="1"/>
    <col min="1006" max="1006" width="49.140625" bestFit="1" customWidth="1"/>
    <col min="1007" max="1007" width="17" bestFit="1" customWidth="1"/>
    <col min="1008" max="1008" width="15.140625" bestFit="1" customWidth="1"/>
    <col min="1009" max="1009" width="61" bestFit="1" customWidth="1"/>
    <col min="1010" max="1010" width="24.42578125" bestFit="1" customWidth="1"/>
    <col min="1011" max="1011" width="64" bestFit="1" customWidth="1"/>
    <col min="1012" max="1012" width="15.85546875" bestFit="1" customWidth="1"/>
    <col min="1013" max="1013" width="44.140625" bestFit="1" customWidth="1"/>
    <col min="1014" max="1014" width="12.7109375" bestFit="1" customWidth="1"/>
    <col min="1015" max="1015" width="23.28515625" bestFit="1" customWidth="1"/>
    <col min="1016" max="1016" width="31.28515625" bestFit="1" customWidth="1"/>
    <col min="1017" max="1017" width="21.140625" bestFit="1" customWidth="1"/>
    <col min="1018" max="1018" width="56.140625" bestFit="1" customWidth="1"/>
    <col min="1019" max="1019" width="24.5703125" bestFit="1" customWidth="1"/>
    <col min="1020" max="1020" width="21.28515625" bestFit="1" customWidth="1"/>
    <col min="1021" max="1021" width="18.5703125" bestFit="1" customWidth="1"/>
    <col min="1022" max="1022" width="19.28515625" bestFit="1" customWidth="1"/>
    <col min="1023" max="1023" width="29.42578125" bestFit="1" customWidth="1"/>
    <col min="1024" max="1024" width="18.28515625" bestFit="1" customWidth="1"/>
    <col min="1025" max="1025" width="23.7109375" bestFit="1" customWidth="1"/>
    <col min="1026" max="1026" width="23.42578125" bestFit="1" customWidth="1"/>
    <col min="1027" max="1027" width="10.85546875" bestFit="1" customWidth="1"/>
    <col min="1028" max="1028" width="40.5703125" bestFit="1" customWidth="1"/>
    <col min="1029" max="1029" width="26.140625" bestFit="1" customWidth="1"/>
    <col min="1030" max="1030" width="19.42578125" bestFit="1" customWidth="1"/>
    <col min="1031" max="1032" width="21.140625" bestFit="1" customWidth="1"/>
    <col min="1033" max="1033" width="24.42578125" bestFit="1" customWidth="1"/>
    <col min="1034" max="1034" width="21.28515625" bestFit="1" customWidth="1"/>
    <col min="1035" max="1035" width="19.5703125" bestFit="1" customWidth="1"/>
    <col min="1036" max="1036" width="37.7109375" bestFit="1" customWidth="1"/>
    <col min="1037" max="1037" width="10" bestFit="1" customWidth="1"/>
    <col min="1038" max="1038" width="12.7109375" bestFit="1" customWidth="1"/>
    <col min="1039" max="1039" width="21.7109375" bestFit="1" customWidth="1"/>
    <col min="1040" max="1040" width="24.42578125" bestFit="1" customWidth="1"/>
    <col min="1041" max="1041" width="14.42578125" bestFit="1" customWidth="1"/>
    <col min="1042" max="1042" width="40.5703125" bestFit="1" customWidth="1"/>
    <col min="1043" max="1043" width="20.5703125" bestFit="1" customWidth="1"/>
    <col min="1044" max="1044" width="35.42578125" bestFit="1" customWidth="1"/>
    <col min="1045" max="1045" width="17.85546875" bestFit="1" customWidth="1"/>
    <col min="1046" max="1046" width="21" bestFit="1" customWidth="1"/>
    <col min="1047" max="1047" width="23" bestFit="1" customWidth="1"/>
    <col min="1048" max="1048" width="9.7109375" bestFit="1" customWidth="1"/>
    <col min="1049" max="1049" width="18.85546875" bestFit="1" customWidth="1"/>
    <col min="1050" max="1050" width="15.85546875" bestFit="1" customWidth="1"/>
    <col min="1051" max="1051" width="69.28515625" bestFit="1" customWidth="1"/>
    <col min="1052" max="1052" width="34.140625" bestFit="1" customWidth="1"/>
    <col min="1053" max="1053" width="24.7109375" bestFit="1" customWidth="1"/>
    <col min="1054" max="1054" width="32" bestFit="1" customWidth="1"/>
    <col min="1055" max="1055" width="9.42578125" bestFit="1" customWidth="1"/>
    <col min="1056" max="1056" width="21.140625" bestFit="1" customWidth="1"/>
    <col min="1057" max="1057" width="10.140625" bestFit="1" customWidth="1"/>
    <col min="1058" max="1058" width="22" bestFit="1" customWidth="1"/>
    <col min="1059" max="1059" width="14.140625" bestFit="1" customWidth="1"/>
    <col min="1060" max="1060" width="35" bestFit="1" customWidth="1"/>
    <col min="1061" max="1061" width="24.42578125" bestFit="1" customWidth="1"/>
    <col min="1062" max="1062" width="18.7109375" bestFit="1" customWidth="1"/>
    <col min="1063" max="1063" width="29.42578125" bestFit="1" customWidth="1"/>
    <col min="1064" max="1064" width="19.85546875" bestFit="1" customWidth="1"/>
    <col min="1065" max="1065" width="24.85546875" bestFit="1" customWidth="1"/>
    <col min="1066" max="1066" width="17.85546875" bestFit="1" customWidth="1"/>
    <col min="1067" max="1067" width="30.5703125" bestFit="1" customWidth="1"/>
    <col min="1068" max="1068" width="20" bestFit="1" customWidth="1"/>
    <col min="1069" max="1069" width="29.7109375" bestFit="1" customWidth="1"/>
    <col min="1070" max="1070" width="30.42578125" bestFit="1" customWidth="1"/>
    <col min="1071" max="1071" width="16.42578125" bestFit="1" customWidth="1"/>
    <col min="1072" max="1072" width="37.5703125" bestFit="1" customWidth="1"/>
    <col min="1073" max="1073" width="29.140625" bestFit="1" customWidth="1"/>
    <col min="1074" max="1074" width="24.140625" bestFit="1" customWidth="1"/>
    <col min="1075" max="1075" width="14.42578125" bestFit="1" customWidth="1"/>
    <col min="1076" max="1076" width="17.85546875" bestFit="1" customWidth="1"/>
    <col min="1077" max="1077" width="18.28515625" bestFit="1" customWidth="1"/>
    <col min="1078" max="1078" width="14.85546875" bestFit="1" customWidth="1"/>
    <col min="1079" max="1079" width="41.42578125" bestFit="1" customWidth="1"/>
    <col min="1080" max="1080" width="19.85546875" bestFit="1" customWidth="1"/>
    <col min="1081" max="1081" width="20.85546875" bestFit="1" customWidth="1"/>
    <col min="1082" max="1082" width="10.85546875" bestFit="1" customWidth="1"/>
    <col min="1083" max="1083" width="32.85546875" bestFit="1" customWidth="1"/>
    <col min="1084" max="1084" width="19.7109375" bestFit="1" customWidth="1"/>
    <col min="1085" max="1085" width="9.5703125" bestFit="1" customWidth="1"/>
    <col min="1086" max="1086" width="19.85546875" bestFit="1" customWidth="1"/>
    <col min="1087" max="1087" width="51.85546875" bestFit="1" customWidth="1"/>
    <col min="1088" max="1088" width="19.140625" bestFit="1" customWidth="1"/>
    <col min="1089" max="1089" width="10.7109375" bestFit="1" customWidth="1"/>
    <col min="1090" max="1090" width="38.140625" bestFit="1" customWidth="1"/>
    <col min="1091" max="1091" width="13.28515625" bestFit="1" customWidth="1"/>
    <col min="1092" max="1092" width="15.85546875" bestFit="1" customWidth="1"/>
    <col min="1093" max="1093" width="21.140625" bestFit="1" customWidth="1"/>
    <col min="1094" max="1094" width="18.140625" bestFit="1" customWidth="1"/>
    <col min="1095" max="1095" width="8.85546875" bestFit="1" customWidth="1"/>
    <col min="1096" max="1096" width="18.28515625" bestFit="1" customWidth="1"/>
    <col min="1097" max="1097" width="7.28515625" bestFit="1" customWidth="1"/>
    <col min="1098" max="1098" width="13.28515625" bestFit="1" customWidth="1"/>
    <col min="1099" max="1099" width="25.7109375" bestFit="1" customWidth="1"/>
    <col min="1100" max="1100" width="28.85546875" bestFit="1" customWidth="1"/>
    <col min="1101" max="1101" width="42.140625" bestFit="1" customWidth="1"/>
    <col min="1102" max="1102" width="16.5703125" bestFit="1" customWidth="1"/>
    <col min="1103" max="1103" width="45.28515625" bestFit="1" customWidth="1"/>
    <col min="1104" max="1104" width="18.85546875" bestFit="1" customWidth="1"/>
    <col min="1105" max="1105" width="22.140625" bestFit="1" customWidth="1"/>
    <col min="1106" max="1106" width="34.7109375" bestFit="1" customWidth="1"/>
    <col min="1107" max="1107" width="10.5703125" bestFit="1" customWidth="1"/>
    <col min="1108" max="1108" width="21.7109375" bestFit="1" customWidth="1"/>
    <col min="1109" max="1109" width="31.85546875" bestFit="1" customWidth="1"/>
    <col min="1110" max="1110" width="58.28515625" bestFit="1" customWidth="1"/>
    <col min="1111" max="1111" width="20" bestFit="1" customWidth="1"/>
    <col min="1112" max="1112" width="12.5703125" bestFit="1" customWidth="1"/>
    <col min="1113" max="1113" width="18.42578125" bestFit="1" customWidth="1"/>
    <col min="1114" max="1114" width="20.5703125" bestFit="1" customWidth="1"/>
    <col min="1115" max="1115" width="55.5703125" bestFit="1" customWidth="1"/>
    <col min="1116" max="1116" width="26.42578125" bestFit="1" customWidth="1"/>
    <col min="1117" max="1117" width="61.42578125" bestFit="1" customWidth="1"/>
    <col min="1118" max="1118" width="30.28515625" bestFit="1" customWidth="1"/>
    <col min="1119" max="1119" width="27.28515625" bestFit="1" customWidth="1"/>
    <col min="1120" max="1120" width="22.140625" bestFit="1" customWidth="1"/>
    <col min="1121" max="1121" width="33.140625" bestFit="1" customWidth="1"/>
    <col min="1122" max="1122" width="20.28515625" bestFit="1" customWidth="1"/>
    <col min="1123" max="1123" width="20.7109375" bestFit="1" customWidth="1"/>
    <col min="1124" max="1124" width="16" bestFit="1" customWidth="1"/>
    <col min="1125" max="1125" width="7.28515625" bestFit="1" customWidth="1"/>
    <col min="1126" max="1126" width="33.42578125" bestFit="1" customWidth="1"/>
    <col min="1127" max="1127" width="26.7109375" bestFit="1" customWidth="1"/>
    <col min="1128" max="1128" width="21" bestFit="1" customWidth="1"/>
    <col min="1129" max="1129" width="35.42578125" bestFit="1" customWidth="1"/>
    <col min="1130" max="1130" width="9.7109375" bestFit="1" customWidth="1"/>
    <col min="1131" max="1131" width="24.140625" bestFit="1" customWidth="1"/>
    <col min="1132" max="1132" width="16.7109375" bestFit="1" customWidth="1"/>
    <col min="1133" max="1133" width="9.42578125" bestFit="1" customWidth="1"/>
    <col min="1134" max="1134" width="22" bestFit="1" customWidth="1"/>
    <col min="1135" max="1135" width="27.85546875" bestFit="1" customWidth="1"/>
    <col min="1136" max="1136" width="19.140625" bestFit="1" customWidth="1"/>
    <col min="1137" max="1137" width="18.7109375" bestFit="1" customWidth="1"/>
    <col min="1138" max="1138" width="17.5703125" bestFit="1" customWidth="1"/>
    <col min="1139" max="1139" width="18.5703125" bestFit="1" customWidth="1"/>
    <col min="1140" max="1140" width="13.5703125" bestFit="1" customWidth="1"/>
    <col min="1141" max="1141" width="29.28515625" bestFit="1" customWidth="1"/>
    <col min="1142" max="1142" width="29.7109375" bestFit="1" customWidth="1"/>
    <col min="1143" max="1143" width="24.7109375" bestFit="1" customWidth="1"/>
    <col min="1144" max="1144" width="21.85546875" bestFit="1" customWidth="1"/>
    <col min="1145" max="1145" width="40.28515625" bestFit="1" customWidth="1"/>
    <col min="1146" max="1146" width="33.28515625" bestFit="1" customWidth="1"/>
    <col min="1147" max="1147" width="16.7109375" bestFit="1" customWidth="1"/>
    <col min="1148" max="1148" width="21.42578125" bestFit="1" customWidth="1"/>
    <col min="1149" max="1149" width="14" bestFit="1" customWidth="1"/>
    <col min="1150" max="1150" width="16.85546875" bestFit="1" customWidth="1"/>
    <col min="1151" max="1151" width="22.7109375" bestFit="1" customWidth="1"/>
    <col min="1152" max="1152" width="35.7109375" bestFit="1" customWidth="1"/>
    <col min="1153" max="1153" width="37" bestFit="1" customWidth="1"/>
    <col min="1154" max="1154" width="13.7109375" bestFit="1" customWidth="1"/>
    <col min="1155" max="1155" width="20.85546875" bestFit="1" customWidth="1"/>
    <col min="1156" max="1156" width="32.85546875" bestFit="1" customWidth="1"/>
    <col min="1157" max="1157" width="27.5703125" bestFit="1" customWidth="1"/>
    <col min="1158" max="1158" width="20.85546875" bestFit="1" customWidth="1"/>
    <col min="1159" max="1159" width="23.5703125" bestFit="1" customWidth="1"/>
    <col min="1160" max="1160" width="18.140625" bestFit="1" customWidth="1"/>
    <col min="1161" max="1161" width="13.42578125" bestFit="1" customWidth="1"/>
    <col min="1162" max="1162" width="12.5703125" bestFit="1" customWidth="1"/>
    <col min="1163" max="1163" width="26.5703125" bestFit="1" customWidth="1"/>
    <col min="1164" max="1164" width="32.5703125" bestFit="1" customWidth="1"/>
    <col min="1165" max="1165" width="21.7109375" bestFit="1" customWidth="1"/>
    <col min="1166" max="1166" width="12.42578125" bestFit="1" customWidth="1"/>
    <col min="1167" max="1167" width="24.85546875" bestFit="1" customWidth="1"/>
    <col min="1168" max="1168" width="30" bestFit="1" customWidth="1"/>
    <col min="1169" max="1169" width="23" bestFit="1" customWidth="1"/>
    <col min="1170" max="1170" width="37.5703125" bestFit="1" customWidth="1"/>
    <col min="1171" max="1171" width="45.28515625" bestFit="1" customWidth="1"/>
    <col min="1172" max="1172" width="17.28515625" bestFit="1" customWidth="1"/>
    <col min="1173" max="1173" width="16.7109375" bestFit="1" customWidth="1"/>
    <col min="1174" max="1174" width="27.28515625" bestFit="1" customWidth="1"/>
    <col min="1175" max="1175" width="24.5703125" bestFit="1" customWidth="1"/>
    <col min="1176" max="1176" width="17.5703125" bestFit="1" customWidth="1"/>
    <col min="1177" max="1177" width="18.85546875" bestFit="1" customWidth="1"/>
    <col min="1178" max="1178" width="28" bestFit="1" customWidth="1"/>
    <col min="1179" max="1179" width="13.5703125" bestFit="1" customWidth="1"/>
    <col min="1180" max="1180" width="35.28515625" bestFit="1" customWidth="1"/>
    <col min="1181" max="1181" width="30.140625" bestFit="1" customWidth="1"/>
    <col min="1182" max="1182" width="22.140625" bestFit="1" customWidth="1"/>
    <col min="1183" max="1183" width="20" bestFit="1" customWidth="1"/>
    <col min="1184" max="1184" width="15" bestFit="1" customWidth="1"/>
    <col min="1185" max="1185" width="20.85546875" bestFit="1" customWidth="1"/>
    <col min="1186" max="1186" width="22" bestFit="1" customWidth="1"/>
    <col min="1187" max="1187" width="17.7109375" bestFit="1" customWidth="1"/>
    <col min="1188" max="1188" width="51.42578125" bestFit="1" customWidth="1"/>
    <col min="1189" max="1189" width="34.7109375" bestFit="1" customWidth="1"/>
    <col min="1190" max="1190" width="19.5703125" bestFit="1" customWidth="1"/>
    <col min="1191" max="1191" width="20.140625" bestFit="1" customWidth="1"/>
    <col min="1192" max="1192" width="32.85546875" bestFit="1" customWidth="1"/>
    <col min="1193" max="1193" width="21.42578125" bestFit="1" customWidth="1"/>
    <col min="1194" max="1194" width="37.42578125" bestFit="1" customWidth="1"/>
    <col min="1195" max="1195" width="16.28515625" bestFit="1" customWidth="1"/>
    <col min="1196" max="1196" width="30.85546875" bestFit="1" customWidth="1"/>
    <col min="1197" max="1197" width="13.5703125" bestFit="1" customWidth="1"/>
    <col min="1198" max="1198" width="21.42578125" bestFit="1" customWidth="1"/>
    <col min="1199" max="1199" width="15.7109375" bestFit="1" customWidth="1"/>
    <col min="1200" max="1200" width="20.5703125" bestFit="1" customWidth="1"/>
    <col min="1201" max="1201" width="38.42578125" bestFit="1" customWidth="1"/>
    <col min="1202" max="1202" width="27.28515625" bestFit="1" customWidth="1"/>
    <col min="1203" max="1203" width="10.5703125" bestFit="1" customWidth="1"/>
    <col min="1204" max="1204" width="18.42578125" bestFit="1" customWidth="1"/>
    <col min="1205" max="1205" width="36" bestFit="1" customWidth="1"/>
    <col min="1206" max="1206" width="33.85546875" bestFit="1" customWidth="1"/>
    <col min="1207" max="1207" width="22.42578125" bestFit="1" customWidth="1"/>
    <col min="1208" max="1208" width="24.140625" bestFit="1" customWidth="1"/>
    <col min="1209" max="1209" width="32.42578125" bestFit="1" customWidth="1"/>
    <col min="1210" max="1210" width="15.5703125" bestFit="1" customWidth="1"/>
    <col min="1211" max="1211" width="17.5703125" bestFit="1" customWidth="1"/>
    <col min="1212" max="1212" width="19.42578125" bestFit="1" customWidth="1"/>
    <col min="1213" max="1213" width="7.85546875" bestFit="1" customWidth="1"/>
    <col min="1214" max="1214" width="21.7109375" bestFit="1" customWidth="1"/>
    <col min="1215" max="1215" width="33" bestFit="1" customWidth="1"/>
    <col min="1216" max="1216" width="14.7109375" bestFit="1" customWidth="1"/>
    <col min="1217" max="1217" width="28.85546875" bestFit="1" customWidth="1"/>
    <col min="1218" max="1218" width="16.85546875" bestFit="1" customWidth="1"/>
    <col min="1219" max="1219" width="51.28515625" bestFit="1" customWidth="1"/>
    <col min="1220" max="1220" width="15" bestFit="1" customWidth="1"/>
    <col min="1221" max="1221" width="29.7109375" bestFit="1" customWidth="1"/>
    <col min="1222" max="1222" width="49" bestFit="1" customWidth="1"/>
    <col min="1223" max="1223" width="10.5703125" bestFit="1" customWidth="1"/>
    <col min="1224" max="1224" width="20.5703125" bestFit="1" customWidth="1"/>
    <col min="1225" max="1225" width="45.85546875" bestFit="1" customWidth="1"/>
    <col min="1226" max="1226" width="49.5703125" bestFit="1" customWidth="1"/>
    <col min="1227" max="1227" width="16.28515625" bestFit="1" customWidth="1"/>
    <col min="1228" max="1228" width="25.140625" bestFit="1" customWidth="1"/>
    <col min="1229" max="1229" width="53" bestFit="1" customWidth="1"/>
    <col min="1230" max="1230" width="28.5703125" bestFit="1" customWidth="1"/>
    <col min="1231" max="1231" width="24.7109375" bestFit="1" customWidth="1"/>
    <col min="1232" max="1232" width="15.5703125" bestFit="1" customWidth="1"/>
    <col min="1233" max="1233" width="7.28515625" bestFit="1" customWidth="1"/>
    <col min="1234" max="1234" width="26.28515625" bestFit="1" customWidth="1"/>
    <col min="1235" max="1235" width="12" bestFit="1" customWidth="1"/>
  </cols>
  <sheetData>
    <row r="1" spans="1:2" x14ac:dyDescent="0.25">
      <c r="A1" s="3" t="s">
        <v>16</v>
      </c>
      <c r="B1" t="s">
        <v>29</v>
      </c>
    </row>
    <row r="2" spans="1:2" x14ac:dyDescent="0.25">
      <c r="A2" s="3" t="s">
        <v>0</v>
      </c>
      <c r="B2" t="s">
        <v>6944</v>
      </c>
    </row>
    <row r="3" spans="1:2" x14ac:dyDescent="0.25">
      <c r="A3" s="3" t="s">
        <v>2</v>
      </c>
      <c r="B3" t="s">
        <v>6943</v>
      </c>
    </row>
    <row r="4" spans="1:2" x14ac:dyDescent="0.25">
      <c r="A4" s="3" t="s">
        <v>6935</v>
      </c>
      <c r="B4" t="s">
        <v>6943</v>
      </c>
    </row>
    <row r="5" spans="1:2" x14ac:dyDescent="0.25">
      <c r="A5" s="3" t="s">
        <v>7</v>
      </c>
      <c r="B5" t="s">
        <v>6944</v>
      </c>
    </row>
    <row r="7" spans="1:2" x14ac:dyDescent="0.25">
      <c r="A7" s="3" t="s">
        <v>6941</v>
      </c>
      <c r="B7" t="s">
        <v>6942</v>
      </c>
    </row>
    <row r="8" spans="1:2" x14ac:dyDescent="0.25">
      <c r="A8" s="4" t="s">
        <v>5167</v>
      </c>
      <c r="B8" s="14">
        <v>3688.5122999999999</v>
      </c>
    </row>
    <row r="9" spans="1:2" x14ac:dyDescent="0.25">
      <c r="A9" s="4" t="s">
        <v>25</v>
      </c>
      <c r="B9" s="14">
        <v>5362.5258000000003</v>
      </c>
    </row>
    <row r="10" spans="1:2" x14ac:dyDescent="0.25">
      <c r="A10" s="4" t="s">
        <v>89</v>
      </c>
      <c r="B10" s="14">
        <v>2767.468800000001</v>
      </c>
    </row>
    <row r="11" spans="1:2" x14ac:dyDescent="0.25">
      <c r="A11" s="4" t="s">
        <v>5183</v>
      </c>
      <c r="B11" s="14">
        <v>15307.834900000003</v>
      </c>
    </row>
    <row r="12" spans="1:2" x14ac:dyDescent="0.25">
      <c r="A12" s="4" t="s">
        <v>1372</v>
      </c>
      <c r="B12" s="14">
        <v>24500.198799999998</v>
      </c>
    </row>
    <row r="13" spans="1:2" x14ac:dyDescent="0.25">
      <c r="A13" s="4" t="s">
        <v>1394</v>
      </c>
      <c r="B13" s="14">
        <v>50.288000000000004</v>
      </c>
    </row>
    <row r="14" spans="1:2" x14ac:dyDescent="0.25">
      <c r="A14" s="4" t="s">
        <v>1378</v>
      </c>
      <c r="B14" s="14">
        <v>334.23650000000004</v>
      </c>
    </row>
    <row r="15" spans="1:2" x14ac:dyDescent="0.25">
      <c r="A15" s="4" t="s">
        <v>1361</v>
      </c>
      <c r="B15" s="14">
        <v>2.1356999999999999</v>
      </c>
    </row>
    <row r="16" spans="1:2" x14ac:dyDescent="0.25">
      <c r="A16" s="4" t="s">
        <v>6940</v>
      </c>
      <c r="B16" s="14">
        <v>52013.200799999999</v>
      </c>
    </row>
  </sheetData>
  <sheetProtection algorithmName="SHA-512" hashValue="5avZkfgkpJjQ6zbnjsEegpJoPGbVk/8H/8ZTsoKH8s88VLXayWn+VH8P95tLXGvMlh6njduWrCbq7Dw9h0vGOQ==" saltValue="FybONjc4q5nEJiFbfJENpQ==" spinCount="100000" sheet="1" objects="1" scenarios="1" selectLockedCells="1" pivotTables="0"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D922-EC01-4BEB-95A5-1FCFC2627142}">
  <sheetPr>
    <tabColor theme="8" tint="-0.249977111117893"/>
  </sheetPr>
  <dimension ref="A1:S1501"/>
  <sheetViews>
    <sheetView workbookViewId="0"/>
  </sheetViews>
  <sheetFormatPr defaultRowHeight="15" x14ac:dyDescent="0.25"/>
  <cols>
    <col min="1" max="1" width="10.425781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6935</v>
      </c>
    </row>
    <row r="2" spans="1:19" x14ac:dyDescent="0.25">
      <c r="A2">
        <v>1998</v>
      </c>
      <c r="B2">
        <v>2521</v>
      </c>
      <c r="C2" t="s">
        <v>18</v>
      </c>
      <c r="E2">
        <v>326193</v>
      </c>
      <c r="F2" t="s">
        <v>19</v>
      </c>
      <c r="G2" t="s">
        <v>20</v>
      </c>
      <c r="H2" t="s">
        <v>21</v>
      </c>
      <c r="I2" t="s">
        <v>22</v>
      </c>
      <c r="J2" t="s">
        <v>23</v>
      </c>
      <c r="K2" t="s">
        <v>24</v>
      </c>
      <c r="L2" t="s">
        <v>25</v>
      </c>
      <c r="M2" t="s">
        <v>26</v>
      </c>
      <c r="N2" t="s">
        <v>27</v>
      </c>
      <c r="O2" t="s">
        <v>28</v>
      </c>
      <c r="P2">
        <v>127.22</v>
      </c>
      <c r="Q2" t="s">
        <v>29</v>
      </c>
      <c r="R2" t="s">
        <v>30</v>
      </c>
      <c r="S2" t="s">
        <v>6936</v>
      </c>
    </row>
    <row r="3" spans="1:19" x14ac:dyDescent="0.25">
      <c r="A3">
        <v>2015</v>
      </c>
      <c r="B3">
        <v>4748</v>
      </c>
      <c r="C3" t="s">
        <v>31</v>
      </c>
      <c r="D3" t="s">
        <v>32</v>
      </c>
      <c r="E3">
        <v>331523</v>
      </c>
      <c r="F3" t="s">
        <v>33</v>
      </c>
      <c r="G3" t="s">
        <v>34</v>
      </c>
      <c r="H3" t="s">
        <v>21</v>
      </c>
      <c r="I3" t="s">
        <v>35</v>
      </c>
      <c r="J3" t="s">
        <v>36</v>
      </c>
      <c r="K3" t="s">
        <v>37</v>
      </c>
      <c r="L3" t="s">
        <v>25</v>
      </c>
      <c r="M3" t="s">
        <v>26</v>
      </c>
      <c r="N3" t="s">
        <v>38</v>
      </c>
      <c r="O3" t="s">
        <v>39</v>
      </c>
      <c r="P3">
        <v>2528.6999999999998</v>
      </c>
      <c r="Q3" t="s">
        <v>40</v>
      </c>
      <c r="R3" t="s">
        <v>30</v>
      </c>
      <c r="S3" t="s">
        <v>6936</v>
      </c>
    </row>
    <row r="4" spans="1:19" x14ac:dyDescent="0.25">
      <c r="A4">
        <v>2016</v>
      </c>
      <c r="B4">
        <v>397</v>
      </c>
      <c r="C4" t="s">
        <v>41</v>
      </c>
      <c r="D4" t="s">
        <v>42</v>
      </c>
      <c r="E4">
        <v>336110</v>
      </c>
      <c r="F4" t="s">
        <v>43</v>
      </c>
      <c r="G4" t="s">
        <v>44</v>
      </c>
      <c r="H4" t="s">
        <v>21</v>
      </c>
      <c r="I4" t="s">
        <v>45</v>
      </c>
      <c r="J4" t="s">
        <v>46</v>
      </c>
      <c r="K4" t="s">
        <v>47</v>
      </c>
      <c r="L4" t="s">
        <v>25</v>
      </c>
      <c r="M4" t="s">
        <v>26</v>
      </c>
      <c r="N4" t="s">
        <v>48</v>
      </c>
      <c r="O4" t="s">
        <v>49</v>
      </c>
      <c r="P4">
        <v>6.3019999999999996</v>
      </c>
      <c r="Q4" t="s">
        <v>29</v>
      </c>
      <c r="R4" t="s">
        <v>50</v>
      </c>
      <c r="S4" t="s">
        <v>6936</v>
      </c>
    </row>
    <row r="5" spans="1:19" x14ac:dyDescent="0.25">
      <c r="A5">
        <v>2001</v>
      </c>
      <c r="B5">
        <v>5392</v>
      </c>
      <c r="C5" t="s">
        <v>51</v>
      </c>
      <c r="E5">
        <v>562210</v>
      </c>
      <c r="F5" t="s">
        <v>52</v>
      </c>
      <c r="G5" t="s">
        <v>53</v>
      </c>
      <c r="H5" t="s">
        <v>54</v>
      </c>
      <c r="I5" t="s">
        <v>55</v>
      </c>
      <c r="J5" t="s">
        <v>56</v>
      </c>
      <c r="K5" t="s">
        <v>57</v>
      </c>
      <c r="L5" t="s">
        <v>25</v>
      </c>
      <c r="M5" t="s">
        <v>26</v>
      </c>
      <c r="N5" t="s">
        <v>48</v>
      </c>
      <c r="O5" t="s">
        <v>49</v>
      </c>
      <c r="P5">
        <v>14.43</v>
      </c>
      <c r="Q5" t="s">
        <v>29</v>
      </c>
      <c r="R5" t="s">
        <v>30</v>
      </c>
      <c r="S5" t="s">
        <v>6936</v>
      </c>
    </row>
    <row r="6" spans="1:19" x14ac:dyDescent="0.25">
      <c r="A6">
        <v>1999</v>
      </c>
      <c r="B6">
        <v>5672</v>
      </c>
      <c r="C6" t="s">
        <v>58</v>
      </c>
      <c r="D6" t="s">
        <v>59</v>
      </c>
      <c r="E6">
        <v>336390</v>
      </c>
      <c r="F6" t="s">
        <v>60</v>
      </c>
      <c r="G6" t="s">
        <v>61</v>
      </c>
      <c r="H6" t="s">
        <v>21</v>
      </c>
      <c r="I6" t="s">
        <v>62</v>
      </c>
      <c r="J6" t="s">
        <v>63</v>
      </c>
      <c r="K6" t="s">
        <v>64</v>
      </c>
      <c r="L6" t="s">
        <v>25</v>
      </c>
      <c r="M6" t="s">
        <v>26</v>
      </c>
      <c r="N6" t="s">
        <v>38</v>
      </c>
      <c r="O6" t="s">
        <v>39</v>
      </c>
      <c r="P6">
        <v>143</v>
      </c>
      <c r="Q6" t="s">
        <v>29</v>
      </c>
      <c r="R6" t="s">
        <v>30</v>
      </c>
      <c r="S6" t="s">
        <v>6936</v>
      </c>
    </row>
    <row r="7" spans="1:19" x14ac:dyDescent="0.25">
      <c r="A7">
        <v>2011</v>
      </c>
      <c r="B7">
        <v>21585</v>
      </c>
      <c r="C7" t="s">
        <v>65</v>
      </c>
      <c r="D7" t="s">
        <v>66</v>
      </c>
      <c r="E7">
        <v>562110</v>
      </c>
      <c r="F7" t="s">
        <v>67</v>
      </c>
      <c r="G7" t="s">
        <v>68</v>
      </c>
      <c r="H7" t="s">
        <v>69</v>
      </c>
      <c r="I7" t="s">
        <v>70</v>
      </c>
      <c r="J7" t="s">
        <v>71</v>
      </c>
      <c r="K7" t="s">
        <v>72</v>
      </c>
      <c r="L7" t="s">
        <v>25</v>
      </c>
      <c r="M7" t="s">
        <v>26</v>
      </c>
      <c r="N7" t="s">
        <v>73</v>
      </c>
      <c r="O7" t="s">
        <v>74</v>
      </c>
      <c r="P7">
        <v>25.236000000000001</v>
      </c>
      <c r="Q7" t="s">
        <v>29</v>
      </c>
      <c r="R7" t="s">
        <v>50</v>
      </c>
      <c r="S7" t="s">
        <v>6936</v>
      </c>
    </row>
    <row r="8" spans="1:19" x14ac:dyDescent="0.25">
      <c r="A8">
        <v>2006</v>
      </c>
      <c r="B8">
        <v>1263</v>
      </c>
      <c r="C8" t="s">
        <v>75</v>
      </c>
      <c r="D8" t="s">
        <v>76</v>
      </c>
      <c r="E8">
        <v>326111</v>
      </c>
      <c r="F8" t="s">
        <v>77</v>
      </c>
      <c r="G8" t="s">
        <v>78</v>
      </c>
      <c r="H8" t="s">
        <v>79</v>
      </c>
      <c r="I8" t="s">
        <v>80</v>
      </c>
      <c r="J8" t="s">
        <v>81</v>
      </c>
      <c r="K8" t="s">
        <v>82</v>
      </c>
      <c r="L8" t="s">
        <v>25</v>
      </c>
      <c r="M8" t="s">
        <v>26</v>
      </c>
      <c r="N8" t="s">
        <v>27</v>
      </c>
      <c r="O8" t="s">
        <v>28</v>
      </c>
      <c r="P8">
        <v>0.59</v>
      </c>
      <c r="Q8" t="s">
        <v>29</v>
      </c>
      <c r="R8" t="s">
        <v>50</v>
      </c>
      <c r="S8" t="s">
        <v>6936</v>
      </c>
    </row>
    <row r="9" spans="1:19" x14ac:dyDescent="0.25">
      <c r="A9">
        <v>2020</v>
      </c>
      <c r="B9">
        <v>19114</v>
      </c>
      <c r="C9" t="s">
        <v>83</v>
      </c>
      <c r="D9" t="s">
        <v>83</v>
      </c>
      <c r="E9">
        <v>562210</v>
      </c>
      <c r="F9" t="s">
        <v>84</v>
      </c>
      <c r="G9" t="s">
        <v>53</v>
      </c>
      <c r="H9" t="s">
        <v>85</v>
      </c>
      <c r="I9" t="s">
        <v>86</v>
      </c>
      <c r="J9" t="s">
        <v>87</v>
      </c>
      <c r="K9" t="s">
        <v>88</v>
      </c>
      <c r="L9" t="s">
        <v>89</v>
      </c>
      <c r="M9" t="s">
        <v>90</v>
      </c>
      <c r="N9" t="s">
        <v>91</v>
      </c>
      <c r="O9" t="s">
        <v>92</v>
      </c>
      <c r="P9">
        <v>1.369</v>
      </c>
      <c r="Q9" t="s">
        <v>29</v>
      </c>
      <c r="R9" t="s">
        <v>50</v>
      </c>
      <c r="S9" t="s">
        <v>6936</v>
      </c>
    </row>
    <row r="10" spans="1:19" x14ac:dyDescent="0.25">
      <c r="A10">
        <v>2006</v>
      </c>
      <c r="B10">
        <v>2776</v>
      </c>
      <c r="C10" t="s">
        <v>93</v>
      </c>
      <c r="D10" t="s">
        <v>94</v>
      </c>
      <c r="E10">
        <v>324110</v>
      </c>
      <c r="F10" t="s">
        <v>95</v>
      </c>
      <c r="G10" t="s">
        <v>96</v>
      </c>
      <c r="H10" t="s">
        <v>69</v>
      </c>
      <c r="I10" t="s">
        <v>97</v>
      </c>
      <c r="J10" t="s">
        <v>98</v>
      </c>
      <c r="K10" t="s">
        <v>99</v>
      </c>
      <c r="L10" t="s">
        <v>89</v>
      </c>
      <c r="M10" t="s">
        <v>90</v>
      </c>
      <c r="N10" t="s">
        <v>100</v>
      </c>
      <c r="O10" t="s">
        <v>101</v>
      </c>
      <c r="P10">
        <v>0.84799999999999998</v>
      </c>
      <c r="Q10" t="s">
        <v>29</v>
      </c>
      <c r="R10" t="s">
        <v>30</v>
      </c>
      <c r="S10" t="s">
        <v>6936</v>
      </c>
    </row>
    <row r="11" spans="1:19" x14ac:dyDescent="0.25">
      <c r="A11">
        <v>2007</v>
      </c>
      <c r="B11">
        <v>8661</v>
      </c>
      <c r="C11" t="s">
        <v>102</v>
      </c>
      <c r="D11" t="s">
        <v>103</v>
      </c>
      <c r="E11">
        <v>562990</v>
      </c>
      <c r="F11" t="s">
        <v>104</v>
      </c>
      <c r="G11" t="s">
        <v>105</v>
      </c>
      <c r="H11" t="s">
        <v>79</v>
      </c>
      <c r="I11" t="s">
        <v>106</v>
      </c>
      <c r="J11" t="s">
        <v>107</v>
      </c>
      <c r="K11" t="s">
        <v>108</v>
      </c>
      <c r="L11" t="s">
        <v>25</v>
      </c>
      <c r="M11" t="s">
        <v>26</v>
      </c>
      <c r="N11" t="s">
        <v>38</v>
      </c>
      <c r="O11" t="s">
        <v>39</v>
      </c>
      <c r="P11">
        <v>0</v>
      </c>
      <c r="Q11" t="s">
        <v>40</v>
      </c>
      <c r="R11" t="s">
        <v>30</v>
      </c>
      <c r="S11" t="s">
        <v>6936</v>
      </c>
    </row>
    <row r="12" spans="1:19" x14ac:dyDescent="0.25">
      <c r="A12">
        <v>2014</v>
      </c>
      <c r="B12">
        <v>10082</v>
      </c>
      <c r="C12" t="s">
        <v>109</v>
      </c>
      <c r="D12" t="s">
        <v>110</v>
      </c>
      <c r="E12">
        <v>325510</v>
      </c>
      <c r="F12" t="s">
        <v>111</v>
      </c>
      <c r="G12" t="s">
        <v>112</v>
      </c>
      <c r="H12" t="s">
        <v>21</v>
      </c>
      <c r="I12" t="s">
        <v>22</v>
      </c>
      <c r="J12" t="s">
        <v>23</v>
      </c>
      <c r="K12" t="s">
        <v>24</v>
      </c>
      <c r="L12" t="s">
        <v>25</v>
      </c>
      <c r="M12" t="s">
        <v>26</v>
      </c>
      <c r="N12" t="s">
        <v>27</v>
      </c>
      <c r="O12" t="s">
        <v>28</v>
      </c>
      <c r="P12">
        <v>2.2963</v>
      </c>
      <c r="Q12" t="s">
        <v>29</v>
      </c>
      <c r="R12" t="s">
        <v>50</v>
      </c>
      <c r="S12" t="s">
        <v>6936</v>
      </c>
    </row>
    <row r="13" spans="1:19" x14ac:dyDescent="0.25">
      <c r="A13">
        <v>2016</v>
      </c>
      <c r="B13">
        <v>4797</v>
      </c>
      <c r="C13" t="s">
        <v>113</v>
      </c>
      <c r="D13" t="s">
        <v>114</v>
      </c>
      <c r="E13">
        <v>332113</v>
      </c>
      <c r="F13" t="s">
        <v>115</v>
      </c>
      <c r="G13" t="s">
        <v>116</v>
      </c>
      <c r="H13" t="s">
        <v>79</v>
      </c>
      <c r="I13" t="s">
        <v>117</v>
      </c>
      <c r="J13" t="s">
        <v>118</v>
      </c>
      <c r="K13" t="s">
        <v>119</v>
      </c>
      <c r="L13" t="s">
        <v>89</v>
      </c>
      <c r="M13" t="s">
        <v>90</v>
      </c>
      <c r="N13" t="s">
        <v>120</v>
      </c>
      <c r="O13" t="s">
        <v>121</v>
      </c>
      <c r="P13">
        <v>3.31</v>
      </c>
      <c r="Q13" t="s">
        <v>29</v>
      </c>
      <c r="R13" t="s">
        <v>30</v>
      </c>
      <c r="S13" t="s">
        <v>6936</v>
      </c>
    </row>
    <row r="14" spans="1:19" x14ac:dyDescent="0.25">
      <c r="A14">
        <v>2007</v>
      </c>
      <c r="B14">
        <v>4627</v>
      </c>
      <c r="C14" t="s">
        <v>122</v>
      </c>
      <c r="D14" t="s">
        <v>123</v>
      </c>
      <c r="E14">
        <v>562210</v>
      </c>
      <c r="F14" t="s">
        <v>52</v>
      </c>
      <c r="G14" t="s">
        <v>53</v>
      </c>
      <c r="H14" t="s">
        <v>21</v>
      </c>
      <c r="I14" t="s">
        <v>70</v>
      </c>
      <c r="J14" t="s">
        <v>71</v>
      </c>
      <c r="K14" t="s">
        <v>72</v>
      </c>
      <c r="L14" t="s">
        <v>89</v>
      </c>
      <c r="M14" t="s">
        <v>90</v>
      </c>
      <c r="N14" t="s">
        <v>91</v>
      </c>
      <c r="O14" t="s">
        <v>92</v>
      </c>
      <c r="P14">
        <v>1.95</v>
      </c>
      <c r="Q14" t="s">
        <v>29</v>
      </c>
      <c r="R14" t="s">
        <v>124</v>
      </c>
      <c r="S14" t="s">
        <v>6936</v>
      </c>
    </row>
    <row r="15" spans="1:19" x14ac:dyDescent="0.25">
      <c r="A15">
        <v>2016</v>
      </c>
      <c r="B15">
        <v>10238</v>
      </c>
      <c r="C15" t="s">
        <v>125</v>
      </c>
      <c r="D15" t="s">
        <v>126</v>
      </c>
      <c r="E15">
        <v>412110</v>
      </c>
      <c r="F15" t="s">
        <v>127</v>
      </c>
      <c r="G15" t="s">
        <v>128</v>
      </c>
      <c r="H15" t="s">
        <v>69</v>
      </c>
      <c r="I15" t="s">
        <v>129</v>
      </c>
      <c r="J15" t="s">
        <v>130</v>
      </c>
      <c r="K15" t="s">
        <v>131</v>
      </c>
      <c r="L15" t="s">
        <v>89</v>
      </c>
      <c r="M15" t="s">
        <v>90</v>
      </c>
      <c r="N15" t="s">
        <v>120</v>
      </c>
      <c r="O15" t="s">
        <v>121</v>
      </c>
      <c r="P15">
        <v>4.1000000000000003E-3</v>
      </c>
      <c r="Q15" t="s">
        <v>29</v>
      </c>
      <c r="R15" t="s">
        <v>30</v>
      </c>
      <c r="S15" t="s">
        <v>6936</v>
      </c>
    </row>
    <row r="16" spans="1:19" x14ac:dyDescent="0.25">
      <c r="A16">
        <v>2002</v>
      </c>
      <c r="B16">
        <v>2282</v>
      </c>
      <c r="C16" t="s">
        <v>132</v>
      </c>
      <c r="D16" t="s">
        <v>133</v>
      </c>
      <c r="E16">
        <v>221112</v>
      </c>
      <c r="F16" t="s">
        <v>134</v>
      </c>
      <c r="G16" t="s">
        <v>135</v>
      </c>
      <c r="H16" t="s">
        <v>85</v>
      </c>
      <c r="I16" t="s">
        <v>136</v>
      </c>
      <c r="J16" t="s">
        <v>137</v>
      </c>
      <c r="K16" t="s">
        <v>138</v>
      </c>
      <c r="L16" t="s">
        <v>25</v>
      </c>
      <c r="M16" t="s">
        <v>26</v>
      </c>
      <c r="N16" t="s">
        <v>139</v>
      </c>
      <c r="O16" t="s">
        <v>140</v>
      </c>
      <c r="P16">
        <v>45.404000000000003</v>
      </c>
      <c r="Q16" t="s">
        <v>29</v>
      </c>
      <c r="R16" t="s">
        <v>30</v>
      </c>
      <c r="S16" t="s">
        <v>6936</v>
      </c>
    </row>
    <row r="17" spans="1:19" x14ac:dyDescent="0.25">
      <c r="A17">
        <v>2007</v>
      </c>
      <c r="B17">
        <v>814</v>
      </c>
      <c r="C17" t="s">
        <v>141</v>
      </c>
      <c r="D17" t="s">
        <v>142</v>
      </c>
      <c r="E17">
        <v>325510</v>
      </c>
      <c r="F17" t="s">
        <v>143</v>
      </c>
      <c r="G17" t="s">
        <v>112</v>
      </c>
      <c r="H17" t="s">
        <v>21</v>
      </c>
      <c r="I17" t="s">
        <v>22</v>
      </c>
      <c r="J17" t="s">
        <v>23</v>
      </c>
      <c r="K17" t="s">
        <v>24</v>
      </c>
      <c r="L17" t="s">
        <v>89</v>
      </c>
      <c r="M17" t="s">
        <v>90</v>
      </c>
      <c r="N17" t="s">
        <v>120</v>
      </c>
      <c r="O17" t="s">
        <v>121</v>
      </c>
      <c r="P17">
        <v>2</v>
      </c>
      <c r="Q17" t="s">
        <v>29</v>
      </c>
      <c r="R17" t="s">
        <v>50</v>
      </c>
      <c r="S17" t="s">
        <v>6936</v>
      </c>
    </row>
    <row r="18" spans="1:19" x14ac:dyDescent="0.25">
      <c r="A18">
        <v>2012</v>
      </c>
      <c r="B18">
        <v>22740</v>
      </c>
      <c r="C18" t="s">
        <v>144</v>
      </c>
      <c r="D18" t="s">
        <v>145</v>
      </c>
      <c r="E18">
        <v>221320</v>
      </c>
      <c r="F18" t="s">
        <v>146</v>
      </c>
      <c r="G18" t="s">
        <v>147</v>
      </c>
      <c r="H18" t="s">
        <v>85</v>
      </c>
      <c r="I18" t="s">
        <v>35</v>
      </c>
      <c r="J18" t="s">
        <v>36</v>
      </c>
      <c r="K18" t="s">
        <v>37</v>
      </c>
      <c r="L18" t="s">
        <v>89</v>
      </c>
      <c r="M18" t="s">
        <v>90</v>
      </c>
      <c r="N18" t="s">
        <v>120</v>
      </c>
      <c r="O18" t="s">
        <v>121</v>
      </c>
      <c r="P18">
        <v>125.84399999999999</v>
      </c>
      <c r="Q18" t="s">
        <v>40</v>
      </c>
      <c r="R18" t="s">
        <v>124</v>
      </c>
      <c r="S18" t="s">
        <v>6936</v>
      </c>
    </row>
    <row r="19" spans="1:19" x14ac:dyDescent="0.25">
      <c r="A19">
        <v>2018</v>
      </c>
      <c r="B19">
        <v>4881</v>
      </c>
      <c r="C19" t="s">
        <v>148</v>
      </c>
      <c r="D19" t="s">
        <v>149</v>
      </c>
      <c r="E19">
        <v>321217</v>
      </c>
      <c r="F19" t="s">
        <v>150</v>
      </c>
      <c r="G19" t="s">
        <v>151</v>
      </c>
      <c r="H19" t="s">
        <v>54</v>
      </c>
      <c r="I19" t="s">
        <v>152</v>
      </c>
      <c r="J19" t="s">
        <v>153</v>
      </c>
      <c r="K19" t="s">
        <v>154</v>
      </c>
      <c r="L19" t="s">
        <v>25</v>
      </c>
      <c r="M19" t="s">
        <v>26</v>
      </c>
      <c r="N19" t="s">
        <v>155</v>
      </c>
      <c r="O19" t="s">
        <v>156</v>
      </c>
      <c r="P19">
        <v>2.5739999999999998</v>
      </c>
      <c r="Q19" t="s">
        <v>29</v>
      </c>
      <c r="R19" t="s">
        <v>157</v>
      </c>
      <c r="S19" t="s">
        <v>6936</v>
      </c>
    </row>
    <row r="20" spans="1:19" x14ac:dyDescent="0.25">
      <c r="A20">
        <v>2006</v>
      </c>
      <c r="B20">
        <v>5812</v>
      </c>
      <c r="C20" t="s">
        <v>158</v>
      </c>
      <c r="D20" t="s">
        <v>159</v>
      </c>
      <c r="E20">
        <v>331511</v>
      </c>
      <c r="F20" t="s">
        <v>160</v>
      </c>
      <c r="G20" t="s">
        <v>161</v>
      </c>
      <c r="H20" t="s">
        <v>21</v>
      </c>
      <c r="I20" t="s">
        <v>136</v>
      </c>
      <c r="J20" t="s">
        <v>137</v>
      </c>
      <c r="K20" t="s">
        <v>138</v>
      </c>
      <c r="L20" t="s">
        <v>25</v>
      </c>
      <c r="M20" t="s">
        <v>26</v>
      </c>
      <c r="N20" t="s">
        <v>38</v>
      </c>
      <c r="O20" t="s">
        <v>39</v>
      </c>
      <c r="P20">
        <v>0.59599999999999997</v>
      </c>
      <c r="Q20" t="s">
        <v>29</v>
      </c>
      <c r="R20" t="s">
        <v>50</v>
      </c>
      <c r="S20" t="s">
        <v>6936</v>
      </c>
    </row>
    <row r="21" spans="1:19" x14ac:dyDescent="0.25">
      <c r="A21">
        <v>2004</v>
      </c>
      <c r="B21">
        <v>4407</v>
      </c>
      <c r="C21" t="s">
        <v>162</v>
      </c>
      <c r="D21" t="s">
        <v>163</v>
      </c>
      <c r="E21">
        <v>326130</v>
      </c>
      <c r="F21" t="s">
        <v>164</v>
      </c>
      <c r="G21" t="s">
        <v>165</v>
      </c>
      <c r="H21" t="s">
        <v>79</v>
      </c>
      <c r="I21" t="s">
        <v>55</v>
      </c>
      <c r="J21" t="s">
        <v>56</v>
      </c>
      <c r="K21" t="s">
        <v>57</v>
      </c>
      <c r="L21" t="s">
        <v>89</v>
      </c>
      <c r="M21" t="s">
        <v>90</v>
      </c>
      <c r="N21" t="s">
        <v>166</v>
      </c>
      <c r="O21" t="s">
        <v>167</v>
      </c>
      <c r="P21">
        <v>0.14399999999999999</v>
      </c>
      <c r="Q21" t="s">
        <v>29</v>
      </c>
      <c r="R21" t="s">
        <v>30</v>
      </c>
      <c r="S21" t="s">
        <v>6936</v>
      </c>
    </row>
    <row r="22" spans="1:19" x14ac:dyDescent="0.25">
      <c r="A22">
        <v>2021</v>
      </c>
      <c r="B22">
        <v>3422</v>
      </c>
      <c r="C22" t="s">
        <v>168</v>
      </c>
      <c r="D22" t="s">
        <v>169</v>
      </c>
      <c r="E22">
        <v>325220</v>
      </c>
      <c r="F22" t="s">
        <v>170</v>
      </c>
      <c r="G22" t="s">
        <v>171</v>
      </c>
      <c r="H22" t="s">
        <v>21</v>
      </c>
      <c r="I22" t="s">
        <v>172</v>
      </c>
      <c r="J22" t="s">
        <v>173</v>
      </c>
      <c r="K22" t="s">
        <v>174</v>
      </c>
      <c r="L22" t="s">
        <v>89</v>
      </c>
      <c r="M22" t="s">
        <v>90</v>
      </c>
      <c r="N22" t="s">
        <v>166</v>
      </c>
      <c r="O22" t="s">
        <v>167</v>
      </c>
      <c r="P22">
        <v>0.75885000000000002</v>
      </c>
      <c r="Q22" t="s">
        <v>29</v>
      </c>
      <c r="R22" t="s">
        <v>30</v>
      </c>
      <c r="S22" t="s">
        <v>6936</v>
      </c>
    </row>
    <row r="23" spans="1:19" x14ac:dyDescent="0.25">
      <c r="A23">
        <v>2016</v>
      </c>
      <c r="B23">
        <v>26445</v>
      </c>
      <c r="C23" t="s">
        <v>175</v>
      </c>
      <c r="D23" t="s">
        <v>176</v>
      </c>
      <c r="E23">
        <v>562210</v>
      </c>
      <c r="F23" t="s">
        <v>84</v>
      </c>
      <c r="G23" t="s">
        <v>53</v>
      </c>
      <c r="H23" t="s">
        <v>69</v>
      </c>
      <c r="I23" t="s">
        <v>177</v>
      </c>
      <c r="J23" t="s">
        <v>178</v>
      </c>
      <c r="K23" t="s">
        <v>179</v>
      </c>
      <c r="L23" t="s">
        <v>25</v>
      </c>
      <c r="M23" t="s">
        <v>26</v>
      </c>
      <c r="N23" t="s">
        <v>73</v>
      </c>
      <c r="O23" t="s">
        <v>74</v>
      </c>
      <c r="P23">
        <v>11.141</v>
      </c>
      <c r="Q23" t="s">
        <v>29</v>
      </c>
      <c r="R23" t="s">
        <v>50</v>
      </c>
      <c r="S23" t="s">
        <v>6936</v>
      </c>
    </row>
    <row r="24" spans="1:19" x14ac:dyDescent="0.25">
      <c r="A24">
        <v>2017</v>
      </c>
      <c r="B24">
        <v>29458</v>
      </c>
      <c r="C24" t="s">
        <v>180</v>
      </c>
      <c r="D24" t="s">
        <v>181</v>
      </c>
      <c r="E24">
        <v>336390</v>
      </c>
      <c r="F24" t="s">
        <v>182</v>
      </c>
      <c r="G24" t="s">
        <v>61</v>
      </c>
      <c r="H24" t="s">
        <v>21</v>
      </c>
      <c r="I24" t="s">
        <v>136</v>
      </c>
      <c r="J24" t="s">
        <v>137</v>
      </c>
      <c r="K24" t="s">
        <v>138</v>
      </c>
      <c r="L24" t="s">
        <v>25</v>
      </c>
      <c r="M24" t="s">
        <v>26</v>
      </c>
      <c r="N24" t="s">
        <v>38</v>
      </c>
      <c r="O24" t="s">
        <v>39</v>
      </c>
      <c r="P24">
        <v>4.4699999999999997E-2</v>
      </c>
      <c r="Q24" t="s">
        <v>29</v>
      </c>
      <c r="R24" t="s">
        <v>50</v>
      </c>
      <c r="S24" t="s">
        <v>6936</v>
      </c>
    </row>
    <row r="25" spans="1:19" x14ac:dyDescent="0.25">
      <c r="A25">
        <v>2016</v>
      </c>
      <c r="B25">
        <v>5135</v>
      </c>
      <c r="C25" t="s">
        <v>183</v>
      </c>
      <c r="D25" t="s">
        <v>183</v>
      </c>
      <c r="E25">
        <v>562210</v>
      </c>
      <c r="F25" t="s">
        <v>84</v>
      </c>
      <c r="G25" t="s">
        <v>53</v>
      </c>
      <c r="H25" t="s">
        <v>69</v>
      </c>
      <c r="I25" t="s">
        <v>184</v>
      </c>
      <c r="J25" t="s">
        <v>185</v>
      </c>
      <c r="K25" t="s">
        <v>186</v>
      </c>
      <c r="L25" t="s">
        <v>25</v>
      </c>
      <c r="M25" t="s">
        <v>26</v>
      </c>
      <c r="N25" t="s">
        <v>38</v>
      </c>
      <c r="O25" t="s">
        <v>39</v>
      </c>
      <c r="P25">
        <v>37666.384899999997</v>
      </c>
      <c r="Q25" t="s">
        <v>40</v>
      </c>
      <c r="R25" t="s">
        <v>30</v>
      </c>
      <c r="S25" t="s">
        <v>6936</v>
      </c>
    </row>
    <row r="26" spans="1:19" x14ac:dyDescent="0.25">
      <c r="A26">
        <v>2008</v>
      </c>
      <c r="B26">
        <v>3198</v>
      </c>
      <c r="C26" t="s">
        <v>187</v>
      </c>
      <c r="D26" t="s">
        <v>188</v>
      </c>
      <c r="E26">
        <v>322220</v>
      </c>
      <c r="F26" t="s">
        <v>189</v>
      </c>
      <c r="G26" t="s">
        <v>190</v>
      </c>
      <c r="H26" t="s">
        <v>21</v>
      </c>
      <c r="I26" t="s">
        <v>191</v>
      </c>
      <c r="J26" t="s">
        <v>192</v>
      </c>
      <c r="K26" t="s">
        <v>193</v>
      </c>
      <c r="L26" t="s">
        <v>89</v>
      </c>
      <c r="M26" t="s">
        <v>90</v>
      </c>
      <c r="N26" t="s">
        <v>91</v>
      </c>
      <c r="O26" t="s">
        <v>92</v>
      </c>
      <c r="P26">
        <v>4.806</v>
      </c>
      <c r="Q26" t="s">
        <v>29</v>
      </c>
      <c r="R26" t="s">
        <v>30</v>
      </c>
      <c r="S26" t="s">
        <v>6936</v>
      </c>
    </row>
    <row r="27" spans="1:19" x14ac:dyDescent="0.25">
      <c r="A27">
        <v>2015</v>
      </c>
      <c r="B27">
        <v>3707</v>
      </c>
      <c r="C27" t="s">
        <v>194</v>
      </c>
      <c r="D27" t="s">
        <v>195</v>
      </c>
      <c r="E27">
        <v>324110</v>
      </c>
      <c r="F27" t="s">
        <v>196</v>
      </c>
      <c r="G27" t="s">
        <v>96</v>
      </c>
      <c r="H27" t="s">
        <v>85</v>
      </c>
      <c r="I27" t="s">
        <v>197</v>
      </c>
      <c r="J27" t="s">
        <v>198</v>
      </c>
      <c r="K27" t="s">
        <v>199</v>
      </c>
      <c r="L27" t="s">
        <v>25</v>
      </c>
      <c r="M27" t="s">
        <v>26</v>
      </c>
      <c r="N27" t="s">
        <v>200</v>
      </c>
      <c r="O27" t="s">
        <v>201</v>
      </c>
      <c r="P27">
        <v>3.0000000000000001E-3</v>
      </c>
      <c r="Q27" t="s">
        <v>40</v>
      </c>
      <c r="R27" t="s">
        <v>30</v>
      </c>
      <c r="S27" t="s">
        <v>6936</v>
      </c>
    </row>
    <row r="28" spans="1:19" x14ac:dyDescent="0.25">
      <c r="A28">
        <v>1998</v>
      </c>
      <c r="B28">
        <v>1033</v>
      </c>
      <c r="C28" t="s">
        <v>202</v>
      </c>
      <c r="D28" t="s">
        <v>203</v>
      </c>
      <c r="E28">
        <v>221112</v>
      </c>
      <c r="F28" t="s">
        <v>134</v>
      </c>
      <c r="G28" t="s">
        <v>135</v>
      </c>
      <c r="H28" t="s">
        <v>85</v>
      </c>
      <c r="I28" t="s">
        <v>62</v>
      </c>
      <c r="J28" t="s">
        <v>63</v>
      </c>
      <c r="K28" t="s">
        <v>64</v>
      </c>
      <c r="L28" t="s">
        <v>25</v>
      </c>
      <c r="M28" t="s">
        <v>26</v>
      </c>
      <c r="N28" t="s">
        <v>155</v>
      </c>
      <c r="O28" t="s">
        <v>156</v>
      </c>
      <c r="P28">
        <v>2.8660000000000001</v>
      </c>
      <c r="Q28" t="s">
        <v>29</v>
      </c>
      <c r="R28" t="s">
        <v>204</v>
      </c>
      <c r="S28" t="s">
        <v>6936</v>
      </c>
    </row>
    <row r="29" spans="1:19" x14ac:dyDescent="0.25">
      <c r="A29">
        <v>2023</v>
      </c>
      <c r="B29">
        <v>5647</v>
      </c>
      <c r="C29" t="s">
        <v>205</v>
      </c>
      <c r="D29" t="s">
        <v>206</v>
      </c>
      <c r="E29">
        <v>562210</v>
      </c>
      <c r="F29" t="s">
        <v>84</v>
      </c>
      <c r="G29" t="s">
        <v>53</v>
      </c>
      <c r="H29" t="s">
        <v>21</v>
      </c>
      <c r="I29" t="s">
        <v>152</v>
      </c>
      <c r="J29" t="s">
        <v>153</v>
      </c>
      <c r="K29" t="s">
        <v>154</v>
      </c>
      <c r="L29" t="s">
        <v>89</v>
      </c>
      <c r="M29" t="s">
        <v>90</v>
      </c>
      <c r="N29" t="s">
        <v>120</v>
      </c>
      <c r="O29" t="s">
        <v>121</v>
      </c>
      <c r="P29">
        <v>0.34</v>
      </c>
      <c r="Q29" t="s">
        <v>29</v>
      </c>
      <c r="R29" t="s">
        <v>50</v>
      </c>
      <c r="S29" t="s">
        <v>6936</v>
      </c>
    </row>
    <row r="30" spans="1:19" x14ac:dyDescent="0.25">
      <c r="A30">
        <v>1998</v>
      </c>
      <c r="B30">
        <v>3048</v>
      </c>
      <c r="C30" t="s">
        <v>207</v>
      </c>
      <c r="D30" t="s">
        <v>208</v>
      </c>
      <c r="E30">
        <v>221112</v>
      </c>
      <c r="F30" t="s">
        <v>134</v>
      </c>
      <c r="G30" t="s">
        <v>135</v>
      </c>
      <c r="H30" t="s">
        <v>21</v>
      </c>
      <c r="I30" t="s">
        <v>209</v>
      </c>
      <c r="J30" t="s">
        <v>210</v>
      </c>
      <c r="K30" t="s">
        <v>211</v>
      </c>
      <c r="L30" t="s">
        <v>25</v>
      </c>
      <c r="M30" t="s">
        <v>26</v>
      </c>
      <c r="N30" t="s">
        <v>155</v>
      </c>
      <c r="O30" t="s">
        <v>156</v>
      </c>
      <c r="P30">
        <v>5.76</v>
      </c>
      <c r="Q30" t="s">
        <v>29</v>
      </c>
      <c r="R30" t="s">
        <v>204</v>
      </c>
      <c r="S30" t="s">
        <v>6936</v>
      </c>
    </row>
    <row r="31" spans="1:19" x14ac:dyDescent="0.25">
      <c r="A31">
        <v>2017</v>
      </c>
      <c r="B31">
        <v>1340</v>
      </c>
      <c r="C31" t="s">
        <v>212</v>
      </c>
      <c r="D31" t="s">
        <v>213</v>
      </c>
      <c r="E31">
        <v>221320</v>
      </c>
      <c r="F31" t="s">
        <v>146</v>
      </c>
      <c r="G31" t="s">
        <v>147</v>
      </c>
      <c r="H31" t="s">
        <v>69</v>
      </c>
      <c r="I31" t="s">
        <v>97</v>
      </c>
      <c r="J31" t="s">
        <v>98</v>
      </c>
      <c r="K31" t="s">
        <v>99</v>
      </c>
      <c r="L31" t="s">
        <v>89</v>
      </c>
      <c r="M31" t="s">
        <v>90</v>
      </c>
      <c r="N31" t="s">
        <v>166</v>
      </c>
      <c r="O31" t="s">
        <v>167</v>
      </c>
      <c r="P31">
        <v>1.0945</v>
      </c>
      <c r="Q31" t="s">
        <v>29</v>
      </c>
      <c r="R31" t="s">
        <v>124</v>
      </c>
      <c r="S31" t="s">
        <v>6936</v>
      </c>
    </row>
    <row r="32" spans="1:19" x14ac:dyDescent="0.25">
      <c r="A32">
        <v>2013</v>
      </c>
      <c r="B32">
        <v>31</v>
      </c>
      <c r="C32" t="s">
        <v>214</v>
      </c>
      <c r="D32" t="s">
        <v>215</v>
      </c>
      <c r="E32">
        <v>325510</v>
      </c>
      <c r="F32" t="s">
        <v>111</v>
      </c>
      <c r="G32" t="s">
        <v>112</v>
      </c>
      <c r="H32" t="s">
        <v>21</v>
      </c>
      <c r="I32" t="s">
        <v>80</v>
      </c>
      <c r="J32" t="s">
        <v>81</v>
      </c>
      <c r="K32" t="s">
        <v>82</v>
      </c>
      <c r="L32" t="s">
        <v>89</v>
      </c>
      <c r="M32" t="s">
        <v>90</v>
      </c>
      <c r="N32" t="s">
        <v>166</v>
      </c>
      <c r="O32" t="s">
        <v>167</v>
      </c>
      <c r="P32">
        <v>0.57999999999999996</v>
      </c>
      <c r="Q32" t="s">
        <v>29</v>
      </c>
      <c r="R32" t="s">
        <v>30</v>
      </c>
      <c r="S32" t="s">
        <v>6936</v>
      </c>
    </row>
    <row r="33" spans="1:19" x14ac:dyDescent="0.25">
      <c r="A33">
        <v>2006</v>
      </c>
      <c r="B33">
        <v>5965</v>
      </c>
      <c r="C33" t="s">
        <v>216</v>
      </c>
      <c r="D33" t="s">
        <v>217</v>
      </c>
      <c r="E33">
        <v>325410</v>
      </c>
      <c r="F33" t="s">
        <v>218</v>
      </c>
      <c r="G33" t="s">
        <v>219</v>
      </c>
      <c r="H33" t="s">
        <v>21</v>
      </c>
      <c r="I33" t="s">
        <v>220</v>
      </c>
      <c r="J33" t="s">
        <v>221</v>
      </c>
      <c r="K33" t="s">
        <v>222</v>
      </c>
      <c r="L33" t="s">
        <v>89</v>
      </c>
      <c r="M33" t="s">
        <v>90</v>
      </c>
      <c r="N33" t="s">
        <v>166</v>
      </c>
      <c r="O33" t="s">
        <v>167</v>
      </c>
      <c r="P33">
        <v>10.8</v>
      </c>
      <c r="Q33" t="s">
        <v>29</v>
      </c>
      <c r="R33" t="s">
        <v>50</v>
      </c>
      <c r="S33" t="s">
        <v>6936</v>
      </c>
    </row>
    <row r="34" spans="1:19" x14ac:dyDescent="0.25">
      <c r="A34">
        <v>2020</v>
      </c>
      <c r="B34">
        <v>30961</v>
      </c>
      <c r="C34" t="s">
        <v>223</v>
      </c>
      <c r="D34" t="s">
        <v>224</v>
      </c>
      <c r="E34">
        <v>335312</v>
      </c>
      <c r="F34" t="s">
        <v>225</v>
      </c>
      <c r="G34" t="s">
        <v>226</v>
      </c>
      <c r="H34" t="s">
        <v>79</v>
      </c>
      <c r="I34" t="s">
        <v>177</v>
      </c>
      <c r="J34" t="s">
        <v>178</v>
      </c>
      <c r="K34" t="s">
        <v>179</v>
      </c>
      <c r="L34" t="s">
        <v>25</v>
      </c>
      <c r="M34" t="s">
        <v>26</v>
      </c>
      <c r="N34" t="s">
        <v>38</v>
      </c>
      <c r="O34" t="s">
        <v>39</v>
      </c>
      <c r="P34">
        <v>10.6</v>
      </c>
      <c r="Q34" t="s">
        <v>29</v>
      </c>
      <c r="R34" t="s">
        <v>50</v>
      </c>
      <c r="S34" t="s">
        <v>6936</v>
      </c>
    </row>
    <row r="35" spans="1:19" x14ac:dyDescent="0.25">
      <c r="A35">
        <v>2021</v>
      </c>
      <c r="B35">
        <v>3928</v>
      </c>
      <c r="C35" t="s">
        <v>227</v>
      </c>
      <c r="D35" t="s">
        <v>228</v>
      </c>
      <c r="E35">
        <v>324110</v>
      </c>
      <c r="F35" t="s">
        <v>196</v>
      </c>
      <c r="G35" t="s">
        <v>96</v>
      </c>
      <c r="H35" t="s">
        <v>79</v>
      </c>
      <c r="I35" t="s">
        <v>184</v>
      </c>
      <c r="J35" t="s">
        <v>185</v>
      </c>
      <c r="K35" t="s">
        <v>186</v>
      </c>
      <c r="L35" t="s">
        <v>25</v>
      </c>
      <c r="M35" t="s">
        <v>26</v>
      </c>
      <c r="N35" t="s">
        <v>200</v>
      </c>
      <c r="O35" t="s">
        <v>201</v>
      </c>
      <c r="P35">
        <v>145.15600000000001</v>
      </c>
      <c r="Q35" t="s">
        <v>40</v>
      </c>
      <c r="R35" t="s">
        <v>124</v>
      </c>
      <c r="S35" t="s">
        <v>6936</v>
      </c>
    </row>
    <row r="36" spans="1:19" x14ac:dyDescent="0.25">
      <c r="A36">
        <v>2003</v>
      </c>
      <c r="B36">
        <v>4598</v>
      </c>
      <c r="C36" t="s">
        <v>229</v>
      </c>
      <c r="D36" t="s">
        <v>230</v>
      </c>
      <c r="E36">
        <v>336390</v>
      </c>
      <c r="F36" t="s">
        <v>60</v>
      </c>
      <c r="G36" t="s">
        <v>61</v>
      </c>
      <c r="H36" t="s">
        <v>21</v>
      </c>
      <c r="I36" t="s">
        <v>62</v>
      </c>
      <c r="J36" t="s">
        <v>63</v>
      </c>
      <c r="K36" t="s">
        <v>64</v>
      </c>
      <c r="L36" t="s">
        <v>25</v>
      </c>
      <c r="M36" t="s">
        <v>26</v>
      </c>
      <c r="N36" t="s">
        <v>38</v>
      </c>
      <c r="O36" t="s">
        <v>39</v>
      </c>
      <c r="P36">
        <v>25.7</v>
      </c>
      <c r="Q36" t="s">
        <v>29</v>
      </c>
      <c r="R36" t="s">
        <v>124</v>
      </c>
      <c r="S36" t="s">
        <v>6936</v>
      </c>
    </row>
    <row r="37" spans="1:19" x14ac:dyDescent="0.25">
      <c r="A37">
        <v>2023</v>
      </c>
      <c r="B37">
        <v>29399</v>
      </c>
      <c r="C37" t="s">
        <v>231</v>
      </c>
      <c r="D37" t="s">
        <v>232</v>
      </c>
      <c r="E37">
        <v>211110</v>
      </c>
      <c r="F37" t="s">
        <v>233</v>
      </c>
      <c r="G37" t="s">
        <v>234</v>
      </c>
      <c r="H37" t="s">
        <v>69</v>
      </c>
      <c r="I37" t="s">
        <v>70</v>
      </c>
      <c r="J37" t="s">
        <v>71</v>
      </c>
      <c r="K37" t="s">
        <v>72</v>
      </c>
      <c r="L37" t="s">
        <v>89</v>
      </c>
      <c r="M37" t="s">
        <v>90</v>
      </c>
      <c r="N37" t="s">
        <v>91</v>
      </c>
      <c r="O37" t="s">
        <v>92</v>
      </c>
      <c r="P37">
        <v>0.24628900000000001</v>
      </c>
      <c r="Q37" t="s">
        <v>29</v>
      </c>
      <c r="R37" t="s">
        <v>30</v>
      </c>
      <c r="S37" t="s">
        <v>6936</v>
      </c>
    </row>
    <row r="38" spans="1:19" x14ac:dyDescent="0.25">
      <c r="A38">
        <v>2007</v>
      </c>
      <c r="B38">
        <v>5712</v>
      </c>
      <c r="C38" t="s">
        <v>235</v>
      </c>
      <c r="D38" t="s">
        <v>236</v>
      </c>
      <c r="E38">
        <v>332810</v>
      </c>
      <c r="F38" t="s">
        <v>237</v>
      </c>
      <c r="G38" t="s">
        <v>238</v>
      </c>
      <c r="H38" t="s">
        <v>21</v>
      </c>
      <c r="I38" t="s">
        <v>62</v>
      </c>
      <c r="J38" t="s">
        <v>63</v>
      </c>
      <c r="K38" t="s">
        <v>64</v>
      </c>
      <c r="L38" t="s">
        <v>89</v>
      </c>
      <c r="M38" t="s">
        <v>90</v>
      </c>
      <c r="N38" t="s">
        <v>100</v>
      </c>
      <c r="O38" t="s">
        <v>101</v>
      </c>
      <c r="P38">
        <v>2.7E-2</v>
      </c>
      <c r="Q38" t="s">
        <v>29</v>
      </c>
      <c r="R38" t="s">
        <v>50</v>
      </c>
      <c r="S38" t="s">
        <v>6936</v>
      </c>
    </row>
    <row r="39" spans="1:19" x14ac:dyDescent="0.25">
      <c r="A39">
        <v>2023</v>
      </c>
      <c r="B39">
        <v>1148</v>
      </c>
      <c r="C39" t="s">
        <v>239</v>
      </c>
      <c r="D39" t="s">
        <v>240</v>
      </c>
      <c r="E39">
        <v>212291</v>
      </c>
      <c r="F39" t="s">
        <v>241</v>
      </c>
      <c r="G39" t="s">
        <v>242</v>
      </c>
      <c r="H39" t="s">
        <v>243</v>
      </c>
      <c r="I39" t="s">
        <v>244</v>
      </c>
      <c r="J39" t="s">
        <v>245</v>
      </c>
      <c r="K39" t="s">
        <v>246</v>
      </c>
      <c r="L39" t="s">
        <v>25</v>
      </c>
      <c r="M39" t="s">
        <v>26</v>
      </c>
      <c r="N39" t="s">
        <v>73</v>
      </c>
      <c r="O39" t="s">
        <v>74</v>
      </c>
      <c r="P39">
        <v>556.24</v>
      </c>
      <c r="Q39" t="s">
        <v>40</v>
      </c>
      <c r="R39" t="s">
        <v>50</v>
      </c>
      <c r="S39" t="s">
        <v>6936</v>
      </c>
    </row>
    <row r="40" spans="1:19" x14ac:dyDescent="0.25">
      <c r="A40">
        <v>1999</v>
      </c>
      <c r="B40">
        <v>1788</v>
      </c>
      <c r="C40" t="s">
        <v>247</v>
      </c>
      <c r="D40" t="s">
        <v>248</v>
      </c>
      <c r="E40">
        <v>326198</v>
      </c>
      <c r="F40" t="s">
        <v>249</v>
      </c>
      <c r="G40" t="s">
        <v>250</v>
      </c>
      <c r="H40" t="s">
        <v>21</v>
      </c>
      <c r="I40" t="s">
        <v>80</v>
      </c>
      <c r="J40" t="s">
        <v>81</v>
      </c>
      <c r="K40" t="s">
        <v>82</v>
      </c>
      <c r="L40" t="s">
        <v>89</v>
      </c>
      <c r="M40" t="s">
        <v>90</v>
      </c>
      <c r="N40" t="s">
        <v>166</v>
      </c>
      <c r="O40" t="s">
        <v>167</v>
      </c>
      <c r="P40">
        <v>79.248000000000005</v>
      </c>
      <c r="Q40" t="s">
        <v>29</v>
      </c>
      <c r="R40" t="s">
        <v>30</v>
      </c>
      <c r="S40" t="s">
        <v>6936</v>
      </c>
    </row>
    <row r="41" spans="1:19" x14ac:dyDescent="0.25">
      <c r="A41">
        <v>2013</v>
      </c>
      <c r="B41">
        <v>188</v>
      </c>
      <c r="C41" t="s">
        <v>251</v>
      </c>
      <c r="D41" t="s">
        <v>252</v>
      </c>
      <c r="E41">
        <v>331490</v>
      </c>
      <c r="F41" t="s">
        <v>253</v>
      </c>
      <c r="G41" t="s">
        <v>254</v>
      </c>
      <c r="H41" t="s">
        <v>79</v>
      </c>
      <c r="I41" t="s">
        <v>255</v>
      </c>
      <c r="J41" t="s">
        <v>256</v>
      </c>
      <c r="K41" t="s">
        <v>257</v>
      </c>
      <c r="L41" t="s">
        <v>25</v>
      </c>
      <c r="M41" t="s">
        <v>26</v>
      </c>
      <c r="N41" t="s">
        <v>38</v>
      </c>
      <c r="O41" t="s">
        <v>39</v>
      </c>
      <c r="P41">
        <v>2</v>
      </c>
      <c r="Q41" t="s">
        <v>29</v>
      </c>
      <c r="R41" t="s">
        <v>258</v>
      </c>
      <c r="S41" t="s">
        <v>6936</v>
      </c>
    </row>
    <row r="42" spans="1:19" x14ac:dyDescent="0.25">
      <c r="A42">
        <v>2002</v>
      </c>
      <c r="B42">
        <v>862</v>
      </c>
      <c r="C42" t="s">
        <v>259</v>
      </c>
      <c r="E42">
        <v>336410</v>
      </c>
      <c r="F42" t="s">
        <v>260</v>
      </c>
      <c r="G42" t="s">
        <v>261</v>
      </c>
      <c r="H42" t="s">
        <v>21</v>
      </c>
      <c r="I42" t="s">
        <v>209</v>
      </c>
      <c r="J42" t="s">
        <v>210</v>
      </c>
      <c r="K42" t="s">
        <v>211</v>
      </c>
      <c r="L42" t="s">
        <v>89</v>
      </c>
      <c r="M42" t="s">
        <v>90</v>
      </c>
      <c r="N42" t="s">
        <v>100</v>
      </c>
      <c r="O42" t="s">
        <v>101</v>
      </c>
      <c r="P42">
        <v>4.7E-2</v>
      </c>
      <c r="Q42" t="s">
        <v>29</v>
      </c>
      <c r="R42" t="s">
        <v>30</v>
      </c>
      <c r="S42" t="s">
        <v>6936</v>
      </c>
    </row>
    <row r="43" spans="1:19" x14ac:dyDescent="0.25">
      <c r="A43">
        <v>2012</v>
      </c>
      <c r="B43">
        <v>4173</v>
      </c>
      <c r="C43" t="s">
        <v>262</v>
      </c>
      <c r="D43" t="s">
        <v>263</v>
      </c>
      <c r="E43">
        <v>336110</v>
      </c>
      <c r="F43" t="s">
        <v>43</v>
      </c>
      <c r="G43" t="s">
        <v>44</v>
      </c>
      <c r="H43" t="s">
        <v>21</v>
      </c>
      <c r="I43" t="s">
        <v>264</v>
      </c>
      <c r="J43" t="s">
        <v>265</v>
      </c>
      <c r="K43" t="s">
        <v>266</v>
      </c>
      <c r="L43" t="s">
        <v>89</v>
      </c>
      <c r="M43" t="s">
        <v>90</v>
      </c>
      <c r="N43" t="s">
        <v>100</v>
      </c>
      <c r="O43" t="s">
        <v>101</v>
      </c>
      <c r="P43">
        <v>0</v>
      </c>
      <c r="Q43" t="s">
        <v>29</v>
      </c>
      <c r="R43" t="s">
        <v>30</v>
      </c>
      <c r="S43" t="s">
        <v>6936</v>
      </c>
    </row>
    <row r="44" spans="1:19" x14ac:dyDescent="0.25">
      <c r="A44">
        <v>2005</v>
      </c>
      <c r="B44">
        <v>5881</v>
      </c>
      <c r="C44" t="s">
        <v>267</v>
      </c>
      <c r="D44" t="s">
        <v>268</v>
      </c>
      <c r="E44">
        <v>337213</v>
      </c>
      <c r="F44" t="s">
        <v>269</v>
      </c>
      <c r="G44" t="s">
        <v>270</v>
      </c>
      <c r="H44" t="s">
        <v>21</v>
      </c>
      <c r="I44" t="s">
        <v>271</v>
      </c>
      <c r="J44" t="s">
        <v>272</v>
      </c>
      <c r="K44" t="s">
        <v>273</v>
      </c>
      <c r="L44" t="s">
        <v>89</v>
      </c>
      <c r="M44" t="s">
        <v>90</v>
      </c>
      <c r="N44" t="s">
        <v>166</v>
      </c>
      <c r="O44" t="s">
        <v>167</v>
      </c>
      <c r="P44">
        <v>1.0449999999999999</v>
      </c>
      <c r="Q44" t="s">
        <v>29</v>
      </c>
      <c r="R44" t="s">
        <v>50</v>
      </c>
      <c r="S44" t="s">
        <v>6936</v>
      </c>
    </row>
    <row r="45" spans="1:19" x14ac:dyDescent="0.25">
      <c r="A45">
        <v>2020</v>
      </c>
      <c r="B45">
        <v>3897</v>
      </c>
      <c r="C45" t="s">
        <v>274</v>
      </c>
      <c r="D45" t="s">
        <v>275</v>
      </c>
      <c r="E45">
        <v>324110</v>
      </c>
      <c r="F45" t="s">
        <v>196</v>
      </c>
      <c r="G45" t="s">
        <v>96</v>
      </c>
      <c r="H45" t="s">
        <v>79</v>
      </c>
      <c r="I45" t="s">
        <v>55</v>
      </c>
      <c r="J45" t="s">
        <v>56</v>
      </c>
      <c r="K45" t="s">
        <v>57</v>
      </c>
      <c r="L45" t="s">
        <v>89</v>
      </c>
      <c r="M45" t="s">
        <v>90</v>
      </c>
      <c r="N45" t="s">
        <v>120</v>
      </c>
      <c r="O45" t="s">
        <v>121</v>
      </c>
      <c r="P45">
        <v>8.5000000000000006E-5</v>
      </c>
      <c r="Q45" t="s">
        <v>29</v>
      </c>
      <c r="R45" t="s">
        <v>30</v>
      </c>
      <c r="S45" t="s">
        <v>6936</v>
      </c>
    </row>
    <row r="46" spans="1:19" x14ac:dyDescent="0.25">
      <c r="A46">
        <v>2016</v>
      </c>
      <c r="B46">
        <v>11576</v>
      </c>
      <c r="C46" t="s">
        <v>276</v>
      </c>
      <c r="D46" t="s">
        <v>277</v>
      </c>
      <c r="E46">
        <v>336110</v>
      </c>
      <c r="F46" t="s">
        <v>43</v>
      </c>
      <c r="G46" t="s">
        <v>44</v>
      </c>
      <c r="H46" t="s">
        <v>21</v>
      </c>
      <c r="I46" t="s">
        <v>97</v>
      </c>
      <c r="J46" t="s">
        <v>98</v>
      </c>
      <c r="K46" t="s">
        <v>99</v>
      </c>
      <c r="L46" t="s">
        <v>89</v>
      </c>
      <c r="M46" t="s">
        <v>90</v>
      </c>
      <c r="N46" t="s">
        <v>166</v>
      </c>
      <c r="O46" t="s">
        <v>167</v>
      </c>
      <c r="P46">
        <v>1E-3</v>
      </c>
      <c r="Q46" t="s">
        <v>29</v>
      </c>
      <c r="R46" t="s">
        <v>30</v>
      </c>
      <c r="S46" t="s">
        <v>6936</v>
      </c>
    </row>
    <row r="47" spans="1:19" x14ac:dyDescent="0.25">
      <c r="A47">
        <v>2021</v>
      </c>
      <c r="B47">
        <v>4383</v>
      </c>
      <c r="C47" t="s">
        <v>278</v>
      </c>
      <c r="D47" t="s">
        <v>279</v>
      </c>
      <c r="E47">
        <v>336410</v>
      </c>
      <c r="F47" t="s">
        <v>280</v>
      </c>
      <c r="G47" t="s">
        <v>261</v>
      </c>
      <c r="H47" t="s">
        <v>79</v>
      </c>
      <c r="I47" t="s">
        <v>281</v>
      </c>
      <c r="J47" t="s">
        <v>282</v>
      </c>
      <c r="K47" t="s">
        <v>283</v>
      </c>
      <c r="L47" t="s">
        <v>89</v>
      </c>
      <c r="M47" t="s">
        <v>90</v>
      </c>
      <c r="N47" t="s">
        <v>91</v>
      </c>
      <c r="O47" t="s">
        <v>92</v>
      </c>
      <c r="P47">
        <v>5.0640000000000001</v>
      </c>
      <c r="Q47" t="s">
        <v>29</v>
      </c>
      <c r="R47" t="s">
        <v>50</v>
      </c>
      <c r="S47" t="s">
        <v>6936</v>
      </c>
    </row>
    <row r="48" spans="1:19" x14ac:dyDescent="0.25">
      <c r="A48">
        <v>2013</v>
      </c>
      <c r="B48">
        <v>4642</v>
      </c>
      <c r="C48" t="s">
        <v>284</v>
      </c>
      <c r="D48" t="s">
        <v>285</v>
      </c>
      <c r="E48">
        <v>331222</v>
      </c>
      <c r="F48" t="s">
        <v>286</v>
      </c>
      <c r="G48" t="s">
        <v>287</v>
      </c>
      <c r="H48" t="s">
        <v>21</v>
      </c>
      <c r="I48" t="s">
        <v>209</v>
      </c>
      <c r="J48" t="s">
        <v>210</v>
      </c>
      <c r="K48" t="s">
        <v>211</v>
      </c>
      <c r="L48" t="s">
        <v>25</v>
      </c>
      <c r="M48" t="s">
        <v>26</v>
      </c>
      <c r="N48" t="s">
        <v>288</v>
      </c>
      <c r="O48" t="s">
        <v>289</v>
      </c>
      <c r="P48">
        <v>17.62</v>
      </c>
      <c r="Q48" t="s">
        <v>29</v>
      </c>
      <c r="R48" t="s">
        <v>30</v>
      </c>
      <c r="S48" t="s">
        <v>6936</v>
      </c>
    </row>
    <row r="49" spans="1:19" x14ac:dyDescent="0.25">
      <c r="A49">
        <v>2019</v>
      </c>
      <c r="B49">
        <v>1344</v>
      </c>
      <c r="C49" t="s">
        <v>290</v>
      </c>
      <c r="D49" t="s">
        <v>291</v>
      </c>
      <c r="E49">
        <v>331514</v>
      </c>
      <c r="F49" t="s">
        <v>292</v>
      </c>
      <c r="G49" t="s">
        <v>293</v>
      </c>
      <c r="H49" t="s">
        <v>54</v>
      </c>
      <c r="I49" t="s">
        <v>35</v>
      </c>
      <c r="J49" t="s">
        <v>36</v>
      </c>
      <c r="K49" t="s">
        <v>37</v>
      </c>
      <c r="L49" t="s">
        <v>25</v>
      </c>
      <c r="M49" t="s">
        <v>26</v>
      </c>
      <c r="N49" t="s">
        <v>38</v>
      </c>
      <c r="O49" t="s">
        <v>39</v>
      </c>
      <c r="P49">
        <v>37329</v>
      </c>
      <c r="Q49" t="s">
        <v>40</v>
      </c>
      <c r="R49" t="s">
        <v>30</v>
      </c>
      <c r="S49" t="s">
        <v>6936</v>
      </c>
    </row>
    <row r="50" spans="1:19" x14ac:dyDescent="0.25">
      <c r="A50">
        <v>2021</v>
      </c>
      <c r="B50">
        <v>5310</v>
      </c>
      <c r="C50" t="s">
        <v>294</v>
      </c>
      <c r="D50" t="s">
        <v>295</v>
      </c>
      <c r="E50">
        <v>321999</v>
      </c>
      <c r="F50" t="s">
        <v>296</v>
      </c>
      <c r="G50" t="s">
        <v>297</v>
      </c>
      <c r="H50" t="s">
        <v>54</v>
      </c>
      <c r="I50" t="s">
        <v>264</v>
      </c>
      <c r="J50" t="s">
        <v>265</v>
      </c>
      <c r="K50" t="s">
        <v>266</v>
      </c>
      <c r="L50" t="s">
        <v>25</v>
      </c>
      <c r="M50" t="s">
        <v>26</v>
      </c>
      <c r="N50" t="s">
        <v>27</v>
      </c>
      <c r="O50" t="s">
        <v>28</v>
      </c>
      <c r="P50">
        <v>15.65</v>
      </c>
      <c r="Q50" t="s">
        <v>29</v>
      </c>
      <c r="R50" t="s">
        <v>30</v>
      </c>
      <c r="S50" t="s">
        <v>6936</v>
      </c>
    </row>
    <row r="51" spans="1:19" x14ac:dyDescent="0.25">
      <c r="A51">
        <v>2020</v>
      </c>
      <c r="B51">
        <v>1565</v>
      </c>
      <c r="C51" t="s">
        <v>298</v>
      </c>
      <c r="D51" t="s">
        <v>299</v>
      </c>
      <c r="E51">
        <v>325610</v>
      </c>
      <c r="F51" t="s">
        <v>300</v>
      </c>
      <c r="G51" t="s">
        <v>301</v>
      </c>
      <c r="H51" t="s">
        <v>79</v>
      </c>
      <c r="I51" t="s">
        <v>80</v>
      </c>
      <c r="J51" t="s">
        <v>81</v>
      </c>
      <c r="K51" t="s">
        <v>82</v>
      </c>
      <c r="L51" t="s">
        <v>89</v>
      </c>
      <c r="M51" t="s">
        <v>90</v>
      </c>
      <c r="N51" t="s">
        <v>100</v>
      </c>
      <c r="O51" t="s">
        <v>101</v>
      </c>
      <c r="P51">
        <v>0.44</v>
      </c>
      <c r="Q51" t="s">
        <v>29</v>
      </c>
      <c r="R51" t="s">
        <v>30</v>
      </c>
      <c r="S51" t="s">
        <v>6936</v>
      </c>
    </row>
    <row r="52" spans="1:19" x14ac:dyDescent="0.25">
      <c r="A52">
        <v>2018</v>
      </c>
      <c r="B52">
        <v>8526</v>
      </c>
      <c r="C52" t="s">
        <v>302</v>
      </c>
      <c r="D52" t="s">
        <v>302</v>
      </c>
      <c r="E52">
        <v>332999</v>
      </c>
      <c r="F52" t="s">
        <v>303</v>
      </c>
      <c r="G52" t="s">
        <v>304</v>
      </c>
      <c r="H52" t="s">
        <v>79</v>
      </c>
      <c r="I52" t="s">
        <v>209</v>
      </c>
      <c r="J52" t="s">
        <v>210</v>
      </c>
      <c r="K52" t="s">
        <v>211</v>
      </c>
      <c r="L52" t="s">
        <v>89</v>
      </c>
      <c r="M52" t="s">
        <v>90</v>
      </c>
      <c r="N52" t="s">
        <v>120</v>
      </c>
      <c r="O52" t="s">
        <v>121</v>
      </c>
      <c r="P52">
        <v>20.440000000000001</v>
      </c>
      <c r="Q52" t="s">
        <v>29</v>
      </c>
      <c r="R52" t="s">
        <v>30</v>
      </c>
      <c r="S52" t="s">
        <v>6936</v>
      </c>
    </row>
    <row r="53" spans="1:19" x14ac:dyDescent="0.25">
      <c r="A53">
        <v>2000</v>
      </c>
      <c r="B53">
        <v>1953</v>
      </c>
      <c r="C53" t="s">
        <v>305</v>
      </c>
      <c r="D53" t="s">
        <v>306</v>
      </c>
      <c r="E53">
        <v>325510</v>
      </c>
      <c r="F53" t="s">
        <v>143</v>
      </c>
      <c r="G53" t="s">
        <v>112</v>
      </c>
      <c r="H53" t="s">
        <v>21</v>
      </c>
      <c r="I53" t="s">
        <v>264</v>
      </c>
      <c r="J53" t="s">
        <v>265</v>
      </c>
      <c r="K53" t="s">
        <v>266</v>
      </c>
      <c r="L53" t="s">
        <v>25</v>
      </c>
      <c r="M53" t="s">
        <v>26</v>
      </c>
      <c r="N53" t="s">
        <v>48</v>
      </c>
      <c r="O53" t="s">
        <v>49</v>
      </c>
      <c r="P53">
        <v>1E-3</v>
      </c>
      <c r="Q53" t="s">
        <v>29</v>
      </c>
      <c r="R53" t="s">
        <v>30</v>
      </c>
      <c r="S53" t="s">
        <v>6936</v>
      </c>
    </row>
    <row r="54" spans="1:19" x14ac:dyDescent="0.25">
      <c r="A54">
        <v>1999</v>
      </c>
      <c r="B54">
        <v>3361</v>
      </c>
      <c r="C54" t="s">
        <v>307</v>
      </c>
      <c r="D54" t="s">
        <v>308</v>
      </c>
      <c r="E54">
        <v>332999</v>
      </c>
      <c r="F54" t="s">
        <v>309</v>
      </c>
      <c r="G54" t="s">
        <v>304</v>
      </c>
      <c r="H54" t="s">
        <v>21</v>
      </c>
      <c r="I54" t="s">
        <v>310</v>
      </c>
      <c r="J54" t="s">
        <v>311</v>
      </c>
      <c r="K54" t="s">
        <v>312</v>
      </c>
      <c r="L54" t="s">
        <v>25</v>
      </c>
      <c r="M54" t="s">
        <v>26</v>
      </c>
      <c r="N54" t="s">
        <v>38</v>
      </c>
      <c r="O54" t="s">
        <v>39</v>
      </c>
      <c r="P54">
        <v>0.35</v>
      </c>
      <c r="Q54" t="s">
        <v>29</v>
      </c>
      <c r="R54" t="s">
        <v>30</v>
      </c>
      <c r="S54" t="s">
        <v>6936</v>
      </c>
    </row>
    <row r="55" spans="1:19" x14ac:dyDescent="0.25">
      <c r="A55">
        <v>1997</v>
      </c>
      <c r="B55">
        <v>1096</v>
      </c>
      <c r="C55" t="s">
        <v>313</v>
      </c>
      <c r="D55" t="s">
        <v>314</v>
      </c>
      <c r="E55">
        <v>418410</v>
      </c>
      <c r="F55" t="s">
        <v>315</v>
      </c>
      <c r="G55" t="s">
        <v>316</v>
      </c>
      <c r="H55" t="s">
        <v>21</v>
      </c>
      <c r="I55" t="s">
        <v>317</v>
      </c>
      <c r="J55" t="s">
        <v>318</v>
      </c>
      <c r="K55" t="s">
        <v>319</v>
      </c>
      <c r="L55" t="s">
        <v>25</v>
      </c>
      <c r="M55" t="s">
        <v>26</v>
      </c>
      <c r="N55" t="s">
        <v>48</v>
      </c>
      <c r="O55" t="s">
        <v>49</v>
      </c>
      <c r="P55">
        <v>0.61199999999999999</v>
      </c>
      <c r="Q55" t="s">
        <v>29</v>
      </c>
      <c r="R55" t="s">
        <v>30</v>
      </c>
      <c r="S55" t="s">
        <v>6936</v>
      </c>
    </row>
    <row r="56" spans="1:19" x14ac:dyDescent="0.25">
      <c r="A56">
        <v>2021</v>
      </c>
      <c r="B56">
        <v>6444</v>
      </c>
      <c r="C56" t="s">
        <v>320</v>
      </c>
      <c r="D56" t="s">
        <v>321</v>
      </c>
      <c r="E56">
        <v>221119</v>
      </c>
      <c r="F56" t="s">
        <v>322</v>
      </c>
      <c r="G56" t="s">
        <v>323</v>
      </c>
      <c r="H56" t="s">
        <v>79</v>
      </c>
      <c r="I56" t="s">
        <v>324</v>
      </c>
      <c r="J56" t="s">
        <v>325</v>
      </c>
      <c r="K56" t="s">
        <v>326</v>
      </c>
      <c r="L56" t="s">
        <v>25</v>
      </c>
      <c r="M56" t="s">
        <v>26</v>
      </c>
      <c r="N56" t="s">
        <v>38</v>
      </c>
      <c r="O56" t="s">
        <v>39</v>
      </c>
      <c r="P56">
        <v>32.9</v>
      </c>
      <c r="Q56" t="s">
        <v>40</v>
      </c>
      <c r="R56" t="s">
        <v>124</v>
      </c>
      <c r="S56" t="s">
        <v>6936</v>
      </c>
    </row>
    <row r="57" spans="1:19" x14ac:dyDescent="0.25">
      <c r="A57">
        <v>2018</v>
      </c>
      <c r="B57">
        <v>6792</v>
      </c>
      <c r="C57" t="s">
        <v>327</v>
      </c>
      <c r="D57" t="s">
        <v>328</v>
      </c>
      <c r="E57">
        <v>562920</v>
      </c>
      <c r="F57" t="s">
        <v>329</v>
      </c>
      <c r="G57" t="s">
        <v>330</v>
      </c>
      <c r="H57" t="s">
        <v>69</v>
      </c>
      <c r="I57" t="s">
        <v>331</v>
      </c>
      <c r="J57" t="s">
        <v>332</v>
      </c>
      <c r="K57" t="s">
        <v>333</v>
      </c>
      <c r="L57" t="s">
        <v>25</v>
      </c>
      <c r="M57" t="s">
        <v>26</v>
      </c>
      <c r="N57" t="s">
        <v>27</v>
      </c>
      <c r="O57" t="s">
        <v>28</v>
      </c>
      <c r="P57">
        <v>63.963999999999999</v>
      </c>
      <c r="Q57" t="s">
        <v>29</v>
      </c>
      <c r="R57" t="s">
        <v>50</v>
      </c>
      <c r="S57" t="s">
        <v>6936</v>
      </c>
    </row>
    <row r="58" spans="1:19" x14ac:dyDescent="0.25">
      <c r="A58">
        <v>1997</v>
      </c>
      <c r="B58">
        <v>3713</v>
      </c>
      <c r="C58" t="s">
        <v>334</v>
      </c>
      <c r="E58">
        <v>331110</v>
      </c>
      <c r="F58" t="s">
        <v>335</v>
      </c>
      <c r="G58" t="s">
        <v>336</v>
      </c>
      <c r="H58" t="s">
        <v>21</v>
      </c>
      <c r="I58" t="s">
        <v>337</v>
      </c>
      <c r="J58" t="s">
        <v>338</v>
      </c>
      <c r="K58" t="s">
        <v>339</v>
      </c>
      <c r="L58" t="s">
        <v>89</v>
      </c>
      <c r="M58" t="s">
        <v>90</v>
      </c>
      <c r="N58" t="s">
        <v>100</v>
      </c>
      <c r="O58" t="s">
        <v>101</v>
      </c>
      <c r="P58">
        <v>0.01</v>
      </c>
      <c r="Q58" t="s">
        <v>29</v>
      </c>
      <c r="R58" t="s">
        <v>30</v>
      </c>
      <c r="S58" t="s">
        <v>6936</v>
      </c>
    </row>
    <row r="59" spans="1:19" x14ac:dyDescent="0.25">
      <c r="A59">
        <v>2013</v>
      </c>
      <c r="B59">
        <v>6400</v>
      </c>
      <c r="C59" t="s">
        <v>340</v>
      </c>
      <c r="D59" t="s">
        <v>341</v>
      </c>
      <c r="E59">
        <v>311515</v>
      </c>
      <c r="F59" t="s">
        <v>342</v>
      </c>
      <c r="G59" t="s">
        <v>343</v>
      </c>
      <c r="H59" t="s">
        <v>79</v>
      </c>
      <c r="I59" t="s">
        <v>281</v>
      </c>
      <c r="J59" t="s">
        <v>282</v>
      </c>
      <c r="K59" t="s">
        <v>283</v>
      </c>
      <c r="L59" t="s">
        <v>89</v>
      </c>
      <c r="M59" t="s">
        <v>90</v>
      </c>
      <c r="N59" t="s">
        <v>100</v>
      </c>
      <c r="O59" t="s">
        <v>101</v>
      </c>
      <c r="P59">
        <v>0</v>
      </c>
      <c r="Q59" t="s">
        <v>29</v>
      </c>
      <c r="R59" t="s">
        <v>30</v>
      </c>
      <c r="S59" t="s">
        <v>6936</v>
      </c>
    </row>
    <row r="60" spans="1:19" x14ac:dyDescent="0.25">
      <c r="A60">
        <v>2002</v>
      </c>
      <c r="B60">
        <v>10219</v>
      </c>
      <c r="C60" t="s">
        <v>344</v>
      </c>
      <c r="D60" t="s">
        <v>345</v>
      </c>
      <c r="E60">
        <v>412110</v>
      </c>
      <c r="F60" t="s">
        <v>346</v>
      </c>
      <c r="G60" t="s">
        <v>347</v>
      </c>
      <c r="H60" t="s">
        <v>21</v>
      </c>
      <c r="I60" t="s">
        <v>348</v>
      </c>
      <c r="J60" t="s">
        <v>349</v>
      </c>
      <c r="K60" t="s">
        <v>350</v>
      </c>
      <c r="L60" t="s">
        <v>89</v>
      </c>
      <c r="M60" t="s">
        <v>90</v>
      </c>
      <c r="N60" t="s">
        <v>166</v>
      </c>
      <c r="O60" t="s">
        <v>167</v>
      </c>
      <c r="P60">
        <v>3.1E-2</v>
      </c>
      <c r="Q60" t="s">
        <v>29</v>
      </c>
      <c r="R60" t="s">
        <v>204</v>
      </c>
      <c r="S60" t="s">
        <v>6936</v>
      </c>
    </row>
    <row r="61" spans="1:19" x14ac:dyDescent="0.25">
      <c r="A61">
        <v>1995</v>
      </c>
      <c r="B61">
        <v>4833</v>
      </c>
      <c r="C61" t="s">
        <v>351</v>
      </c>
      <c r="D61" t="s">
        <v>352</v>
      </c>
      <c r="E61">
        <v>323120</v>
      </c>
      <c r="F61" t="s">
        <v>353</v>
      </c>
      <c r="G61" t="s">
        <v>354</v>
      </c>
      <c r="H61" t="s">
        <v>21</v>
      </c>
      <c r="I61" t="s">
        <v>55</v>
      </c>
      <c r="J61" t="s">
        <v>56</v>
      </c>
      <c r="K61" t="s">
        <v>57</v>
      </c>
      <c r="L61" t="s">
        <v>25</v>
      </c>
      <c r="M61" t="s">
        <v>26</v>
      </c>
      <c r="N61" t="s">
        <v>48</v>
      </c>
      <c r="O61" t="s">
        <v>49</v>
      </c>
      <c r="P61">
        <v>4.7389999999999999</v>
      </c>
      <c r="Q61" t="s">
        <v>29</v>
      </c>
      <c r="R61" t="s">
        <v>30</v>
      </c>
      <c r="S61" t="s">
        <v>6936</v>
      </c>
    </row>
    <row r="62" spans="1:19" x14ac:dyDescent="0.25">
      <c r="A62">
        <v>2021</v>
      </c>
      <c r="B62">
        <v>6546</v>
      </c>
      <c r="C62" t="s">
        <v>355</v>
      </c>
      <c r="D62" t="s">
        <v>356</v>
      </c>
      <c r="E62">
        <v>211142</v>
      </c>
      <c r="F62" t="s">
        <v>357</v>
      </c>
      <c r="G62" t="s">
        <v>358</v>
      </c>
      <c r="H62" t="s">
        <v>85</v>
      </c>
      <c r="I62" t="s">
        <v>324</v>
      </c>
      <c r="J62" t="s">
        <v>325</v>
      </c>
      <c r="K62" t="s">
        <v>326</v>
      </c>
      <c r="L62" t="s">
        <v>25</v>
      </c>
      <c r="M62" t="s">
        <v>26</v>
      </c>
      <c r="N62" t="s">
        <v>200</v>
      </c>
      <c r="O62" t="s">
        <v>201</v>
      </c>
      <c r="P62">
        <v>60.524999999999999</v>
      </c>
      <c r="Q62" t="s">
        <v>40</v>
      </c>
      <c r="R62" t="s">
        <v>50</v>
      </c>
      <c r="S62" t="s">
        <v>6936</v>
      </c>
    </row>
    <row r="63" spans="1:19" x14ac:dyDescent="0.25">
      <c r="A63">
        <v>2017</v>
      </c>
      <c r="B63">
        <v>7631</v>
      </c>
      <c r="C63" t="s">
        <v>359</v>
      </c>
      <c r="D63" t="s">
        <v>360</v>
      </c>
      <c r="E63">
        <v>332810</v>
      </c>
      <c r="F63" t="s">
        <v>361</v>
      </c>
      <c r="G63" t="s">
        <v>362</v>
      </c>
      <c r="H63" t="s">
        <v>54</v>
      </c>
      <c r="I63" t="s">
        <v>177</v>
      </c>
      <c r="J63" t="s">
        <v>178</v>
      </c>
      <c r="K63" t="s">
        <v>179</v>
      </c>
      <c r="L63" t="s">
        <v>25</v>
      </c>
      <c r="M63" t="s">
        <v>26</v>
      </c>
      <c r="N63" t="s">
        <v>38</v>
      </c>
      <c r="O63" t="s">
        <v>39</v>
      </c>
      <c r="P63">
        <v>1.71</v>
      </c>
      <c r="Q63" t="s">
        <v>29</v>
      </c>
      <c r="R63" t="s">
        <v>30</v>
      </c>
      <c r="S63" t="s">
        <v>6936</v>
      </c>
    </row>
    <row r="64" spans="1:19" x14ac:dyDescent="0.25">
      <c r="A64">
        <v>2007</v>
      </c>
      <c r="B64">
        <v>2912</v>
      </c>
      <c r="C64" t="s">
        <v>363</v>
      </c>
      <c r="D64" t="s">
        <v>364</v>
      </c>
      <c r="E64">
        <v>321114</v>
      </c>
      <c r="F64" t="s">
        <v>365</v>
      </c>
      <c r="G64" t="s">
        <v>366</v>
      </c>
      <c r="H64" t="s">
        <v>69</v>
      </c>
      <c r="I64" t="s">
        <v>367</v>
      </c>
      <c r="J64" t="s">
        <v>368</v>
      </c>
      <c r="K64" t="s">
        <v>369</v>
      </c>
      <c r="L64" t="s">
        <v>89</v>
      </c>
      <c r="M64" t="s">
        <v>90</v>
      </c>
      <c r="N64" t="s">
        <v>166</v>
      </c>
      <c r="O64" t="s">
        <v>167</v>
      </c>
      <c r="P64">
        <v>0.51300000000000001</v>
      </c>
      <c r="Q64" t="s">
        <v>40</v>
      </c>
      <c r="R64" t="s">
        <v>124</v>
      </c>
      <c r="S64" t="s">
        <v>6936</v>
      </c>
    </row>
    <row r="65" spans="1:19" x14ac:dyDescent="0.25">
      <c r="A65">
        <v>2011</v>
      </c>
      <c r="B65">
        <v>5455</v>
      </c>
      <c r="C65" t="s">
        <v>370</v>
      </c>
      <c r="D65" t="s">
        <v>371</v>
      </c>
      <c r="E65">
        <v>562990</v>
      </c>
      <c r="F65" t="s">
        <v>104</v>
      </c>
      <c r="G65" t="s">
        <v>105</v>
      </c>
      <c r="H65" t="s">
        <v>79</v>
      </c>
      <c r="I65" t="s">
        <v>372</v>
      </c>
      <c r="J65" t="s">
        <v>373</v>
      </c>
      <c r="K65" t="s">
        <v>374</v>
      </c>
      <c r="L65" t="s">
        <v>89</v>
      </c>
      <c r="M65" t="s">
        <v>90</v>
      </c>
      <c r="N65" t="s">
        <v>166</v>
      </c>
      <c r="O65" t="s">
        <v>167</v>
      </c>
      <c r="P65">
        <v>9.1829999999999998</v>
      </c>
      <c r="Q65" t="s">
        <v>29</v>
      </c>
      <c r="R65" t="s">
        <v>50</v>
      </c>
      <c r="S65" t="s">
        <v>6936</v>
      </c>
    </row>
    <row r="66" spans="1:19" x14ac:dyDescent="0.25">
      <c r="A66">
        <v>2004</v>
      </c>
      <c r="B66">
        <v>3883</v>
      </c>
      <c r="C66" t="s">
        <v>375</v>
      </c>
      <c r="D66" t="s">
        <v>376</v>
      </c>
      <c r="E66">
        <v>336110</v>
      </c>
      <c r="F66" t="s">
        <v>377</v>
      </c>
      <c r="G66" t="s">
        <v>44</v>
      </c>
      <c r="H66" t="s">
        <v>21</v>
      </c>
      <c r="I66" t="s">
        <v>264</v>
      </c>
      <c r="J66" t="s">
        <v>265</v>
      </c>
      <c r="K66" t="s">
        <v>266</v>
      </c>
      <c r="L66" t="s">
        <v>25</v>
      </c>
      <c r="M66" t="s">
        <v>26</v>
      </c>
      <c r="N66" t="s">
        <v>27</v>
      </c>
      <c r="O66" t="s">
        <v>28</v>
      </c>
      <c r="P66">
        <v>4.9470000000000001</v>
      </c>
      <c r="Q66" t="s">
        <v>29</v>
      </c>
      <c r="R66" t="s">
        <v>30</v>
      </c>
      <c r="S66" t="s">
        <v>6936</v>
      </c>
    </row>
    <row r="67" spans="1:19" x14ac:dyDescent="0.25">
      <c r="A67">
        <v>2016</v>
      </c>
      <c r="B67">
        <v>10225</v>
      </c>
      <c r="C67" t="s">
        <v>125</v>
      </c>
      <c r="D67" t="s">
        <v>378</v>
      </c>
      <c r="E67">
        <v>412110</v>
      </c>
      <c r="F67" t="s">
        <v>127</v>
      </c>
      <c r="G67" t="s">
        <v>128</v>
      </c>
      <c r="H67" t="s">
        <v>379</v>
      </c>
      <c r="I67" t="s">
        <v>70</v>
      </c>
      <c r="J67" t="s">
        <v>71</v>
      </c>
      <c r="K67" t="s">
        <v>72</v>
      </c>
      <c r="L67" t="s">
        <v>25</v>
      </c>
      <c r="M67" t="s">
        <v>26</v>
      </c>
      <c r="N67" t="s">
        <v>380</v>
      </c>
      <c r="O67" t="s">
        <v>381</v>
      </c>
      <c r="P67">
        <v>1.5659000000000001</v>
      </c>
      <c r="Q67" t="s">
        <v>29</v>
      </c>
      <c r="R67" t="s">
        <v>30</v>
      </c>
      <c r="S67" t="s">
        <v>6936</v>
      </c>
    </row>
    <row r="68" spans="1:19" x14ac:dyDescent="0.25">
      <c r="A68">
        <v>2020</v>
      </c>
      <c r="B68">
        <v>4871</v>
      </c>
      <c r="C68" t="s">
        <v>370</v>
      </c>
      <c r="D68" t="s">
        <v>382</v>
      </c>
      <c r="E68">
        <v>562210</v>
      </c>
      <c r="F68" t="s">
        <v>84</v>
      </c>
      <c r="G68" t="s">
        <v>53</v>
      </c>
      <c r="H68" t="s">
        <v>85</v>
      </c>
      <c r="I68" t="s">
        <v>62</v>
      </c>
      <c r="J68" t="s">
        <v>63</v>
      </c>
      <c r="K68" t="s">
        <v>64</v>
      </c>
      <c r="L68" t="s">
        <v>89</v>
      </c>
      <c r="M68" t="s">
        <v>90</v>
      </c>
      <c r="N68" t="s">
        <v>166</v>
      </c>
      <c r="O68" t="s">
        <v>167</v>
      </c>
      <c r="P68">
        <v>3.6145999999999998E-2</v>
      </c>
      <c r="Q68" t="s">
        <v>29</v>
      </c>
      <c r="R68" t="s">
        <v>50</v>
      </c>
      <c r="S68" t="s">
        <v>6936</v>
      </c>
    </row>
    <row r="69" spans="1:19" x14ac:dyDescent="0.25">
      <c r="A69">
        <v>2011</v>
      </c>
      <c r="B69">
        <v>4526</v>
      </c>
      <c r="C69" t="s">
        <v>383</v>
      </c>
      <c r="D69" t="s">
        <v>384</v>
      </c>
      <c r="E69">
        <v>336410</v>
      </c>
      <c r="F69" t="s">
        <v>260</v>
      </c>
      <c r="G69" t="s">
        <v>261</v>
      </c>
      <c r="H69" t="s">
        <v>21</v>
      </c>
      <c r="I69" t="s">
        <v>35</v>
      </c>
      <c r="J69" t="s">
        <v>36</v>
      </c>
      <c r="K69" t="s">
        <v>37</v>
      </c>
      <c r="L69" t="s">
        <v>89</v>
      </c>
      <c r="M69" t="s">
        <v>90</v>
      </c>
      <c r="N69" t="s">
        <v>120</v>
      </c>
      <c r="O69" t="s">
        <v>121</v>
      </c>
      <c r="P69">
        <v>2078.5500000000002</v>
      </c>
      <c r="Q69" t="s">
        <v>40</v>
      </c>
      <c r="R69" t="s">
        <v>50</v>
      </c>
      <c r="S69" t="s">
        <v>6936</v>
      </c>
    </row>
    <row r="70" spans="1:19" x14ac:dyDescent="0.25">
      <c r="A70">
        <v>1994</v>
      </c>
      <c r="B70">
        <v>4173</v>
      </c>
      <c r="C70" t="s">
        <v>385</v>
      </c>
      <c r="D70" t="s">
        <v>386</v>
      </c>
      <c r="E70">
        <v>336110</v>
      </c>
      <c r="F70" t="s">
        <v>377</v>
      </c>
      <c r="G70" t="s">
        <v>44</v>
      </c>
      <c r="H70" t="s">
        <v>21</v>
      </c>
      <c r="I70" t="s">
        <v>271</v>
      </c>
      <c r="J70" t="s">
        <v>387</v>
      </c>
      <c r="K70" t="s">
        <v>388</v>
      </c>
      <c r="L70" t="s">
        <v>89</v>
      </c>
      <c r="M70" t="s">
        <v>90</v>
      </c>
      <c r="N70" t="s">
        <v>166</v>
      </c>
      <c r="O70" t="s">
        <v>167</v>
      </c>
      <c r="P70">
        <v>4.88</v>
      </c>
      <c r="Q70" t="s">
        <v>29</v>
      </c>
      <c r="R70" t="s">
        <v>30</v>
      </c>
      <c r="S70" t="s">
        <v>6936</v>
      </c>
    </row>
    <row r="71" spans="1:19" x14ac:dyDescent="0.25">
      <c r="A71">
        <v>2009</v>
      </c>
      <c r="B71">
        <v>1338</v>
      </c>
      <c r="C71" t="s">
        <v>212</v>
      </c>
      <c r="D71" t="s">
        <v>389</v>
      </c>
      <c r="E71">
        <v>221320</v>
      </c>
      <c r="F71" t="s">
        <v>390</v>
      </c>
      <c r="G71" t="s">
        <v>147</v>
      </c>
      <c r="H71" t="s">
        <v>69</v>
      </c>
      <c r="I71" t="s">
        <v>391</v>
      </c>
      <c r="J71" t="s">
        <v>392</v>
      </c>
      <c r="K71" t="s">
        <v>393</v>
      </c>
      <c r="L71" t="s">
        <v>89</v>
      </c>
      <c r="M71" t="s">
        <v>90</v>
      </c>
      <c r="N71" t="s">
        <v>166</v>
      </c>
      <c r="O71" t="s">
        <v>167</v>
      </c>
      <c r="P71">
        <v>3.1E-2</v>
      </c>
      <c r="Q71" t="s">
        <v>40</v>
      </c>
      <c r="R71" t="s">
        <v>124</v>
      </c>
      <c r="S71" t="s">
        <v>6936</v>
      </c>
    </row>
    <row r="72" spans="1:19" x14ac:dyDescent="0.25">
      <c r="A72">
        <v>2007</v>
      </c>
      <c r="B72">
        <v>2189</v>
      </c>
      <c r="C72" t="s">
        <v>394</v>
      </c>
      <c r="D72" t="s">
        <v>395</v>
      </c>
      <c r="E72">
        <v>325999</v>
      </c>
      <c r="F72" t="s">
        <v>396</v>
      </c>
      <c r="G72" t="s">
        <v>397</v>
      </c>
      <c r="H72" t="s">
        <v>21</v>
      </c>
      <c r="I72" t="s">
        <v>22</v>
      </c>
      <c r="J72" t="s">
        <v>23</v>
      </c>
      <c r="K72" t="s">
        <v>24</v>
      </c>
      <c r="L72" t="s">
        <v>89</v>
      </c>
      <c r="M72" t="s">
        <v>90</v>
      </c>
      <c r="N72" t="s">
        <v>120</v>
      </c>
      <c r="O72" t="s">
        <v>121</v>
      </c>
      <c r="P72">
        <v>4.6920000000000002</v>
      </c>
      <c r="Q72" t="s">
        <v>29</v>
      </c>
      <c r="R72" t="s">
        <v>30</v>
      </c>
      <c r="S72" t="s">
        <v>6936</v>
      </c>
    </row>
    <row r="73" spans="1:19" x14ac:dyDescent="0.25">
      <c r="A73">
        <v>2013</v>
      </c>
      <c r="B73">
        <v>11138</v>
      </c>
      <c r="C73" t="s">
        <v>398</v>
      </c>
      <c r="D73" t="s">
        <v>399</v>
      </c>
      <c r="E73">
        <v>562920</v>
      </c>
      <c r="F73" t="s">
        <v>329</v>
      </c>
      <c r="G73" t="s">
        <v>330</v>
      </c>
      <c r="H73" t="s">
        <v>21</v>
      </c>
      <c r="I73" t="s">
        <v>177</v>
      </c>
      <c r="J73" t="s">
        <v>178</v>
      </c>
      <c r="K73" t="s">
        <v>179</v>
      </c>
      <c r="L73" t="s">
        <v>25</v>
      </c>
      <c r="M73" t="s">
        <v>26</v>
      </c>
      <c r="N73" t="s">
        <v>38</v>
      </c>
      <c r="O73" t="s">
        <v>39</v>
      </c>
      <c r="P73">
        <v>32.729999999999997</v>
      </c>
      <c r="Q73" t="s">
        <v>29</v>
      </c>
      <c r="R73" t="s">
        <v>50</v>
      </c>
      <c r="S73" t="s">
        <v>6936</v>
      </c>
    </row>
    <row r="74" spans="1:19" x14ac:dyDescent="0.25">
      <c r="A74">
        <v>2019</v>
      </c>
      <c r="B74">
        <v>7413</v>
      </c>
      <c r="C74" t="s">
        <v>400</v>
      </c>
      <c r="D74" t="s">
        <v>401</v>
      </c>
      <c r="E74">
        <v>221320</v>
      </c>
      <c r="F74" t="s">
        <v>146</v>
      </c>
      <c r="G74" t="s">
        <v>147</v>
      </c>
      <c r="H74" t="s">
        <v>21</v>
      </c>
      <c r="I74" t="s">
        <v>402</v>
      </c>
      <c r="J74" t="s">
        <v>403</v>
      </c>
      <c r="K74" t="s">
        <v>404</v>
      </c>
      <c r="L74" t="s">
        <v>25</v>
      </c>
      <c r="M74" t="s">
        <v>26</v>
      </c>
      <c r="N74" t="s">
        <v>380</v>
      </c>
      <c r="O74" t="s">
        <v>381</v>
      </c>
      <c r="P74">
        <v>1E-3</v>
      </c>
      <c r="Q74" t="s">
        <v>29</v>
      </c>
      <c r="R74" t="s">
        <v>124</v>
      </c>
      <c r="S74" t="s">
        <v>6936</v>
      </c>
    </row>
    <row r="75" spans="1:19" x14ac:dyDescent="0.25">
      <c r="A75">
        <v>2000</v>
      </c>
      <c r="B75">
        <v>2195</v>
      </c>
      <c r="C75" t="s">
        <v>405</v>
      </c>
      <c r="D75" t="s">
        <v>406</v>
      </c>
      <c r="E75">
        <v>325999</v>
      </c>
      <c r="F75" t="s">
        <v>396</v>
      </c>
      <c r="G75" t="s">
        <v>397</v>
      </c>
      <c r="H75" t="s">
        <v>79</v>
      </c>
      <c r="I75" t="s">
        <v>407</v>
      </c>
      <c r="J75" t="s">
        <v>408</v>
      </c>
      <c r="K75" t="s">
        <v>409</v>
      </c>
      <c r="L75" t="s">
        <v>89</v>
      </c>
      <c r="M75" t="s">
        <v>90</v>
      </c>
      <c r="N75" t="s">
        <v>91</v>
      </c>
      <c r="O75" t="s">
        <v>92</v>
      </c>
      <c r="P75">
        <v>6.2E-2</v>
      </c>
      <c r="Q75" t="s">
        <v>29</v>
      </c>
      <c r="R75" t="s">
        <v>30</v>
      </c>
      <c r="S75" t="s">
        <v>6936</v>
      </c>
    </row>
    <row r="76" spans="1:19" x14ac:dyDescent="0.25">
      <c r="A76">
        <v>2002</v>
      </c>
      <c r="B76">
        <v>1260</v>
      </c>
      <c r="C76" t="s">
        <v>410</v>
      </c>
      <c r="E76">
        <v>325999</v>
      </c>
      <c r="F76" t="s">
        <v>396</v>
      </c>
      <c r="G76" t="s">
        <v>397</v>
      </c>
      <c r="H76" t="s">
        <v>21</v>
      </c>
      <c r="I76" t="s">
        <v>411</v>
      </c>
      <c r="J76" t="s">
        <v>412</v>
      </c>
      <c r="K76" t="s">
        <v>412</v>
      </c>
      <c r="L76" t="s">
        <v>89</v>
      </c>
      <c r="M76" t="s">
        <v>90</v>
      </c>
      <c r="N76" t="s">
        <v>166</v>
      </c>
      <c r="O76" t="s">
        <v>167</v>
      </c>
      <c r="P76">
        <v>11.114000000000001</v>
      </c>
      <c r="Q76" t="s">
        <v>29</v>
      </c>
      <c r="R76" t="s">
        <v>30</v>
      </c>
      <c r="S76" t="s">
        <v>6936</v>
      </c>
    </row>
    <row r="77" spans="1:19" x14ac:dyDescent="0.25">
      <c r="A77">
        <v>2016</v>
      </c>
      <c r="B77">
        <v>1788</v>
      </c>
      <c r="C77" t="s">
        <v>413</v>
      </c>
      <c r="D77" t="s">
        <v>248</v>
      </c>
      <c r="E77">
        <v>325210</v>
      </c>
      <c r="F77" t="s">
        <v>414</v>
      </c>
      <c r="G77" t="s">
        <v>415</v>
      </c>
      <c r="H77" t="s">
        <v>21</v>
      </c>
      <c r="I77" t="s">
        <v>80</v>
      </c>
      <c r="J77" t="s">
        <v>81</v>
      </c>
      <c r="K77" t="s">
        <v>82</v>
      </c>
      <c r="L77" t="s">
        <v>89</v>
      </c>
      <c r="M77" t="s">
        <v>90</v>
      </c>
      <c r="N77" t="s">
        <v>166</v>
      </c>
      <c r="O77" t="s">
        <v>167</v>
      </c>
      <c r="P77">
        <v>769.26</v>
      </c>
      <c r="Q77" t="s">
        <v>29</v>
      </c>
      <c r="R77" t="s">
        <v>30</v>
      </c>
      <c r="S77" t="s">
        <v>6936</v>
      </c>
    </row>
    <row r="78" spans="1:19" x14ac:dyDescent="0.25">
      <c r="A78">
        <v>1995</v>
      </c>
      <c r="B78">
        <v>4424</v>
      </c>
      <c r="C78" t="s">
        <v>416</v>
      </c>
      <c r="D78" t="s">
        <v>417</v>
      </c>
      <c r="E78">
        <v>331221</v>
      </c>
      <c r="F78" t="s">
        <v>418</v>
      </c>
      <c r="G78" t="s">
        <v>419</v>
      </c>
      <c r="H78" t="s">
        <v>21</v>
      </c>
      <c r="I78" t="s">
        <v>62</v>
      </c>
      <c r="J78" t="s">
        <v>63</v>
      </c>
      <c r="K78" t="s">
        <v>64</v>
      </c>
      <c r="L78" t="s">
        <v>89</v>
      </c>
      <c r="M78" t="s">
        <v>90</v>
      </c>
      <c r="N78" t="s">
        <v>100</v>
      </c>
      <c r="O78" t="s">
        <v>101</v>
      </c>
      <c r="P78">
        <v>2.0000000000000001E-4</v>
      </c>
      <c r="Q78" t="s">
        <v>29</v>
      </c>
      <c r="R78" t="s">
        <v>30</v>
      </c>
      <c r="S78" t="s">
        <v>6936</v>
      </c>
    </row>
    <row r="79" spans="1:19" x14ac:dyDescent="0.25">
      <c r="A79">
        <v>2010</v>
      </c>
      <c r="B79">
        <v>3707</v>
      </c>
      <c r="C79" t="s">
        <v>125</v>
      </c>
      <c r="D79" t="s">
        <v>195</v>
      </c>
      <c r="E79">
        <v>324110</v>
      </c>
      <c r="F79" t="s">
        <v>95</v>
      </c>
      <c r="G79" t="s">
        <v>96</v>
      </c>
      <c r="H79" t="s">
        <v>85</v>
      </c>
      <c r="I79" t="s">
        <v>420</v>
      </c>
      <c r="J79" t="s">
        <v>421</v>
      </c>
      <c r="K79" t="s">
        <v>422</v>
      </c>
      <c r="L79" t="s">
        <v>25</v>
      </c>
      <c r="M79" t="s">
        <v>26</v>
      </c>
      <c r="N79" t="s">
        <v>73</v>
      </c>
      <c r="O79" t="s">
        <v>74</v>
      </c>
      <c r="P79">
        <v>8</v>
      </c>
      <c r="Q79" t="s">
        <v>40</v>
      </c>
      <c r="R79" t="s">
        <v>30</v>
      </c>
      <c r="S79" t="s">
        <v>6936</v>
      </c>
    </row>
    <row r="80" spans="1:19" x14ac:dyDescent="0.25">
      <c r="A80">
        <v>2007</v>
      </c>
      <c r="B80">
        <v>1372</v>
      </c>
      <c r="C80" t="s">
        <v>423</v>
      </c>
      <c r="D80" t="s">
        <v>424</v>
      </c>
      <c r="E80">
        <v>211113</v>
      </c>
      <c r="F80" t="s">
        <v>425</v>
      </c>
      <c r="G80" t="s">
        <v>426</v>
      </c>
      <c r="H80" t="s">
        <v>85</v>
      </c>
      <c r="I80" t="s">
        <v>427</v>
      </c>
      <c r="J80" t="s">
        <v>428</v>
      </c>
      <c r="K80" t="s">
        <v>429</v>
      </c>
      <c r="L80" t="s">
        <v>25</v>
      </c>
      <c r="M80" t="s">
        <v>26</v>
      </c>
      <c r="N80" t="s">
        <v>380</v>
      </c>
      <c r="O80" t="s">
        <v>381</v>
      </c>
      <c r="P80">
        <v>0.626</v>
      </c>
      <c r="Q80" t="s">
        <v>29</v>
      </c>
      <c r="R80" t="s">
        <v>430</v>
      </c>
      <c r="S80" t="s">
        <v>6936</v>
      </c>
    </row>
    <row r="81" spans="1:19" x14ac:dyDescent="0.25">
      <c r="A81">
        <v>2016</v>
      </c>
      <c r="B81">
        <v>1154</v>
      </c>
      <c r="C81" t="s">
        <v>431</v>
      </c>
      <c r="D81" t="s">
        <v>432</v>
      </c>
      <c r="E81">
        <v>418410</v>
      </c>
      <c r="F81" t="s">
        <v>433</v>
      </c>
      <c r="G81" t="s">
        <v>434</v>
      </c>
      <c r="H81" t="s">
        <v>21</v>
      </c>
      <c r="I81" t="s">
        <v>435</v>
      </c>
      <c r="J81" t="s">
        <v>436</v>
      </c>
      <c r="K81" t="s">
        <v>437</v>
      </c>
      <c r="L81" t="s">
        <v>89</v>
      </c>
      <c r="M81" t="s">
        <v>90</v>
      </c>
      <c r="N81" t="s">
        <v>166</v>
      </c>
      <c r="O81" t="s">
        <v>167</v>
      </c>
      <c r="P81">
        <v>7.2999999999999995E-2</v>
      </c>
      <c r="Q81" t="s">
        <v>29</v>
      </c>
      <c r="R81" t="s">
        <v>30</v>
      </c>
      <c r="S81" t="s">
        <v>6936</v>
      </c>
    </row>
    <row r="82" spans="1:19" x14ac:dyDescent="0.25">
      <c r="A82">
        <v>2000</v>
      </c>
      <c r="B82">
        <v>2815</v>
      </c>
      <c r="C82" t="s">
        <v>438</v>
      </c>
      <c r="D82" t="s">
        <v>439</v>
      </c>
      <c r="E82">
        <v>212233</v>
      </c>
      <c r="F82" t="s">
        <v>440</v>
      </c>
      <c r="G82" t="s">
        <v>441</v>
      </c>
      <c r="H82" t="s">
        <v>21</v>
      </c>
      <c r="I82" t="s">
        <v>152</v>
      </c>
      <c r="J82" t="s">
        <v>153</v>
      </c>
      <c r="K82" t="s">
        <v>154</v>
      </c>
      <c r="L82" t="s">
        <v>25</v>
      </c>
      <c r="M82" t="s">
        <v>26</v>
      </c>
      <c r="N82" t="s">
        <v>38</v>
      </c>
      <c r="O82" t="s">
        <v>39</v>
      </c>
      <c r="P82">
        <v>8.9</v>
      </c>
      <c r="Q82" t="s">
        <v>29</v>
      </c>
      <c r="R82" t="s">
        <v>442</v>
      </c>
      <c r="S82" t="s">
        <v>6936</v>
      </c>
    </row>
    <row r="83" spans="1:19" x14ac:dyDescent="0.25">
      <c r="A83">
        <v>2018</v>
      </c>
      <c r="B83">
        <v>1464</v>
      </c>
      <c r="C83" t="s">
        <v>194</v>
      </c>
      <c r="D83" t="s">
        <v>443</v>
      </c>
      <c r="E83">
        <v>325110</v>
      </c>
      <c r="F83" t="s">
        <v>444</v>
      </c>
      <c r="G83" t="s">
        <v>445</v>
      </c>
      <c r="H83" t="s">
        <v>21</v>
      </c>
      <c r="I83" t="s">
        <v>446</v>
      </c>
      <c r="J83" t="s">
        <v>447</v>
      </c>
      <c r="K83" t="s">
        <v>448</v>
      </c>
      <c r="L83" t="s">
        <v>25</v>
      </c>
      <c r="M83" t="s">
        <v>26</v>
      </c>
      <c r="N83" t="s">
        <v>73</v>
      </c>
      <c r="O83" t="s">
        <v>74</v>
      </c>
      <c r="P83">
        <v>320.89999999999998</v>
      </c>
      <c r="Q83" t="s">
        <v>40</v>
      </c>
      <c r="R83" t="s">
        <v>124</v>
      </c>
      <c r="S83" t="s">
        <v>6936</v>
      </c>
    </row>
    <row r="84" spans="1:19" x14ac:dyDescent="0.25">
      <c r="A84">
        <v>2011</v>
      </c>
      <c r="B84">
        <v>1083</v>
      </c>
      <c r="C84" t="s">
        <v>449</v>
      </c>
      <c r="D84" t="s">
        <v>450</v>
      </c>
      <c r="E84">
        <v>326290</v>
      </c>
      <c r="F84" t="s">
        <v>451</v>
      </c>
      <c r="G84" t="s">
        <v>452</v>
      </c>
      <c r="H84" t="s">
        <v>79</v>
      </c>
      <c r="I84" t="s">
        <v>407</v>
      </c>
      <c r="J84" t="s">
        <v>408</v>
      </c>
      <c r="K84" t="s">
        <v>409</v>
      </c>
      <c r="L84" t="s">
        <v>25</v>
      </c>
      <c r="M84" t="s">
        <v>26</v>
      </c>
      <c r="N84" t="s">
        <v>155</v>
      </c>
      <c r="O84" t="s">
        <v>156</v>
      </c>
      <c r="P84">
        <v>12.81</v>
      </c>
      <c r="Q84" t="s">
        <v>29</v>
      </c>
      <c r="R84" t="s">
        <v>50</v>
      </c>
      <c r="S84" t="s">
        <v>6936</v>
      </c>
    </row>
    <row r="85" spans="1:19" x14ac:dyDescent="0.25">
      <c r="A85">
        <v>2000</v>
      </c>
      <c r="B85">
        <v>3832</v>
      </c>
      <c r="C85" t="s">
        <v>453</v>
      </c>
      <c r="D85" t="s">
        <v>454</v>
      </c>
      <c r="E85">
        <v>481110</v>
      </c>
      <c r="F85" t="s">
        <v>455</v>
      </c>
      <c r="G85" t="s">
        <v>456</v>
      </c>
      <c r="H85" t="s">
        <v>85</v>
      </c>
      <c r="I85" t="s">
        <v>331</v>
      </c>
      <c r="J85" t="s">
        <v>332</v>
      </c>
      <c r="K85" t="s">
        <v>333</v>
      </c>
      <c r="L85" t="s">
        <v>89</v>
      </c>
      <c r="M85" t="s">
        <v>90</v>
      </c>
      <c r="N85" t="s">
        <v>100</v>
      </c>
      <c r="O85" t="s">
        <v>101</v>
      </c>
      <c r="P85">
        <v>55.335000000000001</v>
      </c>
      <c r="Q85" t="s">
        <v>29</v>
      </c>
      <c r="R85" t="s">
        <v>442</v>
      </c>
      <c r="S85" t="s">
        <v>6936</v>
      </c>
    </row>
    <row r="86" spans="1:19" x14ac:dyDescent="0.25">
      <c r="A86">
        <v>2011</v>
      </c>
      <c r="B86">
        <v>3120</v>
      </c>
      <c r="C86" t="s">
        <v>457</v>
      </c>
      <c r="D86" t="s">
        <v>458</v>
      </c>
      <c r="E86">
        <v>332118</v>
      </c>
      <c r="F86" t="s">
        <v>459</v>
      </c>
      <c r="G86" t="s">
        <v>460</v>
      </c>
      <c r="H86" t="s">
        <v>21</v>
      </c>
      <c r="I86" t="s">
        <v>461</v>
      </c>
      <c r="J86" t="s">
        <v>462</v>
      </c>
      <c r="K86" t="s">
        <v>463</v>
      </c>
      <c r="L86" t="s">
        <v>89</v>
      </c>
      <c r="M86" t="s">
        <v>90</v>
      </c>
      <c r="N86" t="s">
        <v>91</v>
      </c>
      <c r="O86" t="s">
        <v>92</v>
      </c>
      <c r="P86">
        <v>13.91</v>
      </c>
      <c r="Q86" t="s">
        <v>40</v>
      </c>
      <c r="R86" t="s">
        <v>124</v>
      </c>
      <c r="S86" t="s">
        <v>6936</v>
      </c>
    </row>
    <row r="87" spans="1:19" x14ac:dyDescent="0.25">
      <c r="A87">
        <v>2009</v>
      </c>
      <c r="B87">
        <v>2517</v>
      </c>
      <c r="C87" t="s">
        <v>464</v>
      </c>
      <c r="D87" t="s">
        <v>465</v>
      </c>
      <c r="E87">
        <v>321114</v>
      </c>
      <c r="F87" t="s">
        <v>365</v>
      </c>
      <c r="G87" t="s">
        <v>366</v>
      </c>
      <c r="H87" t="s">
        <v>85</v>
      </c>
      <c r="I87" t="s">
        <v>177</v>
      </c>
      <c r="J87" t="s">
        <v>178</v>
      </c>
      <c r="K87" t="s">
        <v>179</v>
      </c>
      <c r="L87" t="s">
        <v>89</v>
      </c>
      <c r="M87" t="s">
        <v>90</v>
      </c>
      <c r="N87" t="s">
        <v>100</v>
      </c>
      <c r="O87" t="s">
        <v>101</v>
      </c>
      <c r="P87">
        <v>0</v>
      </c>
      <c r="Q87" t="s">
        <v>29</v>
      </c>
      <c r="R87" t="s">
        <v>124</v>
      </c>
      <c r="S87" t="s">
        <v>6936</v>
      </c>
    </row>
    <row r="88" spans="1:19" x14ac:dyDescent="0.25">
      <c r="A88">
        <v>1998</v>
      </c>
      <c r="B88">
        <v>3458</v>
      </c>
      <c r="C88" t="s">
        <v>466</v>
      </c>
      <c r="D88" t="s">
        <v>467</v>
      </c>
      <c r="E88">
        <v>325510</v>
      </c>
      <c r="F88" t="s">
        <v>143</v>
      </c>
      <c r="G88" t="s">
        <v>112</v>
      </c>
      <c r="H88" t="s">
        <v>21</v>
      </c>
      <c r="I88" t="s">
        <v>427</v>
      </c>
      <c r="J88" t="s">
        <v>428</v>
      </c>
      <c r="K88" t="s">
        <v>429</v>
      </c>
      <c r="L88" t="s">
        <v>89</v>
      </c>
      <c r="M88" t="s">
        <v>90</v>
      </c>
      <c r="N88" t="s">
        <v>166</v>
      </c>
      <c r="O88" t="s">
        <v>167</v>
      </c>
      <c r="P88">
        <v>8.1359999999999992</v>
      </c>
      <c r="Q88" t="s">
        <v>29</v>
      </c>
      <c r="R88" t="s">
        <v>30</v>
      </c>
      <c r="S88" t="s">
        <v>6936</v>
      </c>
    </row>
    <row r="89" spans="1:19" x14ac:dyDescent="0.25">
      <c r="A89">
        <v>2017</v>
      </c>
      <c r="B89">
        <v>3704</v>
      </c>
      <c r="C89" t="s">
        <v>194</v>
      </c>
      <c r="D89" t="s">
        <v>468</v>
      </c>
      <c r="E89">
        <v>324110</v>
      </c>
      <c r="F89" t="s">
        <v>196</v>
      </c>
      <c r="G89" t="s">
        <v>96</v>
      </c>
      <c r="H89" t="s">
        <v>21</v>
      </c>
      <c r="I89" t="s">
        <v>469</v>
      </c>
      <c r="J89" t="s">
        <v>470</v>
      </c>
      <c r="K89" t="s">
        <v>471</v>
      </c>
      <c r="L89" t="s">
        <v>89</v>
      </c>
      <c r="M89" t="s">
        <v>90</v>
      </c>
      <c r="N89" t="s">
        <v>472</v>
      </c>
      <c r="O89" t="s">
        <v>473</v>
      </c>
      <c r="P89">
        <v>1.7500000000000002E-2</v>
      </c>
      <c r="Q89" t="s">
        <v>40</v>
      </c>
      <c r="R89" t="s">
        <v>124</v>
      </c>
      <c r="S89" t="s">
        <v>6936</v>
      </c>
    </row>
    <row r="90" spans="1:19" x14ac:dyDescent="0.25">
      <c r="A90">
        <v>1998</v>
      </c>
      <c r="B90">
        <v>2346</v>
      </c>
      <c r="C90" t="s">
        <v>474</v>
      </c>
      <c r="D90" t="s">
        <v>475</v>
      </c>
      <c r="E90">
        <v>419120</v>
      </c>
      <c r="F90" t="s">
        <v>476</v>
      </c>
      <c r="G90" t="s">
        <v>477</v>
      </c>
      <c r="H90" t="s">
        <v>21</v>
      </c>
      <c r="I90" t="s">
        <v>478</v>
      </c>
      <c r="J90" t="s">
        <v>479</v>
      </c>
      <c r="K90" t="s">
        <v>480</v>
      </c>
      <c r="L90" t="s">
        <v>89</v>
      </c>
      <c r="M90" t="s">
        <v>90</v>
      </c>
      <c r="N90" t="s">
        <v>166</v>
      </c>
      <c r="O90" t="s">
        <v>167</v>
      </c>
      <c r="P90">
        <v>0.502</v>
      </c>
      <c r="Q90" t="s">
        <v>29</v>
      </c>
      <c r="R90" t="s">
        <v>442</v>
      </c>
      <c r="S90" t="s">
        <v>6936</v>
      </c>
    </row>
    <row r="91" spans="1:19" x14ac:dyDescent="0.25">
      <c r="A91">
        <v>2005</v>
      </c>
      <c r="B91">
        <v>4840</v>
      </c>
      <c r="C91" t="s">
        <v>481</v>
      </c>
      <c r="D91" t="s">
        <v>482</v>
      </c>
      <c r="E91">
        <v>332999</v>
      </c>
      <c r="F91" t="s">
        <v>309</v>
      </c>
      <c r="G91" t="s">
        <v>304</v>
      </c>
      <c r="H91" t="s">
        <v>483</v>
      </c>
      <c r="I91" t="s">
        <v>461</v>
      </c>
      <c r="J91" t="s">
        <v>462</v>
      </c>
      <c r="K91" t="s">
        <v>463</v>
      </c>
      <c r="L91" t="s">
        <v>89</v>
      </c>
      <c r="M91" t="s">
        <v>90</v>
      </c>
      <c r="N91" t="s">
        <v>91</v>
      </c>
      <c r="O91" t="s">
        <v>92</v>
      </c>
      <c r="P91">
        <v>533</v>
      </c>
      <c r="Q91" t="s">
        <v>40</v>
      </c>
      <c r="R91" t="s">
        <v>50</v>
      </c>
      <c r="S91" t="s">
        <v>6936</v>
      </c>
    </row>
    <row r="92" spans="1:19" x14ac:dyDescent="0.25">
      <c r="A92">
        <v>2012</v>
      </c>
      <c r="B92">
        <v>1096</v>
      </c>
      <c r="C92" t="s">
        <v>484</v>
      </c>
      <c r="D92" t="s">
        <v>485</v>
      </c>
      <c r="E92">
        <v>418410</v>
      </c>
      <c r="F92" t="s">
        <v>433</v>
      </c>
      <c r="G92" t="s">
        <v>434</v>
      </c>
      <c r="H92" t="s">
        <v>21</v>
      </c>
      <c r="I92" t="s">
        <v>486</v>
      </c>
      <c r="J92" t="s">
        <v>487</v>
      </c>
      <c r="K92" t="s">
        <v>488</v>
      </c>
      <c r="L92" t="s">
        <v>89</v>
      </c>
      <c r="M92" t="s">
        <v>90</v>
      </c>
      <c r="N92" t="s">
        <v>166</v>
      </c>
      <c r="O92" t="s">
        <v>167</v>
      </c>
      <c r="P92">
        <v>0.2</v>
      </c>
      <c r="Q92" t="s">
        <v>29</v>
      </c>
      <c r="R92" t="s">
        <v>30</v>
      </c>
      <c r="S92" t="s">
        <v>6936</v>
      </c>
    </row>
    <row r="93" spans="1:19" x14ac:dyDescent="0.25">
      <c r="A93">
        <v>2023</v>
      </c>
      <c r="B93">
        <v>23752</v>
      </c>
      <c r="C93" t="s">
        <v>489</v>
      </c>
      <c r="D93" t="s">
        <v>490</v>
      </c>
      <c r="E93">
        <v>211110</v>
      </c>
      <c r="F93" t="s">
        <v>233</v>
      </c>
      <c r="G93" t="s">
        <v>234</v>
      </c>
      <c r="H93" t="s">
        <v>69</v>
      </c>
      <c r="I93" t="s">
        <v>491</v>
      </c>
      <c r="J93" t="s">
        <v>492</v>
      </c>
      <c r="K93" t="s">
        <v>492</v>
      </c>
      <c r="L93" t="s">
        <v>25</v>
      </c>
      <c r="M93" t="s">
        <v>26</v>
      </c>
      <c r="N93" t="s">
        <v>73</v>
      </c>
      <c r="O93" t="s">
        <v>74</v>
      </c>
      <c r="P93">
        <v>9.5343999999999998E-2</v>
      </c>
      <c r="Q93" t="s">
        <v>29</v>
      </c>
      <c r="R93" t="s">
        <v>30</v>
      </c>
      <c r="S93" t="s">
        <v>6936</v>
      </c>
    </row>
    <row r="94" spans="1:19" x14ac:dyDescent="0.25">
      <c r="A94">
        <v>2020</v>
      </c>
      <c r="B94">
        <v>5936</v>
      </c>
      <c r="C94" t="s">
        <v>493</v>
      </c>
      <c r="D94" t="s">
        <v>494</v>
      </c>
      <c r="E94">
        <v>339110</v>
      </c>
      <c r="F94" t="s">
        <v>495</v>
      </c>
      <c r="G94" t="s">
        <v>496</v>
      </c>
      <c r="H94" t="s">
        <v>21</v>
      </c>
      <c r="I94" t="s">
        <v>45</v>
      </c>
      <c r="J94" t="s">
        <v>46</v>
      </c>
      <c r="K94" t="s">
        <v>47</v>
      </c>
      <c r="L94" t="s">
        <v>89</v>
      </c>
      <c r="M94" t="s">
        <v>90</v>
      </c>
      <c r="N94" t="s">
        <v>120</v>
      </c>
      <c r="O94" t="s">
        <v>121</v>
      </c>
      <c r="P94">
        <v>0</v>
      </c>
      <c r="Q94" t="s">
        <v>29</v>
      </c>
      <c r="R94" t="s">
        <v>30</v>
      </c>
      <c r="S94" t="s">
        <v>6936</v>
      </c>
    </row>
    <row r="95" spans="1:19" x14ac:dyDescent="0.25">
      <c r="A95">
        <v>2021</v>
      </c>
      <c r="B95">
        <v>2083</v>
      </c>
      <c r="C95" t="s">
        <v>497</v>
      </c>
      <c r="D95" t="s">
        <v>498</v>
      </c>
      <c r="E95">
        <v>221112</v>
      </c>
      <c r="F95" t="s">
        <v>499</v>
      </c>
      <c r="G95" t="s">
        <v>135</v>
      </c>
      <c r="H95" t="s">
        <v>243</v>
      </c>
      <c r="I95" t="s">
        <v>500</v>
      </c>
      <c r="J95" t="s">
        <v>501</v>
      </c>
      <c r="K95" t="s">
        <v>502</v>
      </c>
      <c r="L95" t="s">
        <v>25</v>
      </c>
      <c r="M95" t="s">
        <v>26</v>
      </c>
      <c r="N95" t="s">
        <v>155</v>
      </c>
      <c r="O95" t="s">
        <v>156</v>
      </c>
      <c r="P95">
        <v>371.22199999999998</v>
      </c>
      <c r="Q95" t="s">
        <v>40</v>
      </c>
      <c r="R95" t="s">
        <v>124</v>
      </c>
      <c r="S95" t="s">
        <v>6936</v>
      </c>
    </row>
    <row r="96" spans="1:19" x14ac:dyDescent="0.25">
      <c r="A96">
        <v>2012</v>
      </c>
      <c r="B96">
        <v>5308</v>
      </c>
      <c r="C96" t="s">
        <v>144</v>
      </c>
      <c r="D96" t="s">
        <v>503</v>
      </c>
      <c r="E96">
        <v>221320</v>
      </c>
      <c r="F96" t="s">
        <v>146</v>
      </c>
      <c r="G96" t="s">
        <v>147</v>
      </c>
      <c r="H96" t="s">
        <v>85</v>
      </c>
      <c r="I96" t="s">
        <v>504</v>
      </c>
      <c r="J96" t="s">
        <v>505</v>
      </c>
      <c r="K96" t="s">
        <v>506</v>
      </c>
      <c r="L96" t="s">
        <v>89</v>
      </c>
      <c r="M96" t="s">
        <v>90</v>
      </c>
      <c r="N96" t="s">
        <v>120</v>
      </c>
      <c r="O96" t="s">
        <v>121</v>
      </c>
      <c r="P96">
        <v>862.11800000000005</v>
      </c>
      <c r="Q96" t="s">
        <v>29</v>
      </c>
      <c r="R96" t="s">
        <v>124</v>
      </c>
      <c r="S96" t="s">
        <v>6936</v>
      </c>
    </row>
    <row r="97" spans="1:19" x14ac:dyDescent="0.25">
      <c r="A97">
        <v>2012</v>
      </c>
      <c r="B97">
        <v>3962</v>
      </c>
      <c r="C97" t="s">
        <v>507</v>
      </c>
      <c r="D97" t="s">
        <v>508</v>
      </c>
      <c r="E97">
        <v>324110</v>
      </c>
      <c r="F97" t="s">
        <v>196</v>
      </c>
      <c r="G97" t="s">
        <v>96</v>
      </c>
      <c r="H97" t="s">
        <v>21</v>
      </c>
      <c r="I97" t="s">
        <v>106</v>
      </c>
      <c r="J97" t="s">
        <v>107</v>
      </c>
      <c r="K97" t="s">
        <v>108</v>
      </c>
      <c r="L97" t="s">
        <v>89</v>
      </c>
      <c r="M97" t="s">
        <v>90</v>
      </c>
      <c r="N97" t="s">
        <v>166</v>
      </c>
      <c r="O97" t="s">
        <v>167</v>
      </c>
      <c r="P97">
        <v>1.1088</v>
      </c>
      <c r="Q97" t="s">
        <v>40</v>
      </c>
      <c r="R97" t="s">
        <v>50</v>
      </c>
      <c r="S97" t="s">
        <v>6936</v>
      </c>
    </row>
    <row r="98" spans="1:19" x14ac:dyDescent="0.25">
      <c r="A98">
        <v>2014</v>
      </c>
      <c r="B98">
        <v>3704</v>
      </c>
      <c r="C98" t="s">
        <v>194</v>
      </c>
      <c r="D98" t="s">
        <v>468</v>
      </c>
      <c r="E98">
        <v>324110</v>
      </c>
      <c r="F98" t="s">
        <v>196</v>
      </c>
      <c r="G98" t="s">
        <v>96</v>
      </c>
      <c r="H98" t="s">
        <v>21</v>
      </c>
      <c r="I98" t="s">
        <v>427</v>
      </c>
      <c r="J98" t="s">
        <v>428</v>
      </c>
      <c r="K98" t="s">
        <v>429</v>
      </c>
      <c r="L98" t="s">
        <v>89</v>
      </c>
      <c r="M98" t="s">
        <v>90</v>
      </c>
      <c r="N98" t="s">
        <v>166</v>
      </c>
      <c r="O98" t="s">
        <v>167</v>
      </c>
      <c r="P98">
        <v>1.3602000000000001</v>
      </c>
      <c r="Q98" t="s">
        <v>29</v>
      </c>
      <c r="R98" t="s">
        <v>124</v>
      </c>
      <c r="S98" t="s">
        <v>6936</v>
      </c>
    </row>
    <row r="99" spans="1:19" x14ac:dyDescent="0.25">
      <c r="A99">
        <v>2008</v>
      </c>
      <c r="B99">
        <v>2396</v>
      </c>
      <c r="C99" t="s">
        <v>509</v>
      </c>
      <c r="D99" t="s">
        <v>510</v>
      </c>
      <c r="E99">
        <v>331420</v>
      </c>
      <c r="F99" t="s">
        <v>511</v>
      </c>
      <c r="G99" t="s">
        <v>512</v>
      </c>
      <c r="H99" t="s">
        <v>21</v>
      </c>
      <c r="I99" t="s">
        <v>177</v>
      </c>
      <c r="J99" t="s">
        <v>178</v>
      </c>
      <c r="K99" t="s">
        <v>179</v>
      </c>
      <c r="L99" t="s">
        <v>25</v>
      </c>
      <c r="M99" t="s">
        <v>26</v>
      </c>
      <c r="N99" t="s">
        <v>38</v>
      </c>
      <c r="O99" t="s">
        <v>39</v>
      </c>
      <c r="P99">
        <v>71.563999999999993</v>
      </c>
      <c r="Q99" t="s">
        <v>29</v>
      </c>
      <c r="R99" t="s">
        <v>430</v>
      </c>
      <c r="S99" t="s">
        <v>6936</v>
      </c>
    </row>
    <row r="100" spans="1:19" x14ac:dyDescent="0.25">
      <c r="A100">
        <v>1997</v>
      </c>
      <c r="B100">
        <v>2413</v>
      </c>
      <c r="C100" t="s">
        <v>513</v>
      </c>
      <c r="D100" t="s">
        <v>514</v>
      </c>
      <c r="E100">
        <v>325999</v>
      </c>
      <c r="F100" t="s">
        <v>396</v>
      </c>
      <c r="G100" t="s">
        <v>397</v>
      </c>
      <c r="H100" t="s">
        <v>79</v>
      </c>
      <c r="I100" t="s">
        <v>435</v>
      </c>
      <c r="J100" t="s">
        <v>436</v>
      </c>
      <c r="K100" t="s">
        <v>437</v>
      </c>
      <c r="L100" t="s">
        <v>89</v>
      </c>
      <c r="M100" t="s">
        <v>90</v>
      </c>
      <c r="N100" t="s">
        <v>166</v>
      </c>
      <c r="O100" t="s">
        <v>167</v>
      </c>
      <c r="P100">
        <v>73.8</v>
      </c>
      <c r="Q100" t="s">
        <v>29</v>
      </c>
      <c r="R100" t="s">
        <v>30</v>
      </c>
      <c r="S100" t="s">
        <v>6936</v>
      </c>
    </row>
    <row r="101" spans="1:19" x14ac:dyDescent="0.25">
      <c r="A101">
        <v>2009</v>
      </c>
      <c r="B101">
        <v>10568</v>
      </c>
      <c r="C101" t="s">
        <v>515</v>
      </c>
      <c r="D101" t="s">
        <v>516</v>
      </c>
      <c r="E101">
        <v>331221</v>
      </c>
      <c r="F101" t="s">
        <v>418</v>
      </c>
      <c r="G101" t="s">
        <v>419</v>
      </c>
      <c r="H101" t="s">
        <v>21</v>
      </c>
      <c r="I101" t="s">
        <v>271</v>
      </c>
      <c r="J101" t="s">
        <v>272</v>
      </c>
      <c r="K101" t="s">
        <v>273</v>
      </c>
      <c r="L101" t="s">
        <v>25</v>
      </c>
      <c r="M101" t="s">
        <v>26</v>
      </c>
      <c r="N101" t="s">
        <v>27</v>
      </c>
      <c r="O101" t="s">
        <v>28</v>
      </c>
      <c r="P101">
        <v>2.6</v>
      </c>
      <c r="Q101" t="s">
        <v>29</v>
      </c>
      <c r="R101" t="s">
        <v>50</v>
      </c>
      <c r="S101" t="s">
        <v>6936</v>
      </c>
    </row>
    <row r="102" spans="1:19" x14ac:dyDescent="0.25">
      <c r="A102">
        <v>2006</v>
      </c>
      <c r="B102">
        <v>4377</v>
      </c>
      <c r="C102" t="s">
        <v>517</v>
      </c>
      <c r="D102" t="s">
        <v>517</v>
      </c>
      <c r="E102">
        <v>332999</v>
      </c>
      <c r="F102" t="s">
        <v>309</v>
      </c>
      <c r="G102" t="s">
        <v>304</v>
      </c>
      <c r="H102" t="s">
        <v>79</v>
      </c>
      <c r="I102" t="s">
        <v>177</v>
      </c>
      <c r="J102" t="s">
        <v>178</v>
      </c>
      <c r="K102" t="s">
        <v>179</v>
      </c>
      <c r="L102" t="s">
        <v>25</v>
      </c>
      <c r="M102" t="s">
        <v>26</v>
      </c>
      <c r="N102" t="s">
        <v>288</v>
      </c>
      <c r="O102" t="s">
        <v>289</v>
      </c>
      <c r="P102">
        <v>0</v>
      </c>
      <c r="Q102" t="s">
        <v>29</v>
      </c>
      <c r="R102" t="s">
        <v>50</v>
      </c>
      <c r="S102" t="s">
        <v>6936</v>
      </c>
    </row>
    <row r="103" spans="1:19" x14ac:dyDescent="0.25">
      <c r="A103">
        <v>2019</v>
      </c>
      <c r="B103">
        <v>2656</v>
      </c>
      <c r="C103" t="s">
        <v>518</v>
      </c>
      <c r="D103" t="s">
        <v>519</v>
      </c>
      <c r="E103">
        <v>336390</v>
      </c>
      <c r="F103" t="s">
        <v>182</v>
      </c>
      <c r="G103" t="s">
        <v>61</v>
      </c>
      <c r="H103" t="s">
        <v>21</v>
      </c>
      <c r="I103" t="s">
        <v>520</v>
      </c>
      <c r="J103" t="s">
        <v>521</v>
      </c>
      <c r="K103" t="s">
        <v>522</v>
      </c>
      <c r="L103" t="s">
        <v>25</v>
      </c>
      <c r="M103" t="s">
        <v>26</v>
      </c>
      <c r="N103" t="s">
        <v>27</v>
      </c>
      <c r="O103" t="s">
        <v>28</v>
      </c>
      <c r="P103">
        <v>11.714</v>
      </c>
      <c r="Q103" t="s">
        <v>29</v>
      </c>
      <c r="R103" t="s">
        <v>50</v>
      </c>
      <c r="S103" t="s">
        <v>6936</v>
      </c>
    </row>
    <row r="104" spans="1:19" x14ac:dyDescent="0.25">
      <c r="A104">
        <v>2010</v>
      </c>
      <c r="B104">
        <v>3713</v>
      </c>
      <c r="C104" t="s">
        <v>523</v>
      </c>
      <c r="D104" t="s">
        <v>524</v>
      </c>
      <c r="E104">
        <v>331110</v>
      </c>
      <c r="F104" t="s">
        <v>335</v>
      </c>
      <c r="G104" t="s">
        <v>336</v>
      </c>
      <c r="H104" t="s">
        <v>21</v>
      </c>
      <c r="I104" t="s">
        <v>525</v>
      </c>
      <c r="J104" t="s">
        <v>526</v>
      </c>
      <c r="K104" t="s">
        <v>527</v>
      </c>
      <c r="L104" t="s">
        <v>25</v>
      </c>
      <c r="M104" t="s">
        <v>26</v>
      </c>
      <c r="N104" t="s">
        <v>38</v>
      </c>
      <c r="O104" t="s">
        <v>39</v>
      </c>
      <c r="P104">
        <v>2.5206</v>
      </c>
      <c r="Q104" t="s">
        <v>29</v>
      </c>
      <c r="R104" t="s">
        <v>50</v>
      </c>
      <c r="S104" t="s">
        <v>6936</v>
      </c>
    </row>
    <row r="105" spans="1:19" x14ac:dyDescent="0.25">
      <c r="A105">
        <v>2017</v>
      </c>
      <c r="B105">
        <v>3564</v>
      </c>
      <c r="C105" t="s">
        <v>528</v>
      </c>
      <c r="D105" t="s">
        <v>529</v>
      </c>
      <c r="E105">
        <v>562920</v>
      </c>
      <c r="F105" t="s">
        <v>329</v>
      </c>
      <c r="G105" t="s">
        <v>330</v>
      </c>
      <c r="H105" t="s">
        <v>79</v>
      </c>
      <c r="I105" t="s">
        <v>271</v>
      </c>
      <c r="J105" t="s">
        <v>272</v>
      </c>
      <c r="K105" t="s">
        <v>273</v>
      </c>
      <c r="L105" t="s">
        <v>25</v>
      </c>
      <c r="M105" t="s">
        <v>26</v>
      </c>
      <c r="N105" t="s">
        <v>48</v>
      </c>
      <c r="O105" t="s">
        <v>49</v>
      </c>
      <c r="P105">
        <v>123</v>
      </c>
      <c r="Q105" t="s">
        <v>29</v>
      </c>
      <c r="R105" t="s">
        <v>258</v>
      </c>
      <c r="S105" t="s">
        <v>6936</v>
      </c>
    </row>
    <row r="106" spans="1:19" x14ac:dyDescent="0.25">
      <c r="A106">
        <v>2020</v>
      </c>
      <c r="B106">
        <v>4410</v>
      </c>
      <c r="C106" t="s">
        <v>530</v>
      </c>
      <c r="D106" t="s">
        <v>531</v>
      </c>
      <c r="E106">
        <v>325210</v>
      </c>
      <c r="F106" t="s">
        <v>414</v>
      </c>
      <c r="G106" t="s">
        <v>415</v>
      </c>
      <c r="H106" t="s">
        <v>21</v>
      </c>
      <c r="I106" t="s">
        <v>532</v>
      </c>
      <c r="J106" t="s">
        <v>533</v>
      </c>
      <c r="K106" t="s">
        <v>533</v>
      </c>
      <c r="L106" t="s">
        <v>25</v>
      </c>
      <c r="M106" t="s">
        <v>26</v>
      </c>
      <c r="N106" t="s">
        <v>155</v>
      </c>
      <c r="O106" t="s">
        <v>156</v>
      </c>
      <c r="P106">
        <v>0</v>
      </c>
      <c r="Q106" t="s">
        <v>29</v>
      </c>
      <c r="R106" t="s">
        <v>30</v>
      </c>
      <c r="S106" t="s">
        <v>6936</v>
      </c>
    </row>
    <row r="107" spans="1:19" x14ac:dyDescent="0.25">
      <c r="A107">
        <v>2017</v>
      </c>
      <c r="B107">
        <v>10218</v>
      </c>
      <c r="C107" t="s">
        <v>125</v>
      </c>
      <c r="D107" t="s">
        <v>534</v>
      </c>
      <c r="E107">
        <v>412110</v>
      </c>
      <c r="F107" t="s">
        <v>127</v>
      </c>
      <c r="G107" t="s">
        <v>128</v>
      </c>
      <c r="H107" t="s">
        <v>85</v>
      </c>
      <c r="I107" t="s">
        <v>535</v>
      </c>
      <c r="J107" t="s">
        <v>536</v>
      </c>
      <c r="K107" t="s">
        <v>537</v>
      </c>
      <c r="L107" t="s">
        <v>25</v>
      </c>
      <c r="M107" t="s">
        <v>26</v>
      </c>
      <c r="N107" t="s">
        <v>155</v>
      </c>
      <c r="O107" t="s">
        <v>156</v>
      </c>
      <c r="P107">
        <v>2.5999999999999999E-2</v>
      </c>
      <c r="Q107" t="s">
        <v>40</v>
      </c>
      <c r="R107" t="s">
        <v>30</v>
      </c>
      <c r="S107" t="s">
        <v>6936</v>
      </c>
    </row>
    <row r="108" spans="1:19" x14ac:dyDescent="0.25">
      <c r="A108">
        <v>2006</v>
      </c>
      <c r="B108">
        <v>17331</v>
      </c>
      <c r="C108" t="s">
        <v>538</v>
      </c>
      <c r="D108" t="s">
        <v>539</v>
      </c>
      <c r="E108">
        <v>486110</v>
      </c>
      <c r="F108" t="s">
        <v>540</v>
      </c>
      <c r="G108" t="s">
        <v>541</v>
      </c>
      <c r="H108" t="s">
        <v>243</v>
      </c>
      <c r="I108" t="s">
        <v>491</v>
      </c>
      <c r="J108" t="s">
        <v>492</v>
      </c>
      <c r="K108" t="s">
        <v>492</v>
      </c>
      <c r="L108" t="s">
        <v>25</v>
      </c>
      <c r="M108" t="s">
        <v>26</v>
      </c>
      <c r="N108" t="s">
        <v>380</v>
      </c>
      <c r="O108" t="s">
        <v>381</v>
      </c>
      <c r="P108">
        <v>1.8140000000000001</v>
      </c>
      <c r="Q108" t="s">
        <v>29</v>
      </c>
      <c r="S108" t="s">
        <v>6936</v>
      </c>
    </row>
    <row r="109" spans="1:19" x14ac:dyDescent="0.25">
      <c r="A109">
        <v>2018</v>
      </c>
      <c r="B109">
        <v>10237</v>
      </c>
      <c r="C109" t="s">
        <v>125</v>
      </c>
      <c r="D109" t="s">
        <v>542</v>
      </c>
      <c r="E109">
        <v>412110</v>
      </c>
      <c r="F109" t="s">
        <v>127</v>
      </c>
      <c r="G109" t="s">
        <v>128</v>
      </c>
      <c r="H109" t="s">
        <v>54</v>
      </c>
      <c r="I109" t="s">
        <v>543</v>
      </c>
      <c r="J109" t="s">
        <v>544</v>
      </c>
      <c r="K109" t="s">
        <v>545</v>
      </c>
      <c r="L109" t="s">
        <v>89</v>
      </c>
      <c r="M109" t="s">
        <v>90</v>
      </c>
      <c r="N109" t="s">
        <v>166</v>
      </c>
      <c r="O109" t="s">
        <v>167</v>
      </c>
      <c r="P109">
        <v>3.7805</v>
      </c>
      <c r="Q109" t="s">
        <v>40</v>
      </c>
      <c r="R109" t="s">
        <v>30</v>
      </c>
      <c r="S109" t="s">
        <v>6936</v>
      </c>
    </row>
    <row r="110" spans="1:19" x14ac:dyDescent="0.25">
      <c r="A110">
        <v>2012</v>
      </c>
      <c r="B110">
        <v>477</v>
      </c>
      <c r="C110" t="s">
        <v>546</v>
      </c>
      <c r="D110" t="s">
        <v>547</v>
      </c>
      <c r="E110">
        <v>325999</v>
      </c>
      <c r="F110" t="s">
        <v>548</v>
      </c>
      <c r="G110" t="s">
        <v>397</v>
      </c>
      <c r="H110" t="s">
        <v>21</v>
      </c>
      <c r="I110" t="s">
        <v>80</v>
      </c>
      <c r="J110" t="s">
        <v>81</v>
      </c>
      <c r="K110" t="s">
        <v>82</v>
      </c>
      <c r="L110" t="s">
        <v>89</v>
      </c>
      <c r="M110" t="s">
        <v>90</v>
      </c>
      <c r="N110" t="s">
        <v>166</v>
      </c>
      <c r="O110" t="s">
        <v>167</v>
      </c>
      <c r="P110">
        <v>3.125</v>
      </c>
      <c r="Q110" t="s">
        <v>29</v>
      </c>
      <c r="R110" t="s">
        <v>50</v>
      </c>
      <c r="S110" t="s">
        <v>6936</v>
      </c>
    </row>
    <row r="111" spans="1:19" x14ac:dyDescent="0.25">
      <c r="A111">
        <v>2007</v>
      </c>
      <c r="B111">
        <v>10455</v>
      </c>
      <c r="C111" t="s">
        <v>549</v>
      </c>
      <c r="D111" t="s">
        <v>550</v>
      </c>
      <c r="E111">
        <v>332999</v>
      </c>
      <c r="F111" t="s">
        <v>309</v>
      </c>
      <c r="G111" t="s">
        <v>304</v>
      </c>
      <c r="H111" t="s">
        <v>21</v>
      </c>
      <c r="I111" t="s">
        <v>324</v>
      </c>
      <c r="J111" t="s">
        <v>325</v>
      </c>
      <c r="K111" t="s">
        <v>326</v>
      </c>
      <c r="L111" t="s">
        <v>25</v>
      </c>
      <c r="M111" t="s">
        <v>26</v>
      </c>
      <c r="N111" t="s">
        <v>38</v>
      </c>
      <c r="O111" t="s">
        <v>39</v>
      </c>
      <c r="P111">
        <v>62</v>
      </c>
      <c r="Q111" t="s">
        <v>40</v>
      </c>
      <c r="R111" t="s">
        <v>50</v>
      </c>
      <c r="S111" t="s">
        <v>6936</v>
      </c>
    </row>
    <row r="112" spans="1:19" x14ac:dyDescent="0.25">
      <c r="A112">
        <v>2013</v>
      </c>
      <c r="B112">
        <v>941</v>
      </c>
      <c r="C112" t="s">
        <v>551</v>
      </c>
      <c r="D112" t="s">
        <v>551</v>
      </c>
      <c r="E112">
        <v>311310</v>
      </c>
      <c r="F112" t="s">
        <v>552</v>
      </c>
      <c r="G112" t="s">
        <v>553</v>
      </c>
      <c r="H112" t="s">
        <v>69</v>
      </c>
      <c r="I112" t="s">
        <v>97</v>
      </c>
      <c r="J112" t="s">
        <v>98</v>
      </c>
      <c r="K112" t="s">
        <v>99</v>
      </c>
      <c r="L112" t="s">
        <v>89</v>
      </c>
      <c r="M112" t="s">
        <v>90</v>
      </c>
      <c r="N112" t="s">
        <v>100</v>
      </c>
      <c r="O112" t="s">
        <v>101</v>
      </c>
      <c r="P112">
        <v>10.029999999999999</v>
      </c>
      <c r="Q112" t="s">
        <v>29</v>
      </c>
      <c r="R112" t="s">
        <v>30</v>
      </c>
      <c r="S112" t="s">
        <v>6936</v>
      </c>
    </row>
    <row r="113" spans="1:19" x14ac:dyDescent="0.25">
      <c r="A113">
        <v>2017</v>
      </c>
      <c r="B113">
        <v>3165</v>
      </c>
      <c r="C113" t="s">
        <v>554</v>
      </c>
      <c r="D113" t="s">
        <v>555</v>
      </c>
      <c r="E113">
        <v>332710</v>
      </c>
      <c r="F113" t="s">
        <v>556</v>
      </c>
      <c r="G113" t="s">
        <v>557</v>
      </c>
      <c r="H113" t="s">
        <v>21</v>
      </c>
      <c r="I113" t="s">
        <v>177</v>
      </c>
      <c r="J113" t="s">
        <v>178</v>
      </c>
      <c r="K113" t="s">
        <v>179</v>
      </c>
      <c r="L113" t="s">
        <v>25</v>
      </c>
      <c r="M113" t="s">
        <v>26</v>
      </c>
      <c r="N113" t="s">
        <v>38</v>
      </c>
      <c r="O113" t="s">
        <v>39</v>
      </c>
      <c r="P113">
        <v>6.83</v>
      </c>
      <c r="Q113" t="s">
        <v>29</v>
      </c>
      <c r="R113" t="s">
        <v>50</v>
      </c>
      <c r="S113" t="s">
        <v>6936</v>
      </c>
    </row>
    <row r="114" spans="1:19" x14ac:dyDescent="0.25">
      <c r="A114">
        <v>2019</v>
      </c>
      <c r="B114">
        <v>5680</v>
      </c>
      <c r="C114" t="s">
        <v>558</v>
      </c>
      <c r="D114" t="s">
        <v>559</v>
      </c>
      <c r="E114">
        <v>416210</v>
      </c>
      <c r="F114" t="s">
        <v>560</v>
      </c>
      <c r="G114" t="s">
        <v>561</v>
      </c>
      <c r="H114" t="s">
        <v>243</v>
      </c>
      <c r="I114" t="s">
        <v>136</v>
      </c>
      <c r="J114" t="s">
        <v>137</v>
      </c>
      <c r="K114" t="s">
        <v>138</v>
      </c>
      <c r="L114" t="s">
        <v>25</v>
      </c>
      <c r="M114" t="s">
        <v>26</v>
      </c>
      <c r="N114" t="s">
        <v>38</v>
      </c>
      <c r="O114" t="s">
        <v>39</v>
      </c>
      <c r="P114">
        <v>5.1420000000000003</v>
      </c>
      <c r="Q114" t="s">
        <v>29</v>
      </c>
      <c r="R114" t="s">
        <v>30</v>
      </c>
      <c r="S114" t="s">
        <v>6936</v>
      </c>
    </row>
    <row r="115" spans="1:19" x14ac:dyDescent="0.25">
      <c r="A115">
        <v>1996</v>
      </c>
      <c r="B115">
        <v>2533</v>
      </c>
      <c r="C115" t="s">
        <v>562</v>
      </c>
      <c r="D115" t="s">
        <v>563</v>
      </c>
      <c r="E115">
        <v>211113</v>
      </c>
      <c r="F115" t="s">
        <v>425</v>
      </c>
      <c r="G115" t="s">
        <v>426</v>
      </c>
      <c r="H115" t="s">
        <v>85</v>
      </c>
      <c r="I115" t="s">
        <v>80</v>
      </c>
      <c r="J115" t="s">
        <v>81</v>
      </c>
      <c r="K115" t="s">
        <v>82</v>
      </c>
      <c r="L115" t="s">
        <v>25</v>
      </c>
      <c r="M115" t="s">
        <v>26</v>
      </c>
      <c r="N115" t="s">
        <v>48</v>
      </c>
      <c r="O115" t="s">
        <v>49</v>
      </c>
      <c r="P115">
        <v>40</v>
      </c>
      <c r="Q115" t="s">
        <v>29</v>
      </c>
      <c r="R115" t="s">
        <v>30</v>
      </c>
      <c r="S115" t="s">
        <v>6936</v>
      </c>
    </row>
    <row r="116" spans="1:19" x14ac:dyDescent="0.25">
      <c r="A116">
        <v>2005</v>
      </c>
      <c r="B116">
        <v>2700</v>
      </c>
      <c r="C116" t="s">
        <v>564</v>
      </c>
      <c r="D116" t="s">
        <v>565</v>
      </c>
      <c r="E116">
        <v>335920</v>
      </c>
      <c r="F116" t="s">
        <v>566</v>
      </c>
      <c r="G116" t="s">
        <v>567</v>
      </c>
      <c r="H116" t="s">
        <v>21</v>
      </c>
      <c r="I116" t="s">
        <v>35</v>
      </c>
      <c r="J116" t="s">
        <v>36</v>
      </c>
      <c r="K116" t="s">
        <v>37</v>
      </c>
      <c r="L116" t="s">
        <v>25</v>
      </c>
      <c r="M116" t="s">
        <v>26</v>
      </c>
      <c r="N116" t="s">
        <v>155</v>
      </c>
      <c r="O116" t="s">
        <v>156</v>
      </c>
      <c r="P116">
        <v>2626.98</v>
      </c>
      <c r="Q116" t="s">
        <v>40</v>
      </c>
      <c r="R116" t="s">
        <v>50</v>
      </c>
      <c r="S116" t="s">
        <v>6936</v>
      </c>
    </row>
    <row r="117" spans="1:19" x14ac:dyDescent="0.25">
      <c r="A117">
        <v>2003</v>
      </c>
      <c r="B117">
        <v>4589</v>
      </c>
      <c r="C117" t="s">
        <v>568</v>
      </c>
      <c r="D117" t="s">
        <v>569</v>
      </c>
      <c r="E117">
        <v>332999</v>
      </c>
      <c r="F117" t="s">
        <v>309</v>
      </c>
      <c r="G117" t="s">
        <v>304</v>
      </c>
      <c r="H117" t="s">
        <v>54</v>
      </c>
      <c r="I117" t="s">
        <v>177</v>
      </c>
      <c r="J117" t="s">
        <v>178</v>
      </c>
      <c r="K117" t="s">
        <v>179</v>
      </c>
      <c r="L117" t="s">
        <v>89</v>
      </c>
      <c r="M117" t="s">
        <v>90</v>
      </c>
      <c r="N117" t="s">
        <v>100</v>
      </c>
      <c r="O117" t="s">
        <v>101</v>
      </c>
      <c r="P117">
        <v>5.0000000000000001E-3</v>
      </c>
      <c r="Q117" t="s">
        <v>29</v>
      </c>
      <c r="R117" t="s">
        <v>124</v>
      </c>
      <c r="S117" t="s">
        <v>6936</v>
      </c>
    </row>
    <row r="118" spans="1:19" x14ac:dyDescent="0.25">
      <c r="A118">
        <v>2022</v>
      </c>
      <c r="B118">
        <v>1260</v>
      </c>
      <c r="C118" t="s">
        <v>570</v>
      </c>
      <c r="D118" t="s">
        <v>410</v>
      </c>
      <c r="E118">
        <v>562210</v>
      </c>
      <c r="F118" t="s">
        <v>84</v>
      </c>
      <c r="G118" t="s">
        <v>53</v>
      </c>
      <c r="H118" t="s">
        <v>21</v>
      </c>
      <c r="I118" t="s">
        <v>317</v>
      </c>
      <c r="J118" t="s">
        <v>318</v>
      </c>
      <c r="K118" t="s">
        <v>319</v>
      </c>
      <c r="L118" t="s">
        <v>89</v>
      </c>
      <c r="M118" t="s">
        <v>90</v>
      </c>
      <c r="N118" t="s">
        <v>166</v>
      </c>
      <c r="O118" t="s">
        <v>167</v>
      </c>
      <c r="P118">
        <v>3.5259900000000002</v>
      </c>
      <c r="Q118" t="s">
        <v>29</v>
      </c>
      <c r="R118" t="s">
        <v>30</v>
      </c>
      <c r="S118" t="s">
        <v>6936</v>
      </c>
    </row>
    <row r="119" spans="1:19" x14ac:dyDescent="0.25">
      <c r="A119">
        <v>2019</v>
      </c>
      <c r="B119">
        <v>27816</v>
      </c>
      <c r="C119" t="s">
        <v>571</v>
      </c>
      <c r="D119" t="s">
        <v>572</v>
      </c>
      <c r="E119">
        <v>221122</v>
      </c>
      <c r="F119" t="s">
        <v>573</v>
      </c>
      <c r="G119" t="s">
        <v>574</v>
      </c>
      <c r="H119" t="s">
        <v>85</v>
      </c>
      <c r="I119" t="s">
        <v>35</v>
      </c>
      <c r="J119" t="s">
        <v>36</v>
      </c>
      <c r="K119" t="s">
        <v>37</v>
      </c>
      <c r="L119" t="s">
        <v>25</v>
      </c>
      <c r="M119" t="s">
        <v>26</v>
      </c>
      <c r="N119" t="s">
        <v>38</v>
      </c>
      <c r="O119" t="s">
        <v>39</v>
      </c>
      <c r="P119">
        <v>27429.200000000001</v>
      </c>
      <c r="Q119" t="s">
        <v>40</v>
      </c>
      <c r="R119" t="s">
        <v>50</v>
      </c>
      <c r="S119" t="s">
        <v>6936</v>
      </c>
    </row>
    <row r="120" spans="1:19" x14ac:dyDescent="0.25">
      <c r="A120">
        <v>2006</v>
      </c>
      <c r="B120">
        <v>7407</v>
      </c>
      <c r="C120" t="s">
        <v>575</v>
      </c>
      <c r="D120" t="s">
        <v>575</v>
      </c>
      <c r="E120">
        <v>336110</v>
      </c>
      <c r="F120" t="s">
        <v>377</v>
      </c>
      <c r="G120" t="s">
        <v>44</v>
      </c>
      <c r="H120" t="s">
        <v>21</v>
      </c>
      <c r="I120" t="s">
        <v>209</v>
      </c>
      <c r="J120" t="s">
        <v>210</v>
      </c>
      <c r="K120" t="s">
        <v>211</v>
      </c>
      <c r="L120" t="s">
        <v>25</v>
      </c>
      <c r="M120" t="s">
        <v>26</v>
      </c>
      <c r="N120" t="s">
        <v>38</v>
      </c>
      <c r="O120" t="s">
        <v>39</v>
      </c>
      <c r="P120">
        <v>21.571000000000002</v>
      </c>
      <c r="Q120" t="s">
        <v>29</v>
      </c>
      <c r="R120" t="s">
        <v>50</v>
      </c>
      <c r="S120" t="s">
        <v>6936</v>
      </c>
    </row>
    <row r="121" spans="1:19" x14ac:dyDescent="0.25">
      <c r="A121">
        <v>2003</v>
      </c>
      <c r="B121">
        <v>10412</v>
      </c>
      <c r="C121" t="s">
        <v>576</v>
      </c>
      <c r="D121" t="s">
        <v>577</v>
      </c>
      <c r="E121">
        <v>313310</v>
      </c>
      <c r="F121" t="s">
        <v>578</v>
      </c>
      <c r="G121" t="s">
        <v>579</v>
      </c>
      <c r="H121" t="s">
        <v>21</v>
      </c>
      <c r="I121" t="s">
        <v>337</v>
      </c>
      <c r="J121" t="s">
        <v>338</v>
      </c>
      <c r="K121" t="s">
        <v>339</v>
      </c>
      <c r="L121" t="s">
        <v>89</v>
      </c>
      <c r="M121" t="s">
        <v>90</v>
      </c>
      <c r="N121" t="s">
        <v>100</v>
      </c>
      <c r="O121" t="s">
        <v>101</v>
      </c>
      <c r="P121">
        <v>0</v>
      </c>
      <c r="Q121" t="s">
        <v>29</v>
      </c>
      <c r="R121" t="s">
        <v>30</v>
      </c>
      <c r="S121" t="s">
        <v>6936</v>
      </c>
    </row>
    <row r="122" spans="1:19" x14ac:dyDescent="0.25">
      <c r="A122">
        <v>2012</v>
      </c>
      <c r="B122">
        <v>6797</v>
      </c>
      <c r="C122" t="s">
        <v>65</v>
      </c>
      <c r="D122" t="s">
        <v>580</v>
      </c>
      <c r="E122">
        <v>562990</v>
      </c>
      <c r="F122" t="s">
        <v>581</v>
      </c>
      <c r="G122" t="s">
        <v>105</v>
      </c>
      <c r="H122" t="s">
        <v>85</v>
      </c>
      <c r="I122" t="s">
        <v>117</v>
      </c>
      <c r="J122" t="s">
        <v>118</v>
      </c>
      <c r="K122" t="s">
        <v>119</v>
      </c>
      <c r="L122" t="s">
        <v>25</v>
      </c>
      <c r="M122" t="s">
        <v>26</v>
      </c>
      <c r="N122" t="s">
        <v>38</v>
      </c>
      <c r="O122" t="s">
        <v>39</v>
      </c>
      <c r="P122">
        <v>24.856000000000002</v>
      </c>
      <c r="Q122" t="s">
        <v>29</v>
      </c>
      <c r="R122" t="s">
        <v>124</v>
      </c>
      <c r="S122" t="s">
        <v>6936</v>
      </c>
    </row>
    <row r="123" spans="1:19" x14ac:dyDescent="0.25">
      <c r="A123">
        <v>2010</v>
      </c>
      <c r="B123">
        <v>1136</v>
      </c>
      <c r="C123" t="s">
        <v>582</v>
      </c>
      <c r="D123" t="s">
        <v>583</v>
      </c>
      <c r="E123">
        <v>336410</v>
      </c>
      <c r="F123" t="s">
        <v>260</v>
      </c>
      <c r="G123" t="s">
        <v>261</v>
      </c>
      <c r="H123" t="s">
        <v>79</v>
      </c>
      <c r="I123" t="s">
        <v>209</v>
      </c>
      <c r="J123" t="s">
        <v>210</v>
      </c>
      <c r="K123" t="s">
        <v>211</v>
      </c>
      <c r="L123" t="s">
        <v>89</v>
      </c>
      <c r="M123" t="s">
        <v>90</v>
      </c>
      <c r="N123" t="s">
        <v>91</v>
      </c>
      <c r="O123" t="s">
        <v>92</v>
      </c>
      <c r="P123">
        <v>8.8439999999999994</v>
      </c>
      <c r="Q123" t="s">
        <v>29</v>
      </c>
      <c r="R123" t="s">
        <v>50</v>
      </c>
      <c r="S123" t="s">
        <v>6936</v>
      </c>
    </row>
    <row r="124" spans="1:19" x14ac:dyDescent="0.25">
      <c r="A124">
        <v>2010</v>
      </c>
      <c r="B124">
        <v>2578</v>
      </c>
      <c r="C124" t="s">
        <v>584</v>
      </c>
      <c r="D124" t="s">
        <v>585</v>
      </c>
      <c r="E124">
        <v>336370</v>
      </c>
      <c r="F124" t="s">
        <v>586</v>
      </c>
      <c r="G124" t="s">
        <v>587</v>
      </c>
      <c r="H124" t="s">
        <v>21</v>
      </c>
      <c r="I124" t="s">
        <v>209</v>
      </c>
      <c r="J124" t="s">
        <v>210</v>
      </c>
      <c r="K124" t="s">
        <v>211</v>
      </c>
      <c r="L124" t="s">
        <v>25</v>
      </c>
      <c r="M124" t="s">
        <v>26</v>
      </c>
      <c r="N124" t="s">
        <v>288</v>
      </c>
      <c r="O124" t="s">
        <v>289</v>
      </c>
      <c r="P124">
        <v>0</v>
      </c>
      <c r="Q124" t="s">
        <v>29</v>
      </c>
      <c r="R124" t="s">
        <v>50</v>
      </c>
      <c r="S124" t="s">
        <v>6936</v>
      </c>
    </row>
    <row r="125" spans="1:19" x14ac:dyDescent="0.25">
      <c r="A125">
        <v>2023</v>
      </c>
      <c r="B125">
        <v>10219</v>
      </c>
      <c r="C125" t="s">
        <v>125</v>
      </c>
      <c r="D125" t="s">
        <v>588</v>
      </c>
      <c r="E125">
        <v>412110</v>
      </c>
      <c r="F125" t="s">
        <v>589</v>
      </c>
      <c r="G125" t="s">
        <v>590</v>
      </c>
      <c r="H125" t="s">
        <v>21</v>
      </c>
      <c r="I125" t="s">
        <v>427</v>
      </c>
      <c r="J125" t="s">
        <v>428</v>
      </c>
      <c r="K125" t="s">
        <v>429</v>
      </c>
      <c r="L125" t="s">
        <v>89</v>
      </c>
      <c r="M125" t="s">
        <v>90</v>
      </c>
      <c r="N125" t="s">
        <v>91</v>
      </c>
      <c r="O125" t="s">
        <v>92</v>
      </c>
      <c r="P125">
        <v>1.61151</v>
      </c>
      <c r="Q125" t="s">
        <v>29</v>
      </c>
      <c r="R125" t="s">
        <v>30</v>
      </c>
      <c r="S125" t="s">
        <v>6936</v>
      </c>
    </row>
    <row r="126" spans="1:19" x14ac:dyDescent="0.25">
      <c r="A126">
        <v>2020</v>
      </c>
      <c r="B126">
        <v>3111</v>
      </c>
      <c r="C126" t="s">
        <v>591</v>
      </c>
      <c r="D126" t="s">
        <v>592</v>
      </c>
      <c r="E126">
        <v>332810</v>
      </c>
      <c r="F126" t="s">
        <v>361</v>
      </c>
      <c r="G126" t="s">
        <v>362</v>
      </c>
      <c r="H126" t="s">
        <v>21</v>
      </c>
      <c r="I126" t="s">
        <v>177</v>
      </c>
      <c r="J126" t="s">
        <v>178</v>
      </c>
      <c r="K126" t="s">
        <v>179</v>
      </c>
      <c r="L126" t="s">
        <v>89</v>
      </c>
      <c r="M126" t="s">
        <v>90</v>
      </c>
      <c r="N126" t="s">
        <v>100</v>
      </c>
      <c r="O126" t="s">
        <v>101</v>
      </c>
      <c r="P126">
        <v>0.04</v>
      </c>
      <c r="Q126" t="s">
        <v>29</v>
      </c>
      <c r="R126" t="s">
        <v>30</v>
      </c>
      <c r="S126" t="s">
        <v>6936</v>
      </c>
    </row>
    <row r="127" spans="1:19" x14ac:dyDescent="0.25">
      <c r="A127">
        <v>2015</v>
      </c>
      <c r="B127">
        <v>3424</v>
      </c>
      <c r="C127" t="s">
        <v>593</v>
      </c>
      <c r="D127" t="s">
        <v>594</v>
      </c>
      <c r="E127">
        <v>332810</v>
      </c>
      <c r="F127" t="s">
        <v>361</v>
      </c>
      <c r="G127" t="s">
        <v>362</v>
      </c>
      <c r="H127" t="s">
        <v>85</v>
      </c>
      <c r="I127" t="s">
        <v>86</v>
      </c>
      <c r="J127" t="s">
        <v>87</v>
      </c>
      <c r="K127" t="s">
        <v>88</v>
      </c>
      <c r="L127" t="s">
        <v>25</v>
      </c>
      <c r="M127" t="s">
        <v>26</v>
      </c>
      <c r="N127" t="s">
        <v>595</v>
      </c>
      <c r="O127" t="s">
        <v>596</v>
      </c>
      <c r="P127">
        <v>3.5979999999999999</v>
      </c>
      <c r="Q127" t="s">
        <v>29</v>
      </c>
      <c r="R127" t="s">
        <v>30</v>
      </c>
      <c r="S127" t="s">
        <v>6936</v>
      </c>
    </row>
    <row r="128" spans="1:19" x14ac:dyDescent="0.25">
      <c r="A128">
        <v>2023</v>
      </c>
      <c r="B128">
        <v>1338</v>
      </c>
      <c r="C128" t="s">
        <v>212</v>
      </c>
      <c r="D128" t="s">
        <v>597</v>
      </c>
      <c r="E128">
        <v>221320</v>
      </c>
      <c r="F128" t="s">
        <v>146</v>
      </c>
      <c r="G128" t="s">
        <v>147</v>
      </c>
      <c r="H128" t="s">
        <v>69</v>
      </c>
      <c r="I128" t="s">
        <v>420</v>
      </c>
      <c r="J128" t="s">
        <v>421</v>
      </c>
      <c r="K128" t="s">
        <v>422</v>
      </c>
      <c r="L128" t="s">
        <v>25</v>
      </c>
      <c r="M128" t="s">
        <v>26</v>
      </c>
      <c r="N128" t="s">
        <v>139</v>
      </c>
      <c r="O128" t="s">
        <v>140</v>
      </c>
      <c r="P128">
        <v>0.65400000000000003</v>
      </c>
      <c r="Q128" t="s">
        <v>40</v>
      </c>
      <c r="R128" t="s">
        <v>124</v>
      </c>
      <c r="S128" t="s">
        <v>6936</v>
      </c>
    </row>
    <row r="129" spans="1:19" x14ac:dyDescent="0.25">
      <c r="A129">
        <v>2014</v>
      </c>
      <c r="B129">
        <v>11700</v>
      </c>
      <c r="C129" t="s">
        <v>598</v>
      </c>
      <c r="D129" t="s">
        <v>599</v>
      </c>
      <c r="E129">
        <v>325190</v>
      </c>
      <c r="F129" t="s">
        <v>600</v>
      </c>
      <c r="G129" t="s">
        <v>601</v>
      </c>
      <c r="H129" t="s">
        <v>21</v>
      </c>
      <c r="I129" t="s">
        <v>55</v>
      </c>
      <c r="J129" t="s">
        <v>56</v>
      </c>
      <c r="K129" t="s">
        <v>57</v>
      </c>
      <c r="L129" t="s">
        <v>89</v>
      </c>
      <c r="M129" t="s">
        <v>90</v>
      </c>
      <c r="N129" t="s">
        <v>100</v>
      </c>
      <c r="O129" t="s">
        <v>101</v>
      </c>
      <c r="P129">
        <v>3.89</v>
      </c>
      <c r="Q129" t="s">
        <v>29</v>
      </c>
      <c r="R129" t="s">
        <v>124</v>
      </c>
      <c r="S129" t="s">
        <v>6936</v>
      </c>
    </row>
    <row r="130" spans="1:19" x14ac:dyDescent="0.25">
      <c r="A130">
        <v>1999</v>
      </c>
      <c r="B130">
        <v>3125</v>
      </c>
      <c r="C130" t="s">
        <v>602</v>
      </c>
      <c r="D130" t="s">
        <v>603</v>
      </c>
      <c r="E130">
        <v>334410</v>
      </c>
      <c r="F130" t="s">
        <v>604</v>
      </c>
      <c r="G130" t="s">
        <v>605</v>
      </c>
      <c r="H130" t="s">
        <v>79</v>
      </c>
      <c r="I130" t="s">
        <v>402</v>
      </c>
      <c r="J130" t="s">
        <v>403</v>
      </c>
      <c r="K130" t="s">
        <v>404</v>
      </c>
      <c r="L130" t="s">
        <v>89</v>
      </c>
      <c r="M130" t="s">
        <v>90</v>
      </c>
      <c r="N130" t="s">
        <v>100</v>
      </c>
      <c r="O130" t="s">
        <v>101</v>
      </c>
      <c r="P130">
        <v>14.941000000000001</v>
      </c>
      <c r="Q130" t="s">
        <v>29</v>
      </c>
      <c r="R130" t="s">
        <v>30</v>
      </c>
      <c r="S130" t="s">
        <v>6936</v>
      </c>
    </row>
    <row r="131" spans="1:19" x14ac:dyDescent="0.25">
      <c r="A131">
        <v>1996</v>
      </c>
      <c r="B131">
        <v>1902</v>
      </c>
      <c r="C131" t="s">
        <v>606</v>
      </c>
      <c r="D131" t="s">
        <v>607</v>
      </c>
      <c r="E131">
        <v>211113</v>
      </c>
      <c r="F131" t="s">
        <v>425</v>
      </c>
      <c r="G131" t="s">
        <v>426</v>
      </c>
      <c r="H131" t="s">
        <v>85</v>
      </c>
      <c r="I131" t="s">
        <v>129</v>
      </c>
      <c r="J131" t="s">
        <v>130</v>
      </c>
      <c r="K131" t="s">
        <v>131</v>
      </c>
      <c r="L131" t="s">
        <v>89</v>
      </c>
      <c r="M131" t="s">
        <v>90</v>
      </c>
      <c r="N131" t="s">
        <v>166</v>
      </c>
      <c r="O131" t="s">
        <v>167</v>
      </c>
      <c r="P131">
        <v>1E-3</v>
      </c>
      <c r="Q131" t="s">
        <v>29</v>
      </c>
      <c r="R131" t="s">
        <v>30</v>
      </c>
      <c r="S131" t="s">
        <v>6936</v>
      </c>
    </row>
    <row r="132" spans="1:19" x14ac:dyDescent="0.25">
      <c r="A132">
        <v>2003</v>
      </c>
      <c r="B132">
        <v>3416</v>
      </c>
      <c r="C132" t="s">
        <v>608</v>
      </c>
      <c r="D132" t="s">
        <v>609</v>
      </c>
      <c r="E132">
        <v>331511</v>
      </c>
      <c r="F132" t="s">
        <v>160</v>
      </c>
      <c r="G132" t="s">
        <v>161</v>
      </c>
      <c r="H132" t="s">
        <v>21</v>
      </c>
      <c r="I132" t="s">
        <v>244</v>
      </c>
      <c r="J132" t="s">
        <v>245</v>
      </c>
      <c r="K132" t="s">
        <v>246</v>
      </c>
      <c r="L132" t="s">
        <v>25</v>
      </c>
      <c r="M132" t="s">
        <v>26</v>
      </c>
      <c r="N132" t="s">
        <v>155</v>
      </c>
      <c r="O132" t="s">
        <v>156</v>
      </c>
      <c r="P132">
        <v>3</v>
      </c>
      <c r="Q132" t="s">
        <v>40</v>
      </c>
      <c r="R132" t="s">
        <v>30</v>
      </c>
      <c r="S132" t="s">
        <v>6936</v>
      </c>
    </row>
    <row r="133" spans="1:19" x14ac:dyDescent="0.25">
      <c r="A133">
        <v>2010</v>
      </c>
      <c r="B133">
        <v>5810</v>
      </c>
      <c r="C133" t="s">
        <v>610</v>
      </c>
      <c r="D133" t="s">
        <v>611</v>
      </c>
      <c r="E133">
        <v>325610</v>
      </c>
      <c r="F133" t="s">
        <v>612</v>
      </c>
      <c r="G133" t="s">
        <v>613</v>
      </c>
      <c r="H133" t="s">
        <v>21</v>
      </c>
      <c r="I133" t="s">
        <v>614</v>
      </c>
      <c r="J133" t="s">
        <v>615</v>
      </c>
      <c r="K133" t="s">
        <v>616</v>
      </c>
      <c r="L133" t="s">
        <v>89</v>
      </c>
      <c r="M133" t="s">
        <v>90</v>
      </c>
      <c r="N133" t="s">
        <v>91</v>
      </c>
      <c r="O133" t="s">
        <v>92</v>
      </c>
      <c r="P133">
        <v>1.5E-3</v>
      </c>
      <c r="Q133" t="s">
        <v>29</v>
      </c>
      <c r="R133" t="s">
        <v>50</v>
      </c>
      <c r="S133" t="s">
        <v>6936</v>
      </c>
    </row>
    <row r="134" spans="1:19" x14ac:dyDescent="0.25">
      <c r="A134">
        <v>2016</v>
      </c>
      <c r="B134">
        <v>2703</v>
      </c>
      <c r="C134" t="s">
        <v>617</v>
      </c>
      <c r="D134" t="s">
        <v>352</v>
      </c>
      <c r="E134">
        <v>418410</v>
      </c>
      <c r="F134" t="s">
        <v>433</v>
      </c>
      <c r="G134" t="s">
        <v>434</v>
      </c>
      <c r="H134" t="s">
        <v>21</v>
      </c>
      <c r="I134" t="s">
        <v>70</v>
      </c>
      <c r="J134" t="s">
        <v>71</v>
      </c>
      <c r="K134" t="s">
        <v>72</v>
      </c>
      <c r="L134" t="s">
        <v>25</v>
      </c>
      <c r="M134" t="s">
        <v>26</v>
      </c>
      <c r="N134" t="s">
        <v>48</v>
      </c>
      <c r="O134" t="s">
        <v>49</v>
      </c>
      <c r="P134">
        <v>1.2</v>
      </c>
      <c r="Q134" t="s">
        <v>29</v>
      </c>
      <c r="R134" t="s">
        <v>30</v>
      </c>
      <c r="S134" t="s">
        <v>6936</v>
      </c>
    </row>
    <row r="135" spans="1:19" x14ac:dyDescent="0.25">
      <c r="A135">
        <v>2001</v>
      </c>
      <c r="B135">
        <v>1197</v>
      </c>
      <c r="C135" t="s">
        <v>618</v>
      </c>
      <c r="D135" t="s">
        <v>619</v>
      </c>
      <c r="E135">
        <v>322112</v>
      </c>
      <c r="F135" t="s">
        <v>620</v>
      </c>
      <c r="G135" t="s">
        <v>621</v>
      </c>
      <c r="H135" t="s">
        <v>21</v>
      </c>
      <c r="I135" t="s">
        <v>622</v>
      </c>
      <c r="J135" t="s">
        <v>623</v>
      </c>
      <c r="K135" t="s">
        <v>624</v>
      </c>
      <c r="L135" t="s">
        <v>25</v>
      </c>
      <c r="M135" t="s">
        <v>26</v>
      </c>
      <c r="N135" t="s">
        <v>155</v>
      </c>
      <c r="O135" t="s">
        <v>156</v>
      </c>
      <c r="P135">
        <v>1.502</v>
      </c>
      <c r="Q135" t="s">
        <v>40</v>
      </c>
      <c r="R135" t="s">
        <v>442</v>
      </c>
      <c r="S135" t="s">
        <v>6936</v>
      </c>
    </row>
    <row r="136" spans="1:19" x14ac:dyDescent="0.25">
      <c r="A136">
        <v>2012</v>
      </c>
      <c r="B136">
        <v>4169</v>
      </c>
      <c r="C136" t="s">
        <v>625</v>
      </c>
      <c r="D136" t="s">
        <v>626</v>
      </c>
      <c r="E136">
        <v>331110</v>
      </c>
      <c r="F136" t="s">
        <v>627</v>
      </c>
      <c r="G136" t="s">
        <v>336</v>
      </c>
      <c r="H136" t="s">
        <v>21</v>
      </c>
      <c r="I136" t="s">
        <v>628</v>
      </c>
      <c r="J136" t="s">
        <v>629</v>
      </c>
      <c r="K136" t="s">
        <v>630</v>
      </c>
      <c r="L136" t="s">
        <v>25</v>
      </c>
      <c r="M136" t="s">
        <v>26</v>
      </c>
      <c r="N136" t="s">
        <v>38</v>
      </c>
      <c r="O136" t="s">
        <v>39</v>
      </c>
      <c r="P136">
        <v>6.4226999999999999</v>
      </c>
      <c r="Q136" t="s">
        <v>631</v>
      </c>
      <c r="R136" t="s">
        <v>30</v>
      </c>
      <c r="S136" t="s">
        <v>6936</v>
      </c>
    </row>
    <row r="137" spans="1:19" x14ac:dyDescent="0.25">
      <c r="A137">
        <v>2010</v>
      </c>
      <c r="B137">
        <v>5390</v>
      </c>
      <c r="C137" t="s">
        <v>632</v>
      </c>
      <c r="D137" t="s">
        <v>633</v>
      </c>
      <c r="E137">
        <v>221320</v>
      </c>
      <c r="F137" t="s">
        <v>390</v>
      </c>
      <c r="G137" t="s">
        <v>147</v>
      </c>
      <c r="H137" t="s">
        <v>85</v>
      </c>
      <c r="I137" t="s">
        <v>177</v>
      </c>
      <c r="J137" t="s">
        <v>178</v>
      </c>
      <c r="K137" t="s">
        <v>179</v>
      </c>
      <c r="L137" t="s">
        <v>25</v>
      </c>
      <c r="M137" t="s">
        <v>26</v>
      </c>
      <c r="N137" t="s">
        <v>155</v>
      </c>
      <c r="O137" t="s">
        <v>156</v>
      </c>
      <c r="P137">
        <v>7.1619999999999999</v>
      </c>
      <c r="Q137" t="s">
        <v>29</v>
      </c>
      <c r="R137" t="s">
        <v>124</v>
      </c>
      <c r="S137" t="s">
        <v>6936</v>
      </c>
    </row>
    <row r="138" spans="1:19" x14ac:dyDescent="0.25">
      <c r="A138">
        <v>2000</v>
      </c>
      <c r="B138">
        <v>3754</v>
      </c>
      <c r="C138" t="s">
        <v>634</v>
      </c>
      <c r="D138" t="s">
        <v>635</v>
      </c>
      <c r="E138">
        <v>211113</v>
      </c>
      <c r="F138" t="s">
        <v>425</v>
      </c>
      <c r="G138" t="s">
        <v>426</v>
      </c>
      <c r="H138" t="s">
        <v>85</v>
      </c>
      <c r="I138" t="s">
        <v>427</v>
      </c>
      <c r="J138" t="s">
        <v>428</v>
      </c>
      <c r="K138" t="s">
        <v>429</v>
      </c>
      <c r="L138" t="s">
        <v>25</v>
      </c>
      <c r="M138" t="s">
        <v>26</v>
      </c>
      <c r="N138" t="s">
        <v>380</v>
      </c>
      <c r="O138" t="s">
        <v>381</v>
      </c>
      <c r="P138">
        <v>8.9999999999999993E-3</v>
      </c>
      <c r="Q138" t="s">
        <v>29</v>
      </c>
      <c r="S138" t="s">
        <v>6936</v>
      </c>
    </row>
    <row r="139" spans="1:19" x14ac:dyDescent="0.25">
      <c r="A139">
        <v>1993</v>
      </c>
      <c r="B139">
        <v>3433</v>
      </c>
      <c r="C139" t="s">
        <v>636</v>
      </c>
      <c r="D139" t="s">
        <v>637</v>
      </c>
      <c r="E139">
        <v>325510</v>
      </c>
      <c r="F139" t="s">
        <v>143</v>
      </c>
      <c r="G139" t="s">
        <v>112</v>
      </c>
      <c r="H139" t="s">
        <v>21</v>
      </c>
      <c r="I139" t="s">
        <v>136</v>
      </c>
      <c r="J139" t="s">
        <v>137</v>
      </c>
      <c r="K139" t="s">
        <v>138</v>
      </c>
      <c r="L139" t="s">
        <v>89</v>
      </c>
      <c r="M139" t="s">
        <v>90</v>
      </c>
      <c r="N139" t="s">
        <v>100</v>
      </c>
      <c r="O139" t="s">
        <v>101</v>
      </c>
      <c r="P139">
        <v>1.2E-2</v>
      </c>
      <c r="Q139" t="s">
        <v>29</v>
      </c>
      <c r="S139" t="s">
        <v>6936</v>
      </c>
    </row>
    <row r="140" spans="1:19" x14ac:dyDescent="0.25">
      <c r="A140">
        <v>2006</v>
      </c>
      <c r="B140">
        <v>6409</v>
      </c>
      <c r="C140" t="s">
        <v>638</v>
      </c>
      <c r="D140" t="s">
        <v>639</v>
      </c>
      <c r="E140">
        <v>326150</v>
      </c>
      <c r="F140" t="s">
        <v>640</v>
      </c>
      <c r="G140" t="s">
        <v>641</v>
      </c>
      <c r="H140" t="s">
        <v>79</v>
      </c>
      <c r="I140" t="s">
        <v>491</v>
      </c>
      <c r="J140" t="s">
        <v>492</v>
      </c>
      <c r="K140" t="s">
        <v>492</v>
      </c>
      <c r="L140" t="s">
        <v>89</v>
      </c>
      <c r="M140" t="s">
        <v>90</v>
      </c>
      <c r="N140" t="s">
        <v>91</v>
      </c>
      <c r="O140" t="s">
        <v>92</v>
      </c>
      <c r="P140">
        <v>5.7000000000000002E-2</v>
      </c>
      <c r="Q140" t="s">
        <v>29</v>
      </c>
      <c r="R140" t="s">
        <v>30</v>
      </c>
      <c r="S140" t="s">
        <v>6936</v>
      </c>
    </row>
    <row r="141" spans="1:19" x14ac:dyDescent="0.25">
      <c r="A141">
        <v>2020</v>
      </c>
      <c r="B141">
        <v>29514</v>
      </c>
      <c r="C141" t="s">
        <v>642</v>
      </c>
      <c r="D141" t="s">
        <v>643</v>
      </c>
      <c r="E141">
        <v>562110</v>
      </c>
      <c r="F141" t="s">
        <v>644</v>
      </c>
      <c r="G141" t="s">
        <v>645</v>
      </c>
      <c r="H141" t="s">
        <v>85</v>
      </c>
      <c r="I141" t="s">
        <v>331</v>
      </c>
      <c r="J141" t="s">
        <v>332</v>
      </c>
      <c r="K141" t="s">
        <v>333</v>
      </c>
      <c r="L141" t="s">
        <v>89</v>
      </c>
      <c r="M141" t="s">
        <v>90</v>
      </c>
      <c r="N141" t="s">
        <v>91</v>
      </c>
      <c r="O141" t="s">
        <v>92</v>
      </c>
      <c r="P141">
        <v>3.7317999999999998</v>
      </c>
      <c r="Q141" t="s">
        <v>29</v>
      </c>
      <c r="R141" t="s">
        <v>50</v>
      </c>
      <c r="S141" t="s">
        <v>6936</v>
      </c>
    </row>
    <row r="142" spans="1:19" x14ac:dyDescent="0.25">
      <c r="A142">
        <v>1998</v>
      </c>
      <c r="B142">
        <v>1436</v>
      </c>
      <c r="C142" t="s">
        <v>646</v>
      </c>
      <c r="D142" t="s">
        <v>647</v>
      </c>
      <c r="E142">
        <v>325999</v>
      </c>
      <c r="F142" t="s">
        <v>396</v>
      </c>
      <c r="G142" t="s">
        <v>397</v>
      </c>
      <c r="H142" t="s">
        <v>21</v>
      </c>
      <c r="I142" t="s">
        <v>648</v>
      </c>
      <c r="J142" t="s">
        <v>649</v>
      </c>
      <c r="K142" t="s">
        <v>650</v>
      </c>
      <c r="L142" t="s">
        <v>89</v>
      </c>
      <c r="M142" t="s">
        <v>90</v>
      </c>
      <c r="N142" t="s">
        <v>166</v>
      </c>
      <c r="O142" t="s">
        <v>167</v>
      </c>
      <c r="P142">
        <v>15.5</v>
      </c>
      <c r="Q142" t="s">
        <v>29</v>
      </c>
      <c r="R142" t="s">
        <v>50</v>
      </c>
      <c r="S142" t="s">
        <v>6936</v>
      </c>
    </row>
    <row r="143" spans="1:19" x14ac:dyDescent="0.25">
      <c r="A143">
        <v>2020</v>
      </c>
      <c r="B143">
        <v>3707</v>
      </c>
      <c r="C143" t="s">
        <v>194</v>
      </c>
      <c r="D143" t="s">
        <v>651</v>
      </c>
      <c r="E143">
        <v>324110</v>
      </c>
      <c r="F143" t="s">
        <v>196</v>
      </c>
      <c r="G143" t="s">
        <v>96</v>
      </c>
      <c r="H143" t="s">
        <v>85</v>
      </c>
      <c r="I143" t="s">
        <v>70</v>
      </c>
      <c r="J143" t="s">
        <v>71</v>
      </c>
      <c r="K143" t="s">
        <v>72</v>
      </c>
      <c r="L143" t="s">
        <v>25</v>
      </c>
      <c r="M143" t="s">
        <v>26</v>
      </c>
      <c r="N143" t="s">
        <v>27</v>
      </c>
      <c r="O143" t="s">
        <v>28</v>
      </c>
      <c r="P143">
        <v>3.0899999999999999E-3</v>
      </c>
      <c r="Q143" t="s">
        <v>29</v>
      </c>
      <c r="R143" t="s">
        <v>30</v>
      </c>
      <c r="S143" t="s">
        <v>6936</v>
      </c>
    </row>
    <row r="144" spans="1:19" x14ac:dyDescent="0.25">
      <c r="A144">
        <v>2005</v>
      </c>
      <c r="B144">
        <v>5455</v>
      </c>
      <c r="C144" t="s">
        <v>652</v>
      </c>
      <c r="D144" t="s">
        <v>653</v>
      </c>
      <c r="E144">
        <v>562990</v>
      </c>
      <c r="F144" t="s">
        <v>104</v>
      </c>
      <c r="G144" t="s">
        <v>105</v>
      </c>
      <c r="H144" t="s">
        <v>79</v>
      </c>
      <c r="I144" t="s">
        <v>70</v>
      </c>
      <c r="J144" t="s">
        <v>71</v>
      </c>
      <c r="K144" t="s">
        <v>72</v>
      </c>
      <c r="L144" t="s">
        <v>89</v>
      </c>
      <c r="M144" t="s">
        <v>90</v>
      </c>
      <c r="N144" t="s">
        <v>166</v>
      </c>
      <c r="O144" t="s">
        <v>167</v>
      </c>
      <c r="P144">
        <v>59.3</v>
      </c>
      <c r="Q144" t="s">
        <v>29</v>
      </c>
      <c r="R144" t="s">
        <v>30</v>
      </c>
      <c r="S144" t="s">
        <v>6936</v>
      </c>
    </row>
    <row r="145" spans="1:19" x14ac:dyDescent="0.25">
      <c r="A145">
        <v>2016</v>
      </c>
      <c r="B145">
        <v>4717</v>
      </c>
      <c r="C145" t="s">
        <v>654</v>
      </c>
      <c r="D145" t="s">
        <v>655</v>
      </c>
      <c r="E145">
        <v>331210</v>
      </c>
      <c r="F145" t="s">
        <v>656</v>
      </c>
      <c r="G145" t="s">
        <v>657</v>
      </c>
      <c r="H145" t="s">
        <v>21</v>
      </c>
      <c r="I145" t="s">
        <v>136</v>
      </c>
      <c r="J145" t="s">
        <v>137</v>
      </c>
      <c r="K145" t="s">
        <v>138</v>
      </c>
      <c r="L145" t="s">
        <v>25</v>
      </c>
      <c r="M145" t="s">
        <v>26</v>
      </c>
      <c r="N145" t="s">
        <v>38</v>
      </c>
      <c r="O145" t="s">
        <v>39</v>
      </c>
      <c r="P145">
        <v>2</v>
      </c>
      <c r="Q145" t="s">
        <v>29</v>
      </c>
      <c r="R145" t="s">
        <v>50</v>
      </c>
      <c r="S145" t="s">
        <v>6936</v>
      </c>
    </row>
    <row r="146" spans="1:19" x14ac:dyDescent="0.25">
      <c r="A146">
        <v>2013</v>
      </c>
      <c r="B146">
        <v>2181</v>
      </c>
      <c r="C146" t="s">
        <v>658</v>
      </c>
      <c r="D146" t="s">
        <v>659</v>
      </c>
      <c r="E146">
        <v>322112</v>
      </c>
      <c r="F146" t="s">
        <v>660</v>
      </c>
      <c r="G146" t="s">
        <v>621</v>
      </c>
      <c r="H146" t="s">
        <v>661</v>
      </c>
      <c r="I146" t="s">
        <v>244</v>
      </c>
      <c r="J146" t="s">
        <v>245</v>
      </c>
      <c r="K146" t="s">
        <v>246</v>
      </c>
      <c r="L146" t="s">
        <v>89</v>
      </c>
      <c r="M146" t="s">
        <v>90</v>
      </c>
      <c r="N146" t="s">
        <v>472</v>
      </c>
      <c r="O146" t="s">
        <v>473</v>
      </c>
      <c r="P146">
        <v>42.7</v>
      </c>
      <c r="Q146" t="s">
        <v>40</v>
      </c>
      <c r="R146" t="s">
        <v>430</v>
      </c>
      <c r="S146" t="s">
        <v>6936</v>
      </c>
    </row>
    <row r="147" spans="1:19" x14ac:dyDescent="0.25">
      <c r="A147">
        <v>1994</v>
      </c>
      <c r="B147">
        <v>800</v>
      </c>
      <c r="C147" t="s">
        <v>662</v>
      </c>
      <c r="D147" t="s">
        <v>663</v>
      </c>
      <c r="E147">
        <v>325610</v>
      </c>
      <c r="F147" t="s">
        <v>612</v>
      </c>
      <c r="G147" t="s">
        <v>613</v>
      </c>
      <c r="H147" t="s">
        <v>21</v>
      </c>
      <c r="I147" t="s">
        <v>271</v>
      </c>
      <c r="J147" t="s">
        <v>387</v>
      </c>
      <c r="K147" t="s">
        <v>388</v>
      </c>
      <c r="L147" t="s">
        <v>25</v>
      </c>
      <c r="M147" t="s">
        <v>26</v>
      </c>
      <c r="N147" t="s">
        <v>48</v>
      </c>
      <c r="O147" t="s">
        <v>49</v>
      </c>
      <c r="P147">
        <v>65.334999999999994</v>
      </c>
      <c r="Q147" t="s">
        <v>29</v>
      </c>
      <c r="R147" t="s">
        <v>30</v>
      </c>
      <c r="S147" t="s">
        <v>6936</v>
      </c>
    </row>
    <row r="148" spans="1:19" x14ac:dyDescent="0.25">
      <c r="A148">
        <v>2013</v>
      </c>
      <c r="B148">
        <v>2133</v>
      </c>
      <c r="C148" t="s">
        <v>664</v>
      </c>
      <c r="D148" t="s">
        <v>665</v>
      </c>
      <c r="E148">
        <v>324190</v>
      </c>
      <c r="F148" t="s">
        <v>666</v>
      </c>
      <c r="G148" t="s">
        <v>667</v>
      </c>
      <c r="H148" t="s">
        <v>21</v>
      </c>
      <c r="I148" t="s">
        <v>668</v>
      </c>
      <c r="J148" t="s">
        <v>669</v>
      </c>
      <c r="K148" t="s">
        <v>670</v>
      </c>
      <c r="L148" t="s">
        <v>89</v>
      </c>
      <c r="M148" t="s">
        <v>90</v>
      </c>
      <c r="N148" t="s">
        <v>91</v>
      </c>
      <c r="O148" t="s">
        <v>92</v>
      </c>
      <c r="P148">
        <v>6.4000000000000001E-2</v>
      </c>
      <c r="Q148" t="s">
        <v>29</v>
      </c>
      <c r="R148" t="s">
        <v>30</v>
      </c>
      <c r="S148" t="s">
        <v>6936</v>
      </c>
    </row>
    <row r="149" spans="1:19" x14ac:dyDescent="0.25">
      <c r="A149">
        <v>2001</v>
      </c>
      <c r="B149">
        <v>5151</v>
      </c>
      <c r="C149" t="s">
        <v>671</v>
      </c>
      <c r="E149">
        <v>325510</v>
      </c>
      <c r="F149" t="s">
        <v>143</v>
      </c>
      <c r="G149" t="s">
        <v>112</v>
      </c>
      <c r="H149" t="s">
        <v>69</v>
      </c>
      <c r="I149" t="s">
        <v>152</v>
      </c>
      <c r="J149" t="s">
        <v>153</v>
      </c>
      <c r="K149" t="s">
        <v>154</v>
      </c>
      <c r="L149" t="s">
        <v>89</v>
      </c>
      <c r="M149" t="s">
        <v>90</v>
      </c>
      <c r="N149" t="s">
        <v>166</v>
      </c>
      <c r="O149" t="s">
        <v>167</v>
      </c>
      <c r="P149">
        <v>0.1</v>
      </c>
      <c r="Q149" t="s">
        <v>29</v>
      </c>
      <c r="R149" t="s">
        <v>50</v>
      </c>
      <c r="S149" t="s">
        <v>6936</v>
      </c>
    </row>
    <row r="150" spans="1:19" x14ac:dyDescent="0.25">
      <c r="A150">
        <v>2017</v>
      </c>
      <c r="B150">
        <v>11440</v>
      </c>
      <c r="C150" t="s">
        <v>672</v>
      </c>
      <c r="D150" t="s">
        <v>673</v>
      </c>
      <c r="E150">
        <v>336330</v>
      </c>
      <c r="F150" t="s">
        <v>674</v>
      </c>
      <c r="G150" t="s">
        <v>675</v>
      </c>
      <c r="H150" t="s">
        <v>21</v>
      </c>
      <c r="I150" t="s">
        <v>177</v>
      </c>
      <c r="J150" t="s">
        <v>178</v>
      </c>
      <c r="K150" t="s">
        <v>179</v>
      </c>
      <c r="L150" t="s">
        <v>25</v>
      </c>
      <c r="M150" t="s">
        <v>26</v>
      </c>
      <c r="N150" t="s">
        <v>38</v>
      </c>
      <c r="O150" t="s">
        <v>39</v>
      </c>
      <c r="P150">
        <v>28.4</v>
      </c>
      <c r="Q150" t="s">
        <v>29</v>
      </c>
      <c r="R150" t="s">
        <v>50</v>
      </c>
      <c r="S150" t="s">
        <v>6936</v>
      </c>
    </row>
    <row r="151" spans="1:19" x14ac:dyDescent="0.25">
      <c r="A151">
        <v>1998</v>
      </c>
      <c r="B151">
        <v>3111</v>
      </c>
      <c r="C151" t="s">
        <v>591</v>
      </c>
      <c r="E151">
        <v>332999</v>
      </c>
      <c r="F151" t="s">
        <v>309</v>
      </c>
      <c r="G151" t="s">
        <v>304</v>
      </c>
      <c r="H151" t="s">
        <v>21</v>
      </c>
      <c r="I151" t="s">
        <v>177</v>
      </c>
      <c r="J151" t="s">
        <v>178</v>
      </c>
      <c r="K151" t="s">
        <v>179</v>
      </c>
      <c r="L151" t="s">
        <v>89</v>
      </c>
      <c r="M151" t="s">
        <v>90</v>
      </c>
      <c r="N151" t="s">
        <v>100</v>
      </c>
      <c r="O151" t="s">
        <v>101</v>
      </c>
      <c r="P151">
        <v>0.92900000000000005</v>
      </c>
      <c r="Q151" t="s">
        <v>29</v>
      </c>
      <c r="R151" t="s">
        <v>442</v>
      </c>
      <c r="S151" t="s">
        <v>6936</v>
      </c>
    </row>
    <row r="152" spans="1:19" x14ac:dyDescent="0.25">
      <c r="A152">
        <v>2020</v>
      </c>
      <c r="B152">
        <v>390</v>
      </c>
      <c r="C152" t="s">
        <v>676</v>
      </c>
      <c r="D152" t="s">
        <v>677</v>
      </c>
      <c r="E152">
        <v>336410</v>
      </c>
      <c r="F152" t="s">
        <v>280</v>
      </c>
      <c r="G152" t="s">
        <v>261</v>
      </c>
      <c r="H152" t="s">
        <v>79</v>
      </c>
      <c r="I152" t="s">
        <v>337</v>
      </c>
      <c r="J152" t="s">
        <v>338</v>
      </c>
      <c r="K152" t="s">
        <v>339</v>
      </c>
      <c r="L152" t="s">
        <v>89</v>
      </c>
      <c r="M152" t="s">
        <v>90</v>
      </c>
      <c r="N152" t="s">
        <v>91</v>
      </c>
      <c r="O152" t="s">
        <v>92</v>
      </c>
      <c r="P152">
        <v>7.09</v>
      </c>
      <c r="Q152" t="s">
        <v>29</v>
      </c>
      <c r="R152" t="s">
        <v>50</v>
      </c>
      <c r="S152" t="s">
        <v>6936</v>
      </c>
    </row>
    <row r="153" spans="1:19" x14ac:dyDescent="0.25">
      <c r="A153">
        <v>2017</v>
      </c>
      <c r="B153">
        <v>397</v>
      </c>
      <c r="C153" t="s">
        <v>41</v>
      </c>
      <c r="D153" t="s">
        <v>42</v>
      </c>
      <c r="E153">
        <v>336110</v>
      </c>
      <c r="F153" t="s">
        <v>43</v>
      </c>
      <c r="G153" t="s">
        <v>44</v>
      </c>
      <c r="H153" t="s">
        <v>21</v>
      </c>
      <c r="I153" t="s">
        <v>129</v>
      </c>
      <c r="J153" t="s">
        <v>130</v>
      </c>
      <c r="K153" t="s">
        <v>131</v>
      </c>
      <c r="L153" t="s">
        <v>25</v>
      </c>
      <c r="M153" t="s">
        <v>26</v>
      </c>
      <c r="N153" t="s">
        <v>27</v>
      </c>
      <c r="O153" t="s">
        <v>28</v>
      </c>
      <c r="P153">
        <v>78.763000000000005</v>
      </c>
      <c r="Q153" t="s">
        <v>29</v>
      </c>
      <c r="R153" t="s">
        <v>50</v>
      </c>
      <c r="S153" t="s">
        <v>6936</v>
      </c>
    </row>
    <row r="154" spans="1:19" x14ac:dyDescent="0.25">
      <c r="A154">
        <v>2020</v>
      </c>
      <c r="B154">
        <v>29768</v>
      </c>
      <c r="C154" t="s">
        <v>678</v>
      </c>
      <c r="D154" t="s">
        <v>679</v>
      </c>
      <c r="E154">
        <v>332999</v>
      </c>
      <c r="F154" t="s">
        <v>303</v>
      </c>
      <c r="G154" t="s">
        <v>304</v>
      </c>
      <c r="H154" t="s">
        <v>79</v>
      </c>
      <c r="I154" t="s">
        <v>184</v>
      </c>
      <c r="J154" t="s">
        <v>185</v>
      </c>
      <c r="K154" t="s">
        <v>186</v>
      </c>
      <c r="L154" t="s">
        <v>89</v>
      </c>
      <c r="M154" t="s">
        <v>90</v>
      </c>
      <c r="N154" t="s">
        <v>120</v>
      </c>
      <c r="O154" t="s">
        <v>121</v>
      </c>
      <c r="P154">
        <v>0.56999999999999995</v>
      </c>
      <c r="Q154" t="s">
        <v>40</v>
      </c>
      <c r="R154" t="s">
        <v>50</v>
      </c>
      <c r="S154" t="s">
        <v>6936</v>
      </c>
    </row>
    <row r="155" spans="1:19" x14ac:dyDescent="0.25">
      <c r="A155">
        <v>2010</v>
      </c>
      <c r="B155">
        <v>28621</v>
      </c>
      <c r="C155" t="s">
        <v>125</v>
      </c>
      <c r="D155" t="s">
        <v>680</v>
      </c>
      <c r="E155">
        <v>211113</v>
      </c>
      <c r="F155" t="s">
        <v>425</v>
      </c>
      <c r="G155" t="s">
        <v>426</v>
      </c>
      <c r="H155" t="s">
        <v>85</v>
      </c>
      <c r="I155" t="s">
        <v>55</v>
      </c>
      <c r="J155" t="s">
        <v>56</v>
      </c>
      <c r="K155" t="s">
        <v>57</v>
      </c>
      <c r="L155" t="s">
        <v>25</v>
      </c>
      <c r="M155" t="s">
        <v>26</v>
      </c>
      <c r="N155" t="s">
        <v>380</v>
      </c>
      <c r="O155" t="s">
        <v>381</v>
      </c>
      <c r="P155">
        <v>2.8820000000000001</v>
      </c>
      <c r="Q155" t="s">
        <v>29</v>
      </c>
      <c r="S155" t="s">
        <v>6936</v>
      </c>
    </row>
    <row r="156" spans="1:19" x14ac:dyDescent="0.25">
      <c r="A156">
        <v>2010</v>
      </c>
      <c r="B156">
        <v>3701</v>
      </c>
      <c r="C156" t="s">
        <v>125</v>
      </c>
      <c r="D156" t="s">
        <v>681</v>
      </c>
      <c r="E156">
        <v>324110</v>
      </c>
      <c r="F156" t="s">
        <v>95</v>
      </c>
      <c r="G156" t="s">
        <v>96</v>
      </c>
      <c r="H156" t="s">
        <v>21</v>
      </c>
      <c r="I156" t="s">
        <v>682</v>
      </c>
      <c r="J156" t="s">
        <v>683</v>
      </c>
      <c r="K156" t="s">
        <v>684</v>
      </c>
      <c r="L156" t="s">
        <v>89</v>
      </c>
      <c r="M156" t="s">
        <v>90</v>
      </c>
      <c r="N156" t="s">
        <v>166</v>
      </c>
      <c r="O156" t="s">
        <v>167</v>
      </c>
      <c r="P156">
        <v>4.1999999999999997E-3</v>
      </c>
      <c r="Q156" t="s">
        <v>29</v>
      </c>
      <c r="R156" t="s">
        <v>124</v>
      </c>
      <c r="S156" t="s">
        <v>6936</v>
      </c>
    </row>
    <row r="157" spans="1:19" x14ac:dyDescent="0.25">
      <c r="A157">
        <v>2014</v>
      </c>
      <c r="B157">
        <v>3713</v>
      </c>
      <c r="C157" t="s">
        <v>685</v>
      </c>
      <c r="D157" t="s">
        <v>686</v>
      </c>
      <c r="E157">
        <v>331110</v>
      </c>
      <c r="F157" t="s">
        <v>627</v>
      </c>
      <c r="G157" t="s">
        <v>336</v>
      </c>
      <c r="H157" t="s">
        <v>21</v>
      </c>
      <c r="I157" t="s">
        <v>500</v>
      </c>
      <c r="J157" t="s">
        <v>501</v>
      </c>
      <c r="K157" t="s">
        <v>502</v>
      </c>
      <c r="L157" t="s">
        <v>25</v>
      </c>
      <c r="M157" t="s">
        <v>26</v>
      </c>
      <c r="N157" t="s">
        <v>38</v>
      </c>
      <c r="O157" t="s">
        <v>39</v>
      </c>
      <c r="P157">
        <v>3178.5272</v>
      </c>
      <c r="Q157" t="s">
        <v>40</v>
      </c>
      <c r="R157" t="s">
        <v>50</v>
      </c>
      <c r="S157" t="s">
        <v>6936</v>
      </c>
    </row>
    <row r="158" spans="1:19" x14ac:dyDescent="0.25">
      <c r="A158">
        <v>1998</v>
      </c>
      <c r="B158">
        <v>971</v>
      </c>
      <c r="C158" t="s">
        <v>687</v>
      </c>
      <c r="D158" t="s">
        <v>688</v>
      </c>
      <c r="E158">
        <v>332619</v>
      </c>
      <c r="F158" t="s">
        <v>689</v>
      </c>
      <c r="G158" t="s">
        <v>690</v>
      </c>
      <c r="H158" t="s">
        <v>243</v>
      </c>
      <c r="I158" t="s">
        <v>177</v>
      </c>
      <c r="J158" t="s">
        <v>178</v>
      </c>
      <c r="K158" t="s">
        <v>179</v>
      </c>
      <c r="L158" t="s">
        <v>25</v>
      </c>
      <c r="M158" t="s">
        <v>26</v>
      </c>
      <c r="N158" t="s">
        <v>38</v>
      </c>
      <c r="O158" t="s">
        <v>39</v>
      </c>
      <c r="P158">
        <v>119.3</v>
      </c>
      <c r="Q158" t="s">
        <v>29</v>
      </c>
      <c r="R158" t="s">
        <v>50</v>
      </c>
      <c r="S158" t="s">
        <v>6936</v>
      </c>
    </row>
    <row r="159" spans="1:19" x14ac:dyDescent="0.25">
      <c r="A159">
        <v>2011</v>
      </c>
      <c r="B159">
        <v>5647</v>
      </c>
      <c r="C159" t="s">
        <v>65</v>
      </c>
      <c r="D159" t="s">
        <v>691</v>
      </c>
      <c r="E159">
        <v>562210</v>
      </c>
      <c r="F159" t="s">
        <v>52</v>
      </c>
      <c r="G159" t="s">
        <v>53</v>
      </c>
      <c r="H159" t="s">
        <v>21</v>
      </c>
      <c r="I159" t="s">
        <v>97</v>
      </c>
      <c r="J159" t="s">
        <v>98</v>
      </c>
      <c r="K159" t="s">
        <v>99</v>
      </c>
      <c r="L159" t="s">
        <v>89</v>
      </c>
      <c r="M159" t="s">
        <v>90</v>
      </c>
      <c r="N159" t="s">
        <v>166</v>
      </c>
      <c r="O159" t="s">
        <v>167</v>
      </c>
      <c r="P159">
        <v>4.87</v>
      </c>
      <c r="Q159" t="s">
        <v>29</v>
      </c>
      <c r="R159" t="s">
        <v>157</v>
      </c>
      <c r="S159" t="s">
        <v>6936</v>
      </c>
    </row>
    <row r="160" spans="1:19" x14ac:dyDescent="0.25">
      <c r="A160">
        <v>2019</v>
      </c>
      <c r="B160">
        <v>31</v>
      </c>
      <c r="C160" t="s">
        <v>214</v>
      </c>
      <c r="D160" t="s">
        <v>215</v>
      </c>
      <c r="E160">
        <v>325510</v>
      </c>
      <c r="F160" t="s">
        <v>111</v>
      </c>
      <c r="G160" t="s">
        <v>112</v>
      </c>
      <c r="H160" t="s">
        <v>21</v>
      </c>
      <c r="I160" t="s">
        <v>129</v>
      </c>
      <c r="J160" t="s">
        <v>130</v>
      </c>
      <c r="K160" t="s">
        <v>131</v>
      </c>
      <c r="L160" t="s">
        <v>89</v>
      </c>
      <c r="M160" t="s">
        <v>90</v>
      </c>
      <c r="N160" t="s">
        <v>166</v>
      </c>
      <c r="O160" t="s">
        <v>167</v>
      </c>
      <c r="P160">
        <v>0.6</v>
      </c>
      <c r="Q160" t="s">
        <v>29</v>
      </c>
      <c r="R160" t="s">
        <v>30</v>
      </c>
      <c r="S160" t="s">
        <v>6936</v>
      </c>
    </row>
    <row r="161" spans="1:19" x14ac:dyDescent="0.25">
      <c r="A161">
        <v>2020</v>
      </c>
      <c r="B161">
        <v>31257</v>
      </c>
      <c r="C161" t="s">
        <v>692</v>
      </c>
      <c r="D161" t="s">
        <v>693</v>
      </c>
      <c r="E161">
        <v>332810</v>
      </c>
      <c r="F161" t="s">
        <v>361</v>
      </c>
      <c r="G161" t="s">
        <v>362</v>
      </c>
      <c r="H161" t="s">
        <v>21</v>
      </c>
      <c r="I161" t="s">
        <v>271</v>
      </c>
      <c r="J161" t="s">
        <v>272</v>
      </c>
      <c r="K161" t="s">
        <v>273</v>
      </c>
      <c r="L161" t="s">
        <v>25</v>
      </c>
      <c r="M161" t="s">
        <v>26</v>
      </c>
      <c r="N161" t="s">
        <v>27</v>
      </c>
      <c r="O161" t="s">
        <v>28</v>
      </c>
      <c r="P161">
        <v>4.4690000000000003</v>
      </c>
      <c r="Q161" t="s">
        <v>29</v>
      </c>
      <c r="R161" t="s">
        <v>50</v>
      </c>
      <c r="S161" t="s">
        <v>6936</v>
      </c>
    </row>
    <row r="162" spans="1:19" x14ac:dyDescent="0.25">
      <c r="A162">
        <v>2017</v>
      </c>
      <c r="B162">
        <v>3476</v>
      </c>
      <c r="C162" t="s">
        <v>262</v>
      </c>
      <c r="D162" t="s">
        <v>694</v>
      </c>
      <c r="E162">
        <v>336110</v>
      </c>
      <c r="F162" t="s">
        <v>43</v>
      </c>
      <c r="G162" t="s">
        <v>44</v>
      </c>
      <c r="H162" t="s">
        <v>21</v>
      </c>
      <c r="I162" t="s">
        <v>97</v>
      </c>
      <c r="J162" t="s">
        <v>98</v>
      </c>
      <c r="K162" t="s">
        <v>99</v>
      </c>
      <c r="L162" t="s">
        <v>89</v>
      </c>
      <c r="M162" t="s">
        <v>90</v>
      </c>
      <c r="N162" t="s">
        <v>100</v>
      </c>
      <c r="O162" t="s">
        <v>101</v>
      </c>
      <c r="P162">
        <v>5.524</v>
      </c>
      <c r="Q162" t="s">
        <v>29</v>
      </c>
      <c r="R162" t="s">
        <v>30</v>
      </c>
      <c r="S162" t="s">
        <v>6936</v>
      </c>
    </row>
    <row r="163" spans="1:19" x14ac:dyDescent="0.25">
      <c r="A163">
        <v>2021</v>
      </c>
      <c r="B163">
        <v>29768</v>
      </c>
      <c r="C163" t="s">
        <v>678</v>
      </c>
      <c r="D163" t="s">
        <v>679</v>
      </c>
      <c r="E163">
        <v>332999</v>
      </c>
      <c r="F163" t="s">
        <v>303</v>
      </c>
      <c r="G163" t="s">
        <v>304</v>
      </c>
      <c r="H163" t="s">
        <v>79</v>
      </c>
      <c r="I163" t="s">
        <v>62</v>
      </c>
      <c r="J163" t="s">
        <v>63</v>
      </c>
      <c r="K163" t="s">
        <v>64</v>
      </c>
      <c r="L163" t="s">
        <v>25</v>
      </c>
      <c r="M163" t="s">
        <v>26</v>
      </c>
      <c r="N163" t="s">
        <v>38</v>
      </c>
      <c r="O163" t="s">
        <v>39</v>
      </c>
      <c r="P163">
        <v>7.1599999999999997E-2</v>
      </c>
      <c r="Q163" t="s">
        <v>29</v>
      </c>
      <c r="R163" t="s">
        <v>50</v>
      </c>
      <c r="S163" t="s">
        <v>6936</v>
      </c>
    </row>
    <row r="164" spans="1:19" x14ac:dyDescent="0.25">
      <c r="A164">
        <v>2008</v>
      </c>
      <c r="B164">
        <v>5626</v>
      </c>
      <c r="C164" t="s">
        <v>695</v>
      </c>
      <c r="D164" t="s">
        <v>696</v>
      </c>
      <c r="E164">
        <v>332810</v>
      </c>
      <c r="F164" t="s">
        <v>237</v>
      </c>
      <c r="G164" t="s">
        <v>238</v>
      </c>
      <c r="H164" t="s">
        <v>21</v>
      </c>
      <c r="I164" t="s">
        <v>152</v>
      </c>
      <c r="J164" t="s">
        <v>153</v>
      </c>
      <c r="K164" t="s">
        <v>154</v>
      </c>
      <c r="L164" t="s">
        <v>25</v>
      </c>
      <c r="M164" t="s">
        <v>26</v>
      </c>
      <c r="N164" t="s">
        <v>38</v>
      </c>
      <c r="O164" t="s">
        <v>39</v>
      </c>
      <c r="P164">
        <v>331.37900000000002</v>
      </c>
      <c r="Q164" t="s">
        <v>29</v>
      </c>
      <c r="R164" t="s">
        <v>30</v>
      </c>
      <c r="S164" t="s">
        <v>6936</v>
      </c>
    </row>
    <row r="165" spans="1:19" x14ac:dyDescent="0.25">
      <c r="A165">
        <v>2003</v>
      </c>
      <c r="B165">
        <v>4571</v>
      </c>
      <c r="C165" t="s">
        <v>697</v>
      </c>
      <c r="E165">
        <v>325510</v>
      </c>
      <c r="F165" t="s">
        <v>143</v>
      </c>
      <c r="G165" t="s">
        <v>112</v>
      </c>
      <c r="H165" t="s">
        <v>79</v>
      </c>
      <c r="I165" t="s">
        <v>117</v>
      </c>
      <c r="J165" t="s">
        <v>118</v>
      </c>
      <c r="K165" t="s">
        <v>119</v>
      </c>
      <c r="L165" t="s">
        <v>89</v>
      </c>
      <c r="M165" t="s">
        <v>90</v>
      </c>
      <c r="N165" t="s">
        <v>166</v>
      </c>
      <c r="O165" t="s">
        <v>167</v>
      </c>
      <c r="P165">
        <v>12.24</v>
      </c>
      <c r="Q165" t="s">
        <v>29</v>
      </c>
      <c r="R165" t="s">
        <v>30</v>
      </c>
      <c r="S165" t="s">
        <v>6936</v>
      </c>
    </row>
    <row r="166" spans="1:19" x14ac:dyDescent="0.25">
      <c r="A166">
        <v>1996</v>
      </c>
      <c r="B166">
        <v>2331</v>
      </c>
      <c r="C166" t="s">
        <v>698</v>
      </c>
      <c r="D166" t="s">
        <v>699</v>
      </c>
      <c r="E166">
        <v>325510</v>
      </c>
      <c r="F166" t="s">
        <v>143</v>
      </c>
      <c r="G166" t="s">
        <v>112</v>
      </c>
      <c r="H166" t="s">
        <v>21</v>
      </c>
      <c r="I166" t="s">
        <v>271</v>
      </c>
      <c r="J166" t="s">
        <v>387</v>
      </c>
      <c r="K166" t="s">
        <v>388</v>
      </c>
      <c r="L166" t="s">
        <v>25</v>
      </c>
      <c r="M166" t="s">
        <v>26</v>
      </c>
      <c r="N166" t="s">
        <v>48</v>
      </c>
      <c r="O166" t="s">
        <v>49</v>
      </c>
      <c r="P166">
        <v>4.2530000000000001</v>
      </c>
      <c r="Q166" t="s">
        <v>29</v>
      </c>
      <c r="R166" t="s">
        <v>30</v>
      </c>
      <c r="S166" t="s">
        <v>6936</v>
      </c>
    </row>
    <row r="167" spans="1:19" x14ac:dyDescent="0.25">
      <c r="A167">
        <v>2009</v>
      </c>
      <c r="B167">
        <v>2909</v>
      </c>
      <c r="C167" t="s">
        <v>363</v>
      </c>
      <c r="D167" t="s">
        <v>700</v>
      </c>
      <c r="E167">
        <v>321114</v>
      </c>
      <c r="F167" t="s">
        <v>365</v>
      </c>
      <c r="G167" t="s">
        <v>366</v>
      </c>
      <c r="H167" t="s">
        <v>79</v>
      </c>
      <c r="I167" t="s">
        <v>209</v>
      </c>
      <c r="J167" t="s">
        <v>210</v>
      </c>
      <c r="K167" t="s">
        <v>211</v>
      </c>
      <c r="L167" t="s">
        <v>89</v>
      </c>
      <c r="M167" t="s">
        <v>90</v>
      </c>
      <c r="N167" t="s">
        <v>166</v>
      </c>
      <c r="O167" t="s">
        <v>167</v>
      </c>
      <c r="P167">
        <v>0.115</v>
      </c>
      <c r="Q167" t="s">
        <v>29</v>
      </c>
      <c r="R167" t="s">
        <v>124</v>
      </c>
      <c r="S167" t="s">
        <v>6936</v>
      </c>
    </row>
    <row r="168" spans="1:19" x14ac:dyDescent="0.25">
      <c r="A168">
        <v>1995</v>
      </c>
      <c r="B168">
        <v>2070</v>
      </c>
      <c r="C168" t="s">
        <v>701</v>
      </c>
      <c r="E168">
        <v>324190</v>
      </c>
      <c r="F168" t="s">
        <v>702</v>
      </c>
      <c r="G168" t="s">
        <v>667</v>
      </c>
      <c r="H168" t="s">
        <v>21</v>
      </c>
      <c r="I168" t="s">
        <v>703</v>
      </c>
      <c r="J168" t="s">
        <v>704</v>
      </c>
      <c r="K168" t="s">
        <v>705</v>
      </c>
      <c r="L168" t="s">
        <v>89</v>
      </c>
      <c r="M168" t="s">
        <v>90</v>
      </c>
      <c r="N168" t="s">
        <v>100</v>
      </c>
      <c r="O168" t="s">
        <v>101</v>
      </c>
      <c r="P168">
        <v>0.05</v>
      </c>
      <c r="Q168" t="s">
        <v>29</v>
      </c>
      <c r="R168" t="s">
        <v>30</v>
      </c>
      <c r="S168" t="s">
        <v>6936</v>
      </c>
    </row>
    <row r="169" spans="1:19" x14ac:dyDescent="0.25">
      <c r="A169">
        <v>2005</v>
      </c>
      <c r="B169">
        <v>7040</v>
      </c>
      <c r="C169" t="s">
        <v>706</v>
      </c>
      <c r="D169" t="s">
        <v>707</v>
      </c>
      <c r="E169">
        <v>331511</v>
      </c>
      <c r="F169" t="s">
        <v>160</v>
      </c>
      <c r="G169" t="s">
        <v>161</v>
      </c>
      <c r="H169" t="s">
        <v>21</v>
      </c>
      <c r="I169" t="s">
        <v>136</v>
      </c>
      <c r="J169" t="s">
        <v>137</v>
      </c>
      <c r="K169" t="s">
        <v>138</v>
      </c>
      <c r="L169" t="s">
        <v>25</v>
      </c>
      <c r="M169" t="s">
        <v>26</v>
      </c>
      <c r="N169" t="s">
        <v>155</v>
      </c>
      <c r="O169" t="s">
        <v>156</v>
      </c>
      <c r="P169">
        <v>17.992000000000001</v>
      </c>
      <c r="Q169" t="s">
        <v>29</v>
      </c>
      <c r="R169" t="s">
        <v>124</v>
      </c>
      <c r="S169" t="s">
        <v>6936</v>
      </c>
    </row>
    <row r="170" spans="1:19" x14ac:dyDescent="0.25">
      <c r="A170">
        <v>2012</v>
      </c>
      <c r="B170">
        <v>8727</v>
      </c>
      <c r="C170" t="s">
        <v>708</v>
      </c>
      <c r="D170" t="s">
        <v>709</v>
      </c>
      <c r="E170">
        <v>327330</v>
      </c>
      <c r="F170" t="s">
        <v>710</v>
      </c>
      <c r="G170" t="s">
        <v>711</v>
      </c>
      <c r="H170" t="s">
        <v>79</v>
      </c>
      <c r="I170" t="s">
        <v>136</v>
      </c>
      <c r="J170" t="s">
        <v>137</v>
      </c>
      <c r="K170" t="s">
        <v>138</v>
      </c>
      <c r="L170" t="s">
        <v>25</v>
      </c>
      <c r="M170" t="s">
        <v>26</v>
      </c>
      <c r="N170" t="s">
        <v>38</v>
      </c>
      <c r="O170" t="s">
        <v>39</v>
      </c>
      <c r="P170">
        <v>4.2149999999999999</v>
      </c>
      <c r="Q170" t="s">
        <v>29</v>
      </c>
      <c r="R170" t="s">
        <v>50</v>
      </c>
      <c r="S170" t="s">
        <v>6936</v>
      </c>
    </row>
    <row r="171" spans="1:19" x14ac:dyDescent="0.25">
      <c r="A171">
        <v>2017</v>
      </c>
      <c r="B171">
        <v>8645</v>
      </c>
      <c r="C171" t="s">
        <v>642</v>
      </c>
      <c r="D171" t="s">
        <v>712</v>
      </c>
      <c r="E171">
        <v>562110</v>
      </c>
      <c r="F171" t="s">
        <v>644</v>
      </c>
      <c r="G171" t="s">
        <v>645</v>
      </c>
      <c r="H171" t="s">
        <v>79</v>
      </c>
      <c r="I171" t="s">
        <v>520</v>
      </c>
      <c r="J171" t="s">
        <v>521</v>
      </c>
      <c r="K171" t="s">
        <v>522</v>
      </c>
      <c r="L171" t="s">
        <v>89</v>
      </c>
      <c r="M171" t="s">
        <v>90</v>
      </c>
      <c r="N171" t="s">
        <v>166</v>
      </c>
      <c r="O171" t="s">
        <v>167</v>
      </c>
      <c r="P171">
        <v>17.946400000000001</v>
      </c>
      <c r="Q171" t="s">
        <v>29</v>
      </c>
      <c r="R171" t="s">
        <v>50</v>
      </c>
      <c r="S171" t="s">
        <v>6936</v>
      </c>
    </row>
    <row r="172" spans="1:19" x14ac:dyDescent="0.25">
      <c r="A172">
        <v>2013</v>
      </c>
      <c r="B172">
        <v>4399</v>
      </c>
      <c r="C172" t="s">
        <v>713</v>
      </c>
      <c r="D172" t="s">
        <v>714</v>
      </c>
      <c r="E172">
        <v>322299</v>
      </c>
      <c r="F172" t="s">
        <v>715</v>
      </c>
      <c r="G172" t="s">
        <v>716</v>
      </c>
      <c r="H172" t="s">
        <v>79</v>
      </c>
      <c r="I172" t="s">
        <v>70</v>
      </c>
      <c r="J172" t="s">
        <v>71</v>
      </c>
      <c r="K172" t="s">
        <v>72</v>
      </c>
      <c r="L172" t="s">
        <v>89</v>
      </c>
      <c r="M172" t="s">
        <v>90</v>
      </c>
      <c r="N172" t="s">
        <v>166</v>
      </c>
      <c r="O172" t="s">
        <v>167</v>
      </c>
      <c r="P172">
        <v>2.3340000000000001</v>
      </c>
      <c r="Q172" t="s">
        <v>29</v>
      </c>
      <c r="R172" t="s">
        <v>50</v>
      </c>
      <c r="S172" t="s">
        <v>6936</v>
      </c>
    </row>
    <row r="173" spans="1:19" x14ac:dyDescent="0.25">
      <c r="A173">
        <v>2005</v>
      </c>
      <c r="B173">
        <v>447</v>
      </c>
      <c r="C173" t="s">
        <v>717</v>
      </c>
      <c r="D173" t="s">
        <v>718</v>
      </c>
      <c r="E173">
        <v>312140</v>
      </c>
      <c r="F173" t="s">
        <v>719</v>
      </c>
      <c r="G173" t="s">
        <v>719</v>
      </c>
      <c r="H173" t="s">
        <v>79</v>
      </c>
      <c r="I173" t="s">
        <v>337</v>
      </c>
      <c r="J173" t="s">
        <v>338</v>
      </c>
      <c r="K173" t="s">
        <v>339</v>
      </c>
      <c r="L173" t="s">
        <v>89</v>
      </c>
      <c r="M173" t="s">
        <v>90</v>
      </c>
      <c r="N173" t="s">
        <v>100</v>
      </c>
      <c r="O173" t="s">
        <v>101</v>
      </c>
      <c r="P173">
        <v>17.593</v>
      </c>
      <c r="Q173" t="s">
        <v>29</v>
      </c>
      <c r="R173" t="s">
        <v>50</v>
      </c>
      <c r="S173" t="s">
        <v>6936</v>
      </c>
    </row>
    <row r="174" spans="1:19" x14ac:dyDescent="0.25">
      <c r="A174">
        <v>2010</v>
      </c>
      <c r="B174">
        <v>2578</v>
      </c>
      <c r="C174" t="s">
        <v>584</v>
      </c>
      <c r="D174" t="s">
        <v>585</v>
      </c>
      <c r="E174">
        <v>336370</v>
      </c>
      <c r="F174" t="s">
        <v>586</v>
      </c>
      <c r="G174" t="s">
        <v>587</v>
      </c>
      <c r="H174" t="s">
        <v>21</v>
      </c>
      <c r="I174" t="s">
        <v>152</v>
      </c>
      <c r="J174" t="s">
        <v>153</v>
      </c>
      <c r="K174" t="s">
        <v>154</v>
      </c>
      <c r="L174" t="s">
        <v>25</v>
      </c>
      <c r="M174" t="s">
        <v>26</v>
      </c>
      <c r="N174" t="s">
        <v>48</v>
      </c>
      <c r="O174" t="s">
        <v>49</v>
      </c>
      <c r="P174">
        <v>0</v>
      </c>
      <c r="Q174" t="s">
        <v>29</v>
      </c>
      <c r="R174" t="s">
        <v>50</v>
      </c>
      <c r="S174" t="s">
        <v>6936</v>
      </c>
    </row>
    <row r="175" spans="1:19" x14ac:dyDescent="0.25">
      <c r="A175">
        <v>2023</v>
      </c>
      <c r="B175">
        <v>1845</v>
      </c>
      <c r="C175" t="s">
        <v>720</v>
      </c>
      <c r="D175" t="s">
        <v>352</v>
      </c>
      <c r="E175">
        <v>311511</v>
      </c>
      <c r="F175" t="s">
        <v>721</v>
      </c>
      <c r="G175" t="s">
        <v>722</v>
      </c>
      <c r="H175" t="s">
        <v>21</v>
      </c>
      <c r="I175" t="s">
        <v>402</v>
      </c>
      <c r="J175" t="s">
        <v>403</v>
      </c>
      <c r="K175" t="s">
        <v>404</v>
      </c>
      <c r="L175" t="s">
        <v>89</v>
      </c>
      <c r="M175" t="s">
        <v>90</v>
      </c>
      <c r="N175" t="s">
        <v>100</v>
      </c>
      <c r="O175" t="s">
        <v>101</v>
      </c>
      <c r="P175">
        <v>62.27</v>
      </c>
      <c r="Q175" t="s">
        <v>29</v>
      </c>
      <c r="R175" t="s">
        <v>30</v>
      </c>
      <c r="S175" t="s">
        <v>6936</v>
      </c>
    </row>
    <row r="176" spans="1:19" x14ac:dyDescent="0.25">
      <c r="A176">
        <v>2006</v>
      </c>
      <c r="B176">
        <v>5429</v>
      </c>
      <c r="C176" t="s">
        <v>723</v>
      </c>
      <c r="D176" t="s">
        <v>724</v>
      </c>
      <c r="E176">
        <v>325999</v>
      </c>
      <c r="F176" t="s">
        <v>396</v>
      </c>
      <c r="G176" t="s">
        <v>397</v>
      </c>
      <c r="H176" t="s">
        <v>79</v>
      </c>
      <c r="I176" t="s">
        <v>648</v>
      </c>
      <c r="J176" t="s">
        <v>649</v>
      </c>
      <c r="K176" t="s">
        <v>650</v>
      </c>
      <c r="L176" t="s">
        <v>89</v>
      </c>
      <c r="M176" t="s">
        <v>90</v>
      </c>
      <c r="N176" t="s">
        <v>100</v>
      </c>
      <c r="O176" t="s">
        <v>101</v>
      </c>
      <c r="P176">
        <v>0</v>
      </c>
      <c r="Q176" t="s">
        <v>29</v>
      </c>
      <c r="R176" t="s">
        <v>725</v>
      </c>
      <c r="S176" t="s">
        <v>6936</v>
      </c>
    </row>
    <row r="177" spans="1:19" x14ac:dyDescent="0.25">
      <c r="A177">
        <v>2012</v>
      </c>
      <c r="B177">
        <v>2855</v>
      </c>
      <c r="C177" t="s">
        <v>726</v>
      </c>
      <c r="D177" t="s">
        <v>727</v>
      </c>
      <c r="E177">
        <v>325181</v>
      </c>
      <c r="F177" t="s">
        <v>728</v>
      </c>
      <c r="G177" t="s">
        <v>729</v>
      </c>
      <c r="H177" t="s">
        <v>79</v>
      </c>
      <c r="I177" t="s">
        <v>730</v>
      </c>
      <c r="J177" t="s">
        <v>731</v>
      </c>
      <c r="K177" t="s">
        <v>732</v>
      </c>
      <c r="L177" t="s">
        <v>89</v>
      </c>
      <c r="M177" t="s">
        <v>90</v>
      </c>
      <c r="N177" t="s">
        <v>166</v>
      </c>
      <c r="O177" t="s">
        <v>167</v>
      </c>
      <c r="P177">
        <v>10.231999999999999</v>
      </c>
      <c r="Q177" t="s">
        <v>29</v>
      </c>
      <c r="R177" t="s">
        <v>30</v>
      </c>
      <c r="S177" t="s">
        <v>6936</v>
      </c>
    </row>
    <row r="178" spans="1:19" x14ac:dyDescent="0.25">
      <c r="A178">
        <v>2023</v>
      </c>
      <c r="B178">
        <v>2604</v>
      </c>
      <c r="C178" t="s">
        <v>733</v>
      </c>
      <c r="D178" t="s">
        <v>733</v>
      </c>
      <c r="E178">
        <v>322112</v>
      </c>
      <c r="F178" t="s">
        <v>660</v>
      </c>
      <c r="G178" t="s">
        <v>621</v>
      </c>
      <c r="H178" t="s">
        <v>661</v>
      </c>
      <c r="I178" t="s">
        <v>367</v>
      </c>
      <c r="J178" t="s">
        <v>368</v>
      </c>
      <c r="K178" t="s">
        <v>369</v>
      </c>
      <c r="L178" t="s">
        <v>25</v>
      </c>
      <c r="M178" t="s">
        <v>26</v>
      </c>
      <c r="N178" t="s">
        <v>139</v>
      </c>
      <c r="O178" t="s">
        <v>140</v>
      </c>
      <c r="P178">
        <v>0.54828399999999999</v>
      </c>
      <c r="Q178" t="s">
        <v>40</v>
      </c>
      <c r="R178" t="s">
        <v>430</v>
      </c>
      <c r="S178" t="s">
        <v>6936</v>
      </c>
    </row>
    <row r="179" spans="1:19" x14ac:dyDescent="0.25">
      <c r="A179">
        <v>2011</v>
      </c>
      <c r="B179">
        <v>6792</v>
      </c>
      <c r="C179" t="s">
        <v>65</v>
      </c>
      <c r="D179" t="s">
        <v>734</v>
      </c>
      <c r="E179">
        <v>562920</v>
      </c>
      <c r="F179" t="s">
        <v>735</v>
      </c>
      <c r="G179" t="s">
        <v>330</v>
      </c>
      <c r="H179" t="s">
        <v>69</v>
      </c>
      <c r="I179" t="s">
        <v>55</v>
      </c>
      <c r="J179" t="s">
        <v>56</v>
      </c>
      <c r="K179" t="s">
        <v>57</v>
      </c>
      <c r="L179" t="s">
        <v>89</v>
      </c>
      <c r="M179" t="s">
        <v>90</v>
      </c>
      <c r="N179" t="s">
        <v>166</v>
      </c>
      <c r="O179" t="s">
        <v>167</v>
      </c>
      <c r="P179">
        <v>1.387</v>
      </c>
      <c r="Q179" t="s">
        <v>29</v>
      </c>
      <c r="R179" t="s">
        <v>50</v>
      </c>
      <c r="S179" t="s">
        <v>6936</v>
      </c>
    </row>
    <row r="180" spans="1:19" x14ac:dyDescent="0.25">
      <c r="A180">
        <v>1999</v>
      </c>
      <c r="B180">
        <v>5606</v>
      </c>
      <c r="C180" t="s">
        <v>736</v>
      </c>
      <c r="D180" t="s">
        <v>737</v>
      </c>
      <c r="E180">
        <v>337214</v>
      </c>
      <c r="F180" t="s">
        <v>738</v>
      </c>
      <c r="G180" t="s">
        <v>739</v>
      </c>
      <c r="H180" t="s">
        <v>21</v>
      </c>
      <c r="I180" t="s">
        <v>209</v>
      </c>
      <c r="J180" t="s">
        <v>210</v>
      </c>
      <c r="K180" t="s">
        <v>211</v>
      </c>
      <c r="L180" t="s">
        <v>25</v>
      </c>
      <c r="M180" t="s">
        <v>26</v>
      </c>
      <c r="N180" t="s">
        <v>38</v>
      </c>
      <c r="O180" t="s">
        <v>39</v>
      </c>
      <c r="P180">
        <v>12.5</v>
      </c>
      <c r="Q180" t="s">
        <v>29</v>
      </c>
      <c r="R180" t="s">
        <v>442</v>
      </c>
      <c r="S180" t="s">
        <v>6936</v>
      </c>
    </row>
    <row r="181" spans="1:19" x14ac:dyDescent="0.25">
      <c r="A181">
        <v>2018</v>
      </c>
      <c r="B181">
        <v>5927</v>
      </c>
      <c r="C181" t="s">
        <v>740</v>
      </c>
      <c r="D181" t="s">
        <v>741</v>
      </c>
      <c r="E181">
        <v>332999</v>
      </c>
      <c r="F181" t="s">
        <v>303</v>
      </c>
      <c r="G181" t="s">
        <v>304</v>
      </c>
      <c r="H181" t="s">
        <v>21</v>
      </c>
      <c r="I181" t="s">
        <v>97</v>
      </c>
      <c r="J181" t="s">
        <v>98</v>
      </c>
      <c r="K181" t="s">
        <v>99</v>
      </c>
      <c r="L181" t="s">
        <v>25</v>
      </c>
      <c r="M181" t="s">
        <v>26</v>
      </c>
      <c r="N181" t="s">
        <v>288</v>
      </c>
      <c r="O181" t="s">
        <v>289</v>
      </c>
      <c r="P181">
        <v>6.92</v>
      </c>
      <c r="Q181" t="s">
        <v>29</v>
      </c>
      <c r="R181" t="s">
        <v>30</v>
      </c>
      <c r="S181" t="s">
        <v>6936</v>
      </c>
    </row>
    <row r="182" spans="1:19" x14ac:dyDescent="0.25">
      <c r="A182">
        <v>2018</v>
      </c>
      <c r="B182">
        <v>762</v>
      </c>
      <c r="C182" t="s">
        <v>742</v>
      </c>
      <c r="D182" t="s">
        <v>743</v>
      </c>
      <c r="E182">
        <v>325510</v>
      </c>
      <c r="F182" t="s">
        <v>111</v>
      </c>
      <c r="G182" t="s">
        <v>112</v>
      </c>
      <c r="H182" t="s">
        <v>54</v>
      </c>
      <c r="I182" t="s">
        <v>80</v>
      </c>
      <c r="J182" t="s">
        <v>81</v>
      </c>
      <c r="K182" t="s">
        <v>82</v>
      </c>
      <c r="L182" t="s">
        <v>89</v>
      </c>
      <c r="M182" t="s">
        <v>90</v>
      </c>
      <c r="N182" t="s">
        <v>166</v>
      </c>
      <c r="O182" t="s">
        <v>167</v>
      </c>
      <c r="P182">
        <v>0.13700000000000001</v>
      </c>
      <c r="Q182" t="s">
        <v>29</v>
      </c>
      <c r="R182" t="s">
        <v>30</v>
      </c>
      <c r="S182" t="s">
        <v>6936</v>
      </c>
    </row>
    <row r="183" spans="1:19" x14ac:dyDescent="0.25">
      <c r="A183">
        <v>2022</v>
      </c>
      <c r="B183">
        <v>1931</v>
      </c>
      <c r="C183" t="s">
        <v>744</v>
      </c>
      <c r="D183" t="s">
        <v>745</v>
      </c>
      <c r="E183">
        <v>325510</v>
      </c>
      <c r="F183" t="s">
        <v>111</v>
      </c>
      <c r="G183" t="s">
        <v>112</v>
      </c>
      <c r="H183" t="s">
        <v>21</v>
      </c>
      <c r="I183" t="s">
        <v>427</v>
      </c>
      <c r="J183" t="s">
        <v>428</v>
      </c>
      <c r="K183" t="s">
        <v>429</v>
      </c>
      <c r="L183" t="s">
        <v>25</v>
      </c>
      <c r="M183" t="s">
        <v>26</v>
      </c>
      <c r="N183" t="s">
        <v>27</v>
      </c>
      <c r="O183" t="s">
        <v>28</v>
      </c>
      <c r="P183">
        <v>0.06</v>
      </c>
      <c r="Q183" t="s">
        <v>29</v>
      </c>
      <c r="R183" t="s">
        <v>30</v>
      </c>
      <c r="S183" t="s">
        <v>6936</v>
      </c>
    </row>
    <row r="184" spans="1:19" x14ac:dyDescent="0.25">
      <c r="A184">
        <v>2015</v>
      </c>
      <c r="B184">
        <v>10219</v>
      </c>
      <c r="C184" t="s">
        <v>125</v>
      </c>
      <c r="D184" t="s">
        <v>746</v>
      </c>
      <c r="E184">
        <v>412110</v>
      </c>
      <c r="F184" t="s">
        <v>127</v>
      </c>
      <c r="G184" t="s">
        <v>128</v>
      </c>
      <c r="H184" t="s">
        <v>21</v>
      </c>
      <c r="I184" t="s">
        <v>367</v>
      </c>
      <c r="J184" t="s">
        <v>368</v>
      </c>
      <c r="K184" t="s">
        <v>369</v>
      </c>
      <c r="L184" t="s">
        <v>25</v>
      </c>
      <c r="M184" t="s">
        <v>26</v>
      </c>
      <c r="N184" t="s">
        <v>155</v>
      </c>
      <c r="O184" t="s">
        <v>156</v>
      </c>
      <c r="P184">
        <v>0.56030000000000002</v>
      </c>
      <c r="Q184" t="s">
        <v>40</v>
      </c>
      <c r="R184" t="s">
        <v>30</v>
      </c>
      <c r="S184" t="s">
        <v>6936</v>
      </c>
    </row>
    <row r="185" spans="1:19" x14ac:dyDescent="0.25">
      <c r="A185">
        <v>2006</v>
      </c>
      <c r="B185">
        <v>3254</v>
      </c>
      <c r="C185" t="s">
        <v>747</v>
      </c>
      <c r="D185" t="s">
        <v>748</v>
      </c>
      <c r="E185">
        <v>336410</v>
      </c>
      <c r="F185" t="s">
        <v>260</v>
      </c>
      <c r="G185" t="s">
        <v>261</v>
      </c>
      <c r="H185" t="s">
        <v>79</v>
      </c>
      <c r="I185" t="s">
        <v>209</v>
      </c>
      <c r="J185" t="s">
        <v>210</v>
      </c>
      <c r="K185" t="s">
        <v>211</v>
      </c>
      <c r="L185" t="s">
        <v>89</v>
      </c>
      <c r="M185" t="s">
        <v>90</v>
      </c>
      <c r="N185" t="s">
        <v>100</v>
      </c>
      <c r="O185" t="s">
        <v>101</v>
      </c>
      <c r="P185">
        <v>1E-3</v>
      </c>
      <c r="Q185" t="s">
        <v>29</v>
      </c>
      <c r="R185" t="s">
        <v>50</v>
      </c>
      <c r="S185" t="s">
        <v>6936</v>
      </c>
    </row>
    <row r="186" spans="1:19" x14ac:dyDescent="0.25">
      <c r="A186">
        <v>2017</v>
      </c>
      <c r="B186">
        <v>7128</v>
      </c>
      <c r="C186" t="s">
        <v>749</v>
      </c>
      <c r="D186" t="s">
        <v>750</v>
      </c>
      <c r="E186">
        <v>332118</v>
      </c>
      <c r="F186" t="s">
        <v>459</v>
      </c>
      <c r="G186" t="s">
        <v>460</v>
      </c>
      <c r="H186" t="s">
        <v>21</v>
      </c>
      <c r="I186" t="s">
        <v>62</v>
      </c>
      <c r="J186" t="s">
        <v>63</v>
      </c>
      <c r="K186" t="s">
        <v>64</v>
      </c>
      <c r="L186" t="s">
        <v>25</v>
      </c>
      <c r="M186" t="s">
        <v>26</v>
      </c>
      <c r="N186" t="s">
        <v>38</v>
      </c>
      <c r="O186" t="s">
        <v>39</v>
      </c>
      <c r="P186">
        <v>4.6900000000000004</v>
      </c>
      <c r="Q186" t="s">
        <v>29</v>
      </c>
      <c r="R186" t="s">
        <v>50</v>
      </c>
      <c r="S186" t="s">
        <v>6936</v>
      </c>
    </row>
    <row r="187" spans="1:19" x14ac:dyDescent="0.25">
      <c r="A187">
        <v>2006</v>
      </c>
      <c r="B187">
        <v>4369</v>
      </c>
      <c r="C187" t="s">
        <v>751</v>
      </c>
      <c r="D187" t="s">
        <v>751</v>
      </c>
      <c r="E187">
        <v>325510</v>
      </c>
      <c r="F187" t="s">
        <v>143</v>
      </c>
      <c r="G187" t="s">
        <v>112</v>
      </c>
      <c r="H187" t="s">
        <v>79</v>
      </c>
      <c r="I187" t="s">
        <v>129</v>
      </c>
      <c r="J187" t="s">
        <v>130</v>
      </c>
      <c r="K187" t="s">
        <v>131</v>
      </c>
      <c r="L187" t="s">
        <v>89</v>
      </c>
      <c r="M187" t="s">
        <v>90</v>
      </c>
      <c r="N187" t="s">
        <v>166</v>
      </c>
      <c r="O187" t="s">
        <v>167</v>
      </c>
      <c r="P187">
        <v>0.11600000000000001</v>
      </c>
      <c r="Q187" t="s">
        <v>29</v>
      </c>
      <c r="R187" t="s">
        <v>30</v>
      </c>
      <c r="S187" t="s">
        <v>6936</v>
      </c>
    </row>
    <row r="188" spans="1:19" x14ac:dyDescent="0.25">
      <c r="A188">
        <v>2009</v>
      </c>
      <c r="B188">
        <v>11655</v>
      </c>
      <c r="C188" t="s">
        <v>752</v>
      </c>
      <c r="D188" t="s">
        <v>753</v>
      </c>
      <c r="E188">
        <v>332710</v>
      </c>
      <c r="F188" t="s">
        <v>754</v>
      </c>
      <c r="G188" t="s">
        <v>557</v>
      </c>
      <c r="H188" t="s">
        <v>21</v>
      </c>
      <c r="I188" t="s">
        <v>117</v>
      </c>
      <c r="J188" t="s">
        <v>118</v>
      </c>
      <c r="K188" t="s">
        <v>119</v>
      </c>
      <c r="L188" t="s">
        <v>25</v>
      </c>
      <c r="M188" t="s">
        <v>26</v>
      </c>
      <c r="N188" t="s">
        <v>38</v>
      </c>
      <c r="O188" t="s">
        <v>39</v>
      </c>
      <c r="P188">
        <v>0.13800000000000001</v>
      </c>
      <c r="Q188" t="s">
        <v>29</v>
      </c>
      <c r="R188" t="s">
        <v>258</v>
      </c>
      <c r="S188" t="s">
        <v>6936</v>
      </c>
    </row>
    <row r="189" spans="1:19" x14ac:dyDescent="0.25">
      <c r="A189">
        <v>2008</v>
      </c>
      <c r="B189">
        <v>3111</v>
      </c>
      <c r="C189" t="s">
        <v>755</v>
      </c>
      <c r="D189" t="s">
        <v>592</v>
      </c>
      <c r="E189">
        <v>332999</v>
      </c>
      <c r="F189" t="s">
        <v>309</v>
      </c>
      <c r="G189" t="s">
        <v>304</v>
      </c>
      <c r="H189" t="s">
        <v>21</v>
      </c>
      <c r="I189" t="s">
        <v>461</v>
      </c>
      <c r="J189" t="s">
        <v>462</v>
      </c>
      <c r="K189" t="s">
        <v>463</v>
      </c>
      <c r="L189" t="s">
        <v>89</v>
      </c>
      <c r="M189" t="s">
        <v>90</v>
      </c>
      <c r="N189" t="s">
        <v>100</v>
      </c>
      <c r="O189" t="s">
        <v>101</v>
      </c>
      <c r="P189">
        <v>73</v>
      </c>
      <c r="Q189" t="s">
        <v>40</v>
      </c>
      <c r="R189" t="s">
        <v>30</v>
      </c>
      <c r="S189" t="s">
        <v>6936</v>
      </c>
    </row>
    <row r="190" spans="1:19" x14ac:dyDescent="0.25">
      <c r="A190">
        <v>2014</v>
      </c>
      <c r="B190">
        <v>1931</v>
      </c>
      <c r="C190" t="s">
        <v>617</v>
      </c>
      <c r="D190" t="s">
        <v>745</v>
      </c>
      <c r="E190">
        <v>325510</v>
      </c>
      <c r="F190" t="s">
        <v>111</v>
      </c>
      <c r="G190" t="s">
        <v>112</v>
      </c>
      <c r="H190" t="s">
        <v>21</v>
      </c>
      <c r="I190" t="s">
        <v>80</v>
      </c>
      <c r="J190" t="s">
        <v>81</v>
      </c>
      <c r="K190" t="s">
        <v>82</v>
      </c>
      <c r="L190" t="s">
        <v>89</v>
      </c>
      <c r="M190" t="s">
        <v>90</v>
      </c>
      <c r="N190" t="s">
        <v>472</v>
      </c>
      <c r="O190" t="s">
        <v>473</v>
      </c>
      <c r="P190">
        <v>0</v>
      </c>
      <c r="Q190" t="s">
        <v>29</v>
      </c>
      <c r="R190" t="s">
        <v>30</v>
      </c>
      <c r="S190" t="s">
        <v>6936</v>
      </c>
    </row>
    <row r="191" spans="1:19" x14ac:dyDescent="0.25">
      <c r="A191">
        <v>2000</v>
      </c>
      <c r="B191">
        <v>3430</v>
      </c>
      <c r="C191" t="s">
        <v>756</v>
      </c>
      <c r="D191" t="s">
        <v>352</v>
      </c>
      <c r="E191">
        <v>325510</v>
      </c>
      <c r="F191" t="s">
        <v>143</v>
      </c>
      <c r="G191" t="s">
        <v>112</v>
      </c>
      <c r="H191" t="s">
        <v>21</v>
      </c>
      <c r="I191" t="s">
        <v>264</v>
      </c>
      <c r="J191" t="s">
        <v>265</v>
      </c>
      <c r="K191" t="s">
        <v>266</v>
      </c>
      <c r="L191" t="s">
        <v>89</v>
      </c>
      <c r="M191" t="s">
        <v>90</v>
      </c>
      <c r="N191" t="s">
        <v>100</v>
      </c>
      <c r="O191" t="s">
        <v>101</v>
      </c>
      <c r="P191">
        <v>2E-3</v>
      </c>
      <c r="Q191" t="s">
        <v>29</v>
      </c>
      <c r="R191" t="s">
        <v>50</v>
      </c>
      <c r="S191" t="s">
        <v>6936</v>
      </c>
    </row>
    <row r="192" spans="1:19" x14ac:dyDescent="0.25">
      <c r="A192">
        <v>1999</v>
      </c>
      <c r="B192">
        <v>4887</v>
      </c>
      <c r="C192" t="s">
        <v>757</v>
      </c>
      <c r="E192">
        <v>562110</v>
      </c>
      <c r="F192" t="s">
        <v>67</v>
      </c>
      <c r="G192" t="s">
        <v>68</v>
      </c>
      <c r="H192" t="s">
        <v>21</v>
      </c>
      <c r="I192" t="s">
        <v>331</v>
      </c>
      <c r="J192" t="s">
        <v>332</v>
      </c>
      <c r="K192" t="s">
        <v>333</v>
      </c>
      <c r="L192" t="s">
        <v>89</v>
      </c>
      <c r="M192" t="s">
        <v>90</v>
      </c>
      <c r="N192" t="s">
        <v>120</v>
      </c>
      <c r="O192" t="s">
        <v>121</v>
      </c>
      <c r="P192">
        <v>39.799999999999997</v>
      </c>
      <c r="Q192" t="s">
        <v>29</v>
      </c>
      <c r="R192" t="s">
        <v>442</v>
      </c>
      <c r="S192" t="s">
        <v>6936</v>
      </c>
    </row>
    <row r="193" spans="1:19" x14ac:dyDescent="0.25">
      <c r="A193">
        <v>1999</v>
      </c>
      <c r="B193">
        <v>4416</v>
      </c>
      <c r="C193" t="s">
        <v>758</v>
      </c>
      <c r="D193" t="s">
        <v>759</v>
      </c>
      <c r="E193">
        <v>331529</v>
      </c>
      <c r="F193" t="s">
        <v>760</v>
      </c>
      <c r="G193" t="s">
        <v>761</v>
      </c>
      <c r="H193" t="s">
        <v>21</v>
      </c>
      <c r="I193" t="s">
        <v>337</v>
      </c>
      <c r="J193" t="s">
        <v>338</v>
      </c>
      <c r="K193" t="s">
        <v>339</v>
      </c>
      <c r="L193" t="s">
        <v>89</v>
      </c>
      <c r="M193" t="s">
        <v>90</v>
      </c>
      <c r="N193" t="s">
        <v>166</v>
      </c>
      <c r="O193" t="s">
        <v>167</v>
      </c>
      <c r="P193">
        <v>2.38</v>
      </c>
      <c r="Q193" t="s">
        <v>29</v>
      </c>
      <c r="R193" t="s">
        <v>30</v>
      </c>
      <c r="S193" t="s">
        <v>6936</v>
      </c>
    </row>
    <row r="194" spans="1:19" x14ac:dyDescent="0.25">
      <c r="A194">
        <v>2002</v>
      </c>
      <c r="B194">
        <v>3875</v>
      </c>
      <c r="C194" t="s">
        <v>762</v>
      </c>
      <c r="D194" t="s">
        <v>763</v>
      </c>
      <c r="E194">
        <v>322121</v>
      </c>
      <c r="F194" t="s">
        <v>764</v>
      </c>
      <c r="G194" t="s">
        <v>765</v>
      </c>
      <c r="H194" t="s">
        <v>79</v>
      </c>
      <c r="I194" t="s">
        <v>461</v>
      </c>
      <c r="J194" t="s">
        <v>462</v>
      </c>
      <c r="K194" t="s">
        <v>463</v>
      </c>
      <c r="L194" t="s">
        <v>25</v>
      </c>
      <c r="M194" t="s">
        <v>26</v>
      </c>
      <c r="N194" t="s">
        <v>155</v>
      </c>
      <c r="O194" t="s">
        <v>156</v>
      </c>
      <c r="P194">
        <v>7.97</v>
      </c>
      <c r="Q194" t="s">
        <v>40</v>
      </c>
      <c r="R194" t="s">
        <v>204</v>
      </c>
      <c r="S194" t="s">
        <v>6936</v>
      </c>
    </row>
    <row r="195" spans="1:19" x14ac:dyDescent="0.25">
      <c r="A195">
        <v>2016</v>
      </c>
      <c r="B195">
        <v>1541</v>
      </c>
      <c r="C195" t="s">
        <v>766</v>
      </c>
      <c r="D195" t="s">
        <v>767</v>
      </c>
      <c r="E195">
        <v>331317</v>
      </c>
      <c r="F195" t="s">
        <v>768</v>
      </c>
      <c r="G195" t="s">
        <v>769</v>
      </c>
      <c r="H195" t="s">
        <v>85</v>
      </c>
      <c r="I195" t="s">
        <v>152</v>
      </c>
      <c r="J195" t="s">
        <v>153</v>
      </c>
      <c r="K195" t="s">
        <v>154</v>
      </c>
      <c r="L195" t="s">
        <v>89</v>
      </c>
      <c r="M195" t="s">
        <v>90</v>
      </c>
      <c r="N195" t="s">
        <v>166</v>
      </c>
      <c r="O195" t="s">
        <v>167</v>
      </c>
      <c r="P195">
        <v>3.0000000000000001E-3</v>
      </c>
      <c r="Q195" t="s">
        <v>29</v>
      </c>
      <c r="R195" t="s">
        <v>50</v>
      </c>
      <c r="S195" t="s">
        <v>6936</v>
      </c>
    </row>
    <row r="196" spans="1:19" x14ac:dyDescent="0.25">
      <c r="A196">
        <v>2019</v>
      </c>
      <c r="B196">
        <v>30726</v>
      </c>
      <c r="C196" t="s">
        <v>770</v>
      </c>
      <c r="D196" t="s">
        <v>771</v>
      </c>
      <c r="E196">
        <v>332319</v>
      </c>
      <c r="F196" t="s">
        <v>772</v>
      </c>
      <c r="G196" t="s">
        <v>773</v>
      </c>
      <c r="H196" t="s">
        <v>21</v>
      </c>
      <c r="I196" t="s">
        <v>209</v>
      </c>
      <c r="J196" t="s">
        <v>210</v>
      </c>
      <c r="K196" t="s">
        <v>211</v>
      </c>
      <c r="L196" t="s">
        <v>25</v>
      </c>
      <c r="M196" t="s">
        <v>26</v>
      </c>
      <c r="N196" t="s">
        <v>38</v>
      </c>
      <c r="O196" t="s">
        <v>39</v>
      </c>
      <c r="P196">
        <v>354.464</v>
      </c>
      <c r="Q196" t="s">
        <v>29</v>
      </c>
      <c r="R196" t="s">
        <v>30</v>
      </c>
      <c r="S196" t="s">
        <v>6936</v>
      </c>
    </row>
    <row r="197" spans="1:19" x14ac:dyDescent="0.25">
      <c r="A197">
        <v>2004</v>
      </c>
      <c r="B197">
        <v>4781</v>
      </c>
      <c r="C197" t="s">
        <v>375</v>
      </c>
      <c r="D197" t="s">
        <v>774</v>
      </c>
      <c r="E197">
        <v>336310</v>
      </c>
      <c r="F197" t="s">
        <v>775</v>
      </c>
      <c r="G197" t="s">
        <v>776</v>
      </c>
      <c r="H197" t="s">
        <v>21</v>
      </c>
      <c r="I197" t="s">
        <v>136</v>
      </c>
      <c r="J197" t="s">
        <v>137</v>
      </c>
      <c r="K197" t="s">
        <v>138</v>
      </c>
      <c r="L197" t="s">
        <v>25</v>
      </c>
      <c r="M197" t="s">
        <v>26</v>
      </c>
      <c r="N197" t="s">
        <v>38</v>
      </c>
      <c r="O197" t="s">
        <v>39</v>
      </c>
      <c r="P197">
        <v>185.56700000000001</v>
      </c>
      <c r="Q197" t="s">
        <v>29</v>
      </c>
      <c r="R197" t="s">
        <v>50</v>
      </c>
      <c r="S197" t="s">
        <v>6936</v>
      </c>
    </row>
    <row r="198" spans="1:19" x14ac:dyDescent="0.25">
      <c r="A198">
        <v>2015</v>
      </c>
      <c r="B198">
        <v>5686</v>
      </c>
      <c r="C198" t="s">
        <v>558</v>
      </c>
      <c r="D198" t="s">
        <v>777</v>
      </c>
      <c r="E198">
        <v>416210</v>
      </c>
      <c r="F198" t="s">
        <v>560</v>
      </c>
      <c r="G198" t="s">
        <v>561</v>
      </c>
      <c r="H198" t="s">
        <v>54</v>
      </c>
      <c r="I198" t="s">
        <v>62</v>
      </c>
      <c r="J198" t="s">
        <v>63</v>
      </c>
      <c r="K198" t="s">
        <v>64</v>
      </c>
      <c r="L198" t="s">
        <v>25</v>
      </c>
      <c r="M198" t="s">
        <v>26</v>
      </c>
      <c r="N198" t="s">
        <v>38</v>
      </c>
      <c r="O198" t="s">
        <v>39</v>
      </c>
      <c r="P198">
        <v>4.1500000000000004</v>
      </c>
      <c r="Q198" t="s">
        <v>29</v>
      </c>
      <c r="R198" t="s">
        <v>30</v>
      </c>
      <c r="S198" t="s">
        <v>6936</v>
      </c>
    </row>
    <row r="199" spans="1:19" x14ac:dyDescent="0.25">
      <c r="A199">
        <v>2015</v>
      </c>
      <c r="B199">
        <v>11576</v>
      </c>
      <c r="C199" t="s">
        <v>276</v>
      </c>
      <c r="D199" t="s">
        <v>277</v>
      </c>
      <c r="E199">
        <v>336110</v>
      </c>
      <c r="F199" t="s">
        <v>43</v>
      </c>
      <c r="G199" t="s">
        <v>44</v>
      </c>
      <c r="H199" t="s">
        <v>21</v>
      </c>
      <c r="I199" t="s">
        <v>778</v>
      </c>
      <c r="J199" t="s">
        <v>779</v>
      </c>
      <c r="K199" t="s">
        <v>780</v>
      </c>
      <c r="L199" t="s">
        <v>89</v>
      </c>
      <c r="M199" t="s">
        <v>90</v>
      </c>
      <c r="N199" t="s">
        <v>166</v>
      </c>
      <c r="O199" t="s">
        <v>167</v>
      </c>
      <c r="P199">
        <v>2.3E-2</v>
      </c>
      <c r="Q199" t="s">
        <v>29</v>
      </c>
      <c r="R199" t="s">
        <v>30</v>
      </c>
      <c r="S199" t="s">
        <v>6936</v>
      </c>
    </row>
    <row r="200" spans="1:19" x14ac:dyDescent="0.25">
      <c r="A200">
        <v>2014</v>
      </c>
      <c r="B200">
        <v>3201</v>
      </c>
      <c r="C200" t="s">
        <v>781</v>
      </c>
      <c r="D200" t="s">
        <v>782</v>
      </c>
      <c r="E200">
        <v>322220</v>
      </c>
      <c r="F200" t="s">
        <v>783</v>
      </c>
      <c r="G200" t="s">
        <v>190</v>
      </c>
      <c r="H200" t="s">
        <v>21</v>
      </c>
      <c r="I200" t="s">
        <v>80</v>
      </c>
      <c r="J200" t="s">
        <v>81</v>
      </c>
      <c r="K200" t="s">
        <v>82</v>
      </c>
      <c r="L200" t="s">
        <v>25</v>
      </c>
      <c r="M200" t="s">
        <v>26</v>
      </c>
      <c r="N200" t="s">
        <v>27</v>
      </c>
      <c r="O200" t="s">
        <v>28</v>
      </c>
      <c r="P200">
        <v>8.3219999999999992</v>
      </c>
      <c r="Q200" t="s">
        <v>29</v>
      </c>
      <c r="R200" t="s">
        <v>30</v>
      </c>
      <c r="S200" t="s">
        <v>6936</v>
      </c>
    </row>
    <row r="201" spans="1:19" x14ac:dyDescent="0.25">
      <c r="A201">
        <v>2016</v>
      </c>
      <c r="B201">
        <v>5247</v>
      </c>
      <c r="C201" t="s">
        <v>784</v>
      </c>
      <c r="D201" t="s">
        <v>785</v>
      </c>
      <c r="E201">
        <v>211113</v>
      </c>
      <c r="F201" t="s">
        <v>786</v>
      </c>
      <c r="G201" t="s">
        <v>426</v>
      </c>
      <c r="H201" t="s">
        <v>85</v>
      </c>
      <c r="I201" t="s">
        <v>55</v>
      </c>
      <c r="J201" t="s">
        <v>56</v>
      </c>
      <c r="K201" t="s">
        <v>57</v>
      </c>
      <c r="L201" t="s">
        <v>25</v>
      </c>
      <c r="M201" t="s">
        <v>26</v>
      </c>
      <c r="N201" t="s">
        <v>155</v>
      </c>
      <c r="O201" t="s">
        <v>156</v>
      </c>
      <c r="P201">
        <v>5.2089999999999996</v>
      </c>
      <c r="Q201" t="s">
        <v>29</v>
      </c>
      <c r="R201" t="s">
        <v>50</v>
      </c>
      <c r="S201" t="s">
        <v>6936</v>
      </c>
    </row>
    <row r="202" spans="1:19" x14ac:dyDescent="0.25">
      <c r="A202">
        <v>2021</v>
      </c>
      <c r="B202">
        <v>29526</v>
      </c>
      <c r="C202" t="s">
        <v>787</v>
      </c>
      <c r="D202" t="s">
        <v>788</v>
      </c>
      <c r="E202">
        <v>336212</v>
      </c>
      <c r="F202" t="s">
        <v>789</v>
      </c>
      <c r="G202" t="s">
        <v>790</v>
      </c>
      <c r="H202" t="s">
        <v>21</v>
      </c>
      <c r="I202" t="s">
        <v>136</v>
      </c>
      <c r="J202" t="s">
        <v>137</v>
      </c>
      <c r="K202" t="s">
        <v>138</v>
      </c>
      <c r="L202" t="s">
        <v>25</v>
      </c>
      <c r="M202" t="s">
        <v>26</v>
      </c>
      <c r="N202" t="s">
        <v>38</v>
      </c>
      <c r="O202" t="s">
        <v>39</v>
      </c>
      <c r="P202">
        <v>1.6319999999999999</v>
      </c>
      <c r="Q202" t="s">
        <v>29</v>
      </c>
      <c r="R202" t="s">
        <v>50</v>
      </c>
      <c r="S202" t="s">
        <v>6936</v>
      </c>
    </row>
    <row r="203" spans="1:19" x14ac:dyDescent="0.25">
      <c r="A203">
        <v>1996</v>
      </c>
      <c r="B203">
        <v>2704</v>
      </c>
      <c r="C203" t="s">
        <v>791</v>
      </c>
      <c r="D203" t="s">
        <v>792</v>
      </c>
      <c r="E203">
        <v>327910</v>
      </c>
      <c r="F203" t="s">
        <v>793</v>
      </c>
      <c r="G203" t="s">
        <v>794</v>
      </c>
      <c r="H203" t="s">
        <v>21</v>
      </c>
      <c r="I203" t="s">
        <v>209</v>
      </c>
      <c r="J203" t="s">
        <v>210</v>
      </c>
      <c r="K203" t="s">
        <v>211</v>
      </c>
      <c r="L203" t="s">
        <v>89</v>
      </c>
      <c r="M203" t="s">
        <v>90</v>
      </c>
      <c r="N203" t="s">
        <v>91</v>
      </c>
      <c r="O203" t="s">
        <v>92</v>
      </c>
      <c r="P203">
        <v>0.22</v>
      </c>
      <c r="Q203" t="s">
        <v>29</v>
      </c>
      <c r="R203" t="s">
        <v>30</v>
      </c>
      <c r="S203" t="s">
        <v>6936</v>
      </c>
    </row>
    <row r="204" spans="1:19" x14ac:dyDescent="0.25">
      <c r="A204">
        <v>2005</v>
      </c>
      <c r="B204">
        <v>5964</v>
      </c>
      <c r="C204" t="s">
        <v>795</v>
      </c>
      <c r="D204" t="s">
        <v>796</v>
      </c>
      <c r="E204">
        <v>332810</v>
      </c>
      <c r="F204" t="s">
        <v>237</v>
      </c>
      <c r="G204" t="s">
        <v>238</v>
      </c>
      <c r="H204" t="s">
        <v>21</v>
      </c>
      <c r="I204" t="s">
        <v>337</v>
      </c>
      <c r="J204" t="s">
        <v>338</v>
      </c>
      <c r="K204" t="s">
        <v>339</v>
      </c>
      <c r="L204" t="s">
        <v>89</v>
      </c>
      <c r="M204" t="s">
        <v>90</v>
      </c>
      <c r="N204" t="s">
        <v>91</v>
      </c>
      <c r="O204" t="s">
        <v>92</v>
      </c>
      <c r="P204">
        <v>15.82</v>
      </c>
      <c r="Q204" t="s">
        <v>29</v>
      </c>
      <c r="R204" t="s">
        <v>50</v>
      </c>
      <c r="S204" t="s">
        <v>6936</v>
      </c>
    </row>
    <row r="205" spans="1:19" x14ac:dyDescent="0.25">
      <c r="A205">
        <v>2008</v>
      </c>
      <c r="B205">
        <v>10497</v>
      </c>
      <c r="C205" t="s">
        <v>797</v>
      </c>
      <c r="D205" t="s">
        <v>798</v>
      </c>
      <c r="E205">
        <v>311515</v>
      </c>
      <c r="F205" t="s">
        <v>799</v>
      </c>
      <c r="G205" t="s">
        <v>343</v>
      </c>
      <c r="H205" t="s">
        <v>79</v>
      </c>
      <c r="I205" t="s">
        <v>281</v>
      </c>
      <c r="J205" t="s">
        <v>282</v>
      </c>
      <c r="K205" t="s">
        <v>283</v>
      </c>
      <c r="L205" t="s">
        <v>89</v>
      </c>
      <c r="M205" t="s">
        <v>90</v>
      </c>
      <c r="N205" t="s">
        <v>100</v>
      </c>
      <c r="O205" t="s">
        <v>101</v>
      </c>
      <c r="P205">
        <v>0</v>
      </c>
      <c r="Q205" t="s">
        <v>29</v>
      </c>
      <c r="R205" t="s">
        <v>30</v>
      </c>
      <c r="S205" t="s">
        <v>6936</v>
      </c>
    </row>
    <row r="206" spans="1:19" x14ac:dyDescent="0.25">
      <c r="A206">
        <v>2004</v>
      </c>
      <c r="B206">
        <v>1310</v>
      </c>
      <c r="C206" t="s">
        <v>800</v>
      </c>
      <c r="D206" t="s">
        <v>801</v>
      </c>
      <c r="E206">
        <v>326220</v>
      </c>
      <c r="F206" t="s">
        <v>802</v>
      </c>
      <c r="G206" t="s">
        <v>803</v>
      </c>
      <c r="H206" t="s">
        <v>21</v>
      </c>
      <c r="I206" t="s">
        <v>152</v>
      </c>
      <c r="J206" t="s">
        <v>153</v>
      </c>
      <c r="K206" t="s">
        <v>154</v>
      </c>
      <c r="L206" t="s">
        <v>25</v>
      </c>
      <c r="M206" t="s">
        <v>26</v>
      </c>
      <c r="N206" t="s">
        <v>155</v>
      </c>
      <c r="O206" t="s">
        <v>156</v>
      </c>
      <c r="P206">
        <v>4.9619999999999997</v>
      </c>
      <c r="Q206" t="s">
        <v>29</v>
      </c>
      <c r="R206" t="s">
        <v>50</v>
      </c>
      <c r="S206" t="s">
        <v>6936</v>
      </c>
    </row>
    <row r="207" spans="1:19" x14ac:dyDescent="0.25">
      <c r="A207">
        <v>2000</v>
      </c>
      <c r="B207">
        <v>3118</v>
      </c>
      <c r="C207" t="s">
        <v>804</v>
      </c>
      <c r="D207" t="s">
        <v>805</v>
      </c>
      <c r="E207">
        <v>332999</v>
      </c>
      <c r="F207" t="s">
        <v>309</v>
      </c>
      <c r="G207" t="s">
        <v>304</v>
      </c>
      <c r="H207" t="s">
        <v>69</v>
      </c>
      <c r="I207" t="s">
        <v>136</v>
      </c>
      <c r="J207" t="s">
        <v>137</v>
      </c>
      <c r="K207" t="s">
        <v>138</v>
      </c>
      <c r="L207" t="s">
        <v>25</v>
      </c>
      <c r="M207" t="s">
        <v>26</v>
      </c>
      <c r="N207" t="s">
        <v>38</v>
      </c>
      <c r="O207" t="s">
        <v>39</v>
      </c>
      <c r="P207">
        <v>38.673000000000002</v>
      </c>
      <c r="Q207" t="s">
        <v>29</v>
      </c>
      <c r="R207" t="s">
        <v>50</v>
      </c>
      <c r="S207" t="s">
        <v>6936</v>
      </c>
    </row>
    <row r="208" spans="1:19" x14ac:dyDescent="0.25">
      <c r="A208">
        <v>2002</v>
      </c>
      <c r="B208">
        <v>2960</v>
      </c>
      <c r="C208" t="s">
        <v>806</v>
      </c>
      <c r="D208" t="s">
        <v>807</v>
      </c>
      <c r="E208">
        <v>324190</v>
      </c>
      <c r="F208" t="s">
        <v>702</v>
      </c>
      <c r="G208" t="s">
        <v>667</v>
      </c>
      <c r="H208" t="s">
        <v>85</v>
      </c>
      <c r="I208" t="s">
        <v>391</v>
      </c>
      <c r="J208" t="s">
        <v>392</v>
      </c>
      <c r="K208" t="s">
        <v>393</v>
      </c>
      <c r="L208" t="s">
        <v>25</v>
      </c>
      <c r="M208" t="s">
        <v>26</v>
      </c>
      <c r="N208" t="s">
        <v>380</v>
      </c>
      <c r="O208" t="s">
        <v>381</v>
      </c>
      <c r="P208">
        <v>1.4139999999999999</v>
      </c>
      <c r="Q208" t="s">
        <v>40</v>
      </c>
      <c r="S208" t="s">
        <v>6936</v>
      </c>
    </row>
    <row r="209" spans="1:19" x14ac:dyDescent="0.25">
      <c r="A209">
        <v>1999</v>
      </c>
      <c r="B209">
        <v>3707</v>
      </c>
      <c r="C209" t="s">
        <v>125</v>
      </c>
      <c r="D209" t="s">
        <v>808</v>
      </c>
      <c r="E209">
        <v>324110</v>
      </c>
      <c r="F209" t="s">
        <v>95</v>
      </c>
      <c r="G209" t="s">
        <v>96</v>
      </c>
      <c r="H209" t="s">
        <v>85</v>
      </c>
      <c r="I209" t="s">
        <v>271</v>
      </c>
      <c r="J209" t="s">
        <v>387</v>
      </c>
      <c r="K209" t="s">
        <v>388</v>
      </c>
      <c r="L209" t="s">
        <v>89</v>
      </c>
      <c r="M209" t="s">
        <v>90</v>
      </c>
      <c r="N209" t="s">
        <v>166</v>
      </c>
      <c r="O209" t="s">
        <v>167</v>
      </c>
      <c r="P209">
        <v>0.40400000000000003</v>
      </c>
      <c r="Q209" t="s">
        <v>29</v>
      </c>
      <c r="R209" t="s">
        <v>30</v>
      </c>
      <c r="S209" t="s">
        <v>6936</v>
      </c>
    </row>
    <row r="210" spans="1:19" x14ac:dyDescent="0.25">
      <c r="A210">
        <v>2019</v>
      </c>
      <c r="B210">
        <v>10884</v>
      </c>
      <c r="C210" t="s">
        <v>809</v>
      </c>
      <c r="D210" t="s">
        <v>810</v>
      </c>
      <c r="E210">
        <v>221320</v>
      </c>
      <c r="F210" t="s">
        <v>146</v>
      </c>
      <c r="G210" t="s">
        <v>147</v>
      </c>
      <c r="H210" t="s">
        <v>21</v>
      </c>
      <c r="I210" t="s">
        <v>504</v>
      </c>
      <c r="J210" t="s">
        <v>505</v>
      </c>
      <c r="K210" t="s">
        <v>506</v>
      </c>
      <c r="L210" t="s">
        <v>89</v>
      </c>
      <c r="M210" t="s">
        <v>90</v>
      </c>
      <c r="N210" t="s">
        <v>472</v>
      </c>
      <c r="O210" t="s">
        <v>473</v>
      </c>
      <c r="P210">
        <v>8.9458870000000008</v>
      </c>
      <c r="Q210" t="s">
        <v>29</v>
      </c>
      <c r="R210" t="s">
        <v>30</v>
      </c>
      <c r="S210" t="s">
        <v>6936</v>
      </c>
    </row>
    <row r="211" spans="1:19" x14ac:dyDescent="0.25">
      <c r="A211">
        <v>2012</v>
      </c>
      <c r="B211">
        <v>3701</v>
      </c>
      <c r="C211" t="s">
        <v>194</v>
      </c>
      <c r="D211" t="s">
        <v>681</v>
      </c>
      <c r="E211">
        <v>324110</v>
      </c>
      <c r="F211" t="s">
        <v>196</v>
      </c>
      <c r="G211" t="s">
        <v>96</v>
      </c>
      <c r="H211" t="s">
        <v>21</v>
      </c>
      <c r="I211" t="s">
        <v>811</v>
      </c>
      <c r="J211" t="s">
        <v>812</v>
      </c>
      <c r="K211" t="s">
        <v>813</v>
      </c>
      <c r="L211" t="s">
        <v>89</v>
      </c>
      <c r="M211" t="s">
        <v>90</v>
      </c>
      <c r="N211" t="s">
        <v>166</v>
      </c>
      <c r="O211" t="s">
        <v>167</v>
      </c>
      <c r="P211">
        <v>0.02</v>
      </c>
      <c r="Q211" t="s">
        <v>40</v>
      </c>
      <c r="R211" t="s">
        <v>124</v>
      </c>
      <c r="S211" t="s">
        <v>6936</v>
      </c>
    </row>
    <row r="212" spans="1:19" x14ac:dyDescent="0.25">
      <c r="A212">
        <v>2015</v>
      </c>
      <c r="B212">
        <v>16483</v>
      </c>
      <c r="C212" t="s">
        <v>784</v>
      </c>
      <c r="D212" t="s">
        <v>814</v>
      </c>
      <c r="E212">
        <v>211113</v>
      </c>
      <c r="F212" t="s">
        <v>786</v>
      </c>
      <c r="G212" t="s">
        <v>426</v>
      </c>
      <c r="H212" t="s">
        <v>69</v>
      </c>
      <c r="I212" t="s">
        <v>348</v>
      </c>
      <c r="J212" t="s">
        <v>349</v>
      </c>
      <c r="K212" t="s">
        <v>350</v>
      </c>
      <c r="L212" t="s">
        <v>25</v>
      </c>
      <c r="M212" t="s">
        <v>26</v>
      </c>
      <c r="N212" t="s">
        <v>155</v>
      </c>
      <c r="O212" t="s">
        <v>156</v>
      </c>
      <c r="P212">
        <v>5.4859999999999998</v>
      </c>
      <c r="Q212" t="s">
        <v>29</v>
      </c>
      <c r="R212" t="s">
        <v>50</v>
      </c>
      <c r="S212" t="s">
        <v>6936</v>
      </c>
    </row>
    <row r="213" spans="1:19" x14ac:dyDescent="0.25">
      <c r="A213">
        <v>1995</v>
      </c>
      <c r="B213">
        <v>3430</v>
      </c>
      <c r="C213" t="s">
        <v>636</v>
      </c>
      <c r="D213" t="s">
        <v>815</v>
      </c>
      <c r="E213">
        <v>325510</v>
      </c>
      <c r="F213" t="s">
        <v>143</v>
      </c>
      <c r="G213" t="s">
        <v>112</v>
      </c>
      <c r="H213" t="s">
        <v>21</v>
      </c>
      <c r="I213" t="s">
        <v>35</v>
      </c>
      <c r="J213" t="s">
        <v>36</v>
      </c>
      <c r="K213" t="s">
        <v>37</v>
      </c>
      <c r="L213" t="s">
        <v>89</v>
      </c>
      <c r="M213" t="s">
        <v>90</v>
      </c>
      <c r="N213" t="s">
        <v>120</v>
      </c>
      <c r="O213" t="s">
        <v>121</v>
      </c>
      <c r="P213">
        <v>0.90683999999999998</v>
      </c>
      <c r="Q213" t="s">
        <v>29</v>
      </c>
      <c r="R213" t="s">
        <v>30</v>
      </c>
      <c r="S213" t="s">
        <v>6936</v>
      </c>
    </row>
    <row r="214" spans="1:19" x14ac:dyDescent="0.25">
      <c r="A214">
        <v>2008</v>
      </c>
      <c r="B214">
        <v>5724</v>
      </c>
      <c r="C214" t="s">
        <v>816</v>
      </c>
      <c r="D214" t="s">
        <v>817</v>
      </c>
      <c r="E214">
        <v>336370</v>
      </c>
      <c r="F214" t="s">
        <v>586</v>
      </c>
      <c r="G214" t="s">
        <v>587</v>
      </c>
      <c r="H214" t="s">
        <v>21</v>
      </c>
      <c r="I214" t="s">
        <v>152</v>
      </c>
      <c r="J214" t="s">
        <v>153</v>
      </c>
      <c r="K214" t="s">
        <v>154</v>
      </c>
      <c r="L214" t="s">
        <v>89</v>
      </c>
      <c r="M214" t="s">
        <v>90</v>
      </c>
      <c r="N214" t="s">
        <v>100</v>
      </c>
      <c r="O214" t="s">
        <v>101</v>
      </c>
      <c r="P214">
        <v>0</v>
      </c>
      <c r="Q214" t="s">
        <v>29</v>
      </c>
      <c r="R214" t="s">
        <v>30</v>
      </c>
      <c r="S214" t="s">
        <v>6936</v>
      </c>
    </row>
    <row r="215" spans="1:19" x14ac:dyDescent="0.25">
      <c r="A215">
        <v>2016</v>
      </c>
      <c r="B215">
        <v>3754</v>
      </c>
      <c r="C215" t="s">
        <v>818</v>
      </c>
      <c r="D215" t="s">
        <v>635</v>
      </c>
      <c r="E215">
        <v>211113</v>
      </c>
      <c r="F215" t="s">
        <v>786</v>
      </c>
      <c r="G215" t="s">
        <v>426</v>
      </c>
      <c r="H215" t="s">
        <v>85</v>
      </c>
      <c r="I215" t="s">
        <v>348</v>
      </c>
      <c r="J215" t="s">
        <v>349</v>
      </c>
      <c r="K215" t="s">
        <v>350</v>
      </c>
      <c r="L215" t="s">
        <v>25</v>
      </c>
      <c r="M215" t="s">
        <v>26</v>
      </c>
      <c r="N215" t="s">
        <v>380</v>
      </c>
      <c r="O215" t="s">
        <v>381</v>
      </c>
      <c r="P215">
        <v>0.3115</v>
      </c>
      <c r="Q215" t="s">
        <v>29</v>
      </c>
      <c r="R215" t="s">
        <v>30</v>
      </c>
      <c r="S215" t="s">
        <v>6936</v>
      </c>
    </row>
    <row r="216" spans="1:19" x14ac:dyDescent="0.25">
      <c r="A216">
        <v>2016</v>
      </c>
      <c r="B216">
        <v>29160</v>
      </c>
      <c r="C216" t="s">
        <v>819</v>
      </c>
      <c r="D216" t="s">
        <v>819</v>
      </c>
      <c r="E216">
        <v>562110</v>
      </c>
      <c r="F216" t="s">
        <v>644</v>
      </c>
      <c r="G216" t="s">
        <v>645</v>
      </c>
      <c r="H216" t="s">
        <v>243</v>
      </c>
      <c r="I216" t="s">
        <v>70</v>
      </c>
      <c r="J216" t="s">
        <v>71</v>
      </c>
      <c r="K216" t="s">
        <v>72</v>
      </c>
      <c r="L216" t="s">
        <v>89</v>
      </c>
      <c r="M216" t="s">
        <v>90</v>
      </c>
      <c r="N216" t="s">
        <v>120</v>
      </c>
      <c r="O216" t="s">
        <v>121</v>
      </c>
      <c r="P216">
        <v>6.3</v>
      </c>
      <c r="Q216" t="s">
        <v>29</v>
      </c>
      <c r="R216" t="s">
        <v>30</v>
      </c>
      <c r="S216" t="s">
        <v>6936</v>
      </c>
    </row>
    <row r="217" spans="1:19" x14ac:dyDescent="0.25">
      <c r="A217">
        <v>2005</v>
      </c>
      <c r="B217">
        <v>253</v>
      </c>
      <c r="C217" t="s">
        <v>820</v>
      </c>
      <c r="D217" t="s">
        <v>821</v>
      </c>
      <c r="E217">
        <v>325510</v>
      </c>
      <c r="F217" t="s">
        <v>143</v>
      </c>
      <c r="G217" t="s">
        <v>112</v>
      </c>
      <c r="H217" t="s">
        <v>79</v>
      </c>
      <c r="I217" t="s">
        <v>778</v>
      </c>
      <c r="J217" t="s">
        <v>779</v>
      </c>
      <c r="K217" t="s">
        <v>780</v>
      </c>
      <c r="L217" t="s">
        <v>25</v>
      </c>
      <c r="M217" t="s">
        <v>26</v>
      </c>
      <c r="N217" t="s">
        <v>27</v>
      </c>
      <c r="O217" t="s">
        <v>28</v>
      </c>
      <c r="P217">
        <v>0.36899999999999999</v>
      </c>
      <c r="Q217" t="s">
        <v>29</v>
      </c>
      <c r="R217" t="s">
        <v>50</v>
      </c>
      <c r="S217" t="s">
        <v>6936</v>
      </c>
    </row>
    <row r="218" spans="1:19" x14ac:dyDescent="0.25">
      <c r="A218">
        <v>2020</v>
      </c>
      <c r="B218">
        <v>5649</v>
      </c>
      <c r="C218" t="s">
        <v>822</v>
      </c>
      <c r="D218" t="s">
        <v>822</v>
      </c>
      <c r="E218">
        <v>331317</v>
      </c>
      <c r="F218" t="s">
        <v>768</v>
      </c>
      <c r="G218" t="s">
        <v>769</v>
      </c>
      <c r="H218" t="s">
        <v>21</v>
      </c>
      <c r="I218" t="s">
        <v>152</v>
      </c>
      <c r="J218" t="s">
        <v>153</v>
      </c>
      <c r="K218" t="s">
        <v>154</v>
      </c>
      <c r="L218" t="s">
        <v>25</v>
      </c>
      <c r="M218" t="s">
        <v>26</v>
      </c>
      <c r="N218" t="s">
        <v>38</v>
      </c>
      <c r="O218" t="s">
        <v>39</v>
      </c>
      <c r="P218">
        <v>32.036000000000001</v>
      </c>
      <c r="Q218" t="s">
        <v>29</v>
      </c>
      <c r="R218" t="s">
        <v>30</v>
      </c>
      <c r="S218" t="s">
        <v>6936</v>
      </c>
    </row>
    <row r="219" spans="1:19" x14ac:dyDescent="0.25">
      <c r="A219">
        <v>2001</v>
      </c>
      <c r="B219">
        <v>3564</v>
      </c>
      <c r="C219" t="s">
        <v>823</v>
      </c>
      <c r="E219">
        <v>562920</v>
      </c>
      <c r="F219" t="s">
        <v>735</v>
      </c>
      <c r="G219" t="s">
        <v>330</v>
      </c>
      <c r="H219" t="s">
        <v>79</v>
      </c>
      <c r="I219" t="s">
        <v>80</v>
      </c>
      <c r="J219" t="s">
        <v>81</v>
      </c>
      <c r="K219" t="s">
        <v>82</v>
      </c>
      <c r="L219" t="s">
        <v>25</v>
      </c>
      <c r="M219" t="s">
        <v>26</v>
      </c>
      <c r="N219" t="s">
        <v>48</v>
      </c>
      <c r="O219" t="s">
        <v>49</v>
      </c>
      <c r="P219">
        <v>29.552</v>
      </c>
      <c r="Q219" t="s">
        <v>29</v>
      </c>
      <c r="R219" t="s">
        <v>30</v>
      </c>
      <c r="S219" t="s">
        <v>6936</v>
      </c>
    </row>
    <row r="220" spans="1:19" x14ac:dyDescent="0.25">
      <c r="A220">
        <v>2017</v>
      </c>
      <c r="B220">
        <v>2703</v>
      </c>
      <c r="C220" t="s">
        <v>617</v>
      </c>
      <c r="D220" t="s">
        <v>352</v>
      </c>
      <c r="E220">
        <v>418410</v>
      </c>
      <c r="F220" t="s">
        <v>433</v>
      </c>
      <c r="G220" t="s">
        <v>434</v>
      </c>
      <c r="H220" t="s">
        <v>21</v>
      </c>
      <c r="I220" t="s">
        <v>271</v>
      </c>
      <c r="J220" t="s">
        <v>272</v>
      </c>
      <c r="K220" t="s">
        <v>273</v>
      </c>
      <c r="L220" t="s">
        <v>25</v>
      </c>
      <c r="M220" t="s">
        <v>26</v>
      </c>
      <c r="N220" t="s">
        <v>48</v>
      </c>
      <c r="O220" t="s">
        <v>49</v>
      </c>
      <c r="P220">
        <v>2.6</v>
      </c>
      <c r="Q220" t="s">
        <v>29</v>
      </c>
      <c r="R220" t="s">
        <v>30</v>
      </c>
      <c r="S220" t="s">
        <v>6936</v>
      </c>
    </row>
    <row r="221" spans="1:19" x14ac:dyDescent="0.25">
      <c r="A221">
        <v>2001</v>
      </c>
      <c r="B221">
        <v>1861</v>
      </c>
      <c r="C221" t="s">
        <v>824</v>
      </c>
      <c r="D221" t="s">
        <v>825</v>
      </c>
      <c r="E221">
        <v>221112</v>
      </c>
      <c r="F221" t="s">
        <v>134</v>
      </c>
      <c r="G221" t="s">
        <v>135</v>
      </c>
      <c r="H221" t="s">
        <v>21</v>
      </c>
      <c r="I221" t="s">
        <v>152</v>
      </c>
      <c r="J221" t="s">
        <v>153</v>
      </c>
      <c r="K221" t="s">
        <v>154</v>
      </c>
      <c r="L221" t="s">
        <v>25</v>
      </c>
      <c r="M221" t="s">
        <v>26</v>
      </c>
      <c r="N221" t="s">
        <v>155</v>
      </c>
      <c r="O221" t="s">
        <v>156</v>
      </c>
      <c r="P221">
        <v>28.959</v>
      </c>
      <c r="Q221" t="s">
        <v>29</v>
      </c>
      <c r="R221" t="s">
        <v>204</v>
      </c>
      <c r="S221" t="s">
        <v>6936</v>
      </c>
    </row>
    <row r="222" spans="1:19" x14ac:dyDescent="0.25">
      <c r="A222">
        <v>2013</v>
      </c>
      <c r="B222">
        <v>26445</v>
      </c>
      <c r="C222" t="s">
        <v>65</v>
      </c>
      <c r="D222" t="s">
        <v>176</v>
      </c>
      <c r="E222">
        <v>562210</v>
      </c>
      <c r="F222" t="s">
        <v>84</v>
      </c>
      <c r="G222" t="s">
        <v>53</v>
      </c>
      <c r="H222" t="s">
        <v>69</v>
      </c>
      <c r="I222" t="s">
        <v>427</v>
      </c>
      <c r="J222" t="s">
        <v>428</v>
      </c>
      <c r="K222" t="s">
        <v>429</v>
      </c>
      <c r="L222" t="s">
        <v>25</v>
      </c>
      <c r="M222" t="s">
        <v>26</v>
      </c>
      <c r="N222" t="s">
        <v>380</v>
      </c>
      <c r="O222" t="s">
        <v>381</v>
      </c>
      <c r="P222">
        <v>0.63670000000000004</v>
      </c>
      <c r="Q222" t="s">
        <v>29</v>
      </c>
      <c r="R222" t="s">
        <v>50</v>
      </c>
      <c r="S222" t="s">
        <v>6936</v>
      </c>
    </row>
    <row r="223" spans="1:19" x14ac:dyDescent="0.25">
      <c r="A223">
        <v>2023</v>
      </c>
      <c r="B223">
        <v>5189</v>
      </c>
      <c r="C223" t="s">
        <v>212</v>
      </c>
      <c r="D223" t="s">
        <v>826</v>
      </c>
      <c r="E223">
        <v>221320</v>
      </c>
      <c r="F223" t="s">
        <v>146</v>
      </c>
      <c r="G223" t="s">
        <v>147</v>
      </c>
      <c r="H223" t="s">
        <v>69</v>
      </c>
      <c r="I223" t="s">
        <v>827</v>
      </c>
      <c r="J223" t="s">
        <v>828</v>
      </c>
      <c r="K223" t="s">
        <v>829</v>
      </c>
      <c r="L223" t="s">
        <v>89</v>
      </c>
      <c r="M223" t="s">
        <v>90</v>
      </c>
      <c r="N223" t="s">
        <v>166</v>
      </c>
      <c r="O223" t="s">
        <v>167</v>
      </c>
      <c r="P223">
        <v>1.8599999999999998E-2</v>
      </c>
      <c r="Q223" t="s">
        <v>40</v>
      </c>
      <c r="R223" t="s">
        <v>124</v>
      </c>
      <c r="S223" t="s">
        <v>6936</v>
      </c>
    </row>
    <row r="224" spans="1:19" x14ac:dyDescent="0.25">
      <c r="A224">
        <v>2020</v>
      </c>
      <c r="B224">
        <v>656</v>
      </c>
      <c r="C224" t="s">
        <v>830</v>
      </c>
      <c r="D224" t="s">
        <v>831</v>
      </c>
      <c r="E224">
        <v>325210</v>
      </c>
      <c r="F224" t="s">
        <v>414</v>
      </c>
      <c r="G224" t="s">
        <v>415</v>
      </c>
      <c r="H224" t="s">
        <v>21</v>
      </c>
      <c r="I224" t="s">
        <v>191</v>
      </c>
      <c r="J224" t="s">
        <v>192</v>
      </c>
      <c r="K224" t="s">
        <v>193</v>
      </c>
      <c r="L224" t="s">
        <v>25</v>
      </c>
      <c r="M224" t="s">
        <v>26</v>
      </c>
      <c r="N224" t="s">
        <v>380</v>
      </c>
      <c r="O224" t="s">
        <v>381</v>
      </c>
      <c r="P224">
        <v>1.8</v>
      </c>
      <c r="Q224" t="s">
        <v>29</v>
      </c>
      <c r="R224" t="s">
        <v>50</v>
      </c>
      <c r="S224" t="s">
        <v>6936</v>
      </c>
    </row>
    <row r="225" spans="1:19" x14ac:dyDescent="0.25">
      <c r="A225">
        <v>2011</v>
      </c>
      <c r="B225">
        <v>11700</v>
      </c>
      <c r="C225" t="s">
        <v>598</v>
      </c>
      <c r="D225" t="s">
        <v>599</v>
      </c>
      <c r="E225">
        <v>325190</v>
      </c>
      <c r="F225" t="s">
        <v>832</v>
      </c>
      <c r="G225" t="s">
        <v>601</v>
      </c>
      <c r="H225" t="s">
        <v>21</v>
      </c>
      <c r="I225" t="s">
        <v>55</v>
      </c>
      <c r="J225" t="s">
        <v>56</v>
      </c>
      <c r="K225" t="s">
        <v>57</v>
      </c>
      <c r="L225" t="s">
        <v>89</v>
      </c>
      <c r="M225" t="s">
        <v>90</v>
      </c>
      <c r="N225" t="s">
        <v>100</v>
      </c>
      <c r="O225" t="s">
        <v>101</v>
      </c>
      <c r="P225">
        <v>2.8999999999999998E-3</v>
      </c>
      <c r="Q225" t="s">
        <v>29</v>
      </c>
      <c r="R225" t="s">
        <v>50</v>
      </c>
      <c r="S225" t="s">
        <v>6936</v>
      </c>
    </row>
    <row r="226" spans="1:19" x14ac:dyDescent="0.25">
      <c r="A226">
        <v>2008</v>
      </c>
      <c r="B226">
        <v>6546</v>
      </c>
      <c r="C226" t="s">
        <v>833</v>
      </c>
      <c r="D226" t="s">
        <v>834</v>
      </c>
      <c r="E226">
        <v>211114</v>
      </c>
      <c r="F226" t="s">
        <v>835</v>
      </c>
      <c r="G226" t="s">
        <v>836</v>
      </c>
      <c r="H226" t="s">
        <v>85</v>
      </c>
      <c r="I226" t="s">
        <v>837</v>
      </c>
      <c r="J226" t="s">
        <v>838</v>
      </c>
      <c r="K226" t="s">
        <v>839</v>
      </c>
      <c r="L226" t="s">
        <v>25</v>
      </c>
      <c r="M226" t="s">
        <v>26</v>
      </c>
      <c r="N226" t="s">
        <v>380</v>
      </c>
      <c r="O226" t="s">
        <v>381</v>
      </c>
      <c r="P226">
        <v>20.675000000000001</v>
      </c>
      <c r="Q226" t="s">
        <v>40</v>
      </c>
      <c r="R226" t="s">
        <v>124</v>
      </c>
      <c r="S226" t="s">
        <v>6936</v>
      </c>
    </row>
    <row r="227" spans="1:19" x14ac:dyDescent="0.25">
      <c r="A227">
        <v>2000</v>
      </c>
      <c r="B227">
        <v>851</v>
      </c>
      <c r="C227" t="s">
        <v>840</v>
      </c>
      <c r="D227" t="s">
        <v>841</v>
      </c>
      <c r="E227">
        <v>321911</v>
      </c>
      <c r="F227" t="s">
        <v>842</v>
      </c>
      <c r="G227" t="s">
        <v>843</v>
      </c>
      <c r="H227" t="s">
        <v>54</v>
      </c>
      <c r="I227" t="s">
        <v>136</v>
      </c>
      <c r="J227" t="s">
        <v>137</v>
      </c>
      <c r="K227" t="s">
        <v>138</v>
      </c>
      <c r="L227" t="s">
        <v>25</v>
      </c>
      <c r="M227" t="s">
        <v>26</v>
      </c>
      <c r="N227" t="s">
        <v>38</v>
      </c>
      <c r="O227" t="s">
        <v>39</v>
      </c>
      <c r="P227">
        <v>0.78</v>
      </c>
      <c r="Q227" t="s">
        <v>29</v>
      </c>
      <c r="R227" t="s">
        <v>50</v>
      </c>
      <c r="S227" t="s">
        <v>6936</v>
      </c>
    </row>
    <row r="228" spans="1:19" x14ac:dyDescent="0.25">
      <c r="A228">
        <v>2009</v>
      </c>
      <c r="B228">
        <v>2776</v>
      </c>
      <c r="C228" t="s">
        <v>93</v>
      </c>
      <c r="D228" t="s">
        <v>94</v>
      </c>
      <c r="E228">
        <v>324110</v>
      </c>
      <c r="F228" t="s">
        <v>95</v>
      </c>
      <c r="G228" t="s">
        <v>96</v>
      </c>
      <c r="H228" t="s">
        <v>69</v>
      </c>
      <c r="I228" t="s">
        <v>844</v>
      </c>
      <c r="J228" t="s">
        <v>845</v>
      </c>
      <c r="K228" t="s">
        <v>846</v>
      </c>
      <c r="L228" t="s">
        <v>25</v>
      </c>
      <c r="M228" t="s">
        <v>26</v>
      </c>
      <c r="N228" t="s">
        <v>200</v>
      </c>
      <c r="O228" t="s">
        <v>201</v>
      </c>
      <c r="P228">
        <v>0</v>
      </c>
      <c r="Q228" t="s">
        <v>29</v>
      </c>
      <c r="R228" t="s">
        <v>30</v>
      </c>
      <c r="S228" t="s">
        <v>6936</v>
      </c>
    </row>
    <row r="229" spans="1:19" x14ac:dyDescent="0.25">
      <c r="A229">
        <v>2015</v>
      </c>
      <c r="B229">
        <v>3704</v>
      </c>
      <c r="C229" t="s">
        <v>194</v>
      </c>
      <c r="D229" t="s">
        <v>468</v>
      </c>
      <c r="E229">
        <v>324110</v>
      </c>
      <c r="F229" t="s">
        <v>196</v>
      </c>
      <c r="G229" t="s">
        <v>96</v>
      </c>
      <c r="H229" t="s">
        <v>21</v>
      </c>
      <c r="I229" t="s">
        <v>847</v>
      </c>
      <c r="J229" t="s">
        <v>848</v>
      </c>
      <c r="K229" t="s">
        <v>849</v>
      </c>
      <c r="L229" t="s">
        <v>25</v>
      </c>
      <c r="M229" t="s">
        <v>26</v>
      </c>
      <c r="N229" t="s">
        <v>380</v>
      </c>
      <c r="O229" t="s">
        <v>381</v>
      </c>
      <c r="P229">
        <v>9.6000000000000002E-2</v>
      </c>
      <c r="Q229" t="s">
        <v>40</v>
      </c>
      <c r="R229" t="s">
        <v>124</v>
      </c>
      <c r="S229" t="s">
        <v>6936</v>
      </c>
    </row>
    <row r="230" spans="1:19" x14ac:dyDescent="0.25">
      <c r="A230">
        <v>2005</v>
      </c>
      <c r="B230">
        <v>1668</v>
      </c>
      <c r="C230" t="s">
        <v>850</v>
      </c>
      <c r="D230" t="s">
        <v>851</v>
      </c>
      <c r="E230">
        <v>325999</v>
      </c>
      <c r="F230" t="s">
        <v>396</v>
      </c>
      <c r="G230" t="s">
        <v>397</v>
      </c>
      <c r="H230" t="s">
        <v>21</v>
      </c>
      <c r="I230" t="s">
        <v>427</v>
      </c>
      <c r="J230" t="s">
        <v>428</v>
      </c>
      <c r="K230" t="s">
        <v>429</v>
      </c>
      <c r="L230" t="s">
        <v>89</v>
      </c>
      <c r="M230" t="s">
        <v>90</v>
      </c>
      <c r="N230" t="s">
        <v>166</v>
      </c>
      <c r="O230" t="s">
        <v>167</v>
      </c>
      <c r="P230">
        <v>0</v>
      </c>
      <c r="Q230" t="s">
        <v>29</v>
      </c>
      <c r="R230" t="s">
        <v>30</v>
      </c>
      <c r="S230" t="s">
        <v>6936</v>
      </c>
    </row>
    <row r="231" spans="1:19" x14ac:dyDescent="0.25">
      <c r="A231">
        <v>2012</v>
      </c>
      <c r="B231">
        <v>319</v>
      </c>
      <c r="C231" t="s">
        <v>852</v>
      </c>
      <c r="D231" t="s">
        <v>853</v>
      </c>
      <c r="E231">
        <v>325920</v>
      </c>
      <c r="F231" t="s">
        <v>854</v>
      </c>
      <c r="G231" t="s">
        <v>855</v>
      </c>
      <c r="H231" t="s">
        <v>21</v>
      </c>
      <c r="I231" t="s">
        <v>504</v>
      </c>
      <c r="J231" t="s">
        <v>505</v>
      </c>
      <c r="K231" t="s">
        <v>506</v>
      </c>
      <c r="L231" t="s">
        <v>89</v>
      </c>
      <c r="M231" t="s">
        <v>90</v>
      </c>
      <c r="N231" t="s">
        <v>120</v>
      </c>
      <c r="O231" t="s">
        <v>121</v>
      </c>
      <c r="P231">
        <v>0.51300000000000001</v>
      </c>
      <c r="Q231" t="s">
        <v>29</v>
      </c>
      <c r="R231" t="s">
        <v>124</v>
      </c>
      <c r="S231" t="s">
        <v>6936</v>
      </c>
    </row>
    <row r="232" spans="1:19" x14ac:dyDescent="0.25">
      <c r="A232">
        <v>2017</v>
      </c>
      <c r="B232">
        <v>4781</v>
      </c>
      <c r="C232" t="s">
        <v>856</v>
      </c>
      <c r="D232" t="s">
        <v>774</v>
      </c>
      <c r="E232">
        <v>336310</v>
      </c>
      <c r="F232" t="s">
        <v>857</v>
      </c>
      <c r="G232" t="s">
        <v>776</v>
      </c>
      <c r="H232" t="s">
        <v>21</v>
      </c>
      <c r="I232" t="s">
        <v>62</v>
      </c>
      <c r="J232" t="s">
        <v>63</v>
      </c>
      <c r="K232" t="s">
        <v>64</v>
      </c>
      <c r="L232" t="s">
        <v>25</v>
      </c>
      <c r="M232" t="s">
        <v>26</v>
      </c>
      <c r="N232" t="s">
        <v>38</v>
      </c>
      <c r="O232" t="s">
        <v>39</v>
      </c>
      <c r="P232">
        <v>8.6620000000000008</v>
      </c>
      <c r="Q232" t="s">
        <v>29</v>
      </c>
      <c r="R232" t="s">
        <v>30</v>
      </c>
      <c r="S232" t="s">
        <v>6936</v>
      </c>
    </row>
    <row r="233" spans="1:19" x14ac:dyDescent="0.25">
      <c r="A233">
        <v>2013</v>
      </c>
      <c r="B233">
        <v>4142</v>
      </c>
      <c r="C233" t="s">
        <v>858</v>
      </c>
      <c r="D233" t="s">
        <v>859</v>
      </c>
      <c r="E233">
        <v>211113</v>
      </c>
      <c r="F233" t="s">
        <v>786</v>
      </c>
      <c r="G233" t="s">
        <v>426</v>
      </c>
      <c r="H233" t="s">
        <v>85</v>
      </c>
      <c r="I233" t="s">
        <v>491</v>
      </c>
      <c r="J233" t="s">
        <v>492</v>
      </c>
      <c r="K233" t="s">
        <v>492</v>
      </c>
      <c r="L233" t="s">
        <v>89</v>
      </c>
      <c r="M233" t="s">
        <v>90</v>
      </c>
      <c r="N233" t="s">
        <v>91</v>
      </c>
      <c r="O233" t="s">
        <v>92</v>
      </c>
      <c r="P233">
        <v>1.2915000000000001</v>
      </c>
      <c r="Q233" t="s">
        <v>29</v>
      </c>
      <c r="R233" t="s">
        <v>30</v>
      </c>
      <c r="S233" t="s">
        <v>6936</v>
      </c>
    </row>
    <row r="234" spans="1:19" x14ac:dyDescent="0.25">
      <c r="A234">
        <v>2010</v>
      </c>
      <c r="B234">
        <v>11834</v>
      </c>
      <c r="C234" t="s">
        <v>860</v>
      </c>
      <c r="D234" t="s">
        <v>861</v>
      </c>
      <c r="E234">
        <v>333920</v>
      </c>
      <c r="F234" t="s">
        <v>862</v>
      </c>
      <c r="G234" t="s">
        <v>863</v>
      </c>
      <c r="H234" t="s">
        <v>21</v>
      </c>
      <c r="I234" t="s">
        <v>152</v>
      </c>
      <c r="J234" t="s">
        <v>153</v>
      </c>
      <c r="K234" t="s">
        <v>154</v>
      </c>
      <c r="L234" t="s">
        <v>25</v>
      </c>
      <c r="M234" t="s">
        <v>26</v>
      </c>
      <c r="N234" t="s">
        <v>38</v>
      </c>
      <c r="O234" t="s">
        <v>39</v>
      </c>
      <c r="P234">
        <v>1.496</v>
      </c>
      <c r="Q234" t="s">
        <v>29</v>
      </c>
      <c r="R234" t="s">
        <v>50</v>
      </c>
      <c r="S234" t="s">
        <v>6936</v>
      </c>
    </row>
    <row r="235" spans="1:19" x14ac:dyDescent="0.25">
      <c r="A235">
        <v>1996</v>
      </c>
      <c r="B235">
        <v>3971</v>
      </c>
      <c r="C235" t="s">
        <v>864</v>
      </c>
      <c r="D235" t="s">
        <v>865</v>
      </c>
      <c r="E235">
        <v>325510</v>
      </c>
      <c r="F235" t="s">
        <v>143</v>
      </c>
      <c r="G235" t="s">
        <v>112</v>
      </c>
      <c r="H235" t="s">
        <v>21</v>
      </c>
      <c r="I235" t="s">
        <v>22</v>
      </c>
      <c r="J235" t="s">
        <v>23</v>
      </c>
      <c r="K235" t="s">
        <v>24</v>
      </c>
      <c r="L235" t="s">
        <v>89</v>
      </c>
      <c r="M235" t="s">
        <v>90</v>
      </c>
      <c r="N235" t="s">
        <v>166</v>
      </c>
      <c r="O235" t="s">
        <v>167</v>
      </c>
      <c r="P235">
        <v>59.76</v>
      </c>
      <c r="Q235" t="s">
        <v>29</v>
      </c>
      <c r="R235" t="s">
        <v>30</v>
      </c>
      <c r="S235" t="s">
        <v>6936</v>
      </c>
    </row>
    <row r="236" spans="1:19" x14ac:dyDescent="0.25">
      <c r="A236">
        <v>2023</v>
      </c>
      <c r="B236">
        <v>1931</v>
      </c>
      <c r="C236" t="s">
        <v>744</v>
      </c>
      <c r="D236" t="s">
        <v>745</v>
      </c>
      <c r="E236">
        <v>325510</v>
      </c>
      <c r="F236" t="s">
        <v>111</v>
      </c>
      <c r="G236" t="s">
        <v>112</v>
      </c>
      <c r="H236" t="s">
        <v>21</v>
      </c>
      <c r="I236" t="s">
        <v>271</v>
      </c>
      <c r="J236" t="s">
        <v>272</v>
      </c>
      <c r="K236" t="s">
        <v>273</v>
      </c>
      <c r="L236" t="s">
        <v>89</v>
      </c>
      <c r="M236" t="s">
        <v>90</v>
      </c>
      <c r="N236" t="s">
        <v>166</v>
      </c>
      <c r="O236" t="s">
        <v>167</v>
      </c>
      <c r="P236">
        <v>0.16</v>
      </c>
      <c r="Q236" t="s">
        <v>29</v>
      </c>
      <c r="R236" t="s">
        <v>30</v>
      </c>
      <c r="S236" t="s">
        <v>6936</v>
      </c>
    </row>
    <row r="237" spans="1:19" x14ac:dyDescent="0.25">
      <c r="A237">
        <v>2000</v>
      </c>
      <c r="B237">
        <v>3115</v>
      </c>
      <c r="C237" t="s">
        <v>804</v>
      </c>
      <c r="D237" t="s">
        <v>866</v>
      </c>
      <c r="E237">
        <v>332810</v>
      </c>
      <c r="F237" t="s">
        <v>237</v>
      </c>
      <c r="G237" t="s">
        <v>238</v>
      </c>
      <c r="H237" t="s">
        <v>21</v>
      </c>
      <c r="I237" t="s">
        <v>520</v>
      </c>
      <c r="J237" t="s">
        <v>521</v>
      </c>
      <c r="K237" t="s">
        <v>522</v>
      </c>
      <c r="L237" t="s">
        <v>89</v>
      </c>
      <c r="M237" t="s">
        <v>90</v>
      </c>
      <c r="N237" t="s">
        <v>166</v>
      </c>
      <c r="O237" t="s">
        <v>167</v>
      </c>
      <c r="P237">
        <v>1.68</v>
      </c>
      <c r="Q237" t="s">
        <v>29</v>
      </c>
      <c r="R237" t="s">
        <v>50</v>
      </c>
      <c r="S237" t="s">
        <v>6936</v>
      </c>
    </row>
    <row r="238" spans="1:19" x14ac:dyDescent="0.25">
      <c r="A238">
        <v>2009</v>
      </c>
      <c r="B238">
        <v>10996</v>
      </c>
      <c r="C238" t="s">
        <v>867</v>
      </c>
      <c r="D238" t="s">
        <v>868</v>
      </c>
      <c r="E238">
        <v>332810</v>
      </c>
      <c r="F238" t="s">
        <v>237</v>
      </c>
      <c r="G238" t="s">
        <v>238</v>
      </c>
      <c r="H238" t="s">
        <v>21</v>
      </c>
      <c r="I238" t="s">
        <v>152</v>
      </c>
      <c r="J238" t="s">
        <v>153</v>
      </c>
      <c r="K238" t="s">
        <v>154</v>
      </c>
      <c r="L238" t="s">
        <v>89</v>
      </c>
      <c r="M238" t="s">
        <v>90</v>
      </c>
      <c r="N238" t="s">
        <v>100</v>
      </c>
      <c r="O238" t="s">
        <v>101</v>
      </c>
      <c r="P238">
        <v>3.9E-2</v>
      </c>
      <c r="Q238" t="s">
        <v>29</v>
      </c>
      <c r="R238" t="s">
        <v>50</v>
      </c>
      <c r="S238" t="s">
        <v>6936</v>
      </c>
    </row>
    <row r="239" spans="1:19" x14ac:dyDescent="0.25">
      <c r="A239">
        <v>2003</v>
      </c>
      <c r="B239">
        <v>2044</v>
      </c>
      <c r="C239" t="s">
        <v>869</v>
      </c>
      <c r="D239" t="s">
        <v>870</v>
      </c>
      <c r="E239">
        <v>339990</v>
      </c>
      <c r="F239" t="s">
        <v>871</v>
      </c>
      <c r="G239" t="s">
        <v>872</v>
      </c>
      <c r="H239" t="s">
        <v>21</v>
      </c>
      <c r="I239" t="s">
        <v>668</v>
      </c>
      <c r="J239" t="s">
        <v>669</v>
      </c>
      <c r="K239" t="s">
        <v>670</v>
      </c>
      <c r="L239" t="s">
        <v>25</v>
      </c>
      <c r="M239" t="s">
        <v>26</v>
      </c>
      <c r="N239" t="s">
        <v>155</v>
      </c>
      <c r="O239" t="s">
        <v>156</v>
      </c>
      <c r="P239">
        <v>0.97</v>
      </c>
      <c r="Q239" t="s">
        <v>29</v>
      </c>
      <c r="R239" t="s">
        <v>30</v>
      </c>
      <c r="S239" t="s">
        <v>6936</v>
      </c>
    </row>
    <row r="240" spans="1:19" x14ac:dyDescent="0.25">
      <c r="A240">
        <v>2002</v>
      </c>
      <c r="B240">
        <v>2399</v>
      </c>
      <c r="C240" t="s">
        <v>873</v>
      </c>
      <c r="E240">
        <v>332810</v>
      </c>
      <c r="F240" t="s">
        <v>237</v>
      </c>
      <c r="G240" t="s">
        <v>238</v>
      </c>
      <c r="H240" t="s">
        <v>21</v>
      </c>
      <c r="I240" t="s">
        <v>35</v>
      </c>
      <c r="J240" t="s">
        <v>36</v>
      </c>
      <c r="K240" t="s">
        <v>37</v>
      </c>
      <c r="L240" t="s">
        <v>89</v>
      </c>
      <c r="M240" t="s">
        <v>90</v>
      </c>
      <c r="N240" t="s">
        <v>120</v>
      </c>
      <c r="O240" t="s">
        <v>121</v>
      </c>
      <c r="P240">
        <v>4.9000000000000002E-2</v>
      </c>
      <c r="Q240" t="s">
        <v>40</v>
      </c>
      <c r="R240" t="s">
        <v>442</v>
      </c>
      <c r="S240" t="s">
        <v>6936</v>
      </c>
    </row>
    <row r="241" spans="1:19" x14ac:dyDescent="0.25">
      <c r="A241">
        <v>2001</v>
      </c>
      <c r="B241">
        <v>3599</v>
      </c>
      <c r="C241" t="s">
        <v>874</v>
      </c>
      <c r="E241">
        <v>325999</v>
      </c>
      <c r="F241" t="s">
        <v>396</v>
      </c>
      <c r="G241" t="s">
        <v>397</v>
      </c>
      <c r="H241" t="s">
        <v>21</v>
      </c>
      <c r="I241" t="s">
        <v>331</v>
      </c>
      <c r="J241" t="s">
        <v>332</v>
      </c>
      <c r="K241" t="s">
        <v>333</v>
      </c>
      <c r="L241" t="s">
        <v>25</v>
      </c>
      <c r="M241" t="s">
        <v>26</v>
      </c>
      <c r="N241" t="s">
        <v>73</v>
      </c>
      <c r="O241" t="s">
        <v>74</v>
      </c>
      <c r="P241">
        <v>0.55200000000000005</v>
      </c>
      <c r="Q241" t="s">
        <v>29</v>
      </c>
      <c r="R241" t="s">
        <v>442</v>
      </c>
      <c r="S241" t="s">
        <v>6936</v>
      </c>
    </row>
    <row r="242" spans="1:19" x14ac:dyDescent="0.25">
      <c r="A242">
        <v>2000</v>
      </c>
      <c r="B242">
        <v>3824</v>
      </c>
      <c r="C242" t="s">
        <v>875</v>
      </c>
      <c r="E242">
        <v>331110</v>
      </c>
      <c r="F242" t="s">
        <v>335</v>
      </c>
      <c r="G242" t="s">
        <v>336</v>
      </c>
      <c r="H242" t="s">
        <v>21</v>
      </c>
      <c r="I242" t="s">
        <v>177</v>
      </c>
      <c r="J242" t="s">
        <v>178</v>
      </c>
      <c r="K242" t="s">
        <v>179</v>
      </c>
      <c r="L242" t="s">
        <v>25</v>
      </c>
      <c r="M242" t="s">
        <v>26</v>
      </c>
      <c r="N242" t="s">
        <v>38</v>
      </c>
      <c r="O242" t="s">
        <v>39</v>
      </c>
      <c r="P242">
        <v>56.390999999999998</v>
      </c>
      <c r="Q242" t="s">
        <v>29</v>
      </c>
      <c r="R242" t="s">
        <v>442</v>
      </c>
      <c r="S242" t="s">
        <v>6936</v>
      </c>
    </row>
    <row r="243" spans="1:19" x14ac:dyDescent="0.25">
      <c r="A243">
        <v>2008</v>
      </c>
      <c r="B243">
        <v>4609</v>
      </c>
      <c r="C243" t="s">
        <v>363</v>
      </c>
      <c r="D243" t="s">
        <v>876</v>
      </c>
      <c r="E243">
        <v>321114</v>
      </c>
      <c r="F243" t="s">
        <v>365</v>
      </c>
      <c r="G243" t="s">
        <v>366</v>
      </c>
      <c r="H243" t="s">
        <v>483</v>
      </c>
      <c r="I243" t="s">
        <v>877</v>
      </c>
      <c r="J243" t="s">
        <v>878</v>
      </c>
      <c r="K243" t="s">
        <v>879</v>
      </c>
      <c r="L243" t="s">
        <v>89</v>
      </c>
      <c r="M243" t="s">
        <v>90</v>
      </c>
      <c r="N243" t="s">
        <v>166</v>
      </c>
      <c r="O243" t="s">
        <v>167</v>
      </c>
      <c r="P243">
        <v>0.151</v>
      </c>
      <c r="Q243" t="s">
        <v>880</v>
      </c>
      <c r="R243" t="s">
        <v>430</v>
      </c>
      <c r="S243" t="s">
        <v>6936</v>
      </c>
    </row>
    <row r="244" spans="1:19" x14ac:dyDescent="0.25">
      <c r="A244">
        <v>1997</v>
      </c>
      <c r="B244">
        <v>3231</v>
      </c>
      <c r="C244" t="s">
        <v>881</v>
      </c>
      <c r="D244" t="s">
        <v>882</v>
      </c>
      <c r="E244">
        <v>336110</v>
      </c>
      <c r="F244" t="s">
        <v>377</v>
      </c>
      <c r="G244" t="s">
        <v>44</v>
      </c>
      <c r="H244" t="s">
        <v>21</v>
      </c>
      <c r="I244" t="s">
        <v>62</v>
      </c>
      <c r="J244" t="s">
        <v>63</v>
      </c>
      <c r="K244" t="s">
        <v>64</v>
      </c>
      <c r="L244" t="s">
        <v>25</v>
      </c>
      <c r="M244" t="s">
        <v>26</v>
      </c>
      <c r="N244" t="s">
        <v>38</v>
      </c>
      <c r="O244" t="s">
        <v>39</v>
      </c>
      <c r="P244">
        <v>4.5789999999999997</v>
      </c>
      <c r="Q244" t="s">
        <v>29</v>
      </c>
      <c r="R244" t="s">
        <v>30</v>
      </c>
      <c r="S244" t="s">
        <v>6936</v>
      </c>
    </row>
    <row r="245" spans="1:19" x14ac:dyDescent="0.25">
      <c r="A245">
        <v>2004</v>
      </c>
      <c r="B245">
        <v>1671</v>
      </c>
      <c r="C245" t="s">
        <v>883</v>
      </c>
      <c r="D245" t="s">
        <v>884</v>
      </c>
      <c r="E245">
        <v>418410</v>
      </c>
      <c r="F245" t="s">
        <v>315</v>
      </c>
      <c r="G245" t="s">
        <v>885</v>
      </c>
      <c r="H245" t="s">
        <v>85</v>
      </c>
      <c r="I245" t="s">
        <v>331</v>
      </c>
      <c r="J245" t="s">
        <v>332</v>
      </c>
      <c r="K245" t="s">
        <v>333</v>
      </c>
      <c r="L245" t="s">
        <v>25</v>
      </c>
      <c r="M245" t="s">
        <v>26</v>
      </c>
      <c r="N245" t="s">
        <v>48</v>
      </c>
      <c r="O245" t="s">
        <v>49</v>
      </c>
      <c r="P245">
        <v>3.59</v>
      </c>
      <c r="Q245" t="s">
        <v>29</v>
      </c>
      <c r="R245" t="s">
        <v>50</v>
      </c>
      <c r="S245" t="s">
        <v>6936</v>
      </c>
    </row>
    <row r="246" spans="1:19" x14ac:dyDescent="0.25">
      <c r="A246">
        <v>2012</v>
      </c>
      <c r="B246">
        <v>6028</v>
      </c>
      <c r="C246" t="s">
        <v>886</v>
      </c>
      <c r="D246" t="s">
        <v>887</v>
      </c>
      <c r="E246">
        <v>212210</v>
      </c>
      <c r="F246" t="s">
        <v>888</v>
      </c>
      <c r="G246" t="s">
        <v>889</v>
      </c>
      <c r="H246" t="s">
        <v>79</v>
      </c>
      <c r="I246" t="s">
        <v>35</v>
      </c>
      <c r="J246" t="s">
        <v>36</v>
      </c>
      <c r="K246" t="s">
        <v>37</v>
      </c>
      <c r="L246" t="s">
        <v>25</v>
      </c>
      <c r="M246" t="s">
        <v>26</v>
      </c>
      <c r="N246" t="s">
        <v>38</v>
      </c>
      <c r="O246" t="s">
        <v>39</v>
      </c>
      <c r="P246">
        <v>1451</v>
      </c>
      <c r="Q246" t="s">
        <v>40</v>
      </c>
      <c r="R246" t="s">
        <v>50</v>
      </c>
      <c r="S246" t="s">
        <v>6936</v>
      </c>
    </row>
    <row r="247" spans="1:19" x14ac:dyDescent="0.25">
      <c r="A247">
        <v>2016</v>
      </c>
      <c r="B247">
        <v>11190</v>
      </c>
      <c r="C247" t="s">
        <v>890</v>
      </c>
      <c r="D247" t="s">
        <v>891</v>
      </c>
      <c r="E247">
        <v>416210</v>
      </c>
      <c r="F247" t="s">
        <v>560</v>
      </c>
      <c r="G247" t="s">
        <v>561</v>
      </c>
      <c r="H247" t="s">
        <v>21</v>
      </c>
      <c r="I247" t="s">
        <v>136</v>
      </c>
      <c r="J247" t="s">
        <v>137</v>
      </c>
      <c r="K247" t="s">
        <v>138</v>
      </c>
      <c r="L247" t="s">
        <v>25</v>
      </c>
      <c r="M247" t="s">
        <v>26</v>
      </c>
      <c r="N247" t="s">
        <v>38</v>
      </c>
      <c r="O247" t="s">
        <v>39</v>
      </c>
      <c r="P247">
        <v>12.32</v>
      </c>
      <c r="Q247" t="s">
        <v>29</v>
      </c>
      <c r="R247" t="s">
        <v>50</v>
      </c>
      <c r="S247" t="s">
        <v>6936</v>
      </c>
    </row>
    <row r="248" spans="1:19" x14ac:dyDescent="0.25">
      <c r="A248">
        <v>2015</v>
      </c>
      <c r="B248">
        <v>3758</v>
      </c>
      <c r="C248" t="s">
        <v>892</v>
      </c>
      <c r="D248" t="s">
        <v>893</v>
      </c>
      <c r="E248">
        <v>211113</v>
      </c>
      <c r="F248" t="s">
        <v>786</v>
      </c>
      <c r="G248" t="s">
        <v>426</v>
      </c>
      <c r="H248" t="s">
        <v>85</v>
      </c>
      <c r="I248" t="s">
        <v>491</v>
      </c>
      <c r="J248" t="s">
        <v>492</v>
      </c>
      <c r="K248" t="s">
        <v>492</v>
      </c>
      <c r="L248" t="s">
        <v>25</v>
      </c>
      <c r="M248" t="s">
        <v>26</v>
      </c>
      <c r="N248" t="s">
        <v>380</v>
      </c>
      <c r="O248" t="s">
        <v>381</v>
      </c>
      <c r="P248">
        <v>2.0199999999999999E-2</v>
      </c>
      <c r="Q248" t="s">
        <v>29</v>
      </c>
      <c r="R248" t="s">
        <v>30</v>
      </c>
      <c r="S248" t="s">
        <v>6936</v>
      </c>
    </row>
    <row r="249" spans="1:19" x14ac:dyDescent="0.25">
      <c r="A249">
        <v>2010</v>
      </c>
      <c r="B249">
        <v>11576</v>
      </c>
      <c r="C249" t="s">
        <v>894</v>
      </c>
      <c r="D249" t="s">
        <v>895</v>
      </c>
      <c r="E249">
        <v>336110</v>
      </c>
      <c r="F249" t="s">
        <v>377</v>
      </c>
      <c r="G249" t="s">
        <v>44</v>
      </c>
      <c r="H249" t="s">
        <v>21</v>
      </c>
      <c r="I249" t="s">
        <v>97</v>
      </c>
      <c r="J249" t="s">
        <v>98</v>
      </c>
      <c r="K249" t="s">
        <v>99</v>
      </c>
      <c r="L249" t="s">
        <v>89</v>
      </c>
      <c r="M249" t="s">
        <v>90</v>
      </c>
      <c r="N249" t="s">
        <v>166</v>
      </c>
      <c r="O249" t="s">
        <v>167</v>
      </c>
      <c r="P249">
        <v>1.0999999999999999E-2</v>
      </c>
      <c r="Q249" t="s">
        <v>29</v>
      </c>
      <c r="R249" t="s">
        <v>30</v>
      </c>
      <c r="S249" t="s">
        <v>6936</v>
      </c>
    </row>
    <row r="250" spans="1:19" x14ac:dyDescent="0.25">
      <c r="A250">
        <v>2012</v>
      </c>
      <c r="B250">
        <v>2638</v>
      </c>
      <c r="C250" t="s">
        <v>896</v>
      </c>
      <c r="D250" t="s">
        <v>897</v>
      </c>
      <c r="E250">
        <v>221320</v>
      </c>
      <c r="F250" t="s">
        <v>146</v>
      </c>
      <c r="G250" t="s">
        <v>147</v>
      </c>
      <c r="H250" t="s">
        <v>243</v>
      </c>
      <c r="I250" t="s">
        <v>402</v>
      </c>
      <c r="J250" t="s">
        <v>403</v>
      </c>
      <c r="K250" t="s">
        <v>404</v>
      </c>
      <c r="L250" t="s">
        <v>89</v>
      </c>
      <c r="M250" t="s">
        <v>90</v>
      </c>
      <c r="N250" t="s">
        <v>472</v>
      </c>
      <c r="O250" t="s">
        <v>473</v>
      </c>
      <c r="P250">
        <v>2E-3</v>
      </c>
      <c r="Q250" t="s">
        <v>29</v>
      </c>
      <c r="R250" t="s">
        <v>124</v>
      </c>
      <c r="S250" t="s">
        <v>6936</v>
      </c>
    </row>
    <row r="251" spans="1:19" x14ac:dyDescent="0.25">
      <c r="A251">
        <v>2004</v>
      </c>
      <c r="B251">
        <v>225</v>
      </c>
      <c r="C251" t="s">
        <v>898</v>
      </c>
      <c r="D251" t="s">
        <v>898</v>
      </c>
      <c r="E251">
        <v>331317</v>
      </c>
      <c r="F251" t="s">
        <v>899</v>
      </c>
      <c r="G251" t="s">
        <v>769</v>
      </c>
      <c r="H251" t="s">
        <v>21</v>
      </c>
      <c r="I251" t="s">
        <v>97</v>
      </c>
      <c r="J251" t="s">
        <v>98</v>
      </c>
      <c r="K251" t="s">
        <v>99</v>
      </c>
      <c r="L251" t="s">
        <v>25</v>
      </c>
      <c r="M251" t="s">
        <v>26</v>
      </c>
      <c r="N251" t="s">
        <v>595</v>
      </c>
      <c r="O251" t="s">
        <v>596</v>
      </c>
      <c r="P251">
        <v>92.933999999999997</v>
      </c>
      <c r="Q251" t="s">
        <v>29</v>
      </c>
      <c r="R251" t="s">
        <v>30</v>
      </c>
      <c r="S251" t="s">
        <v>6936</v>
      </c>
    </row>
    <row r="252" spans="1:19" x14ac:dyDescent="0.25">
      <c r="A252">
        <v>2005</v>
      </c>
      <c r="B252">
        <v>6562</v>
      </c>
      <c r="C252" t="s">
        <v>634</v>
      </c>
      <c r="D252" t="s">
        <v>900</v>
      </c>
      <c r="E252">
        <v>211113</v>
      </c>
      <c r="F252" t="s">
        <v>425</v>
      </c>
      <c r="G252" t="s">
        <v>426</v>
      </c>
      <c r="H252" t="s">
        <v>85</v>
      </c>
      <c r="I252" t="s">
        <v>491</v>
      </c>
      <c r="J252" t="s">
        <v>492</v>
      </c>
      <c r="K252" t="s">
        <v>492</v>
      </c>
      <c r="L252" t="s">
        <v>89</v>
      </c>
      <c r="M252" t="s">
        <v>90</v>
      </c>
      <c r="N252" t="s">
        <v>166</v>
      </c>
      <c r="O252" t="s">
        <v>167</v>
      </c>
      <c r="P252">
        <v>2.008</v>
      </c>
      <c r="Q252" t="s">
        <v>29</v>
      </c>
      <c r="R252" t="s">
        <v>30</v>
      </c>
      <c r="S252" t="s">
        <v>6936</v>
      </c>
    </row>
    <row r="253" spans="1:19" x14ac:dyDescent="0.25">
      <c r="A253">
        <v>2009</v>
      </c>
      <c r="B253">
        <v>139</v>
      </c>
      <c r="C253" t="s">
        <v>901</v>
      </c>
      <c r="D253" t="s">
        <v>902</v>
      </c>
      <c r="E253">
        <v>332810</v>
      </c>
      <c r="F253" t="s">
        <v>237</v>
      </c>
      <c r="G253" t="s">
        <v>238</v>
      </c>
      <c r="H253" t="s">
        <v>21</v>
      </c>
      <c r="I253" t="s">
        <v>22</v>
      </c>
      <c r="J253" t="s">
        <v>23</v>
      </c>
      <c r="K253" t="s">
        <v>24</v>
      </c>
      <c r="L253" t="s">
        <v>25</v>
      </c>
      <c r="M253" t="s">
        <v>26</v>
      </c>
      <c r="N253" t="s">
        <v>27</v>
      </c>
      <c r="O253" t="s">
        <v>28</v>
      </c>
      <c r="P253">
        <v>8.3960000000000008</v>
      </c>
      <c r="Q253" t="s">
        <v>29</v>
      </c>
      <c r="R253" t="s">
        <v>50</v>
      </c>
      <c r="S253" t="s">
        <v>6936</v>
      </c>
    </row>
    <row r="254" spans="1:19" x14ac:dyDescent="0.25">
      <c r="A254">
        <v>2021</v>
      </c>
      <c r="B254">
        <v>1562</v>
      </c>
      <c r="C254" t="s">
        <v>744</v>
      </c>
      <c r="D254" t="s">
        <v>903</v>
      </c>
      <c r="E254">
        <v>325510</v>
      </c>
      <c r="F254" t="s">
        <v>111</v>
      </c>
      <c r="G254" t="s">
        <v>112</v>
      </c>
      <c r="H254" t="s">
        <v>21</v>
      </c>
      <c r="I254" t="s">
        <v>129</v>
      </c>
      <c r="J254" t="s">
        <v>130</v>
      </c>
      <c r="K254" t="s">
        <v>131</v>
      </c>
      <c r="L254" t="s">
        <v>25</v>
      </c>
      <c r="M254" t="s">
        <v>26</v>
      </c>
      <c r="N254" t="s">
        <v>48</v>
      </c>
      <c r="O254" t="s">
        <v>49</v>
      </c>
      <c r="P254">
        <v>2.19</v>
      </c>
      <c r="Q254" t="s">
        <v>29</v>
      </c>
      <c r="R254" t="s">
        <v>30</v>
      </c>
      <c r="S254" t="s">
        <v>6936</v>
      </c>
    </row>
    <row r="255" spans="1:19" x14ac:dyDescent="0.25">
      <c r="A255">
        <v>1994</v>
      </c>
      <c r="B255">
        <v>722</v>
      </c>
      <c r="C255" t="s">
        <v>904</v>
      </c>
      <c r="E255">
        <v>325510</v>
      </c>
      <c r="F255" t="s">
        <v>143</v>
      </c>
      <c r="G255" t="s">
        <v>112</v>
      </c>
      <c r="H255" t="s">
        <v>21</v>
      </c>
      <c r="I255" t="s">
        <v>70</v>
      </c>
      <c r="J255" t="s">
        <v>71</v>
      </c>
      <c r="K255" t="s">
        <v>72</v>
      </c>
      <c r="L255" t="s">
        <v>89</v>
      </c>
      <c r="M255" t="s">
        <v>90</v>
      </c>
      <c r="N255" t="s">
        <v>166</v>
      </c>
      <c r="O255" t="s">
        <v>167</v>
      </c>
      <c r="P255">
        <v>0.89</v>
      </c>
      <c r="Q255" t="s">
        <v>29</v>
      </c>
      <c r="R255" t="s">
        <v>30</v>
      </c>
      <c r="S255" t="s">
        <v>6936</v>
      </c>
    </row>
    <row r="256" spans="1:19" x14ac:dyDescent="0.25">
      <c r="A256">
        <v>1993</v>
      </c>
      <c r="B256">
        <v>2263</v>
      </c>
      <c r="C256" t="s">
        <v>905</v>
      </c>
      <c r="E256">
        <v>322299</v>
      </c>
      <c r="F256" t="s">
        <v>906</v>
      </c>
      <c r="G256" t="s">
        <v>716</v>
      </c>
      <c r="H256" t="s">
        <v>21</v>
      </c>
      <c r="I256" t="s">
        <v>520</v>
      </c>
      <c r="J256" t="s">
        <v>521</v>
      </c>
      <c r="K256" t="s">
        <v>522</v>
      </c>
      <c r="L256" t="s">
        <v>89</v>
      </c>
      <c r="M256" t="s">
        <v>90</v>
      </c>
      <c r="N256" t="s">
        <v>100</v>
      </c>
      <c r="O256" t="s">
        <v>101</v>
      </c>
      <c r="P256">
        <v>11</v>
      </c>
      <c r="Q256" t="s">
        <v>29</v>
      </c>
      <c r="S256" t="s">
        <v>6936</v>
      </c>
    </row>
    <row r="257" spans="1:19" x14ac:dyDescent="0.25">
      <c r="A257">
        <v>2005</v>
      </c>
      <c r="B257">
        <v>6395</v>
      </c>
      <c r="C257" t="s">
        <v>907</v>
      </c>
      <c r="D257" t="s">
        <v>908</v>
      </c>
      <c r="E257">
        <v>335920</v>
      </c>
      <c r="F257" t="s">
        <v>566</v>
      </c>
      <c r="G257" t="s">
        <v>567</v>
      </c>
      <c r="H257" t="s">
        <v>79</v>
      </c>
      <c r="I257" t="s">
        <v>177</v>
      </c>
      <c r="J257" t="s">
        <v>178</v>
      </c>
      <c r="K257" t="s">
        <v>179</v>
      </c>
      <c r="L257" t="s">
        <v>25</v>
      </c>
      <c r="M257" t="s">
        <v>26</v>
      </c>
      <c r="N257" t="s">
        <v>38</v>
      </c>
      <c r="O257" t="s">
        <v>39</v>
      </c>
      <c r="P257">
        <v>589</v>
      </c>
      <c r="Q257" t="s">
        <v>29</v>
      </c>
      <c r="R257" t="s">
        <v>50</v>
      </c>
      <c r="S257" t="s">
        <v>6936</v>
      </c>
    </row>
    <row r="258" spans="1:19" x14ac:dyDescent="0.25">
      <c r="A258">
        <v>2004</v>
      </c>
      <c r="B258">
        <v>3161</v>
      </c>
      <c r="C258" t="s">
        <v>909</v>
      </c>
      <c r="D258" t="s">
        <v>910</v>
      </c>
      <c r="E258">
        <v>221113</v>
      </c>
      <c r="F258" t="s">
        <v>911</v>
      </c>
      <c r="G258" t="s">
        <v>912</v>
      </c>
      <c r="H258" t="s">
        <v>21</v>
      </c>
      <c r="I258" t="s">
        <v>913</v>
      </c>
      <c r="J258" t="s">
        <v>914</v>
      </c>
      <c r="K258" t="s">
        <v>915</v>
      </c>
      <c r="L258" t="s">
        <v>89</v>
      </c>
      <c r="M258" t="s">
        <v>90</v>
      </c>
      <c r="N258" t="s">
        <v>91</v>
      </c>
      <c r="O258" t="s">
        <v>92</v>
      </c>
      <c r="P258">
        <v>0</v>
      </c>
      <c r="Q258" t="s">
        <v>29</v>
      </c>
      <c r="R258" t="s">
        <v>50</v>
      </c>
      <c r="S258" t="s">
        <v>6936</v>
      </c>
    </row>
    <row r="259" spans="1:19" x14ac:dyDescent="0.25">
      <c r="A259">
        <v>2014</v>
      </c>
      <c r="B259">
        <v>7797</v>
      </c>
      <c r="C259" t="s">
        <v>642</v>
      </c>
      <c r="D259" t="s">
        <v>916</v>
      </c>
      <c r="E259">
        <v>562210</v>
      </c>
      <c r="F259" t="s">
        <v>84</v>
      </c>
      <c r="G259" t="s">
        <v>53</v>
      </c>
      <c r="H259" t="s">
        <v>69</v>
      </c>
      <c r="I259" t="s">
        <v>331</v>
      </c>
      <c r="J259" t="s">
        <v>332</v>
      </c>
      <c r="K259" t="s">
        <v>333</v>
      </c>
      <c r="L259" t="s">
        <v>25</v>
      </c>
      <c r="M259" t="s">
        <v>26</v>
      </c>
      <c r="N259" t="s">
        <v>380</v>
      </c>
      <c r="O259" t="s">
        <v>381</v>
      </c>
      <c r="P259">
        <v>154.3545</v>
      </c>
      <c r="Q259" t="s">
        <v>29</v>
      </c>
      <c r="R259" t="s">
        <v>50</v>
      </c>
      <c r="S259" t="s">
        <v>6936</v>
      </c>
    </row>
    <row r="260" spans="1:19" x14ac:dyDescent="0.25">
      <c r="A260">
        <v>1996</v>
      </c>
      <c r="B260">
        <v>4311</v>
      </c>
      <c r="C260" t="s">
        <v>917</v>
      </c>
      <c r="D260" t="s">
        <v>918</v>
      </c>
      <c r="E260">
        <v>323119</v>
      </c>
      <c r="F260" t="s">
        <v>919</v>
      </c>
      <c r="G260" t="s">
        <v>920</v>
      </c>
      <c r="H260" t="s">
        <v>21</v>
      </c>
      <c r="I260" t="s">
        <v>55</v>
      </c>
      <c r="J260" t="s">
        <v>56</v>
      </c>
      <c r="K260" t="s">
        <v>57</v>
      </c>
      <c r="L260" t="s">
        <v>89</v>
      </c>
      <c r="M260" t="s">
        <v>90</v>
      </c>
      <c r="N260" t="s">
        <v>166</v>
      </c>
      <c r="O260" t="s">
        <v>167</v>
      </c>
      <c r="P260">
        <v>4.4000000000000004</v>
      </c>
      <c r="Q260" t="s">
        <v>29</v>
      </c>
      <c r="R260" t="s">
        <v>30</v>
      </c>
      <c r="S260" t="s">
        <v>6936</v>
      </c>
    </row>
    <row r="261" spans="1:19" x14ac:dyDescent="0.25">
      <c r="A261">
        <v>1999</v>
      </c>
      <c r="B261">
        <v>3753</v>
      </c>
      <c r="C261" t="s">
        <v>921</v>
      </c>
      <c r="D261" t="s">
        <v>922</v>
      </c>
      <c r="E261">
        <v>211113</v>
      </c>
      <c r="F261" t="s">
        <v>425</v>
      </c>
      <c r="G261" t="s">
        <v>426</v>
      </c>
      <c r="H261" t="s">
        <v>85</v>
      </c>
      <c r="I261" t="s">
        <v>923</v>
      </c>
      <c r="J261" t="s">
        <v>924</v>
      </c>
      <c r="K261" t="s">
        <v>924</v>
      </c>
      <c r="L261" t="s">
        <v>89</v>
      </c>
      <c r="M261" t="s">
        <v>90</v>
      </c>
      <c r="N261" t="s">
        <v>166</v>
      </c>
      <c r="O261" t="s">
        <v>167</v>
      </c>
      <c r="P261">
        <v>4.1000000000000002E-2</v>
      </c>
      <c r="Q261" t="s">
        <v>29</v>
      </c>
      <c r="R261" t="s">
        <v>30</v>
      </c>
      <c r="S261" t="s">
        <v>6936</v>
      </c>
    </row>
    <row r="262" spans="1:19" x14ac:dyDescent="0.25">
      <c r="A262">
        <v>2000</v>
      </c>
      <c r="B262">
        <v>4407</v>
      </c>
      <c r="C262" t="s">
        <v>925</v>
      </c>
      <c r="D262" t="s">
        <v>163</v>
      </c>
      <c r="E262">
        <v>325999</v>
      </c>
      <c r="F262" t="s">
        <v>396</v>
      </c>
      <c r="G262" t="s">
        <v>397</v>
      </c>
      <c r="H262" t="s">
        <v>79</v>
      </c>
      <c r="I262" t="s">
        <v>648</v>
      </c>
      <c r="J262" t="s">
        <v>649</v>
      </c>
      <c r="K262" t="s">
        <v>650</v>
      </c>
      <c r="L262" t="s">
        <v>89</v>
      </c>
      <c r="M262" t="s">
        <v>90</v>
      </c>
      <c r="N262" t="s">
        <v>166</v>
      </c>
      <c r="O262" t="s">
        <v>167</v>
      </c>
      <c r="P262">
        <v>27.138999999999999</v>
      </c>
      <c r="Q262" t="s">
        <v>29</v>
      </c>
      <c r="R262" t="s">
        <v>30</v>
      </c>
      <c r="S262" t="s">
        <v>6936</v>
      </c>
    </row>
    <row r="263" spans="1:19" x14ac:dyDescent="0.25">
      <c r="A263">
        <v>2016</v>
      </c>
      <c r="B263">
        <v>3419</v>
      </c>
      <c r="C263" t="s">
        <v>856</v>
      </c>
      <c r="D263" t="s">
        <v>926</v>
      </c>
      <c r="E263">
        <v>336110</v>
      </c>
      <c r="F263" t="s">
        <v>43</v>
      </c>
      <c r="G263" t="s">
        <v>44</v>
      </c>
      <c r="H263" t="s">
        <v>21</v>
      </c>
      <c r="I263" t="s">
        <v>407</v>
      </c>
      <c r="J263" t="s">
        <v>408</v>
      </c>
      <c r="K263" t="s">
        <v>409</v>
      </c>
      <c r="L263" t="s">
        <v>89</v>
      </c>
      <c r="M263" t="s">
        <v>90</v>
      </c>
      <c r="N263" t="s">
        <v>166</v>
      </c>
      <c r="O263" t="s">
        <v>167</v>
      </c>
      <c r="P263">
        <v>0.23699999999999999</v>
      </c>
      <c r="Q263" t="s">
        <v>29</v>
      </c>
      <c r="R263" t="s">
        <v>30</v>
      </c>
      <c r="S263" t="s">
        <v>6936</v>
      </c>
    </row>
    <row r="264" spans="1:19" x14ac:dyDescent="0.25">
      <c r="A264">
        <v>2014</v>
      </c>
      <c r="B264">
        <v>5135</v>
      </c>
      <c r="C264" t="s">
        <v>927</v>
      </c>
      <c r="D264" t="s">
        <v>927</v>
      </c>
      <c r="E264">
        <v>562210</v>
      </c>
      <c r="F264" t="s">
        <v>84</v>
      </c>
      <c r="G264" t="s">
        <v>53</v>
      </c>
      <c r="H264" t="s">
        <v>69</v>
      </c>
      <c r="I264" t="s">
        <v>324</v>
      </c>
      <c r="J264" t="s">
        <v>325</v>
      </c>
      <c r="K264" t="s">
        <v>326</v>
      </c>
      <c r="L264" t="s">
        <v>25</v>
      </c>
      <c r="M264" t="s">
        <v>26</v>
      </c>
      <c r="N264" t="s">
        <v>38</v>
      </c>
      <c r="O264" t="s">
        <v>39</v>
      </c>
      <c r="P264">
        <v>12.814500000000001</v>
      </c>
      <c r="Q264" t="s">
        <v>40</v>
      </c>
      <c r="R264" t="s">
        <v>30</v>
      </c>
      <c r="S264" t="s">
        <v>6936</v>
      </c>
    </row>
    <row r="265" spans="1:19" x14ac:dyDescent="0.25">
      <c r="A265">
        <v>2006</v>
      </c>
      <c r="B265">
        <v>7180</v>
      </c>
      <c r="C265" t="s">
        <v>928</v>
      </c>
      <c r="D265" t="s">
        <v>929</v>
      </c>
      <c r="E265">
        <v>332720</v>
      </c>
      <c r="F265" t="s">
        <v>930</v>
      </c>
      <c r="G265" t="s">
        <v>931</v>
      </c>
      <c r="H265" t="s">
        <v>21</v>
      </c>
      <c r="I265" t="s">
        <v>152</v>
      </c>
      <c r="J265" t="s">
        <v>153</v>
      </c>
      <c r="K265" t="s">
        <v>154</v>
      </c>
      <c r="L265" t="s">
        <v>25</v>
      </c>
      <c r="M265" t="s">
        <v>26</v>
      </c>
      <c r="N265" t="s">
        <v>38</v>
      </c>
      <c r="O265" t="s">
        <v>39</v>
      </c>
      <c r="P265">
        <v>11.565</v>
      </c>
      <c r="Q265" t="s">
        <v>29</v>
      </c>
      <c r="R265" t="s">
        <v>50</v>
      </c>
      <c r="S265" t="s">
        <v>6936</v>
      </c>
    </row>
    <row r="266" spans="1:19" x14ac:dyDescent="0.25">
      <c r="A266">
        <v>2021</v>
      </c>
      <c r="B266">
        <v>1338</v>
      </c>
      <c r="C266" t="s">
        <v>212</v>
      </c>
      <c r="D266" t="s">
        <v>597</v>
      </c>
      <c r="E266">
        <v>221320</v>
      </c>
      <c r="F266" t="s">
        <v>146</v>
      </c>
      <c r="G266" t="s">
        <v>147</v>
      </c>
      <c r="H266" t="s">
        <v>69</v>
      </c>
      <c r="I266" t="s">
        <v>106</v>
      </c>
      <c r="J266" t="s">
        <v>107</v>
      </c>
      <c r="K266" t="s">
        <v>108</v>
      </c>
      <c r="L266" t="s">
        <v>25</v>
      </c>
      <c r="M266" t="s">
        <v>26</v>
      </c>
      <c r="N266" t="s">
        <v>139</v>
      </c>
      <c r="O266" t="s">
        <v>140</v>
      </c>
      <c r="P266">
        <v>4.7302</v>
      </c>
      <c r="Q266" t="s">
        <v>40</v>
      </c>
      <c r="R266" t="s">
        <v>124</v>
      </c>
      <c r="S266" t="s">
        <v>6936</v>
      </c>
    </row>
    <row r="267" spans="1:19" x14ac:dyDescent="0.25">
      <c r="A267">
        <v>2000</v>
      </c>
      <c r="B267">
        <v>4905</v>
      </c>
      <c r="C267" t="s">
        <v>932</v>
      </c>
      <c r="D267" t="s">
        <v>933</v>
      </c>
      <c r="E267">
        <v>335920</v>
      </c>
      <c r="F267" t="s">
        <v>566</v>
      </c>
      <c r="G267" t="s">
        <v>567</v>
      </c>
      <c r="H267" t="s">
        <v>79</v>
      </c>
      <c r="I267" t="s">
        <v>177</v>
      </c>
      <c r="J267" t="s">
        <v>178</v>
      </c>
      <c r="K267" t="s">
        <v>179</v>
      </c>
      <c r="L267" t="s">
        <v>25</v>
      </c>
      <c r="M267" t="s">
        <v>26</v>
      </c>
      <c r="N267" t="s">
        <v>38</v>
      </c>
      <c r="O267" t="s">
        <v>39</v>
      </c>
      <c r="P267">
        <v>6.47</v>
      </c>
      <c r="Q267" t="s">
        <v>29</v>
      </c>
      <c r="R267" t="s">
        <v>442</v>
      </c>
      <c r="S267" t="s">
        <v>6936</v>
      </c>
    </row>
    <row r="268" spans="1:19" x14ac:dyDescent="0.25">
      <c r="A268">
        <v>2014</v>
      </c>
      <c r="B268">
        <v>7674</v>
      </c>
      <c r="C268" t="s">
        <v>934</v>
      </c>
      <c r="D268" t="s">
        <v>935</v>
      </c>
      <c r="E268">
        <v>331523</v>
      </c>
      <c r="F268" t="s">
        <v>33</v>
      </c>
      <c r="G268" t="s">
        <v>34</v>
      </c>
      <c r="H268" t="s">
        <v>21</v>
      </c>
      <c r="I268" t="s">
        <v>152</v>
      </c>
      <c r="J268" t="s">
        <v>153</v>
      </c>
      <c r="K268" t="s">
        <v>154</v>
      </c>
      <c r="L268" t="s">
        <v>25</v>
      </c>
      <c r="M268" t="s">
        <v>26</v>
      </c>
      <c r="N268" t="s">
        <v>38</v>
      </c>
      <c r="O268" t="s">
        <v>39</v>
      </c>
      <c r="P268">
        <v>22.591999999999999</v>
      </c>
      <c r="Q268" t="s">
        <v>29</v>
      </c>
      <c r="R268" t="s">
        <v>50</v>
      </c>
      <c r="S268" t="s">
        <v>6936</v>
      </c>
    </row>
    <row r="269" spans="1:19" x14ac:dyDescent="0.25">
      <c r="A269">
        <v>2013</v>
      </c>
      <c r="B269">
        <v>2587</v>
      </c>
      <c r="C269" t="s">
        <v>936</v>
      </c>
      <c r="D269" t="s">
        <v>937</v>
      </c>
      <c r="E269">
        <v>322121</v>
      </c>
      <c r="F269" t="s">
        <v>938</v>
      </c>
      <c r="G269" t="s">
        <v>765</v>
      </c>
      <c r="H269" t="s">
        <v>79</v>
      </c>
      <c r="I269" t="s">
        <v>106</v>
      </c>
      <c r="J269" t="s">
        <v>107</v>
      </c>
      <c r="K269" t="s">
        <v>108</v>
      </c>
      <c r="L269" t="s">
        <v>89</v>
      </c>
      <c r="M269" t="s">
        <v>90</v>
      </c>
      <c r="N269" t="s">
        <v>120</v>
      </c>
      <c r="O269" t="s">
        <v>121</v>
      </c>
      <c r="P269">
        <v>2.5000000000000001E-2</v>
      </c>
      <c r="Q269" t="s">
        <v>40</v>
      </c>
      <c r="R269" t="s">
        <v>50</v>
      </c>
      <c r="S269" t="s">
        <v>6936</v>
      </c>
    </row>
    <row r="270" spans="1:19" x14ac:dyDescent="0.25">
      <c r="A270">
        <v>2019</v>
      </c>
      <c r="B270">
        <v>3824</v>
      </c>
      <c r="C270" t="s">
        <v>625</v>
      </c>
      <c r="D270" t="s">
        <v>939</v>
      </c>
      <c r="E270">
        <v>331110</v>
      </c>
      <c r="F270" t="s">
        <v>627</v>
      </c>
      <c r="G270" t="s">
        <v>336</v>
      </c>
      <c r="H270" t="s">
        <v>21</v>
      </c>
      <c r="I270" t="s">
        <v>62</v>
      </c>
      <c r="J270" t="s">
        <v>63</v>
      </c>
      <c r="K270" t="s">
        <v>64</v>
      </c>
      <c r="L270" t="s">
        <v>89</v>
      </c>
      <c r="M270" t="s">
        <v>90</v>
      </c>
      <c r="N270" t="s">
        <v>91</v>
      </c>
      <c r="O270" t="s">
        <v>92</v>
      </c>
      <c r="P270">
        <v>0.13089999999999999</v>
      </c>
      <c r="Q270" t="s">
        <v>29</v>
      </c>
      <c r="R270" t="s">
        <v>124</v>
      </c>
      <c r="S270" t="s">
        <v>6936</v>
      </c>
    </row>
    <row r="271" spans="1:19" x14ac:dyDescent="0.25">
      <c r="A271">
        <v>2003</v>
      </c>
      <c r="B271">
        <v>105</v>
      </c>
      <c r="C271" t="s">
        <v>940</v>
      </c>
      <c r="E271">
        <v>339990</v>
      </c>
      <c r="F271" t="s">
        <v>871</v>
      </c>
      <c r="G271" t="s">
        <v>872</v>
      </c>
      <c r="H271" t="s">
        <v>79</v>
      </c>
      <c r="I271" t="s">
        <v>337</v>
      </c>
      <c r="J271" t="s">
        <v>338</v>
      </c>
      <c r="K271" t="s">
        <v>339</v>
      </c>
      <c r="L271" t="s">
        <v>25</v>
      </c>
      <c r="M271" t="s">
        <v>26</v>
      </c>
      <c r="N271" t="s">
        <v>155</v>
      </c>
      <c r="O271" t="s">
        <v>156</v>
      </c>
      <c r="P271">
        <v>1089.6310000000001</v>
      </c>
      <c r="Q271" t="s">
        <v>29</v>
      </c>
      <c r="R271" t="s">
        <v>50</v>
      </c>
      <c r="S271" t="s">
        <v>6936</v>
      </c>
    </row>
    <row r="272" spans="1:19" x14ac:dyDescent="0.25">
      <c r="A272">
        <v>2010</v>
      </c>
      <c r="B272">
        <v>2677</v>
      </c>
      <c r="C272" t="s">
        <v>816</v>
      </c>
      <c r="D272" t="s">
        <v>941</v>
      </c>
      <c r="E272">
        <v>336370</v>
      </c>
      <c r="F272" t="s">
        <v>586</v>
      </c>
      <c r="G272" t="s">
        <v>587</v>
      </c>
      <c r="H272" t="s">
        <v>21</v>
      </c>
      <c r="I272" t="s">
        <v>177</v>
      </c>
      <c r="J272" t="s">
        <v>178</v>
      </c>
      <c r="K272" t="s">
        <v>179</v>
      </c>
      <c r="L272" t="s">
        <v>89</v>
      </c>
      <c r="M272" t="s">
        <v>90</v>
      </c>
      <c r="N272" t="s">
        <v>100</v>
      </c>
      <c r="O272" t="s">
        <v>101</v>
      </c>
      <c r="P272">
        <v>2.0000000000000001E-4</v>
      </c>
      <c r="Q272" t="s">
        <v>29</v>
      </c>
      <c r="R272" t="s">
        <v>50</v>
      </c>
      <c r="S272" t="s">
        <v>6936</v>
      </c>
    </row>
    <row r="273" spans="1:19" x14ac:dyDescent="0.25">
      <c r="A273">
        <v>2001</v>
      </c>
      <c r="B273">
        <v>4626</v>
      </c>
      <c r="C273" t="s">
        <v>942</v>
      </c>
      <c r="E273">
        <v>332810</v>
      </c>
      <c r="F273" t="s">
        <v>237</v>
      </c>
      <c r="G273" t="s">
        <v>238</v>
      </c>
      <c r="H273" t="s">
        <v>21</v>
      </c>
      <c r="I273" t="s">
        <v>86</v>
      </c>
      <c r="J273" t="s">
        <v>87</v>
      </c>
      <c r="K273" t="s">
        <v>88</v>
      </c>
      <c r="L273" t="s">
        <v>89</v>
      </c>
      <c r="M273" t="s">
        <v>90</v>
      </c>
      <c r="N273" t="s">
        <v>91</v>
      </c>
      <c r="O273" t="s">
        <v>92</v>
      </c>
      <c r="P273">
        <v>2.27</v>
      </c>
      <c r="Q273" t="s">
        <v>29</v>
      </c>
      <c r="R273" t="s">
        <v>442</v>
      </c>
      <c r="S273" t="s">
        <v>6936</v>
      </c>
    </row>
    <row r="274" spans="1:19" x14ac:dyDescent="0.25">
      <c r="A274">
        <v>2021</v>
      </c>
      <c r="B274">
        <v>3897</v>
      </c>
      <c r="C274" t="s">
        <v>943</v>
      </c>
      <c r="D274" t="s">
        <v>275</v>
      </c>
      <c r="E274">
        <v>324110</v>
      </c>
      <c r="F274" t="s">
        <v>196</v>
      </c>
      <c r="G274" t="s">
        <v>96</v>
      </c>
      <c r="H274" t="s">
        <v>79</v>
      </c>
      <c r="I274" t="s">
        <v>106</v>
      </c>
      <c r="J274" t="s">
        <v>107</v>
      </c>
      <c r="K274" t="s">
        <v>108</v>
      </c>
      <c r="L274" t="s">
        <v>89</v>
      </c>
      <c r="M274" t="s">
        <v>90</v>
      </c>
      <c r="N274" t="s">
        <v>91</v>
      </c>
      <c r="O274" t="s">
        <v>92</v>
      </c>
      <c r="P274">
        <v>2.8167000000000001E-2</v>
      </c>
      <c r="Q274" t="s">
        <v>40</v>
      </c>
      <c r="R274" t="s">
        <v>30</v>
      </c>
      <c r="S274" t="s">
        <v>6936</v>
      </c>
    </row>
    <row r="275" spans="1:19" x14ac:dyDescent="0.25">
      <c r="A275">
        <v>2007</v>
      </c>
      <c r="B275">
        <v>7977</v>
      </c>
      <c r="C275" t="s">
        <v>944</v>
      </c>
      <c r="D275" t="s">
        <v>945</v>
      </c>
      <c r="E275">
        <v>331222</v>
      </c>
      <c r="F275" t="s">
        <v>946</v>
      </c>
      <c r="G275" t="s">
        <v>287</v>
      </c>
      <c r="H275" t="s">
        <v>69</v>
      </c>
      <c r="I275" t="s">
        <v>152</v>
      </c>
      <c r="J275" t="s">
        <v>153</v>
      </c>
      <c r="K275" t="s">
        <v>154</v>
      </c>
      <c r="L275" t="s">
        <v>25</v>
      </c>
      <c r="M275" t="s">
        <v>26</v>
      </c>
      <c r="N275" t="s">
        <v>38</v>
      </c>
      <c r="O275" t="s">
        <v>39</v>
      </c>
      <c r="P275">
        <v>26.38</v>
      </c>
      <c r="Q275" t="s">
        <v>29</v>
      </c>
      <c r="R275" t="s">
        <v>124</v>
      </c>
      <c r="S275" t="s">
        <v>6936</v>
      </c>
    </row>
    <row r="276" spans="1:19" x14ac:dyDescent="0.25">
      <c r="A276">
        <v>2003</v>
      </c>
      <c r="B276">
        <v>432</v>
      </c>
      <c r="C276" t="s">
        <v>947</v>
      </c>
      <c r="D276" t="s">
        <v>948</v>
      </c>
      <c r="E276">
        <v>211113</v>
      </c>
      <c r="F276" t="s">
        <v>425</v>
      </c>
      <c r="G276" t="s">
        <v>426</v>
      </c>
      <c r="H276" t="s">
        <v>85</v>
      </c>
      <c r="I276" t="s">
        <v>923</v>
      </c>
      <c r="J276" t="s">
        <v>924</v>
      </c>
      <c r="K276" t="s">
        <v>924</v>
      </c>
      <c r="L276" t="s">
        <v>89</v>
      </c>
      <c r="M276" t="s">
        <v>90</v>
      </c>
      <c r="N276" t="s">
        <v>166</v>
      </c>
      <c r="O276" t="s">
        <v>167</v>
      </c>
      <c r="P276">
        <v>4.9000000000000002E-2</v>
      </c>
      <c r="Q276" t="s">
        <v>29</v>
      </c>
      <c r="R276" t="s">
        <v>30</v>
      </c>
      <c r="S276" t="s">
        <v>6936</v>
      </c>
    </row>
    <row r="277" spans="1:19" x14ac:dyDescent="0.25">
      <c r="A277">
        <v>2006</v>
      </c>
      <c r="B277">
        <v>3893</v>
      </c>
      <c r="C277" t="s">
        <v>949</v>
      </c>
      <c r="D277" t="s">
        <v>950</v>
      </c>
      <c r="E277">
        <v>336110</v>
      </c>
      <c r="F277" t="s">
        <v>377</v>
      </c>
      <c r="G277" t="s">
        <v>44</v>
      </c>
      <c r="H277" t="s">
        <v>21</v>
      </c>
      <c r="I277" t="s">
        <v>668</v>
      </c>
      <c r="J277" t="s">
        <v>669</v>
      </c>
      <c r="K277" t="s">
        <v>670</v>
      </c>
      <c r="L277" t="s">
        <v>89</v>
      </c>
      <c r="M277" t="s">
        <v>90</v>
      </c>
      <c r="N277" t="s">
        <v>166</v>
      </c>
      <c r="O277" t="s">
        <v>167</v>
      </c>
      <c r="P277">
        <v>0.316</v>
      </c>
      <c r="Q277" t="s">
        <v>29</v>
      </c>
      <c r="R277" t="s">
        <v>30</v>
      </c>
      <c r="S277" t="s">
        <v>6936</v>
      </c>
    </row>
    <row r="278" spans="1:19" x14ac:dyDescent="0.25">
      <c r="A278">
        <v>2001</v>
      </c>
      <c r="B278">
        <v>4509</v>
      </c>
      <c r="C278" t="s">
        <v>951</v>
      </c>
      <c r="E278">
        <v>332999</v>
      </c>
      <c r="F278" t="s">
        <v>309</v>
      </c>
      <c r="G278" t="s">
        <v>304</v>
      </c>
      <c r="H278" t="s">
        <v>21</v>
      </c>
      <c r="I278" t="s">
        <v>177</v>
      </c>
      <c r="J278" t="s">
        <v>178</v>
      </c>
      <c r="K278" t="s">
        <v>179</v>
      </c>
      <c r="L278" t="s">
        <v>25</v>
      </c>
      <c r="M278" t="s">
        <v>26</v>
      </c>
      <c r="N278" t="s">
        <v>38</v>
      </c>
      <c r="O278" t="s">
        <v>39</v>
      </c>
      <c r="P278">
        <v>24.14</v>
      </c>
      <c r="Q278" t="s">
        <v>29</v>
      </c>
      <c r="R278" t="s">
        <v>442</v>
      </c>
      <c r="S278" t="s">
        <v>6936</v>
      </c>
    </row>
    <row r="279" spans="1:19" x14ac:dyDescent="0.25">
      <c r="A279">
        <v>2012</v>
      </c>
      <c r="B279">
        <v>3704</v>
      </c>
      <c r="C279" t="s">
        <v>194</v>
      </c>
      <c r="D279" t="s">
        <v>468</v>
      </c>
      <c r="E279">
        <v>324110</v>
      </c>
      <c r="F279" t="s">
        <v>196</v>
      </c>
      <c r="G279" t="s">
        <v>96</v>
      </c>
      <c r="H279" t="s">
        <v>21</v>
      </c>
      <c r="I279" t="s">
        <v>648</v>
      </c>
      <c r="J279" t="s">
        <v>649</v>
      </c>
      <c r="K279" t="s">
        <v>650</v>
      </c>
      <c r="L279" t="s">
        <v>25</v>
      </c>
      <c r="M279" t="s">
        <v>26</v>
      </c>
      <c r="N279" t="s">
        <v>155</v>
      </c>
      <c r="O279" t="s">
        <v>156</v>
      </c>
      <c r="P279">
        <v>5.0000000000000001E-3</v>
      </c>
      <c r="Q279" t="s">
        <v>29</v>
      </c>
      <c r="R279" t="s">
        <v>124</v>
      </c>
      <c r="S279" t="s">
        <v>6936</v>
      </c>
    </row>
    <row r="280" spans="1:19" x14ac:dyDescent="0.25">
      <c r="A280">
        <v>1996</v>
      </c>
      <c r="B280">
        <v>4575</v>
      </c>
      <c r="C280" t="s">
        <v>952</v>
      </c>
      <c r="E280">
        <v>325610</v>
      </c>
      <c r="F280" t="s">
        <v>612</v>
      </c>
      <c r="G280" t="s">
        <v>613</v>
      </c>
      <c r="H280" t="s">
        <v>79</v>
      </c>
      <c r="I280" t="s">
        <v>80</v>
      </c>
      <c r="J280" t="s">
        <v>81</v>
      </c>
      <c r="K280" t="s">
        <v>82</v>
      </c>
      <c r="L280" t="s">
        <v>89</v>
      </c>
      <c r="M280" t="s">
        <v>90</v>
      </c>
      <c r="N280" t="s">
        <v>166</v>
      </c>
      <c r="O280" t="s">
        <v>167</v>
      </c>
      <c r="P280">
        <v>3.5</v>
      </c>
      <c r="Q280" t="s">
        <v>29</v>
      </c>
      <c r="R280" t="s">
        <v>30</v>
      </c>
      <c r="S280" t="s">
        <v>6936</v>
      </c>
    </row>
    <row r="281" spans="1:19" x14ac:dyDescent="0.25">
      <c r="A281">
        <v>2000</v>
      </c>
      <c r="B281">
        <v>1863</v>
      </c>
      <c r="C281" t="s">
        <v>953</v>
      </c>
      <c r="D281" t="s">
        <v>954</v>
      </c>
      <c r="E281">
        <v>323119</v>
      </c>
      <c r="F281" t="s">
        <v>919</v>
      </c>
      <c r="G281" t="s">
        <v>920</v>
      </c>
      <c r="H281" t="s">
        <v>21</v>
      </c>
      <c r="I281" t="s">
        <v>55</v>
      </c>
      <c r="J281" t="s">
        <v>56</v>
      </c>
      <c r="K281" t="s">
        <v>57</v>
      </c>
      <c r="L281" t="s">
        <v>89</v>
      </c>
      <c r="M281" t="s">
        <v>90</v>
      </c>
      <c r="N281" t="s">
        <v>120</v>
      </c>
      <c r="O281" t="s">
        <v>121</v>
      </c>
      <c r="P281">
        <v>0.38200000000000001</v>
      </c>
      <c r="Q281" t="s">
        <v>29</v>
      </c>
      <c r="R281" t="s">
        <v>30</v>
      </c>
      <c r="S281" t="s">
        <v>6936</v>
      </c>
    </row>
    <row r="282" spans="1:19" x14ac:dyDescent="0.25">
      <c r="A282">
        <v>2006</v>
      </c>
      <c r="B282">
        <v>4610</v>
      </c>
      <c r="C282" t="s">
        <v>363</v>
      </c>
      <c r="D282" t="s">
        <v>955</v>
      </c>
      <c r="E282">
        <v>321114</v>
      </c>
      <c r="F282" t="s">
        <v>365</v>
      </c>
      <c r="G282" t="s">
        <v>366</v>
      </c>
      <c r="H282" t="s">
        <v>69</v>
      </c>
      <c r="I282" t="s">
        <v>844</v>
      </c>
      <c r="J282" t="s">
        <v>845</v>
      </c>
      <c r="K282" t="s">
        <v>846</v>
      </c>
      <c r="L282" t="s">
        <v>89</v>
      </c>
      <c r="M282" t="s">
        <v>90</v>
      </c>
      <c r="N282" t="s">
        <v>166</v>
      </c>
      <c r="O282" t="s">
        <v>167</v>
      </c>
      <c r="P282">
        <v>0.16700000000000001</v>
      </c>
      <c r="Q282" t="s">
        <v>29</v>
      </c>
      <c r="R282" t="s">
        <v>30</v>
      </c>
      <c r="S282" t="s">
        <v>6936</v>
      </c>
    </row>
    <row r="283" spans="1:19" x14ac:dyDescent="0.25">
      <c r="A283">
        <v>2004</v>
      </c>
      <c r="B283">
        <v>3161</v>
      </c>
      <c r="C283" t="s">
        <v>909</v>
      </c>
      <c r="D283" t="s">
        <v>910</v>
      </c>
      <c r="E283">
        <v>221113</v>
      </c>
      <c r="F283" t="s">
        <v>911</v>
      </c>
      <c r="G283" t="s">
        <v>912</v>
      </c>
      <c r="H283" t="s">
        <v>21</v>
      </c>
      <c r="I283" t="s">
        <v>177</v>
      </c>
      <c r="J283" t="s">
        <v>178</v>
      </c>
      <c r="K283" t="s">
        <v>179</v>
      </c>
      <c r="L283" t="s">
        <v>25</v>
      </c>
      <c r="M283" t="s">
        <v>26</v>
      </c>
      <c r="N283" t="s">
        <v>139</v>
      </c>
      <c r="O283" t="s">
        <v>140</v>
      </c>
      <c r="P283">
        <v>0</v>
      </c>
      <c r="Q283" t="s">
        <v>29</v>
      </c>
      <c r="R283" t="s">
        <v>50</v>
      </c>
      <c r="S283" t="s">
        <v>6936</v>
      </c>
    </row>
    <row r="284" spans="1:19" x14ac:dyDescent="0.25">
      <c r="A284">
        <v>2012</v>
      </c>
      <c r="B284">
        <v>6546</v>
      </c>
      <c r="C284" t="s">
        <v>355</v>
      </c>
      <c r="D284" t="s">
        <v>356</v>
      </c>
      <c r="E284">
        <v>211114</v>
      </c>
      <c r="F284" t="s">
        <v>956</v>
      </c>
      <c r="G284" t="s">
        <v>836</v>
      </c>
      <c r="H284" t="s">
        <v>85</v>
      </c>
      <c r="I284" t="s">
        <v>62</v>
      </c>
      <c r="J284" t="s">
        <v>63</v>
      </c>
      <c r="K284" t="s">
        <v>64</v>
      </c>
      <c r="L284" t="s">
        <v>25</v>
      </c>
      <c r="M284" t="s">
        <v>26</v>
      </c>
      <c r="N284" t="s">
        <v>200</v>
      </c>
      <c r="O284" t="s">
        <v>201</v>
      </c>
      <c r="P284">
        <v>516.43399999999997</v>
      </c>
      <c r="Q284" t="s">
        <v>29</v>
      </c>
      <c r="R284" t="s">
        <v>124</v>
      </c>
      <c r="S284" t="s">
        <v>6936</v>
      </c>
    </row>
    <row r="285" spans="1:19" x14ac:dyDescent="0.25">
      <c r="A285">
        <v>2003</v>
      </c>
      <c r="B285">
        <v>3590</v>
      </c>
      <c r="C285" t="s">
        <v>957</v>
      </c>
      <c r="D285" t="s">
        <v>958</v>
      </c>
      <c r="E285">
        <v>325999</v>
      </c>
      <c r="F285" t="s">
        <v>396</v>
      </c>
      <c r="G285" t="s">
        <v>397</v>
      </c>
      <c r="H285" t="s">
        <v>21</v>
      </c>
      <c r="I285" t="s">
        <v>271</v>
      </c>
      <c r="J285" t="s">
        <v>272</v>
      </c>
      <c r="K285" t="s">
        <v>273</v>
      </c>
      <c r="L285" t="s">
        <v>25</v>
      </c>
      <c r="M285" t="s">
        <v>26</v>
      </c>
      <c r="N285" t="s">
        <v>48</v>
      </c>
      <c r="O285" t="s">
        <v>49</v>
      </c>
      <c r="P285">
        <v>0.32200000000000001</v>
      </c>
      <c r="Q285" t="s">
        <v>29</v>
      </c>
      <c r="R285" t="s">
        <v>50</v>
      </c>
      <c r="S285" t="s">
        <v>6936</v>
      </c>
    </row>
    <row r="286" spans="1:19" x14ac:dyDescent="0.25">
      <c r="A286">
        <v>2010</v>
      </c>
      <c r="B286">
        <v>495</v>
      </c>
      <c r="C286" t="s">
        <v>959</v>
      </c>
      <c r="D286" t="s">
        <v>960</v>
      </c>
      <c r="E286">
        <v>221320</v>
      </c>
      <c r="F286" t="s">
        <v>390</v>
      </c>
      <c r="G286" t="s">
        <v>147</v>
      </c>
      <c r="H286" t="s">
        <v>21</v>
      </c>
      <c r="I286" t="s">
        <v>97</v>
      </c>
      <c r="J286" t="s">
        <v>98</v>
      </c>
      <c r="K286" t="s">
        <v>99</v>
      </c>
      <c r="L286" t="s">
        <v>25</v>
      </c>
      <c r="M286" t="s">
        <v>26</v>
      </c>
      <c r="N286" t="s">
        <v>139</v>
      </c>
      <c r="O286" t="s">
        <v>140</v>
      </c>
      <c r="P286">
        <v>143.30000000000001</v>
      </c>
      <c r="Q286" t="s">
        <v>29</v>
      </c>
      <c r="R286" t="s">
        <v>124</v>
      </c>
      <c r="S286" t="s">
        <v>6936</v>
      </c>
    </row>
    <row r="287" spans="1:19" x14ac:dyDescent="0.25">
      <c r="A287">
        <v>2019</v>
      </c>
      <c r="B287">
        <v>4521</v>
      </c>
      <c r="C287" t="s">
        <v>961</v>
      </c>
      <c r="D287" t="s">
        <v>962</v>
      </c>
      <c r="E287">
        <v>333248</v>
      </c>
      <c r="F287" t="s">
        <v>963</v>
      </c>
      <c r="G287" t="s">
        <v>964</v>
      </c>
      <c r="H287" t="s">
        <v>21</v>
      </c>
      <c r="I287" t="s">
        <v>177</v>
      </c>
      <c r="J287" t="s">
        <v>178</v>
      </c>
      <c r="K287" t="s">
        <v>179</v>
      </c>
      <c r="L287" t="s">
        <v>89</v>
      </c>
      <c r="M287" t="s">
        <v>90</v>
      </c>
      <c r="N287" t="s">
        <v>100</v>
      </c>
      <c r="O287" t="s">
        <v>101</v>
      </c>
      <c r="P287">
        <v>6.0000000000000001E-3</v>
      </c>
      <c r="Q287" t="s">
        <v>29</v>
      </c>
      <c r="R287" t="s">
        <v>50</v>
      </c>
      <c r="S287" t="s">
        <v>6936</v>
      </c>
    </row>
    <row r="288" spans="1:19" x14ac:dyDescent="0.25">
      <c r="A288">
        <v>2001</v>
      </c>
      <c r="B288">
        <v>1307</v>
      </c>
      <c r="C288" t="s">
        <v>965</v>
      </c>
      <c r="D288" t="s">
        <v>966</v>
      </c>
      <c r="E288">
        <v>326210</v>
      </c>
      <c r="F288" t="s">
        <v>967</v>
      </c>
      <c r="G288" t="s">
        <v>968</v>
      </c>
      <c r="H288" t="s">
        <v>79</v>
      </c>
      <c r="I288" t="s">
        <v>152</v>
      </c>
      <c r="J288" t="s">
        <v>153</v>
      </c>
      <c r="K288" t="s">
        <v>154</v>
      </c>
      <c r="L288" t="s">
        <v>25</v>
      </c>
      <c r="M288" t="s">
        <v>26</v>
      </c>
      <c r="N288" t="s">
        <v>48</v>
      </c>
      <c r="O288" t="s">
        <v>49</v>
      </c>
      <c r="P288">
        <v>15.898999999999999</v>
      </c>
      <c r="Q288" t="s">
        <v>29</v>
      </c>
      <c r="R288" t="s">
        <v>30</v>
      </c>
      <c r="S288" t="s">
        <v>6936</v>
      </c>
    </row>
    <row r="289" spans="1:19" x14ac:dyDescent="0.25">
      <c r="A289">
        <v>2012</v>
      </c>
      <c r="B289">
        <v>199</v>
      </c>
      <c r="C289" t="s">
        <v>262</v>
      </c>
      <c r="D289" t="s">
        <v>969</v>
      </c>
      <c r="E289">
        <v>331523</v>
      </c>
      <c r="F289" t="s">
        <v>33</v>
      </c>
      <c r="G289" t="s">
        <v>34</v>
      </c>
      <c r="H289" t="s">
        <v>21</v>
      </c>
      <c r="I289" t="s">
        <v>177</v>
      </c>
      <c r="J289" t="s">
        <v>178</v>
      </c>
      <c r="K289" t="s">
        <v>179</v>
      </c>
      <c r="L289" t="s">
        <v>25</v>
      </c>
      <c r="M289" t="s">
        <v>26</v>
      </c>
      <c r="N289" t="s">
        <v>38</v>
      </c>
      <c r="O289" t="s">
        <v>39</v>
      </c>
      <c r="P289">
        <v>34.167000000000002</v>
      </c>
      <c r="Q289" t="s">
        <v>29</v>
      </c>
      <c r="R289" t="s">
        <v>30</v>
      </c>
      <c r="S289" t="s">
        <v>6936</v>
      </c>
    </row>
    <row r="290" spans="1:19" x14ac:dyDescent="0.25">
      <c r="A290">
        <v>2023</v>
      </c>
      <c r="B290">
        <v>4893</v>
      </c>
      <c r="C290" t="s">
        <v>970</v>
      </c>
      <c r="D290" t="s">
        <v>971</v>
      </c>
      <c r="E290">
        <v>562210</v>
      </c>
      <c r="F290" t="s">
        <v>84</v>
      </c>
      <c r="G290" t="s">
        <v>53</v>
      </c>
      <c r="H290" t="s">
        <v>21</v>
      </c>
      <c r="I290" t="s">
        <v>520</v>
      </c>
      <c r="J290" t="s">
        <v>521</v>
      </c>
      <c r="K290" t="s">
        <v>522</v>
      </c>
      <c r="L290" t="s">
        <v>89</v>
      </c>
      <c r="M290" t="s">
        <v>90</v>
      </c>
      <c r="N290" t="s">
        <v>166</v>
      </c>
      <c r="O290" t="s">
        <v>167</v>
      </c>
      <c r="P290">
        <v>51.613</v>
      </c>
      <c r="Q290" t="s">
        <v>29</v>
      </c>
      <c r="R290" t="s">
        <v>50</v>
      </c>
      <c r="S290" t="s">
        <v>6936</v>
      </c>
    </row>
    <row r="291" spans="1:19" x14ac:dyDescent="0.25">
      <c r="A291">
        <v>2003</v>
      </c>
      <c r="B291">
        <v>2595</v>
      </c>
      <c r="C291" t="s">
        <v>972</v>
      </c>
      <c r="D291" t="s">
        <v>973</v>
      </c>
      <c r="E291">
        <v>336390</v>
      </c>
      <c r="F291" t="s">
        <v>60</v>
      </c>
      <c r="G291" t="s">
        <v>61</v>
      </c>
      <c r="H291" t="s">
        <v>21</v>
      </c>
      <c r="I291" t="s">
        <v>177</v>
      </c>
      <c r="J291" t="s">
        <v>178</v>
      </c>
      <c r="K291" t="s">
        <v>179</v>
      </c>
      <c r="L291" t="s">
        <v>89</v>
      </c>
      <c r="M291" t="s">
        <v>90</v>
      </c>
      <c r="N291" t="s">
        <v>120</v>
      </c>
      <c r="O291" t="s">
        <v>121</v>
      </c>
      <c r="P291">
        <v>6.6000000000000003E-2</v>
      </c>
      <c r="Q291" t="s">
        <v>29</v>
      </c>
      <c r="R291" t="s">
        <v>30</v>
      </c>
      <c r="S291" t="s">
        <v>6936</v>
      </c>
    </row>
    <row r="292" spans="1:19" x14ac:dyDescent="0.25">
      <c r="A292">
        <v>2023</v>
      </c>
      <c r="B292">
        <v>3893</v>
      </c>
      <c r="C292" t="s">
        <v>974</v>
      </c>
      <c r="D292" t="s">
        <v>975</v>
      </c>
      <c r="E292">
        <v>336110</v>
      </c>
      <c r="F292" t="s">
        <v>43</v>
      </c>
      <c r="G292" t="s">
        <v>44</v>
      </c>
      <c r="H292" t="s">
        <v>21</v>
      </c>
      <c r="I292" t="s">
        <v>129</v>
      </c>
      <c r="J292" t="s">
        <v>130</v>
      </c>
      <c r="K292" t="s">
        <v>131</v>
      </c>
      <c r="L292" t="s">
        <v>25</v>
      </c>
      <c r="M292" t="s">
        <v>26</v>
      </c>
      <c r="N292" t="s">
        <v>27</v>
      </c>
      <c r="O292" t="s">
        <v>28</v>
      </c>
      <c r="P292">
        <v>14.968999999999999</v>
      </c>
      <c r="Q292" t="s">
        <v>29</v>
      </c>
      <c r="R292" t="s">
        <v>30</v>
      </c>
      <c r="S292" t="s">
        <v>6936</v>
      </c>
    </row>
    <row r="293" spans="1:19" x14ac:dyDescent="0.25">
      <c r="A293">
        <v>2021</v>
      </c>
      <c r="B293">
        <v>6670</v>
      </c>
      <c r="C293" t="s">
        <v>507</v>
      </c>
      <c r="D293" t="s">
        <v>976</v>
      </c>
      <c r="E293">
        <v>412110</v>
      </c>
      <c r="F293" t="s">
        <v>127</v>
      </c>
      <c r="G293" t="s">
        <v>128</v>
      </c>
      <c r="H293" t="s">
        <v>79</v>
      </c>
      <c r="I293" t="s">
        <v>172</v>
      </c>
      <c r="J293" t="s">
        <v>173</v>
      </c>
      <c r="K293" t="s">
        <v>174</v>
      </c>
      <c r="L293" t="s">
        <v>25</v>
      </c>
      <c r="M293" t="s">
        <v>26</v>
      </c>
      <c r="N293" t="s">
        <v>73</v>
      </c>
      <c r="O293" t="s">
        <v>74</v>
      </c>
      <c r="P293">
        <v>6.5849999999999997E-3</v>
      </c>
      <c r="Q293" t="s">
        <v>29</v>
      </c>
      <c r="R293" t="s">
        <v>30</v>
      </c>
      <c r="S293" t="s">
        <v>6936</v>
      </c>
    </row>
    <row r="294" spans="1:19" x14ac:dyDescent="0.25">
      <c r="A294">
        <v>2017</v>
      </c>
      <c r="B294">
        <v>1696</v>
      </c>
      <c r="C294" t="s">
        <v>977</v>
      </c>
      <c r="D294" t="s">
        <v>978</v>
      </c>
      <c r="E294">
        <v>221112</v>
      </c>
      <c r="F294" t="s">
        <v>499</v>
      </c>
      <c r="G294" t="s">
        <v>135</v>
      </c>
      <c r="H294" t="s">
        <v>661</v>
      </c>
      <c r="I294" t="s">
        <v>62</v>
      </c>
      <c r="J294" t="s">
        <v>63</v>
      </c>
      <c r="K294" t="s">
        <v>64</v>
      </c>
      <c r="L294" t="s">
        <v>25</v>
      </c>
      <c r="M294" t="s">
        <v>26</v>
      </c>
      <c r="N294" t="s">
        <v>38</v>
      </c>
      <c r="O294" t="s">
        <v>39</v>
      </c>
      <c r="P294">
        <v>3.1840000000000002</v>
      </c>
      <c r="Q294" t="s">
        <v>29</v>
      </c>
      <c r="R294" t="s">
        <v>30</v>
      </c>
      <c r="S294" t="s">
        <v>6936</v>
      </c>
    </row>
    <row r="295" spans="1:19" x14ac:dyDescent="0.25">
      <c r="A295">
        <v>2019</v>
      </c>
      <c r="B295">
        <v>818</v>
      </c>
      <c r="C295" t="s">
        <v>979</v>
      </c>
      <c r="D295" t="s">
        <v>980</v>
      </c>
      <c r="E295">
        <v>326114</v>
      </c>
      <c r="F295" t="s">
        <v>981</v>
      </c>
      <c r="G295" t="s">
        <v>982</v>
      </c>
      <c r="H295" t="s">
        <v>21</v>
      </c>
      <c r="I295" t="s">
        <v>317</v>
      </c>
      <c r="J295" t="s">
        <v>318</v>
      </c>
      <c r="K295" t="s">
        <v>319</v>
      </c>
      <c r="L295" t="s">
        <v>89</v>
      </c>
      <c r="M295" t="s">
        <v>90</v>
      </c>
      <c r="N295" t="s">
        <v>166</v>
      </c>
      <c r="O295" t="s">
        <v>167</v>
      </c>
      <c r="P295">
        <v>3.6520000000000001</v>
      </c>
      <c r="Q295" t="s">
        <v>29</v>
      </c>
      <c r="R295" t="s">
        <v>50</v>
      </c>
      <c r="S295" t="s">
        <v>6936</v>
      </c>
    </row>
    <row r="296" spans="1:19" x14ac:dyDescent="0.25">
      <c r="A296">
        <v>2017</v>
      </c>
      <c r="B296">
        <v>4893</v>
      </c>
      <c r="C296" t="s">
        <v>970</v>
      </c>
      <c r="D296" t="s">
        <v>971</v>
      </c>
      <c r="E296">
        <v>562210</v>
      </c>
      <c r="F296" t="s">
        <v>84</v>
      </c>
      <c r="G296" t="s">
        <v>53</v>
      </c>
      <c r="H296" t="s">
        <v>21</v>
      </c>
      <c r="I296" t="s">
        <v>70</v>
      </c>
      <c r="J296" t="s">
        <v>71</v>
      </c>
      <c r="K296" t="s">
        <v>72</v>
      </c>
      <c r="L296" t="s">
        <v>89</v>
      </c>
      <c r="M296" t="s">
        <v>90</v>
      </c>
      <c r="N296" t="s">
        <v>166</v>
      </c>
      <c r="O296" t="s">
        <v>167</v>
      </c>
      <c r="P296">
        <v>272.84199999999998</v>
      </c>
      <c r="Q296" t="s">
        <v>29</v>
      </c>
      <c r="R296" t="s">
        <v>124</v>
      </c>
      <c r="S296" t="s">
        <v>6936</v>
      </c>
    </row>
    <row r="297" spans="1:19" x14ac:dyDescent="0.25">
      <c r="A297">
        <v>2007</v>
      </c>
      <c r="B297">
        <v>7372</v>
      </c>
      <c r="C297" t="s">
        <v>983</v>
      </c>
      <c r="D297" t="s">
        <v>984</v>
      </c>
      <c r="E297">
        <v>323119</v>
      </c>
      <c r="F297" t="s">
        <v>919</v>
      </c>
      <c r="G297" t="s">
        <v>920</v>
      </c>
      <c r="H297" t="s">
        <v>21</v>
      </c>
      <c r="I297" t="s">
        <v>70</v>
      </c>
      <c r="J297" t="s">
        <v>71</v>
      </c>
      <c r="K297" t="s">
        <v>72</v>
      </c>
      <c r="L297" t="s">
        <v>25</v>
      </c>
      <c r="M297" t="s">
        <v>26</v>
      </c>
      <c r="N297" t="s">
        <v>27</v>
      </c>
      <c r="O297" t="s">
        <v>28</v>
      </c>
      <c r="P297">
        <v>5.718</v>
      </c>
      <c r="Q297" t="s">
        <v>29</v>
      </c>
      <c r="R297" t="s">
        <v>30</v>
      </c>
      <c r="S297" t="s">
        <v>6936</v>
      </c>
    </row>
    <row r="298" spans="1:19" x14ac:dyDescent="0.25">
      <c r="A298">
        <v>1997</v>
      </c>
      <c r="B298">
        <v>4712</v>
      </c>
      <c r="C298" t="s">
        <v>985</v>
      </c>
      <c r="D298" t="s">
        <v>986</v>
      </c>
      <c r="E298">
        <v>326198</v>
      </c>
      <c r="F298" t="s">
        <v>249</v>
      </c>
      <c r="G298" t="s">
        <v>250</v>
      </c>
      <c r="H298" t="s">
        <v>21</v>
      </c>
      <c r="I298" t="s">
        <v>407</v>
      </c>
      <c r="J298" t="s">
        <v>408</v>
      </c>
      <c r="K298" t="s">
        <v>409</v>
      </c>
      <c r="L298" t="s">
        <v>89</v>
      </c>
      <c r="M298" t="s">
        <v>90</v>
      </c>
      <c r="N298" t="s">
        <v>91</v>
      </c>
      <c r="O298" t="s">
        <v>92</v>
      </c>
      <c r="P298">
        <v>0.23</v>
      </c>
      <c r="Q298" t="s">
        <v>29</v>
      </c>
      <c r="R298" t="s">
        <v>30</v>
      </c>
      <c r="S298" t="s">
        <v>6936</v>
      </c>
    </row>
    <row r="299" spans="1:19" x14ac:dyDescent="0.25">
      <c r="A299">
        <v>2018</v>
      </c>
      <c r="B299">
        <v>1485</v>
      </c>
      <c r="C299" t="s">
        <v>987</v>
      </c>
      <c r="D299" t="s">
        <v>988</v>
      </c>
      <c r="E299">
        <v>325510</v>
      </c>
      <c r="F299" t="s">
        <v>111</v>
      </c>
      <c r="G299" t="s">
        <v>112</v>
      </c>
      <c r="H299" t="s">
        <v>21</v>
      </c>
      <c r="I299" t="s">
        <v>129</v>
      </c>
      <c r="J299" t="s">
        <v>130</v>
      </c>
      <c r="K299" t="s">
        <v>131</v>
      </c>
      <c r="L299" t="s">
        <v>25</v>
      </c>
      <c r="M299" t="s">
        <v>26</v>
      </c>
      <c r="N299" t="s">
        <v>27</v>
      </c>
      <c r="O299" t="s">
        <v>28</v>
      </c>
      <c r="P299">
        <v>21.696899999999999</v>
      </c>
      <c r="Q299" t="s">
        <v>29</v>
      </c>
      <c r="R299" t="s">
        <v>50</v>
      </c>
      <c r="S299" t="s">
        <v>6936</v>
      </c>
    </row>
    <row r="300" spans="1:19" x14ac:dyDescent="0.25">
      <c r="A300">
        <v>2015</v>
      </c>
      <c r="B300">
        <v>11690</v>
      </c>
      <c r="C300" t="s">
        <v>989</v>
      </c>
      <c r="D300" t="s">
        <v>990</v>
      </c>
      <c r="E300">
        <v>221320</v>
      </c>
      <c r="F300" t="s">
        <v>146</v>
      </c>
      <c r="G300" t="s">
        <v>147</v>
      </c>
      <c r="H300" t="s">
        <v>21</v>
      </c>
      <c r="I300" t="s">
        <v>35</v>
      </c>
      <c r="J300" t="s">
        <v>36</v>
      </c>
      <c r="K300" t="s">
        <v>37</v>
      </c>
      <c r="L300" t="s">
        <v>89</v>
      </c>
      <c r="M300" t="s">
        <v>90</v>
      </c>
      <c r="N300" t="s">
        <v>100</v>
      </c>
      <c r="O300" t="s">
        <v>101</v>
      </c>
      <c r="P300">
        <v>0</v>
      </c>
      <c r="Q300" t="s">
        <v>40</v>
      </c>
      <c r="R300" t="s">
        <v>124</v>
      </c>
      <c r="S300" t="s">
        <v>6936</v>
      </c>
    </row>
    <row r="301" spans="1:19" x14ac:dyDescent="0.25">
      <c r="A301">
        <v>2005</v>
      </c>
      <c r="B301">
        <v>2670</v>
      </c>
      <c r="C301" t="s">
        <v>991</v>
      </c>
      <c r="D301" t="s">
        <v>992</v>
      </c>
      <c r="E301">
        <v>335920</v>
      </c>
      <c r="F301" t="s">
        <v>566</v>
      </c>
      <c r="G301" t="s">
        <v>567</v>
      </c>
      <c r="H301" t="s">
        <v>21</v>
      </c>
      <c r="I301" t="s">
        <v>177</v>
      </c>
      <c r="J301" t="s">
        <v>178</v>
      </c>
      <c r="K301" t="s">
        <v>179</v>
      </c>
      <c r="L301" t="s">
        <v>89</v>
      </c>
      <c r="M301" t="s">
        <v>90</v>
      </c>
      <c r="N301" t="s">
        <v>120</v>
      </c>
      <c r="O301" t="s">
        <v>121</v>
      </c>
      <c r="P301">
        <v>0</v>
      </c>
      <c r="Q301" t="s">
        <v>29</v>
      </c>
      <c r="R301" t="s">
        <v>30</v>
      </c>
      <c r="S301" t="s">
        <v>6936</v>
      </c>
    </row>
    <row r="302" spans="1:19" x14ac:dyDescent="0.25">
      <c r="A302">
        <v>2002</v>
      </c>
      <c r="B302">
        <v>10234</v>
      </c>
      <c r="C302" t="s">
        <v>344</v>
      </c>
      <c r="D302" t="s">
        <v>993</v>
      </c>
      <c r="E302">
        <v>412110</v>
      </c>
      <c r="F302" t="s">
        <v>346</v>
      </c>
      <c r="G302" t="s">
        <v>347</v>
      </c>
      <c r="H302" t="s">
        <v>483</v>
      </c>
      <c r="I302" t="s">
        <v>129</v>
      </c>
      <c r="J302" t="s">
        <v>130</v>
      </c>
      <c r="K302" t="s">
        <v>131</v>
      </c>
      <c r="L302" t="s">
        <v>89</v>
      </c>
      <c r="M302" t="s">
        <v>90</v>
      </c>
      <c r="N302" t="s">
        <v>166</v>
      </c>
      <c r="O302" t="s">
        <v>167</v>
      </c>
      <c r="P302">
        <v>1.9E-2</v>
      </c>
      <c r="Q302" t="s">
        <v>29</v>
      </c>
      <c r="R302" t="s">
        <v>204</v>
      </c>
      <c r="S302" t="s">
        <v>6936</v>
      </c>
    </row>
    <row r="303" spans="1:19" x14ac:dyDescent="0.25">
      <c r="A303">
        <v>2017</v>
      </c>
      <c r="B303">
        <v>390</v>
      </c>
      <c r="C303" t="s">
        <v>994</v>
      </c>
      <c r="D303" t="s">
        <v>677</v>
      </c>
      <c r="E303">
        <v>336410</v>
      </c>
      <c r="F303" t="s">
        <v>280</v>
      </c>
      <c r="G303" t="s">
        <v>261</v>
      </c>
      <c r="H303" t="s">
        <v>79</v>
      </c>
      <c r="I303" t="s">
        <v>35</v>
      </c>
      <c r="J303" t="s">
        <v>36</v>
      </c>
      <c r="K303" t="s">
        <v>37</v>
      </c>
      <c r="L303" t="s">
        <v>89</v>
      </c>
      <c r="M303" t="s">
        <v>90</v>
      </c>
      <c r="N303" t="s">
        <v>91</v>
      </c>
      <c r="O303" t="s">
        <v>92</v>
      </c>
      <c r="P303">
        <v>0</v>
      </c>
      <c r="Q303" t="s">
        <v>40</v>
      </c>
      <c r="R303" t="s">
        <v>30</v>
      </c>
      <c r="S303" t="s">
        <v>6936</v>
      </c>
    </row>
    <row r="304" spans="1:19" x14ac:dyDescent="0.25">
      <c r="A304">
        <v>1993</v>
      </c>
      <c r="B304">
        <v>800</v>
      </c>
      <c r="C304" t="s">
        <v>662</v>
      </c>
      <c r="D304" t="s">
        <v>663</v>
      </c>
      <c r="E304">
        <v>325610</v>
      </c>
      <c r="F304" t="s">
        <v>612</v>
      </c>
      <c r="G304" t="s">
        <v>613</v>
      </c>
      <c r="H304" t="s">
        <v>21</v>
      </c>
      <c r="I304" t="s">
        <v>648</v>
      </c>
      <c r="J304" t="s">
        <v>649</v>
      </c>
      <c r="K304" t="s">
        <v>650</v>
      </c>
      <c r="L304" t="s">
        <v>25</v>
      </c>
      <c r="M304" t="s">
        <v>26</v>
      </c>
      <c r="N304" t="s">
        <v>48</v>
      </c>
      <c r="O304" t="s">
        <v>49</v>
      </c>
      <c r="P304">
        <v>0.92</v>
      </c>
      <c r="Q304" t="s">
        <v>29</v>
      </c>
      <c r="S304" t="s">
        <v>6936</v>
      </c>
    </row>
    <row r="305" spans="1:19" x14ac:dyDescent="0.25">
      <c r="A305">
        <v>2007</v>
      </c>
      <c r="B305">
        <v>3161</v>
      </c>
      <c r="C305" t="s">
        <v>909</v>
      </c>
      <c r="D305" t="s">
        <v>910</v>
      </c>
      <c r="E305">
        <v>221113</v>
      </c>
      <c r="F305" t="s">
        <v>911</v>
      </c>
      <c r="G305" t="s">
        <v>912</v>
      </c>
      <c r="H305" t="s">
        <v>21</v>
      </c>
      <c r="I305" t="s">
        <v>177</v>
      </c>
      <c r="J305" t="s">
        <v>178</v>
      </c>
      <c r="K305" t="s">
        <v>179</v>
      </c>
      <c r="L305" t="s">
        <v>25</v>
      </c>
      <c r="M305" t="s">
        <v>26</v>
      </c>
      <c r="N305" t="s">
        <v>73</v>
      </c>
      <c r="O305" t="s">
        <v>74</v>
      </c>
      <c r="P305">
        <v>0</v>
      </c>
      <c r="Q305" t="s">
        <v>29</v>
      </c>
      <c r="R305" t="s">
        <v>50</v>
      </c>
      <c r="S305" t="s">
        <v>6936</v>
      </c>
    </row>
    <row r="306" spans="1:19" x14ac:dyDescent="0.25">
      <c r="A306">
        <v>2023</v>
      </c>
      <c r="B306">
        <v>5729</v>
      </c>
      <c r="C306" t="s">
        <v>995</v>
      </c>
      <c r="D306" t="s">
        <v>996</v>
      </c>
      <c r="E306">
        <v>562110</v>
      </c>
      <c r="F306" t="s">
        <v>644</v>
      </c>
      <c r="G306" t="s">
        <v>645</v>
      </c>
      <c r="H306" t="s">
        <v>21</v>
      </c>
      <c r="I306" t="s">
        <v>62</v>
      </c>
      <c r="J306" t="s">
        <v>63</v>
      </c>
      <c r="K306" t="s">
        <v>64</v>
      </c>
      <c r="L306" t="s">
        <v>89</v>
      </c>
      <c r="M306" t="s">
        <v>90</v>
      </c>
      <c r="N306" t="s">
        <v>120</v>
      </c>
      <c r="O306" t="s">
        <v>121</v>
      </c>
      <c r="P306">
        <v>3.5264000000000002</v>
      </c>
      <c r="Q306" t="s">
        <v>29</v>
      </c>
      <c r="R306" t="s">
        <v>50</v>
      </c>
      <c r="S306" t="s">
        <v>6936</v>
      </c>
    </row>
    <row r="307" spans="1:19" x14ac:dyDescent="0.25">
      <c r="A307">
        <v>2019</v>
      </c>
      <c r="B307">
        <v>11366</v>
      </c>
      <c r="C307" t="s">
        <v>997</v>
      </c>
      <c r="D307" t="s">
        <v>998</v>
      </c>
      <c r="E307">
        <v>418410</v>
      </c>
      <c r="F307" t="s">
        <v>433</v>
      </c>
      <c r="G307" t="s">
        <v>434</v>
      </c>
      <c r="H307" t="s">
        <v>85</v>
      </c>
      <c r="I307" t="s">
        <v>86</v>
      </c>
      <c r="J307" t="s">
        <v>87</v>
      </c>
      <c r="K307" t="s">
        <v>88</v>
      </c>
      <c r="L307" t="s">
        <v>89</v>
      </c>
      <c r="M307" t="s">
        <v>90</v>
      </c>
      <c r="N307" t="s">
        <v>91</v>
      </c>
      <c r="O307" t="s">
        <v>92</v>
      </c>
      <c r="P307">
        <v>0.26800000000000002</v>
      </c>
      <c r="Q307" t="s">
        <v>29</v>
      </c>
      <c r="R307" t="s">
        <v>50</v>
      </c>
      <c r="S307" t="s">
        <v>6936</v>
      </c>
    </row>
    <row r="308" spans="1:19" x14ac:dyDescent="0.25">
      <c r="A308">
        <v>2003</v>
      </c>
      <c r="B308">
        <v>397</v>
      </c>
      <c r="C308" t="s">
        <v>999</v>
      </c>
      <c r="D308" t="s">
        <v>1000</v>
      </c>
      <c r="E308">
        <v>336110</v>
      </c>
      <c r="F308" t="s">
        <v>377</v>
      </c>
      <c r="G308" t="s">
        <v>44</v>
      </c>
      <c r="H308" t="s">
        <v>21</v>
      </c>
      <c r="I308" t="s">
        <v>129</v>
      </c>
      <c r="J308" t="s">
        <v>130</v>
      </c>
      <c r="K308" t="s">
        <v>131</v>
      </c>
      <c r="L308" t="s">
        <v>25</v>
      </c>
      <c r="M308" t="s">
        <v>26</v>
      </c>
      <c r="N308" t="s">
        <v>27</v>
      </c>
      <c r="O308" t="s">
        <v>28</v>
      </c>
      <c r="P308">
        <v>31.462</v>
      </c>
      <c r="Q308" t="s">
        <v>29</v>
      </c>
      <c r="R308" t="s">
        <v>124</v>
      </c>
      <c r="S308" t="s">
        <v>6936</v>
      </c>
    </row>
    <row r="309" spans="1:19" x14ac:dyDescent="0.25">
      <c r="A309">
        <v>2014</v>
      </c>
      <c r="B309">
        <v>6792</v>
      </c>
      <c r="C309" t="s">
        <v>65</v>
      </c>
      <c r="D309" t="s">
        <v>734</v>
      </c>
      <c r="E309">
        <v>562920</v>
      </c>
      <c r="F309" t="s">
        <v>329</v>
      </c>
      <c r="G309" t="s">
        <v>330</v>
      </c>
      <c r="H309" t="s">
        <v>69</v>
      </c>
      <c r="I309" t="s">
        <v>500</v>
      </c>
      <c r="J309" t="s">
        <v>501</v>
      </c>
      <c r="K309" t="s">
        <v>502</v>
      </c>
      <c r="L309" t="s">
        <v>89</v>
      </c>
      <c r="M309" t="s">
        <v>90</v>
      </c>
      <c r="N309" t="s">
        <v>91</v>
      </c>
      <c r="O309" t="s">
        <v>92</v>
      </c>
      <c r="P309">
        <v>1.2E-2</v>
      </c>
      <c r="Q309" t="s">
        <v>40</v>
      </c>
      <c r="R309" t="s">
        <v>50</v>
      </c>
      <c r="S309" t="s">
        <v>6936</v>
      </c>
    </row>
    <row r="310" spans="1:19" x14ac:dyDescent="0.25">
      <c r="A310">
        <v>2004</v>
      </c>
      <c r="B310">
        <v>1662</v>
      </c>
      <c r="C310" t="s">
        <v>1001</v>
      </c>
      <c r="D310" t="s">
        <v>1001</v>
      </c>
      <c r="E310">
        <v>332810</v>
      </c>
      <c r="F310" t="s">
        <v>237</v>
      </c>
      <c r="G310" t="s">
        <v>238</v>
      </c>
      <c r="H310" t="s">
        <v>21</v>
      </c>
      <c r="I310" t="s">
        <v>461</v>
      </c>
      <c r="J310" t="s">
        <v>462</v>
      </c>
      <c r="K310" t="s">
        <v>463</v>
      </c>
      <c r="L310" t="s">
        <v>89</v>
      </c>
      <c r="M310" t="s">
        <v>90</v>
      </c>
      <c r="N310" t="s">
        <v>100</v>
      </c>
      <c r="O310" t="s">
        <v>101</v>
      </c>
      <c r="P310">
        <v>8.01</v>
      </c>
      <c r="Q310" t="s">
        <v>40</v>
      </c>
      <c r="R310" t="s">
        <v>124</v>
      </c>
      <c r="S310" t="s">
        <v>6936</v>
      </c>
    </row>
    <row r="311" spans="1:19" x14ac:dyDescent="0.25">
      <c r="A311">
        <v>2007</v>
      </c>
      <c r="B311">
        <v>5855</v>
      </c>
      <c r="C311" t="s">
        <v>1002</v>
      </c>
      <c r="D311" t="s">
        <v>1003</v>
      </c>
      <c r="E311">
        <v>336350</v>
      </c>
      <c r="F311" t="s">
        <v>1004</v>
      </c>
      <c r="G311" t="s">
        <v>1005</v>
      </c>
      <c r="H311" t="s">
        <v>21</v>
      </c>
      <c r="I311" t="s">
        <v>35</v>
      </c>
      <c r="J311" t="s">
        <v>36</v>
      </c>
      <c r="K311" t="s">
        <v>37</v>
      </c>
      <c r="L311" t="s">
        <v>25</v>
      </c>
      <c r="M311" t="s">
        <v>26</v>
      </c>
      <c r="N311" t="s">
        <v>38</v>
      </c>
      <c r="O311" t="s">
        <v>39</v>
      </c>
      <c r="P311">
        <v>140</v>
      </c>
      <c r="Q311" t="s">
        <v>40</v>
      </c>
      <c r="R311" t="s">
        <v>50</v>
      </c>
      <c r="S311" t="s">
        <v>6936</v>
      </c>
    </row>
    <row r="312" spans="1:19" x14ac:dyDescent="0.25">
      <c r="A312">
        <v>2010</v>
      </c>
      <c r="B312">
        <v>6546</v>
      </c>
      <c r="C312" t="s">
        <v>355</v>
      </c>
      <c r="D312" t="s">
        <v>356</v>
      </c>
      <c r="E312">
        <v>211114</v>
      </c>
      <c r="F312" t="s">
        <v>835</v>
      </c>
      <c r="G312" t="s">
        <v>836</v>
      </c>
      <c r="H312" t="s">
        <v>85</v>
      </c>
      <c r="I312" t="s">
        <v>543</v>
      </c>
      <c r="J312" t="s">
        <v>544</v>
      </c>
      <c r="K312" t="s">
        <v>545</v>
      </c>
      <c r="L312" t="s">
        <v>25</v>
      </c>
      <c r="M312" t="s">
        <v>26</v>
      </c>
      <c r="N312" t="s">
        <v>380</v>
      </c>
      <c r="O312" t="s">
        <v>381</v>
      </c>
      <c r="P312">
        <v>0.44400000000000001</v>
      </c>
      <c r="Q312" t="s">
        <v>40</v>
      </c>
      <c r="R312" t="s">
        <v>124</v>
      </c>
      <c r="S312" t="s">
        <v>6936</v>
      </c>
    </row>
    <row r="313" spans="1:19" x14ac:dyDescent="0.25">
      <c r="A313">
        <v>2018</v>
      </c>
      <c r="B313">
        <v>27111</v>
      </c>
      <c r="C313" t="s">
        <v>1006</v>
      </c>
      <c r="D313" t="s">
        <v>1007</v>
      </c>
      <c r="E313">
        <v>331221</v>
      </c>
      <c r="F313" t="s">
        <v>1008</v>
      </c>
      <c r="G313" t="s">
        <v>419</v>
      </c>
      <c r="H313" t="s">
        <v>21</v>
      </c>
      <c r="I313" t="s">
        <v>35</v>
      </c>
      <c r="J313" t="s">
        <v>36</v>
      </c>
      <c r="K313" t="s">
        <v>37</v>
      </c>
      <c r="L313" t="s">
        <v>25</v>
      </c>
      <c r="M313" t="s">
        <v>26</v>
      </c>
      <c r="N313" t="s">
        <v>38</v>
      </c>
      <c r="O313" t="s">
        <v>39</v>
      </c>
      <c r="P313">
        <v>15.632999999999999</v>
      </c>
      <c r="Q313" t="s">
        <v>40</v>
      </c>
      <c r="R313" t="s">
        <v>50</v>
      </c>
      <c r="S313" t="s">
        <v>6936</v>
      </c>
    </row>
    <row r="314" spans="1:19" x14ac:dyDescent="0.25">
      <c r="A314">
        <v>2004</v>
      </c>
      <c r="B314">
        <v>139</v>
      </c>
      <c r="C314" t="s">
        <v>901</v>
      </c>
      <c r="D314" t="s">
        <v>902</v>
      </c>
      <c r="E314">
        <v>332810</v>
      </c>
      <c r="F314" t="s">
        <v>237</v>
      </c>
      <c r="G314" t="s">
        <v>238</v>
      </c>
      <c r="H314" t="s">
        <v>21</v>
      </c>
      <c r="I314" t="s">
        <v>337</v>
      </c>
      <c r="J314" t="s">
        <v>338</v>
      </c>
      <c r="K314" t="s">
        <v>339</v>
      </c>
      <c r="L314" t="s">
        <v>89</v>
      </c>
      <c r="M314" t="s">
        <v>90</v>
      </c>
      <c r="N314" t="s">
        <v>100</v>
      </c>
      <c r="O314" t="s">
        <v>101</v>
      </c>
      <c r="P314">
        <v>0</v>
      </c>
      <c r="Q314" t="s">
        <v>29</v>
      </c>
      <c r="R314" t="s">
        <v>50</v>
      </c>
      <c r="S314" t="s">
        <v>6936</v>
      </c>
    </row>
    <row r="315" spans="1:19" x14ac:dyDescent="0.25">
      <c r="A315">
        <v>1996</v>
      </c>
      <c r="B315">
        <v>1136</v>
      </c>
      <c r="C315" t="s">
        <v>1009</v>
      </c>
      <c r="D315" t="s">
        <v>583</v>
      </c>
      <c r="E315">
        <v>336410</v>
      </c>
      <c r="F315" t="s">
        <v>260</v>
      </c>
      <c r="G315" t="s">
        <v>261</v>
      </c>
      <c r="H315" t="s">
        <v>79</v>
      </c>
      <c r="I315" t="s">
        <v>209</v>
      </c>
      <c r="J315" t="s">
        <v>210</v>
      </c>
      <c r="K315" t="s">
        <v>211</v>
      </c>
      <c r="L315" t="s">
        <v>89</v>
      </c>
      <c r="M315" t="s">
        <v>90</v>
      </c>
      <c r="N315" t="s">
        <v>100</v>
      </c>
      <c r="O315" t="s">
        <v>101</v>
      </c>
      <c r="P315">
        <v>0.60599999999999998</v>
      </c>
      <c r="Q315" t="s">
        <v>29</v>
      </c>
      <c r="R315" t="s">
        <v>30</v>
      </c>
      <c r="S315" t="s">
        <v>6936</v>
      </c>
    </row>
    <row r="316" spans="1:19" x14ac:dyDescent="0.25">
      <c r="A316">
        <v>2006</v>
      </c>
      <c r="B316">
        <v>6097</v>
      </c>
      <c r="C316" t="s">
        <v>1010</v>
      </c>
      <c r="D316" t="s">
        <v>1011</v>
      </c>
      <c r="E316">
        <v>325410</v>
      </c>
      <c r="F316" t="s">
        <v>218</v>
      </c>
      <c r="G316" t="s">
        <v>219</v>
      </c>
      <c r="H316" t="s">
        <v>1012</v>
      </c>
      <c r="I316" t="s">
        <v>435</v>
      </c>
      <c r="J316" t="s">
        <v>436</v>
      </c>
      <c r="K316" t="s">
        <v>437</v>
      </c>
      <c r="L316" t="s">
        <v>89</v>
      </c>
      <c r="M316" t="s">
        <v>90</v>
      </c>
      <c r="N316" t="s">
        <v>120</v>
      </c>
      <c r="O316" t="s">
        <v>121</v>
      </c>
      <c r="P316">
        <v>0</v>
      </c>
      <c r="Q316" t="s">
        <v>29</v>
      </c>
      <c r="R316" t="s">
        <v>30</v>
      </c>
      <c r="S316" t="s">
        <v>6936</v>
      </c>
    </row>
    <row r="317" spans="1:19" x14ac:dyDescent="0.25">
      <c r="A317">
        <v>1999</v>
      </c>
      <c r="B317">
        <v>5649</v>
      </c>
      <c r="C317" t="s">
        <v>1013</v>
      </c>
      <c r="D317" t="s">
        <v>1014</v>
      </c>
      <c r="E317">
        <v>331317</v>
      </c>
      <c r="F317" t="s">
        <v>899</v>
      </c>
      <c r="G317" t="s">
        <v>769</v>
      </c>
      <c r="H317" t="s">
        <v>21</v>
      </c>
      <c r="I317" t="s">
        <v>152</v>
      </c>
      <c r="J317" t="s">
        <v>153</v>
      </c>
      <c r="K317" t="s">
        <v>154</v>
      </c>
      <c r="L317" t="s">
        <v>25</v>
      </c>
      <c r="M317" t="s">
        <v>26</v>
      </c>
      <c r="N317" t="s">
        <v>38</v>
      </c>
      <c r="O317" t="s">
        <v>39</v>
      </c>
      <c r="P317">
        <v>13.726000000000001</v>
      </c>
      <c r="Q317" t="s">
        <v>29</v>
      </c>
      <c r="R317" t="s">
        <v>50</v>
      </c>
      <c r="S317" t="s">
        <v>6936</v>
      </c>
    </row>
    <row r="318" spans="1:19" x14ac:dyDescent="0.25">
      <c r="A318">
        <v>2003</v>
      </c>
      <c r="B318">
        <v>7128</v>
      </c>
      <c r="C318" t="s">
        <v>750</v>
      </c>
      <c r="E318">
        <v>332118</v>
      </c>
      <c r="F318" t="s">
        <v>459</v>
      </c>
      <c r="G318" t="s">
        <v>460</v>
      </c>
      <c r="H318" t="s">
        <v>21</v>
      </c>
      <c r="I318" t="s">
        <v>177</v>
      </c>
      <c r="J318" t="s">
        <v>178</v>
      </c>
      <c r="K318" t="s">
        <v>179</v>
      </c>
      <c r="L318" t="s">
        <v>25</v>
      </c>
      <c r="M318" t="s">
        <v>26</v>
      </c>
      <c r="N318" t="s">
        <v>38</v>
      </c>
      <c r="O318" t="s">
        <v>39</v>
      </c>
      <c r="P318">
        <v>5.47</v>
      </c>
      <c r="Q318" t="s">
        <v>29</v>
      </c>
      <c r="R318" t="s">
        <v>30</v>
      </c>
      <c r="S318" t="s">
        <v>6936</v>
      </c>
    </row>
    <row r="319" spans="1:19" x14ac:dyDescent="0.25">
      <c r="A319">
        <v>2018</v>
      </c>
      <c r="B319">
        <v>3996</v>
      </c>
      <c r="C319" t="s">
        <v>1015</v>
      </c>
      <c r="D319" t="s">
        <v>1016</v>
      </c>
      <c r="E319">
        <v>221112</v>
      </c>
      <c r="F319" t="s">
        <v>499</v>
      </c>
      <c r="G319" t="s">
        <v>135</v>
      </c>
      <c r="H319" t="s">
        <v>483</v>
      </c>
      <c r="I319" t="s">
        <v>1017</v>
      </c>
      <c r="J319" t="s">
        <v>1018</v>
      </c>
      <c r="K319" t="s">
        <v>1019</v>
      </c>
      <c r="L319" t="s">
        <v>25</v>
      </c>
      <c r="M319" t="s">
        <v>26</v>
      </c>
      <c r="N319" t="s">
        <v>155</v>
      </c>
      <c r="O319" t="s">
        <v>156</v>
      </c>
      <c r="P319">
        <v>34</v>
      </c>
      <c r="Q319" t="s">
        <v>40</v>
      </c>
      <c r="R319" t="s">
        <v>30</v>
      </c>
      <c r="S319" t="s">
        <v>6936</v>
      </c>
    </row>
    <row r="320" spans="1:19" x14ac:dyDescent="0.25">
      <c r="A320">
        <v>2017</v>
      </c>
      <c r="B320">
        <v>3422</v>
      </c>
      <c r="C320" t="s">
        <v>168</v>
      </c>
      <c r="D320" t="s">
        <v>168</v>
      </c>
      <c r="E320">
        <v>325220</v>
      </c>
      <c r="F320" t="s">
        <v>170</v>
      </c>
      <c r="G320" t="s">
        <v>171</v>
      </c>
      <c r="H320" t="s">
        <v>21</v>
      </c>
      <c r="I320" t="s">
        <v>172</v>
      </c>
      <c r="J320" t="s">
        <v>173</v>
      </c>
      <c r="K320" t="s">
        <v>174</v>
      </c>
      <c r="L320" t="s">
        <v>89</v>
      </c>
      <c r="M320" t="s">
        <v>90</v>
      </c>
      <c r="N320" t="s">
        <v>166</v>
      </c>
      <c r="O320" t="s">
        <v>167</v>
      </c>
      <c r="P320">
        <v>0.58899999999999997</v>
      </c>
      <c r="Q320" t="s">
        <v>29</v>
      </c>
      <c r="R320" t="s">
        <v>50</v>
      </c>
      <c r="S320" t="s">
        <v>6936</v>
      </c>
    </row>
    <row r="321" spans="1:19" x14ac:dyDescent="0.25">
      <c r="A321">
        <v>2018</v>
      </c>
      <c r="B321">
        <v>3713</v>
      </c>
      <c r="C321" t="s">
        <v>685</v>
      </c>
      <c r="D321" t="s">
        <v>686</v>
      </c>
      <c r="E321">
        <v>331110</v>
      </c>
      <c r="F321" t="s">
        <v>627</v>
      </c>
      <c r="G321" t="s">
        <v>336</v>
      </c>
      <c r="H321" t="s">
        <v>21</v>
      </c>
      <c r="I321" t="s">
        <v>324</v>
      </c>
      <c r="J321" t="s">
        <v>325</v>
      </c>
      <c r="K321" t="s">
        <v>326</v>
      </c>
      <c r="L321" t="s">
        <v>25</v>
      </c>
      <c r="M321" t="s">
        <v>26</v>
      </c>
      <c r="N321" t="s">
        <v>38</v>
      </c>
      <c r="O321" t="s">
        <v>39</v>
      </c>
      <c r="P321">
        <v>2323.8694999999998</v>
      </c>
      <c r="Q321" t="s">
        <v>40</v>
      </c>
      <c r="R321" t="s">
        <v>50</v>
      </c>
      <c r="S321" t="s">
        <v>6936</v>
      </c>
    </row>
    <row r="322" spans="1:19" x14ac:dyDescent="0.25">
      <c r="A322">
        <v>2022</v>
      </c>
      <c r="B322">
        <v>11771</v>
      </c>
      <c r="C322" t="s">
        <v>1020</v>
      </c>
      <c r="D322" t="s">
        <v>1021</v>
      </c>
      <c r="E322">
        <v>336370</v>
      </c>
      <c r="F322" t="s">
        <v>1022</v>
      </c>
      <c r="G322" t="s">
        <v>587</v>
      </c>
      <c r="H322" t="s">
        <v>21</v>
      </c>
      <c r="I322" t="s">
        <v>136</v>
      </c>
      <c r="J322" t="s">
        <v>137</v>
      </c>
      <c r="K322" t="s">
        <v>138</v>
      </c>
      <c r="L322" t="s">
        <v>25</v>
      </c>
      <c r="M322" t="s">
        <v>26</v>
      </c>
      <c r="N322" t="s">
        <v>38</v>
      </c>
      <c r="O322" t="s">
        <v>39</v>
      </c>
      <c r="P322">
        <v>26.120999999999999</v>
      </c>
      <c r="Q322" t="s">
        <v>29</v>
      </c>
      <c r="R322" t="s">
        <v>50</v>
      </c>
      <c r="S322" t="s">
        <v>6936</v>
      </c>
    </row>
    <row r="323" spans="1:19" x14ac:dyDescent="0.25">
      <c r="A323">
        <v>2006</v>
      </c>
      <c r="B323">
        <v>1845</v>
      </c>
      <c r="C323" t="s">
        <v>797</v>
      </c>
      <c r="D323" t="s">
        <v>352</v>
      </c>
      <c r="E323">
        <v>311511</v>
      </c>
      <c r="F323" t="s">
        <v>1023</v>
      </c>
      <c r="G323" t="s">
        <v>1024</v>
      </c>
      <c r="H323" t="s">
        <v>21</v>
      </c>
      <c r="I323" t="s">
        <v>337</v>
      </c>
      <c r="J323" t="s">
        <v>338</v>
      </c>
      <c r="K323" t="s">
        <v>339</v>
      </c>
      <c r="L323" t="s">
        <v>89</v>
      </c>
      <c r="M323" t="s">
        <v>90</v>
      </c>
      <c r="N323" t="s">
        <v>100</v>
      </c>
      <c r="O323" t="s">
        <v>101</v>
      </c>
      <c r="P323">
        <v>0</v>
      </c>
      <c r="Q323" t="s">
        <v>29</v>
      </c>
      <c r="R323" t="s">
        <v>30</v>
      </c>
      <c r="S323" t="s">
        <v>6936</v>
      </c>
    </row>
    <row r="324" spans="1:19" x14ac:dyDescent="0.25">
      <c r="A324">
        <v>2011</v>
      </c>
      <c r="B324">
        <v>4441</v>
      </c>
      <c r="C324" t="s">
        <v>1025</v>
      </c>
      <c r="D324" t="s">
        <v>1026</v>
      </c>
      <c r="E324">
        <v>311515</v>
      </c>
      <c r="F324" t="s">
        <v>799</v>
      </c>
      <c r="G324" t="s">
        <v>343</v>
      </c>
      <c r="H324" t="s">
        <v>21</v>
      </c>
      <c r="I324" t="s">
        <v>402</v>
      </c>
      <c r="J324" t="s">
        <v>403</v>
      </c>
      <c r="K324" t="s">
        <v>404</v>
      </c>
      <c r="L324" t="s">
        <v>89</v>
      </c>
      <c r="M324" t="s">
        <v>90</v>
      </c>
      <c r="N324" t="s">
        <v>100</v>
      </c>
      <c r="O324" t="s">
        <v>101</v>
      </c>
      <c r="P324">
        <v>82.031999999999996</v>
      </c>
      <c r="Q324" t="s">
        <v>29</v>
      </c>
      <c r="R324" t="s">
        <v>124</v>
      </c>
      <c r="S324" t="s">
        <v>6936</v>
      </c>
    </row>
    <row r="325" spans="1:19" x14ac:dyDescent="0.25">
      <c r="A325">
        <v>2010</v>
      </c>
      <c r="B325">
        <v>3753</v>
      </c>
      <c r="C325" t="s">
        <v>1027</v>
      </c>
      <c r="D325" t="s">
        <v>1028</v>
      </c>
      <c r="E325">
        <v>211113</v>
      </c>
      <c r="F325" t="s">
        <v>425</v>
      </c>
      <c r="G325" t="s">
        <v>426</v>
      </c>
      <c r="H325" t="s">
        <v>85</v>
      </c>
      <c r="I325" t="s">
        <v>70</v>
      </c>
      <c r="J325" t="s">
        <v>71</v>
      </c>
      <c r="K325" t="s">
        <v>72</v>
      </c>
      <c r="L325" t="s">
        <v>25</v>
      </c>
      <c r="M325" t="s">
        <v>26</v>
      </c>
      <c r="N325" t="s">
        <v>380</v>
      </c>
      <c r="O325" t="s">
        <v>381</v>
      </c>
      <c r="P325">
        <v>0.30099999999999999</v>
      </c>
      <c r="Q325" t="s">
        <v>29</v>
      </c>
      <c r="S325" t="s">
        <v>6936</v>
      </c>
    </row>
    <row r="326" spans="1:19" x14ac:dyDescent="0.25">
      <c r="A326">
        <v>2012</v>
      </c>
      <c r="B326">
        <v>5413</v>
      </c>
      <c r="C326" t="s">
        <v>1029</v>
      </c>
      <c r="D326" t="s">
        <v>1030</v>
      </c>
      <c r="E326">
        <v>331221</v>
      </c>
      <c r="F326" t="s">
        <v>1008</v>
      </c>
      <c r="G326" t="s">
        <v>419</v>
      </c>
      <c r="H326" t="s">
        <v>79</v>
      </c>
      <c r="I326" t="s">
        <v>152</v>
      </c>
      <c r="J326" t="s">
        <v>153</v>
      </c>
      <c r="K326" t="s">
        <v>154</v>
      </c>
      <c r="L326" t="s">
        <v>25</v>
      </c>
      <c r="M326" t="s">
        <v>26</v>
      </c>
      <c r="N326" t="s">
        <v>38</v>
      </c>
      <c r="O326" t="s">
        <v>39</v>
      </c>
      <c r="P326">
        <v>30.4</v>
      </c>
      <c r="Q326" t="s">
        <v>29</v>
      </c>
      <c r="R326" t="s">
        <v>30</v>
      </c>
      <c r="S326" t="s">
        <v>6936</v>
      </c>
    </row>
    <row r="327" spans="1:19" x14ac:dyDescent="0.25">
      <c r="A327">
        <v>2022</v>
      </c>
      <c r="B327">
        <v>5489</v>
      </c>
      <c r="C327" t="s">
        <v>1031</v>
      </c>
      <c r="D327" t="s">
        <v>1032</v>
      </c>
      <c r="E327">
        <v>335315</v>
      </c>
      <c r="F327" t="s">
        <v>1033</v>
      </c>
      <c r="G327" t="s">
        <v>1034</v>
      </c>
      <c r="H327" t="s">
        <v>79</v>
      </c>
      <c r="I327" t="s">
        <v>177</v>
      </c>
      <c r="J327" t="s">
        <v>178</v>
      </c>
      <c r="K327" t="s">
        <v>179</v>
      </c>
      <c r="L327" t="s">
        <v>25</v>
      </c>
      <c r="M327" t="s">
        <v>26</v>
      </c>
      <c r="N327" t="s">
        <v>38</v>
      </c>
      <c r="O327" t="s">
        <v>39</v>
      </c>
      <c r="P327">
        <v>70.61</v>
      </c>
      <c r="Q327" t="s">
        <v>29</v>
      </c>
      <c r="R327" t="s">
        <v>50</v>
      </c>
      <c r="S327" t="s">
        <v>6936</v>
      </c>
    </row>
    <row r="328" spans="1:19" x14ac:dyDescent="0.25">
      <c r="A328">
        <v>2009</v>
      </c>
      <c r="B328">
        <v>1931</v>
      </c>
      <c r="C328" t="s">
        <v>1035</v>
      </c>
      <c r="D328" t="s">
        <v>745</v>
      </c>
      <c r="E328">
        <v>325510</v>
      </c>
      <c r="F328" t="s">
        <v>143</v>
      </c>
      <c r="G328" t="s">
        <v>112</v>
      </c>
      <c r="H328" t="s">
        <v>21</v>
      </c>
      <c r="I328" t="s">
        <v>271</v>
      </c>
      <c r="J328" t="s">
        <v>272</v>
      </c>
      <c r="K328" t="s">
        <v>273</v>
      </c>
      <c r="L328" t="s">
        <v>25</v>
      </c>
      <c r="M328" t="s">
        <v>26</v>
      </c>
      <c r="N328" t="s">
        <v>27</v>
      </c>
      <c r="O328" t="s">
        <v>28</v>
      </c>
      <c r="P328">
        <v>3.43</v>
      </c>
      <c r="Q328" t="s">
        <v>29</v>
      </c>
      <c r="R328" t="s">
        <v>30</v>
      </c>
      <c r="S328" t="s">
        <v>6936</v>
      </c>
    </row>
    <row r="329" spans="1:19" x14ac:dyDescent="0.25">
      <c r="A329">
        <v>2010</v>
      </c>
      <c r="B329">
        <v>1931</v>
      </c>
      <c r="C329" t="s">
        <v>617</v>
      </c>
      <c r="D329" t="s">
        <v>745</v>
      </c>
      <c r="E329">
        <v>325510</v>
      </c>
      <c r="F329" t="s">
        <v>143</v>
      </c>
      <c r="G329" t="s">
        <v>112</v>
      </c>
      <c r="H329" t="s">
        <v>21</v>
      </c>
      <c r="I329" t="s">
        <v>427</v>
      </c>
      <c r="J329" t="s">
        <v>428</v>
      </c>
      <c r="K329" t="s">
        <v>429</v>
      </c>
      <c r="L329" t="s">
        <v>89</v>
      </c>
      <c r="M329" t="s">
        <v>90</v>
      </c>
      <c r="N329" t="s">
        <v>472</v>
      </c>
      <c r="O329" t="s">
        <v>473</v>
      </c>
      <c r="P329">
        <v>0.04</v>
      </c>
      <c r="Q329" t="s">
        <v>29</v>
      </c>
      <c r="R329" t="s">
        <v>30</v>
      </c>
      <c r="S329" t="s">
        <v>6936</v>
      </c>
    </row>
    <row r="330" spans="1:19" x14ac:dyDescent="0.25">
      <c r="A330">
        <v>2003</v>
      </c>
      <c r="B330">
        <v>4829</v>
      </c>
      <c r="C330" t="s">
        <v>1036</v>
      </c>
      <c r="D330" t="s">
        <v>1037</v>
      </c>
      <c r="E330">
        <v>311990</v>
      </c>
      <c r="F330" t="s">
        <v>1038</v>
      </c>
      <c r="G330" t="s">
        <v>1039</v>
      </c>
      <c r="H330" t="s">
        <v>85</v>
      </c>
      <c r="I330" t="s">
        <v>97</v>
      </c>
      <c r="J330" t="s">
        <v>98</v>
      </c>
      <c r="K330" t="s">
        <v>99</v>
      </c>
      <c r="L330" t="s">
        <v>89</v>
      </c>
      <c r="M330" t="s">
        <v>90</v>
      </c>
      <c r="N330" t="s">
        <v>100</v>
      </c>
      <c r="O330" t="s">
        <v>101</v>
      </c>
      <c r="P330">
        <v>4.49</v>
      </c>
      <c r="Q330" t="s">
        <v>29</v>
      </c>
      <c r="R330" t="s">
        <v>124</v>
      </c>
      <c r="S330" t="s">
        <v>6936</v>
      </c>
    </row>
    <row r="331" spans="1:19" x14ac:dyDescent="0.25">
      <c r="A331">
        <v>2008</v>
      </c>
      <c r="B331">
        <v>1993</v>
      </c>
      <c r="C331" t="s">
        <v>1040</v>
      </c>
      <c r="D331" t="s">
        <v>1041</v>
      </c>
      <c r="E331">
        <v>334410</v>
      </c>
      <c r="F331" t="s">
        <v>604</v>
      </c>
      <c r="G331" t="s">
        <v>605</v>
      </c>
      <c r="H331" t="s">
        <v>21</v>
      </c>
      <c r="I331" t="s">
        <v>177</v>
      </c>
      <c r="J331" t="s">
        <v>178</v>
      </c>
      <c r="K331" t="s">
        <v>179</v>
      </c>
      <c r="L331" t="s">
        <v>25</v>
      </c>
      <c r="M331" t="s">
        <v>26</v>
      </c>
      <c r="N331" t="s">
        <v>38</v>
      </c>
      <c r="O331" t="s">
        <v>39</v>
      </c>
      <c r="P331">
        <v>70.576999999999998</v>
      </c>
      <c r="Q331" t="s">
        <v>29</v>
      </c>
      <c r="R331" t="s">
        <v>50</v>
      </c>
      <c r="S331" t="s">
        <v>6936</v>
      </c>
    </row>
    <row r="332" spans="1:19" x14ac:dyDescent="0.25">
      <c r="A332">
        <v>2004</v>
      </c>
      <c r="B332">
        <v>2381</v>
      </c>
      <c r="C332" t="s">
        <v>706</v>
      </c>
      <c r="D332" t="s">
        <v>1042</v>
      </c>
      <c r="E332">
        <v>331511</v>
      </c>
      <c r="F332" t="s">
        <v>160</v>
      </c>
      <c r="G332" t="s">
        <v>161</v>
      </c>
      <c r="H332" t="s">
        <v>21</v>
      </c>
      <c r="I332" t="s">
        <v>209</v>
      </c>
      <c r="J332" t="s">
        <v>210</v>
      </c>
      <c r="K332" t="s">
        <v>211</v>
      </c>
      <c r="L332" t="s">
        <v>25</v>
      </c>
      <c r="M332" t="s">
        <v>26</v>
      </c>
      <c r="N332" t="s">
        <v>155</v>
      </c>
      <c r="O332" t="s">
        <v>156</v>
      </c>
      <c r="P332">
        <v>2.855</v>
      </c>
      <c r="Q332" t="s">
        <v>29</v>
      </c>
      <c r="R332" t="s">
        <v>124</v>
      </c>
      <c r="S332" t="s">
        <v>6936</v>
      </c>
    </row>
    <row r="333" spans="1:19" x14ac:dyDescent="0.25">
      <c r="A333">
        <v>2018</v>
      </c>
      <c r="B333">
        <v>29386</v>
      </c>
      <c r="C333" t="s">
        <v>1043</v>
      </c>
      <c r="D333" t="s">
        <v>1044</v>
      </c>
      <c r="E333">
        <v>211110</v>
      </c>
      <c r="F333" t="s">
        <v>233</v>
      </c>
      <c r="G333" t="s">
        <v>234</v>
      </c>
      <c r="H333" t="s">
        <v>243</v>
      </c>
      <c r="I333" t="s">
        <v>491</v>
      </c>
      <c r="J333" t="s">
        <v>492</v>
      </c>
      <c r="K333" t="s">
        <v>492</v>
      </c>
      <c r="L333" t="s">
        <v>25</v>
      </c>
      <c r="M333" t="s">
        <v>26</v>
      </c>
      <c r="N333" t="s">
        <v>380</v>
      </c>
      <c r="O333" t="s">
        <v>381</v>
      </c>
      <c r="P333">
        <v>0</v>
      </c>
      <c r="Q333" t="s">
        <v>29</v>
      </c>
      <c r="R333" t="s">
        <v>30</v>
      </c>
      <c r="S333" t="s">
        <v>6936</v>
      </c>
    </row>
    <row r="334" spans="1:19" x14ac:dyDescent="0.25">
      <c r="A334">
        <v>2007</v>
      </c>
      <c r="B334">
        <v>5939</v>
      </c>
      <c r="C334" t="s">
        <v>1045</v>
      </c>
      <c r="D334" t="s">
        <v>1046</v>
      </c>
      <c r="E334">
        <v>336390</v>
      </c>
      <c r="F334" t="s">
        <v>60</v>
      </c>
      <c r="G334" t="s">
        <v>61</v>
      </c>
      <c r="H334" t="s">
        <v>21</v>
      </c>
      <c r="I334" t="s">
        <v>136</v>
      </c>
      <c r="J334" t="s">
        <v>137</v>
      </c>
      <c r="K334" t="s">
        <v>138</v>
      </c>
      <c r="L334" t="s">
        <v>25</v>
      </c>
      <c r="M334" t="s">
        <v>26</v>
      </c>
      <c r="N334" t="s">
        <v>38</v>
      </c>
      <c r="O334" t="s">
        <v>39</v>
      </c>
      <c r="P334">
        <v>25.693999999999999</v>
      </c>
      <c r="Q334" t="s">
        <v>29</v>
      </c>
      <c r="R334" t="s">
        <v>50</v>
      </c>
      <c r="S334" t="s">
        <v>6936</v>
      </c>
    </row>
    <row r="335" spans="1:19" x14ac:dyDescent="0.25">
      <c r="A335">
        <v>2001</v>
      </c>
      <c r="B335">
        <v>7163</v>
      </c>
      <c r="C335" t="s">
        <v>1047</v>
      </c>
      <c r="D335" t="s">
        <v>1048</v>
      </c>
      <c r="E335">
        <v>331210</v>
      </c>
      <c r="F335" t="s">
        <v>1049</v>
      </c>
      <c r="G335" t="s">
        <v>657</v>
      </c>
      <c r="H335" t="s">
        <v>21</v>
      </c>
      <c r="I335" t="s">
        <v>209</v>
      </c>
      <c r="J335" t="s">
        <v>210</v>
      </c>
      <c r="K335" t="s">
        <v>211</v>
      </c>
      <c r="L335" t="s">
        <v>25</v>
      </c>
      <c r="M335" t="s">
        <v>26</v>
      </c>
      <c r="N335" t="s">
        <v>38</v>
      </c>
      <c r="O335" t="s">
        <v>39</v>
      </c>
      <c r="P335">
        <v>26.26</v>
      </c>
      <c r="Q335" t="s">
        <v>29</v>
      </c>
      <c r="R335" t="s">
        <v>442</v>
      </c>
      <c r="S335" t="s">
        <v>6936</v>
      </c>
    </row>
    <row r="336" spans="1:19" x14ac:dyDescent="0.25">
      <c r="A336">
        <v>2017</v>
      </c>
      <c r="B336">
        <v>1464</v>
      </c>
      <c r="C336" t="s">
        <v>194</v>
      </c>
      <c r="D336" t="s">
        <v>443</v>
      </c>
      <c r="E336">
        <v>325110</v>
      </c>
      <c r="F336" t="s">
        <v>444</v>
      </c>
      <c r="G336" t="s">
        <v>445</v>
      </c>
      <c r="H336" t="s">
        <v>21</v>
      </c>
      <c r="I336" t="s">
        <v>1050</v>
      </c>
      <c r="J336" t="s">
        <v>1051</v>
      </c>
      <c r="K336" t="s">
        <v>1052</v>
      </c>
      <c r="L336" t="s">
        <v>25</v>
      </c>
      <c r="M336" t="s">
        <v>26</v>
      </c>
      <c r="N336" t="s">
        <v>48</v>
      </c>
      <c r="O336" t="s">
        <v>49</v>
      </c>
      <c r="P336">
        <v>10227.797</v>
      </c>
      <c r="Q336" t="s">
        <v>40</v>
      </c>
      <c r="R336" t="s">
        <v>124</v>
      </c>
      <c r="S336" t="s">
        <v>6936</v>
      </c>
    </row>
    <row r="337" spans="1:19" x14ac:dyDescent="0.25">
      <c r="A337">
        <v>2023</v>
      </c>
      <c r="B337">
        <v>32363</v>
      </c>
      <c r="C337" t="s">
        <v>1053</v>
      </c>
      <c r="D337" t="s">
        <v>1053</v>
      </c>
      <c r="E337">
        <v>325313</v>
      </c>
      <c r="F337" t="s">
        <v>1054</v>
      </c>
      <c r="G337" t="s">
        <v>1055</v>
      </c>
      <c r="H337" t="s">
        <v>21</v>
      </c>
      <c r="I337" t="s">
        <v>97</v>
      </c>
      <c r="J337" t="s">
        <v>98</v>
      </c>
      <c r="K337" t="s">
        <v>99</v>
      </c>
      <c r="L337" t="s">
        <v>89</v>
      </c>
      <c r="M337" t="s">
        <v>90</v>
      </c>
      <c r="N337" t="s">
        <v>91</v>
      </c>
      <c r="O337" t="s">
        <v>92</v>
      </c>
      <c r="P337">
        <v>0.30599999999999999</v>
      </c>
      <c r="Q337" t="s">
        <v>29</v>
      </c>
      <c r="R337" t="s">
        <v>30</v>
      </c>
      <c r="S337" t="s">
        <v>6936</v>
      </c>
    </row>
    <row r="338" spans="1:19" x14ac:dyDescent="0.25">
      <c r="A338">
        <v>2004</v>
      </c>
      <c r="B338">
        <v>1953</v>
      </c>
      <c r="C338" t="s">
        <v>305</v>
      </c>
      <c r="D338" t="s">
        <v>1056</v>
      </c>
      <c r="E338">
        <v>325510</v>
      </c>
      <c r="F338" t="s">
        <v>143</v>
      </c>
      <c r="G338" t="s">
        <v>112</v>
      </c>
      <c r="H338" t="s">
        <v>21</v>
      </c>
      <c r="I338" t="s">
        <v>80</v>
      </c>
      <c r="J338" t="s">
        <v>81</v>
      </c>
      <c r="K338" t="s">
        <v>82</v>
      </c>
      <c r="L338" t="s">
        <v>25</v>
      </c>
      <c r="M338" t="s">
        <v>26</v>
      </c>
      <c r="N338" t="s">
        <v>48</v>
      </c>
      <c r="O338" t="s">
        <v>49</v>
      </c>
      <c r="P338">
        <v>0</v>
      </c>
      <c r="Q338" t="s">
        <v>29</v>
      </c>
      <c r="R338" t="s">
        <v>30</v>
      </c>
      <c r="S338" t="s">
        <v>6936</v>
      </c>
    </row>
    <row r="339" spans="1:19" x14ac:dyDescent="0.25">
      <c r="A339">
        <v>2006</v>
      </c>
      <c r="B339">
        <v>2282</v>
      </c>
      <c r="C339" t="s">
        <v>1057</v>
      </c>
      <c r="D339" t="s">
        <v>1058</v>
      </c>
      <c r="E339">
        <v>221112</v>
      </c>
      <c r="F339" t="s">
        <v>134</v>
      </c>
      <c r="G339" t="s">
        <v>135</v>
      </c>
      <c r="H339" t="s">
        <v>85</v>
      </c>
      <c r="I339" t="s">
        <v>525</v>
      </c>
      <c r="J339" t="s">
        <v>526</v>
      </c>
      <c r="K339" t="s">
        <v>527</v>
      </c>
      <c r="L339" t="s">
        <v>25</v>
      </c>
      <c r="M339" t="s">
        <v>26</v>
      </c>
      <c r="N339" t="s">
        <v>139</v>
      </c>
      <c r="O339" t="s">
        <v>140</v>
      </c>
      <c r="P339">
        <v>31.913</v>
      </c>
      <c r="Q339" t="s">
        <v>29</v>
      </c>
      <c r="R339" t="s">
        <v>30</v>
      </c>
      <c r="S339" t="s">
        <v>6936</v>
      </c>
    </row>
    <row r="340" spans="1:19" x14ac:dyDescent="0.25">
      <c r="A340">
        <v>2018</v>
      </c>
      <c r="B340">
        <v>5471</v>
      </c>
      <c r="C340" t="s">
        <v>1059</v>
      </c>
      <c r="D340" t="s">
        <v>1060</v>
      </c>
      <c r="E340">
        <v>322122</v>
      </c>
      <c r="F340" t="s">
        <v>1061</v>
      </c>
      <c r="G340" t="s">
        <v>1062</v>
      </c>
      <c r="H340" t="s">
        <v>79</v>
      </c>
      <c r="I340" t="s">
        <v>136</v>
      </c>
      <c r="J340" t="s">
        <v>137</v>
      </c>
      <c r="K340" t="s">
        <v>138</v>
      </c>
      <c r="L340" t="s">
        <v>25</v>
      </c>
      <c r="M340" t="s">
        <v>26</v>
      </c>
      <c r="N340" t="s">
        <v>155</v>
      </c>
      <c r="O340" t="s">
        <v>156</v>
      </c>
      <c r="P340">
        <v>21.73</v>
      </c>
      <c r="Q340" t="s">
        <v>29</v>
      </c>
      <c r="R340" t="s">
        <v>124</v>
      </c>
      <c r="S340" t="s">
        <v>6936</v>
      </c>
    </row>
    <row r="341" spans="1:19" x14ac:dyDescent="0.25">
      <c r="A341">
        <v>2008</v>
      </c>
      <c r="B341">
        <v>6793</v>
      </c>
      <c r="C341" t="s">
        <v>122</v>
      </c>
      <c r="D341" t="s">
        <v>1063</v>
      </c>
      <c r="E341">
        <v>562110</v>
      </c>
      <c r="F341" t="s">
        <v>67</v>
      </c>
      <c r="G341" t="s">
        <v>68</v>
      </c>
      <c r="H341" t="s">
        <v>69</v>
      </c>
      <c r="I341" t="s">
        <v>70</v>
      </c>
      <c r="J341" t="s">
        <v>71</v>
      </c>
      <c r="K341" t="s">
        <v>72</v>
      </c>
      <c r="L341" t="s">
        <v>25</v>
      </c>
      <c r="M341" t="s">
        <v>26</v>
      </c>
      <c r="N341" t="s">
        <v>73</v>
      </c>
      <c r="O341" t="s">
        <v>74</v>
      </c>
      <c r="P341">
        <v>3.1269999999999998</v>
      </c>
      <c r="Q341" t="s">
        <v>29</v>
      </c>
      <c r="R341" t="s">
        <v>30</v>
      </c>
      <c r="S341" t="s">
        <v>6936</v>
      </c>
    </row>
    <row r="342" spans="1:19" x14ac:dyDescent="0.25">
      <c r="A342">
        <v>2007</v>
      </c>
      <c r="B342">
        <v>2240</v>
      </c>
      <c r="C342" t="s">
        <v>1064</v>
      </c>
      <c r="D342" t="s">
        <v>1065</v>
      </c>
      <c r="E342">
        <v>221320</v>
      </c>
      <c r="F342" t="s">
        <v>390</v>
      </c>
      <c r="G342" t="s">
        <v>147</v>
      </c>
      <c r="H342" t="s">
        <v>21</v>
      </c>
      <c r="I342" t="s">
        <v>244</v>
      </c>
      <c r="J342" t="s">
        <v>245</v>
      </c>
      <c r="K342" t="s">
        <v>246</v>
      </c>
      <c r="L342" t="s">
        <v>25</v>
      </c>
      <c r="M342" t="s">
        <v>26</v>
      </c>
      <c r="N342" t="s">
        <v>155</v>
      </c>
      <c r="O342" t="s">
        <v>156</v>
      </c>
      <c r="P342">
        <v>9.2750000000000004</v>
      </c>
      <c r="Q342" t="s">
        <v>40</v>
      </c>
      <c r="R342" t="s">
        <v>124</v>
      </c>
      <c r="S342" t="s">
        <v>6936</v>
      </c>
    </row>
    <row r="343" spans="1:19" x14ac:dyDescent="0.25">
      <c r="A343">
        <v>2021</v>
      </c>
      <c r="B343">
        <v>3897</v>
      </c>
      <c r="C343" t="s">
        <v>943</v>
      </c>
      <c r="D343" t="s">
        <v>275</v>
      </c>
      <c r="E343">
        <v>324110</v>
      </c>
      <c r="F343" t="s">
        <v>196</v>
      </c>
      <c r="G343" t="s">
        <v>96</v>
      </c>
      <c r="H343" t="s">
        <v>79</v>
      </c>
      <c r="I343" t="s">
        <v>317</v>
      </c>
      <c r="J343" t="s">
        <v>318</v>
      </c>
      <c r="K343" t="s">
        <v>319</v>
      </c>
      <c r="L343" t="s">
        <v>89</v>
      </c>
      <c r="M343" t="s">
        <v>90</v>
      </c>
      <c r="N343" t="s">
        <v>472</v>
      </c>
      <c r="O343" t="s">
        <v>473</v>
      </c>
      <c r="P343">
        <v>2.3599999999999999E-4</v>
      </c>
      <c r="Q343" t="s">
        <v>29</v>
      </c>
      <c r="R343" t="s">
        <v>30</v>
      </c>
      <c r="S343" t="s">
        <v>6936</v>
      </c>
    </row>
    <row r="344" spans="1:19" x14ac:dyDescent="0.25">
      <c r="A344">
        <v>2007</v>
      </c>
      <c r="B344">
        <v>3698</v>
      </c>
      <c r="C344" t="s">
        <v>125</v>
      </c>
      <c r="D344" t="s">
        <v>1066</v>
      </c>
      <c r="E344">
        <v>324110</v>
      </c>
      <c r="F344" t="s">
        <v>95</v>
      </c>
      <c r="G344" t="s">
        <v>96</v>
      </c>
      <c r="H344" t="s">
        <v>483</v>
      </c>
      <c r="I344" t="s">
        <v>244</v>
      </c>
      <c r="J344" t="s">
        <v>245</v>
      </c>
      <c r="K344" t="s">
        <v>246</v>
      </c>
      <c r="L344" t="s">
        <v>89</v>
      </c>
      <c r="M344" t="s">
        <v>90</v>
      </c>
      <c r="N344" t="s">
        <v>166</v>
      </c>
      <c r="O344" t="s">
        <v>167</v>
      </c>
      <c r="P344">
        <v>347.55900000000003</v>
      </c>
      <c r="Q344" t="s">
        <v>40</v>
      </c>
      <c r="R344" t="s">
        <v>30</v>
      </c>
      <c r="S344" t="s">
        <v>6936</v>
      </c>
    </row>
    <row r="345" spans="1:19" x14ac:dyDescent="0.25">
      <c r="A345">
        <v>2023</v>
      </c>
      <c r="B345">
        <v>11849</v>
      </c>
      <c r="C345" t="s">
        <v>1067</v>
      </c>
      <c r="D345" t="s">
        <v>1068</v>
      </c>
      <c r="E345">
        <v>326198</v>
      </c>
      <c r="F345" t="s">
        <v>1069</v>
      </c>
      <c r="G345" t="s">
        <v>250</v>
      </c>
      <c r="H345" t="s">
        <v>21</v>
      </c>
      <c r="I345" t="s">
        <v>184</v>
      </c>
      <c r="J345" t="s">
        <v>185</v>
      </c>
      <c r="K345" t="s">
        <v>186</v>
      </c>
      <c r="L345" t="s">
        <v>25</v>
      </c>
      <c r="M345" t="s">
        <v>26</v>
      </c>
      <c r="N345" t="s">
        <v>155</v>
      </c>
      <c r="O345" t="s">
        <v>156</v>
      </c>
      <c r="P345">
        <v>16.600000000000001</v>
      </c>
      <c r="Q345" t="s">
        <v>40</v>
      </c>
      <c r="R345" t="s">
        <v>50</v>
      </c>
      <c r="S345" t="s">
        <v>6936</v>
      </c>
    </row>
    <row r="346" spans="1:19" x14ac:dyDescent="0.25">
      <c r="A346">
        <v>1999</v>
      </c>
      <c r="B346">
        <v>3426</v>
      </c>
      <c r="C346" t="s">
        <v>1070</v>
      </c>
      <c r="E346">
        <v>325510</v>
      </c>
      <c r="F346" t="s">
        <v>143</v>
      </c>
      <c r="G346" t="s">
        <v>112</v>
      </c>
      <c r="H346" t="s">
        <v>69</v>
      </c>
      <c r="I346" t="s">
        <v>55</v>
      </c>
      <c r="J346" t="s">
        <v>56</v>
      </c>
      <c r="K346" t="s">
        <v>57</v>
      </c>
      <c r="L346" t="s">
        <v>25</v>
      </c>
      <c r="M346" t="s">
        <v>26</v>
      </c>
      <c r="N346" t="s">
        <v>48</v>
      </c>
      <c r="O346" t="s">
        <v>49</v>
      </c>
      <c r="P346">
        <v>0.13500000000000001</v>
      </c>
      <c r="Q346" t="s">
        <v>29</v>
      </c>
      <c r="R346" t="s">
        <v>30</v>
      </c>
      <c r="S346" t="s">
        <v>6936</v>
      </c>
    </row>
    <row r="347" spans="1:19" x14ac:dyDescent="0.25">
      <c r="A347">
        <v>2020</v>
      </c>
      <c r="B347">
        <v>3019</v>
      </c>
      <c r="C347" t="s">
        <v>1071</v>
      </c>
      <c r="D347" t="s">
        <v>1072</v>
      </c>
      <c r="E347">
        <v>336390</v>
      </c>
      <c r="F347" t="s">
        <v>182</v>
      </c>
      <c r="G347" t="s">
        <v>61</v>
      </c>
      <c r="H347" t="s">
        <v>21</v>
      </c>
      <c r="I347" t="s">
        <v>271</v>
      </c>
      <c r="J347" t="s">
        <v>272</v>
      </c>
      <c r="K347" t="s">
        <v>273</v>
      </c>
      <c r="L347" t="s">
        <v>89</v>
      </c>
      <c r="M347" t="s">
        <v>90</v>
      </c>
      <c r="N347" t="s">
        <v>166</v>
      </c>
      <c r="O347" t="s">
        <v>167</v>
      </c>
      <c r="P347">
        <v>0</v>
      </c>
      <c r="Q347" t="s">
        <v>29</v>
      </c>
      <c r="R347" t="s">
        <v>124</v>
      </c>
      <c r="S347" t="s">
        <v>6936</v>
      </c>
    </row>
    <row r="348" spans="1:19" x14ac:dyDescent="0.25">
      <c r="A348">
        <v>2000</v>
      </c>
      <c r="B348">
        <v>2033</v>
      </c>
      <c r="C348" t="s">
        <v>1073</v>
      </c>
      <c r="D348" t="s">
        <v>1074</v>
      </c>
      <c r="E348">
        <v>331317</v>
      </c>
      <c r="F348" t="s">
        <v>899</v>
      </c>
      <c r="G348" t="s">
        <v>769</v>
      </c>
      <c r="H348" t="s">
        <v>79</v>
      </c>
      <c r="I348" t="s">
        <v>271</v>
      </c>
      <c r="J348" t="s">
        <v>272</v>
      </c>
      <c r="K348" t="s">
        <v>273</v>
      </c>
      <c r="L348" t="s">
        <v>89</v>
      </c>
      <c r="M348" t="s">
        <v>90</v>
      </c>
      <c r="N348" t="s">
        <v>120</v>
      </c>
      <c r="O348" t="s">
        <v>121</v>
      </c>
      <c r="P348">
        <v>4.0490000000000004</v>
      </c>
      <c r="Q348" t="s">
        <v>29</v>
      </c>
      <c r="R348" t="s">
        <v>50</v>
      </c>
      <c r="S348" t="s">
        <v>6936</v>
      </c>
    </row>
    <row r="349" spans="1:19" x14ac:dyDescent="0.25">
      <c r="A349">
        <v>2002</v>
      </c>
      <c r="B349">
        <v>5527</v>
      </c>
      <c r="C349" t="s">
        <v>1075</v>
      </c>
      <c r="D349" t="s">
        <v>1076</v>
      </c>
      <c r="E349">
        <v>322111</v>
      </c>
      <c r="F349" t="s">
        <v>1077</v>
      </c>
      <c r="G349" t="s">
        <v>1078</v>
      </c>
      <c r="H349" t="s">
        <v>79</v>
      </c>
      <c r="I349" t="s">
        <v>136</v>
      </c>
      <c r="J349" t="s">
        <v>137</v>
      </c>
      <c r="K349" t="s">
        <v>138</v>
      </c>
      <c r="L349" t="s">
        <v>25</v>
      </c>
      <c r="M349" t="s">
        <v>26</v>
      </c>
      <c r="N349" t="s">
        <v>139</v>
      </c>
      <c r="O349" t="s">
        <v>140</v>
      </c>
      <c r="P349">
        <v>4.1820000000000004</v>
      </c>
      <c r="Q349" t="s">
        <v>29</v>
      </c>
      <c r="R349" t="s">
        <v>442</v>
      </c>
      <c r="S349" t="s">
        <v>6936</v>
      </c>
    </row>
    <row r="350" spans="1:19" x14ac:dyDescent="0.25">
      <c r="A350">
        <v>2008</v>
      </c>
      <c r="B350">
        <v>10768</v>
      </c>
      <c r="C350" t="s">
        <v>1079</v>
      </c>
      <c r="D350" t="s">
        <v>1080</v>
      </c>
      <c r="E350">
        <v>333299</v>
      </c>
      <c r="F350" t="s">
        <v>1081</v>
      </c>
      <c r="G350" t="s">
        <v>964</v>
      </c>
      <c r="H350" t="s">
        <v>21</v>
      </c>
      <c r="I350" t="s">
        <v>177</v>
      </c>
      <c r="J350" t="s">
        <v>178</v>
      </c>
      <c r="K350" t="s">
        <v>179</v>
      </c>
      <c r="L350" t="s">
        <v>25</v>
      </c>
      <c r="M350" t="s">
        <v>26</v>
      </c>
      <c r="N350" t="s">
        <v>38</v>
      </c>
      <c r="O350" t="s">
        <v>39</v>
      </c>
      <c r="P350">
        <v>3.57</v>
      </c>
      <c r="Q350" t="s">
        <v>29</v>
      </c>
      <c r="R350" t="s">
        <v>30</v>
      </c>
      <c r="S350" t="s">
        <v>6936</v>
      </c>
    </row>
    <row r="351" spans="1:19" x14ac:dyDescent="0.25">
      <c r="A351">
        <v>2011</v>
      </c>
      <c r="B351">
        <v>8542</v>
      </c>
      <c r="C351" t="s">
        <v>1082</v>
      </c>
      <c r="D351" t="s">
        <v>1082</v>
      </c>
      <c r="E351">
        <v>332431</v>
      </c>
      <c r="F351" t="s">
        <v>1083</v>
      </c>
      <c r="G351" t="s">
        <v>1084</v>
      </c>
      <c r="H351" t="s">
        <v>79</v>
      </c>
      <c r="I351" t="s">
        <v>70</v>
      </c>
      <c r="J351" t="s">
        <v>71</v>
      </c>
      <c r="K351" t="s">
        <v>72</v>
      </c>
      <c r="L351" t="s">
        <v>25</v>
      </c>
      <c r="M351" t="s">
        <v>26</v>
      </c>
      <c r="N351" t="s">
        <v>27</v>
      </c>
      <c r="O351" t="s">
        <v>28</v>
      </c>
      <c r="P351">
        <v>8.8000000000000007</v>
      </c>
      <c r="Q351" t="s">
        <v>29</v>
      </c>
      <c r="R351" t="s">
        <v>50</v>
      </c>
      <c r="S351" t="s">
        <v>6936</v>
      </c>
    </row>
    <row r="352" spans="1:19" x14ac:dyDescent="0.25">
      <c r="A352">
        <v>2017</v>
      </c>
      <c r="B352">
        <v>27763</v>
      </c>
      <c r="C352" t="s">
        <v>642</v>
      </c>
      <c r="D352" t="s">
        <v>1085</v>
      </c>
      <c r="E352">
        <v>562110</v>
      </c>
      <c r="F352" t="s">
        <v>644</v>
      </c>
      <c r="G352" t="s">
        <v>645</v>
      </c>
      <c r="H352" t="s">
        <v>21</v>
      </c>
      <c r="I352" t="s">
        <v>35</v>
      </c>
      <c r="J352" t="s">
        <v>36</v>
      </c>
      <c r="K352" t="s">
        <v>37</v>
      </c>
      <c r="L352" t="s">
        <v>89</v>
      </c>
      <c r="M352" t="s">
        <v>90</v>
      </c>
      <c r="N352" t="s">
        <v>120</v>
      </c>
      <c r="O352" t="s">
        <v>121</v>
      </c>
      <c r="P352">
        <v>2794.1055999999999</v>
      </c>
      <c r="Q352" t="s">
        <v>40</v>
      </c>
      <c r="R352" t="s">
        <v>50</v>
      </c>
      <c r="S352" t="s">
        <v>6936</v>
      </c>
    </row>
    <row r="353" spans="1:19" x14ac:dyDescent="0.25">
      <c r="A353">
        <v>2007</v>
      </c>
      <c r="B353">
        <v>11312</v>
      </c>
      <c r="C353" t="s">
        <v>1086</v>
      </c>
      <c r="D353" t="s">
        <v>1087</v>
      </c>
      <c r="E353">
        <v>335311</v>
      </c>
      <c r="F353" t="s">
        <v>1088</v>
      </c>
      <c r="G353" t="s">
        <v>1089</v>
      </c>
      <c r="H353" t="s">
        <v>21</v>
      </c>
      <c r="I353" t="s">
        <v>778</v>
      </c>
      <c r="J353" t="s">
        <v>779</v>
      </c>
      <c r="K353" t="s">
        <v>780</v>
      </c>
      <c r="L353" t="s">
        <v>89</v>
      </c>
      <c r="M353" t="s">
        <v>90</v>
      </c>
      <c r="N353" t="s">
        <v>91</v>
      </c>
      <c r="O353" t="s">
        <v>92</v>
      </c>
      <c r="P353">
        <v>0</v>
      </c>
      <c r="Q353" t="s">
        <v>29</v>
      </c>
      <c r="R353" t="s">
        <v>124</v>
      </c>
      <c r="S353" t="s">
        <v>6936</v>
      </c>
    </row>
    <row r="354" spans="1:19" x14ac:dyDescent="0.25">
      <c r="A354">
        <v>2015</v>
      </c>
      <c r="B354">
        <v>4796</v>
      </c>
      <c r="C354" t="s">
        <v>1029</v>
      </c>
      <c r="D354" t="s">
        <v>1090</v>
      </c>
      <c r="E354">
        <v>332319</v>
      </c>
      <c r="F354" t="s">
        <v>772</v>
      </c>
      <c r="G354" t="s">
        <v>773</v>
      </c>
      <c r="H354" t="s">
        <v>79</v>
      </c>
      <c r="I354" t="s">
        <v>152</v>
      </c>
      <c r="J354" t="s">
        <v>153</v>
      </c>
      <c r="K354" t="s">
        <v>154</v>
      </c>
      <c r="L354" t="s">
        <v>25</v>
      </c>
      <c r="M354" t="s">
        <v>26</v>
      </c>
      <c r="N354" t="s">
        <v>38</v>
      </c>
      <c r="O354" t="s">
        <v>39</v>
      </c>
      <c r="P354">
        <v>33.1</v>
      </c>
      <c r="Q354" t="s">
        <v>29</v>
      </c>
      <c r="R354" t="s">
        <v>30</v>
      </c>
      <c r="S354" t="s">
        <v>6936</v>
      </c>
    </row>
    <row r="355" spans="1:19" x14ac:dyDescent="0.25">
      <c r="A355">
        <v>1997</v>
      </c>
      <c r="B355">
        <v>3764</v>
      </c>
      <c r="C355" t="s">
        <v>1091</v>
      </c>
      <c r="D355" t="s">
        <v>1092</v>
      </c>
      <c r="E355">
        <v>336390</v>
      </c>
      <c r="F355" t="s">
        <v>60</v>
      </c>
      <c r="G355" t="s">
        <v>61</v>
      </c>
      <c r="H355" t="s">
        <v>21</v>
      </c>
      <c r="I355" t="s">
        <v>152</v>
      </c>
      <c r="J355" t="s">
        <v>153</v>
      </c>
      <c r="K355" t="s">
        <v>154</v>
      </c>
      <c r="L355" t="s">
        <v>25</v>
      </c>
      <c r="M355" t="s">
        <v>26</v>
      </c>
      <c r="N355" t="s">
        <v>38</v>
      </c>
      <c r="O355" t="s">
        <v>39</v>
      </c>
      <c r="P355">
        <v>75.947000000000003</v>
      </c>
      <c r="Q355" t="s">
        <v>29</v>
      </c>
      <c r="R355" t="s">
        <v>30</v>
      </c>
      <c r="S355" t="s">
        <v>6936</v>
      </c>
    </row>
    <row r="356" spans="1:19" x14ac:dyDescent="0.25">
      <c r="A356">
        <v>2015</v>
      </c>
      <c r="B356">
        <v>11209</v>
      </c>
      <c r="C356" t="s">
        <v>1093</v>
      </c>
      <c r="D356" t="s">
        <v>1094</v>
      </c>
      <c r="E356">
        <v>336990</v>
      </c>
      <c r="F356" t="s">
        <v>1095</v>
      </c>
      <c r="G356" t="s">
        <v>1096</v>
      </c>
      <c r="H356" t="s">
        <v>21</v>
      </c>
      <c r="I356" t="s">
        <v>271</v>
      </c>
      <c r="J356" t="s">
        <v>272</v>
      </c>
      <c r="K356" t="s">
        <v>273</v>
      </c>
      <c r="L356" t="s">
        <v>89</v>
      </c>
      <c r="M356" t="s">
        <v>90</v>
      </c>
      <c r="N356" t="s">
        <v>91</v>
      </c>
      <c r="O356" t="s">
        <v>92</v>
      </c>
      <c r="P356">
        <v>4.6651999999999996</v>
      </c>
      <c r="Q356" t="s">
        <v>29</v>
      </c>
      <c r="R356" t="s">
        <v>30</v>
      </c>
      <c r="S356" t="s">
        <v>6936</v>
      </c>
    </row>
    <row r="357" spans="1:19" x14ac:dyDescent="0.25">
      <c r="A357">
        <v>2012</v>
      </c>
      <c r="B357">
        <v>3698</v>
      </c>
      <c r="C357" t="s">
        <v>194</v>
      </c>
      <c r="D357" t="s">
        <v>1097</v>
      </c>
      <c r="E357">
        <v>324110</v>
      </c>
      <c r="F357" t="s">
        <v>196</v>
      </c>
      <c r="G357" t="s">
        <v>96</v>
      </c>
      <c r="H357" t="s">
        <v>483</v>
      </c>
      <c r="I357" t="s">
        <v>106</v>
      </c>
      <c r="J357" t="s">
        <v>107</v>
      </c>
      <c r="K357" t="s">
        <v>108</v>
      </c>
      <c r="L357" t="s">
        <v>89</v>
      </c>
      <c r="M357" t="s">
        <v>90</v>
      </c>
      <c r="N357" t="s">
        <v>91</v>
      </c>
      <c r="O357" t="s">
        <v>92</v>
      </c>
      <c r="P357">
        <v>41</v>
      </c>
      <c r="Q357" t="s">
        <v>40</v>
      </c>
      <c r="R357" t="s">
        <v>30</v>
      </c>
      <c r="S357" t="s">
        <v>6936</v>
      </c>
    </row>
    <row r="358" spans="1:19" x14ac:dyDescent="0.25">
      <c r="A358">
        <v>2007</v>
      </c>
      <c r="B358">
        <v>5454</v>
      </c>
      <c r="C358" t="s">
        <v>1098</v>
      </c>
      <c r="D358" t="s">
        <v>1099</v>
      </c>
      <c r="E358">
        <v>562990</v>
      </c>
      <c r="F358" t="s">
        <v>104</v>
      </c>
      <c r="G358" t="s">
        <v>105</v>
      </c>
      <c r="H358" t="s">
        <v>79</v>
      </c>
      <c r="I358" t="s">
        <v>22</v>
      </c>
      <c r="J358" t="s">
        <v>23</v>
      </c>
      <c r="K358" t="s">
        <v>24</v>
      </c>
      <c r="L358" t="s">
        <v>89</v>
      </c>
      <c r="M358" t="s">
        <v>90</v>
      </c>
      <c r="N358" t="s">
        <v>166</v>
      </c>
      <c r="O358" t="s">
        <v>167</v>
      </c>
      <c r="P358">
        <v>153.13</v>
      </c>
      <c r="Q358" t="s">
        <v>29</v>
      </c>
      <c r="R358" t="s">
        <v>30</v>
      </c>
      <c r="S358" t="s">
        <v>6936</v>
      </c>
    </row>
    <row r="359" spans="1:19" x14ac:dyDescent="0.25">
      <c r="A359">
        <v>2010</v>
      </c>
      <c r="B359">
        <v>2776</v>
      </c>
      <c r="C359" t="s">
        <v>93</v>
      </c>
      <c r="D359" t="s">
        <v>94</v>
      </c>
      <c r="E359">
        <v>324110</v>
      </c>
      <c r="F359" t="s">
        <v>95</v>
      </c>
      <c r="G359" t="s">
        <v>96</v>
      </c>
      <c r="H359" t="s">
        <v>69</v>
      </c>
      <c r="I359" t="s">
        <v>70</v>
      </c>
      <c r="J359" t="s">
        <v>71</v>
      </c>
      <c r="K359" t="s">
        <v>72</v>
      </c>
      <c r="L359" t="s">
        <v>25</v>
      </c>
      <c r="M359" t="s">
        <v>26</v>
      </c>
      <c r="N359" t="s">
        <v>73</v>
      </c>
      <c r="O359" t="s">
        <v>74</v>
      </c>
      <c r="P359">
        <v>5.7000000000000002E-2</v>
      </c>
      <c r="Q359" t="s">
        <v>29</v>
      </c>
      <c r="R359" t="s">
        <v>30</v>
      </c>
      <c r="S359" t="s">
        <v>6936</v>
      </c>
    </row>
    <row r="360" spans="1:19" x14ac:dyDescent="0.25">
      <c r="A360">
        <v>2015</v>
      </c>
      <c r="B360">
        <v>10237</v>
      </c>
      <c r="C360" t="s">
        <v>125</v>
      </c>
      <c r="D360" t="s">
        <v>542</v>
      </c>
      <c r="E360">
        <v>412110</v>
      </c>
      <c r="F360" t="s">
        <v>127</v>
      </c>
      <c r="G360" t="s">
        <v>128</v>
      </c>
      <c r="H360" t="s">
        <v>54</v>
      </c>
      <c r="I360" t="s">
        <v>543</v>
      </c>
      <c r="J360" t="s">
        <v>544</v>
      </c>
      <c r="K360" t="s">
        <v>545</v>
      </c>
      <c r="L360" t="s">
        <v>25</v>
      </c>
      <c r="M360" t="s">
        <v>26</v>
      </c>
      <c r="N360" t="s">
        <v>155</v>
      </c>
      <c r="O360" t="s">
        <v>156</v>
      </c>
      <c r="P360">
        <v>14.7819</v>
      </c>
      <c r="Q360" t="s">
        <v>40</v>
      </c>
      <c r="R360" t="s">
        <v>30</v>
      </c>
      <c r="S360" t="s">
        <v>6936</v>
      </c>
    </row>
    <row r="361" spans="1:19" x14ac:dyDescent="0.25">
      <c r="A361">
        <v>2002</v>
      </c>
      <c r="B361">
        <v>2844</v>
      </c>
      <c r="C361" t="s">
        <v>207</v>
      </c>
      <c r="D361" t="s">
        <v>1100</v>
      </c>
      <c r="E361">
        <v>221112</v>
      </c>
      <c r="F361" t="s">
        <v>134</v>
      </c>
      <c r="G361" t="s">
        <v>135</v>
      </c>
      <c r="H361" t="s">
        <v>21</v>
      </c>
      <c r="I361" t="s">
        <v>62</v>
      </c>
      <c r="J361" t="s">
        <v>63</v>
      </c>
      <c r="K361" t="s">
        <v>64</v>
      </c>
      <c r="L361" t="s">
        <v>25</v>
      </c>
      <c r="M361" t="s">
        <v>26</v>
      </c>
      <c r="N361" t="s">
        <v>155</v>
      </c>
      <c r="O361" t="s">
        <v>156</v>
      </c>
      <c r="P361">
        <v>5.1100000000000003</v>
      </c>
      <c r="Q361" t="s">
        <v>29</v>
      </c>
      <c r="R361" t="s">
        <v>204</v>
      </c>
      <c r="S361" t="s">
        <v>6936</v>
      </c>
    </row>
    <row r="362" spans="1:19" x14ac:dyDescent="0.25">
      <c r="A362">
        <v>1997</v>
      </c>
      <c r="B362">
        <v>4567</v>
      </c>
      <c r="C362" t="s">
        <v>1101</v>
      </c>
      <c r="D362" t="s">
        <v>1102</v>
      </c>
      <c r="E362">
        <v>325999</v>
      </c>
      <c r="F362" t="s">
        <v>396</v>
      </c>
      <c r="G362" t="s">
        <v>397</v>
      </c>
      <c r="H362" t="s">
        <v>85</v>
      </c>
      <c r="I362" t="s">
        <v>55</v>
      </c>
      <c r="J362" t="s">
        <v>56</v>
      </c>
      <c r="K362" t="s">
        <v>57</v>
      </c>
      <c r="L362" t="s">
        <v>89</v>
      </c>
      <c r="M362" t="s">
        <v>90</v>
      </c>
      <c r="N362" t="s">
        <v>166</v>
      </c>
      <c r="O362" t="s">
        <v>167</v>
      </c>
      <c r="P362">
        <v>1.41</v>
      </c>
      <c r="Q362" t="s">
        <v>29</v>
      </c>
      <c r="R362" t="s">
        <v>30</v>
      </c>
      <c r="S362" t="s">
        <v>6936</v>
      </c>
    </row>
    <row r="363" spans="1:19" x14ac:dyDescent="0.25">
      <c r="A363">
        <v>2010</v>
      </c>
      <c r="B363">
        <v>3476</v>
      </c>
      <c r="C363" t="s">
        <v>1103</v>
      </c>
      <c r="D363" t="s">
        <v>1104</v>
      </c>
      <c r="E363">
        <v>336110</v>
      </c>
      <c r="F363" t="s">
        <v>377</v>
      </c>
      <c r="G363" t="s">
        <v>44</v>
      </c>
      <c r="H363" t="s">
        <v>21</v>
      </c>
      <c r="I363" t="s">
        <v>22</v>
      </c>
      <c r="J363" t="s">
        <v>23</v>
      </c>
      <c r="K363" t="s">
        <v>24</v>
      </c>
      <c r="L363" t="s">
        <v>25</v>
      </c>
      <c r="M363" t="s">
        <v>26</v>
      </c>
      <c r="N363" t="s">
        <v>27</v>
      </c>
      <c r="O363" t="s">
        <v>28</v>
      </c>
      <c r="P363">
        <v>6.9509999999999996</v>
      </c>
      <c r="Q363" t="s">
        <v>29</v>
      </c>
      <c r="R363" t="s">
        <v>30</v>
      </c>
      <c r="S363" t="s">
        <v>6936</v>
      </c>
    </row>
    <row r="364" spans="1:19" x14ac:dyDescent="0.25">
      <c r="A364">
        <v>2000</v>
      </c>
      <c r="B364">
        <v>286</v>
      </c>
      <c r="C364" t="s">
        <v>1105</v>
      </c>
      <c r="D364" t="s">
        <v>1106</v>
      </c>
      <c r="E364">
        <v>325510</v>
      </c>
      <c r="F364" t="s">
        <v>143</v>
      </c>
      <c r="G364" t="s">
        <v>112</v>
      </c>
      <c r="H364" t="s">
        <v>21</v>
      </c>
      <c r="I364" t="s">
        <v>778</v>
      </c>
      <c r="J364" t="s">
        <v>779</v>
      </c>
      <c r="K364" t="s">
        <v>780</v>
      </c>
      <c r="L364" t="s">
        <v>89</v>
      </c>
      <c r="M364" t="s">
        <v>90</v>
      </c>
      <c r="N364" t="s">
        <v>166</v>
      </c>
      <c r="O364" t="s">
        <v>167</v>
      </c>
      <c r="P364">
        <v>2.681</v>
      </c>
      <c r="Q364" t="s">
        <v>29</v>
      </c>
      <c r="R364" t="s">
        <v>30</v>
      </c>
      <c r="S364" t="s">
        <v>6936</v>
      </c>
    </row>
    <row r="365" spans="1:19" x14ac:dyDescent="0.25">
      <c r="A365">
        <v>2015</v>
      </c>
      <c r="B365">
        <v>432</v>
      </c>
      <c r="C365" t="s">
        <v>1027</v>
      </c>
      <c r="D365" t="s">
        <v>1107</v>
      </c>
      <c r="E365">
        <v>211113</v>
      </c>
      <c r="F365" t="s">
        <v>786</v>
      </c>
      <c r="G365" t="s">
        <v>426</v>
      </c>
      <c r="H365" t="s">
        <v>85</v>
      </c>
      <c r="I365" t="s">
        <v>70</v>
      </c>
      <c r="J365" t="s">
        <v>71</v>
      </c>
      <c r="K365" t="s">
        <v>72</v>
      </c>
      <c r="L365" t="s">
        <v>89</v>
      </c>
      <c r="M365" t="s">
        <v>90</v>
      </c>
      <c r="N365" t="s">
        <v>120</v>
      </c>
      <c r="O365" t="s">
        <v>121</v>
      </c>
      <c r="P365">
        <v>7.9000000000000001E-2</v>
      </c>
      <c r="Q365" t="s">
        <v>29</v>
      </c>
      <c r="R365" t="s">
        <v>30</v>
      </c>
      <c r="S365" t="s">
        <v>6936</v>
      </c>
    </row>
    <row r="366" spans="1:19" x14ac:dyDescent="0.25">
      <c r="A366">
        <v>2019</v>
      </c>
      <c r="B366">
        <v>4173</v>
      </c>
      <c r="C366" t="s">
        <v>1108</v>
      </c>
      <c r="D366" t="s">
        <v>263</v>
      </c>
      <c r="E366">
        <v>336110</v>
      </c>
      <c r="F366" t="s">
        <v>43</v>
      </c>
      <c r="G366" t="s">
        <v>44</v>
      </c>
      <c r="H366" t="s">
        <v>21</v>
      </c>
      <c r="I366" t="s">
        <v>55</v>
      </c>
      <c r="J366" t="s">
        <v>56</v>
      </c>
      <c r="K366" t="s">
        <v>57</v>
      </c>
      <c r="L366" t="s">
        <v>25</v>
      </c>
      <c r="M366" t="s">
        <v>26</v>
      </c>
      <c r="N366" t="s">
        <v>27</v>
      </c>
      <c r="O366" t="s">
        <v>28</v>
      </c>
      <c r="P366">
        <v>0.35</v>
      </c>
      <c r="Q366" t="s">
        <v>29</v>
      </c>
      <c r="R366" t="s">
        <v>30</v>
      </c>
      <c r="S366" t="s">
        <v>6936</v>
      </c>
    </row>
    <row r="367" spans="1:19" x14ac:dyDescent="0.25">
      <c r="A367">
        <v>2018</v>
      </c>
      <c r="B367">
        <v>8785</v>
      </c>
      <c r="C367" t="s">
        <v>1109</v>
      </c>
      <c r="D367" t="s">
        <v>1110</v>
      </c>
      <c r="E367">
        <v>212233</v>
      </c>
      <c r="F367" t="s">
        <v>1111</v>
      </c>
      <c r="G367" t="s">
        <v>441</v>
      </c>
      <c r="H367" t="s">
        <v>79</v>
      </c>
      <c r="I367" t="s">
        <v>35</v>
      </c>
      <c r="J367" t="s">
        <v>36</v>
      </c>
      <c r="K367" t="s">
        <v>37</v>
      </c>
      <c r="L367" t="s">
        <v>89</v>
      </c>
      <c r="M367" t="s">
        <v>90</v>
      </c>
      <c r="N367" t="s">
        <v>91</v>
      </c>
      <c r="O367" t="s">
        <v>92</v>
      </c>
      <c r="P367">
        <v>64.489999999999995</v>
      </c>
      <c r="Q367" t="s">
        <v>40</v>
      </c>
      <c r="R367" t="s">
        <v>124</v>
      </c>
      <c r="S367" t="s">
        <v>6936</v>
      </c>
    </row>
    <row r="368" spans="1:19" x14ac:dyDescent="0.25">
      <c r="A368">
        <v>2023</v>
      </c>
      <c r="B368">
        <v>29018</v>
      </c>
      <c r="C368" t="s">
        <v>1112</v>
      </c>
      <c r="D368" t="s">
        <v>1113</v>
      </c>
      <c r="E368">
        <v>211110</v>
      </c>
      <c r="F368" t="s">
        <v>233</v>
      </c>
      <c r="G368" t="s">
        <v>234</v>
      </c>
      <c r="H368" t="s">
        <v>69</v>
      </c>
      <c r="I368" t="s">
        <v>271</v>
      </c>
      <c r="J368" t="s">
        <v>272</v>
      </c>
      <c r="K368" t="s">
        <v>273</v>
      </c>
      <c r="L368" t="s">
        <v>89</v>
      </c>
      <c r="M368" t="s">
        <v>90</v>
      </c>
      <c r="N368" t="s">
        <v>91</v>
      </c>
      <c r="O368" t="s">
        <v>92</v>
      </c>
      <c r="P368">
        <v>1.78E-2</v>
      </c>
      <c r="Q368" t="s">
        <v>29</v>
      </c>
      <c r="R368" t="s">
        <v>30</v>
      </c>
      <c r="S368" t="s">
        <v>6936</v>
      </c>
    </row>
    <row r="369" spans="1:19" x14ac:dyDescent="0.25">
      <c r="A369">
        <v>1996</v>
      </c>
      <c r="B369">
        <v>3883</v>
      </c>
      <c r="C369" t="s">
        <v>608</v>
      </c>
      <c r="D369" t="s">
        <v>1114</v>
      </c>
      <c r="E369">
        <v>336110</v>
      </c>
      <c r="F369" t="s">
        <v>377</v>
      </c>
      <c r="G369" t="s">
        <v>44</v>
      </c>
      <c r="H369" t="s">
        <v>21</v>
      </c>
      <c r="I369" t="s">
        <v>520</v>
      </c>
      <c r="J369" t="s">
        <v>521</v>
      </c>
      <c r="K369" t="s">
        <v>522</v>
      </c>
      <c r="L369" t="s">
        <v>89</v>
      </c>
      <c r="M369" t="s">
        <v>90</v>
      </c>
      <c r="N369" t="s">
        <v>166</v>
      </c>
      <c r="O369" t="s">
        <v>167</v>
      </c>
      <c r="P369">
        <v>0.52</v>
      </c>
      <c r="Q369" t="s">
        <v>29</v>
      </c>
      <c r="R369" t="s">
        <v>30</v>
      </c>
      <c r="S369" t="s">
        <v>6936</v>
      </c>
    </row>
    <row r="370" spans="1:19" x14ac:dyDescent="0.25">
      <c r="A370">
        <v>2013</v>
      </c>
      <c r="B370">
        <v>4874</v>
      </c>
      <c r="C370" t="s">
        <v>1115</v>
      </c>
      <c r="D370" t="s">
        <v>1116</v>
      </c>
      <c r="E370">
        <v>325313</v>
      </c>
      <c r="F370" t="s">
        <v>1054</v>
      </c>
      <c r="G370" t="s">
        <v>1055</v>
      </c>
      <c r="H370" t="s">
        <v>85</v>
      </c>
      <c r="I370" t="s">
        <v>177</v>
      </c>
      <c r="J370" t="s">
        <v>178</v>
      </c>
      <c r="K370" t="s">
        <v>179</v>
      </c>
      <c r="L370" t="s">
        <v>89</v>
      </c>
      <c r="M370" t="s">
        <v>90</v>
      </c>
      <c r="N370" t="s">
        <v>100</v>
      </c>
      <c r="O370" t="s">
        <v>101</v>
      </c>
      <c r="P370">
        <v>2E-3</v>
      </c>
      <c r="Q370" t="s">
        <v>29</v>
      </c>
      <c r="R370" t="s">
        <v>124</v>
      </c>
      <c r="S370" t="s">
        <v>6936</v>
      </c>
    </row>
    <row r="371" spans="1:19" x14ac:dyDescent="0.25">
      <c r="A371">
        <v>2007</v>
      </c>
      <c r="B371">
        <v>5853</v>
      </c>
      <c r="C371" t="s">
        <v>1117</v>
      </c>
      <c r="D371" t="s">
        <v>1118</v>
      </c>
      <c r="E371">
        <v>562110</v>
      </c>
      <c r="F371" t="s">
        <v>67</v>
      </c>
      <c r="G371" t="s">
        <v>68</v>
      </c>
      <c r="H371" t="s">
        <v>21</v>
      </c>
      <c r="I371" t="s">
        <v>35</v>
      </c>
      <c r="J371" t="s">
        <v>36</v>
      </c>
      <c r="K371" t="s">
        <v>37</v>
      </c>
      <c r="L371" t="s">
        <v>25</v>
      </c>
      <c r="M371" t="s">
        <v>26</v>
      </c>
      <c r="N371" t="s">
        <v>73</v>
      </c>
      <c r="O371" t="s">
        <v>74</v>
      </c>
      <c r="P371">
        <v>228</v>
      </c>
      <c r="Q371" t="s">
        <v>40</v>
      </c>
      <c r="R371" t="s">
        <v>30</v>
      </c>
      <c r="S371" t="s">
        <v>6936</v>
      </c>
    </row>
    <row r="372" spans="1:19" x14ac:dyDescent="0.25">
      <c r="A372">
        <v>2015</v>
      </c>
      <c r="B372">
        <v>374</v>
      </c>
      <c r="C372" t="s">
        <v>1119</v>
      </c>
      <c r="D372" t="s">
        <v>1120</v>
      </c>
      <c r="E372">
        <v>325520</v>
      </c>
      <c r="F372" t="s">
        <v>1121</v>
      </c>
      <c r="G372" t="s">
        <v>1122</v>
      </c>
      <c r="H372" t="s">
        <v>21</v>
      </c>
      <c r="I372" t="s">
        <v>1123</v>
      </c>
      <c r="J372" t="s">
        <v>1124</v>
      </c>
      <c r="K372" t="s">
        <v>1125</v>
      </c>
      <c r="L372" t="s">
        <v>89</v>
      </c>
      <c r="M372" t="s">
        <v>90</v>
      </c>
      <c r="N372" t="s">
        <v>100</v>
      </c>
      <c r="O372" t="s">
        <v>101</v>
      </c>
      <c r="P372">
        <v>0.51880000000000004</v>
      </c>
      <c r="Q372" t="s">
        <v>29</v>
      </c>
      <c r="R372" t="s">
        <v>50</v>
      </c>
      <c r="S372" t="s">
        <v>6936</v>
      </c>
    </row>
    <row r="373" spans="1:19" x14ac:dyDescent="0.25">
      <c r="A373">
        <v>2013</v>
      </c>
      <c r="B373">
        <v>4948</v>
      </c>
      <c r="C373" t="s">
        <v>370</v>
      </c>
      <c r="D373" t="s">
        <v>1126</v>
      </c>
      <c r="E373">
        <v>562210</v>
      </c>
      <c r="F373" t="s">
        <v>84</v>
      </c>
      <c r="G373" t="s">
        <v>53</v>
      </c>
      <c r="H373" t="s">
        <v>21</v>
      </c>
      <c r="I373" t="s">
        <v>703</v>
      </c>
      <c r="J373" t="s">
        <v>1127</v>
      </c>
      <c r="K373" t="s">
        <v>1128</v>
      </c>
      <c r="L373" t="s">
        <v>89</v>
      </c>
      <c r="M373" t="s">
        <v>90</v>
      </c>
      <c r="N373" t="s">
        <v>166</v>
      </c>
      <c r="O373" t="s">
        <v>167</v>
      </c>
      <c r="P373">
        <v>2.3288000000000002</v>
      </c>
      <c r="Q373" t="s">
        <v>29</v>
      </c>
      <c r="R373" t="s">
        <v>157</v>
      </c>
      <c r="S373" t="s">
        <v>6936</v>
      </c>
    </row>
    <row r="374" spans="1:19" x14ac:dyDescent="0.25">
      <c r="A374">
        <v>2010</v>
      </c>
      <c r="B374">
        <v>3062</v>
      </c>
      <c r="C374" t="s">
        <v>1129</v>
      </c>
      <c r="D374" t="s">
        <v>1130</v>
      </c>
      <c r="E374">
        <v>331313</v>
      </c>
      <c r="F374" t="s">
        <v>1131</v>
      </c>
      <c r="G374" t="s">
        <v>1132</v>
      </c>
      <c r="H374" t="s">
        <v>79</v>
      </c>
      <c r="I374" t="s">
        <v>209</v>
      </c>
      <c r="J374" t="s">
        <v>210</v>
      </c>
      <c r="K374" t="s">
        <v>211</v>
      </c>
      <c r="L374" t="s">
        <v>25</v>
      </c>
      <c r="M374" t="s">
        <v>26</v>
      </c>
      <c r="N374" t="s">
        <v>38</v>
      </c>
      <c r="O374" t="s">
        <v>39</v>
      </c>
      <c r="P374">
        <v>0.62</v>
      </c>
      <c r="Q374" t="s">
        <v>29</v>
      </c>
      <c r="R374" t="s">
        <v>50</v>
      </c>
      <c r="S374" t="s">
        <v>6936</v>
      </c>
    </row>
    <row r="375" spans="1:19" x14ac:dyDescent="0.25">
      <c r="A375">
        <v>2002</v>
      </c>
      <c r="B375">
        <v>4650</v>
      </c>
      <c r="C375" t="s">
        <v>1133</v>
      </c>
      <c r="D375" t="s">
        <v>1134</v>
      </c>
      <c r="E375">
        <v>325999</v>
      </c>
      <c r="F375" t="s">
        <v>396</v>
      </c>
      <c r="G375" t="s">
        <v>397</v>
      </c>
      <c r="H375" t="s">
        <v>85</v>
      </c>
      <c r="I375" t="s">
        <v>184</v>
      </c>
      <c r="J375" t="s">
        <v>185</v>
      </c>
      <c r="K375" t="s">
        <v>186</v>
      </c>
      <c r="L375" t="s">
        <v>89</v>
      </c>
      <c r="M375" t="s">
        <v>90</v>
      </c>
      <c r="N375" t="s">
        <v>100</v>
      </c>
      <c r="O375" t="s">
        <v>101</v>
      </c>
      <c r="P375">
        <v>3.1E-2</v>
      </c>
      <c r="Q375" t="s">
        <v>29</v>
      </c>
      <c r="R375" t="s">
        <v>442</v>
      </c>
      <c r="S375" t="s">
        <v>6936</v>
      </c>
    </row>
    <row r="376" spans="1:19" x14ac:dyDescent="0.25">
      <c r="A376">
        <v>2022</v>
      </c>
      <c r="B376">
        <v>397</v>
      </c>
      <c r="C376" t="s">
        <v>41</v>
      </c>
      <c r="D376" t="s">
        <v>1135</v>
      </c>
      <c r="E376">
        <v>336110</v>
      </c>
      <c r="F376" t="s">
        <v>43</v>
      </c>
      <c r="G376" t="s">
        <v>44</v>
      </c>
      <c r="H376" t="s">
        <v>21</v>
      </c>
      <c r="I376" t="s">
        <v>129</v>
      </c>
      <c r="J376" t="s">
        <v>130</v>
      </c>
      <c r="K376" t="s">
        <v>131</v>
      </c>
      <c r="L376" t="s">
        <v>25</v>
      </c>
      <c r="M376" t="s">
        <v>26</v>
      </c>
      <c r="N376" t="s">
        <v>48</v>
      </c>
      <c r="O376" t="s">
        <v>49</v>
      </c>
      <c r="P376">
        <v>0.59799999999999998</v>
      </c>
      <c r="Q376" t="s">
        <v>29</v>
      </c>
      <c r="R376" t="s">
        <v>50</v>
      </c>
      <c r="S376" t="s">
        <v>6936</v>
      </c>
    </row>
    <row r="377" spans="1:19" x14ac:dyDescent="0.25">
      <c r="A377">
        <v>2005</v>
      </c>
      <c r="B377">
        <v>4768</v>
      </c>
      <c r="C377" t="s">
        <v>1136</v>
      </c>
      <c r="D377" t="s">
        <v>1137</v>
      </c>
      <c r="E377">
        <v>562210</v>
      </c>
      <c r="F377" t="s">
        <v>52</v>
      </c>
      <c r="G377" t="s">
        <v>53</v>
      </c>
      <c r="H377" t="s">
        <v>21</v>
      </c>
      <c r="I377" t="s">
        <v>152</v>
      </c>
      <c r="J377" t="s">
        <v>153</v>
      </c>
      <c r="K377" t="s">
        <v>154</v>
      </c>
      <c r="L377" t="s">
        <v>89</v>
      </c>
      <c r="M377" t="s">
        <v>90</v>
      </c>
      <c r="N377" t="s">
        <v>91</v>
      </c>
      <c r="O377" t="s">
        <v>92</v>
      </c>
      <c r="P377">
        <v>42.290999999999997</v>
      </c>
      <c r="Q377" t="s">
        <v>29</v>
      </c>
      <c r="R377" t="s">
        <v>30</v>
      </c>
      <c r="S377" t="s">
        <v>6936</v>
      </c>
    </row>
    <row r="378" spans="1:19" x14ac:dyDescent="0.25">
      <c r="A378">
        <v>2012</v>
      </c>
      <c r="B378">
        <v>5712</v>
      </c>
      <c r="C378" t="s">
        <v>1138</v>
      </c>
      <c r="D378" t="s">
        <v>1139</v>
      </c>
      <c r="E378">
        <v>332810</v>
      </c>
      <c r="F378" t="s">
        <v>361</v>
      </c>
      <c r="G378" t="s">
        <v>362</v>
      </c>
      <c r="H378" t="s">
        <v>21</v>
      </c>
      <c r="I378" t="s">
        <v>62</v>
      </c>
      <c r="J378" t="s">
        <v>63</v>
      </c>
      <c r="K378" t="s">
        <v>64</v>
      </c>
      <c r="L378" t="s">
        <v>25</v>
      </c>
      <c r="M378" t="s">
        <v>26</v>
      </c>
      <c r="N378" t="s">
        <v>38</v>
      </c>
      <c r="O378" t="s">
        <v>39</v>
      </c>
      <c r="P378">
        <v>6.2149999999999999</v>
      </c>
      <c r="Q378" t="s">
        <v>29</v>
      </c>
      <c r="R378" t="s">
        <v>50</v>
      </c>
      <c r="S378" t="s">
        <v>6936</v>
      </c>
    </row>
    <row r="379" spans="1:19" x14ac:dyDescent="0.25">
      <c r="A379">
        <v>2010</v>
      </c>
      <c r="B379">
        <v>21957</v>
      </c>
      <c r="C379" t="s">
        <v>1140</v>
      </c>
      <c r="D379" t="s">
        <v>1141</v>
      </c>
      <c r="E379">
        <v>325999</v>
      </c>
      <c r="F379" t="s">
        <v>396</v>
      </c>
      <c r="G379" t="s">
        <v>397</v>
      </c>
      <c r="H379" t="s">
        <v>85</v>
      </c>
      <c r="I379" t="s">
        <v>55</v>
      </c>
      <c r="J379" t="s">
        <v>56</v>
      </c>
      <c r="K379" t="s">
        <v>57</v>
      </c>
      <c r="L379" t="s">
        <v>25</v>
      </c>
      <c r="M379" t="s">
        <v>26</v>
      </c>
      <c r="N379" t="s">
        <v>48</v>
      </c>
      <c r="O379" t="s">
        <v>49</v>
      </c>
      <c r="P379">
        <v>17.085999999999999</v>
      </c>
      <c r="Q379" t="s">
        <v>29</v>
      </c>
      <c r="R379" t="s">
        <v>50</v>
      </c>
      <c r="S379" t="s">
        <v>6936</v>
      </c>
    </row>
    <row r="380" spans="1:19" x14ac:dyDescent="0.25">
      <c r="A380">
        <v>2009</v>
      </c>
      <c r="B380">
        <v>3279</v>
      </c>
      <c r="C380" t="s">
        <v>1142</v>
      </c>
      <c r="D380" t="s">
        <v>1142</v>
      </c>
      <c r="E380">
        <v>334410</v>
      </c>
      <c r="F380" t="s">
        <v>604</v>
      </c>
      <c r="G380" t="s">
        <v>605</v>
      </c>
      <c r="H380" t="s">
        <v>21</v>
      </c>
      <c r="I380" t="s">
        <v>35</v>
      </c>
      <c r="J380" t="s">
        <v>36</v>
      </c>
      <c r="K380" t="s">
        <v>37</v>
      </c>
      <c r="L380" t="s">
        <v>25</v>
      </c>
      <c r="M380" t="s">
        <v>26</v>
      </c>
      <c r="N380" t="s">
        <v>139</v>
      </c>
      <c r="O380" t="s">
        <v>140</v>
      </c>
      <c r="P380">
        <v>0</v>
      </c>
      <c r="Q380" t="s">
        <v>40</v>
      </c>
      <c r="R380" t="s">
        <v>30</v>
      </c>
      <c r="S380" t="s">
        <v>6936</v>
      </c>
    </row>
    <row r="381" spans="1:19" x14ac:dyDescent="0.25">
      <c r="A381">
        <v>2019</v>
      </c>
      <c r="B381">
        <v>1562</v>
      </c>
      <c r="C381" t="s">
        <v>744</v>
      </c>
      <c r="D381" t="s">
        <v>903</v>
      </c>
      <c r="E381">
        <v>325510</v>
      </c>
      <c r="F381" t="s">
        <v>111</v>
      </c>
      <c r="G381" t="s">
        <v>112</v>
      </c>
      <c r="H381" t="s">
        <v>21</v>
      </c>
      <c r="I381" t="s">
        <v>427</v>
      </c>
      <c r="J381" t="s">
        <v>428</v>
      </c>
      <c r="K381" t="s">
        <v>429</v>
      </c>
      <c r="L381" t="s">
        <v>25</v>
      </c>
      <c r="M381" t="s">
        <v>26</v>
      </c>
      <c r="N381" t="s">
        <v>48</v>
      </c>
      <c r="O381" t="s">
        <v>49</v>
      </c>
      <c r="P381">
        <v>1.21</v>
      </c>
      <c r="Q381" t="s">
        <v>29</v>
      </c>
      <c r="R381" t="s">
        <v>30</v>
      </c>
      <c r="S381" t="s">
        <v>6936</v>
      </c>
    </row>
    <row r="382" spans="1:19" x14ac:dyDescent="0.25">
      <c r="A382">
        <v>2011</v>
      </c>
      <c r="B382">
        <v>79</v>
      </c>
      <c r="C382" t="s">
        <v>1143</v>
      </c>
      <c r="D382" t="s">
        <v>1144</v>
      </c>
      <c r="E382">
        <v>325999</v>
      </c>
      <c r="F382" t="s">
        <v>396</v>
      </c>
      <c r="G382" t="s">
        <v>397</v>
      </c>
      <c r="H382" t="s">
        <v>85</v>
      </c>
      <c r="I382" t="s">
        <v>152</v>
      </c>
      <c r="J382" t="s">
        <v>153</v>
      </c>
      <c r="K382" t="s">
        <v>154</v>
      </c>
      <c r="L382" t="s">
        <v>89</v>
      </c>
      <c r="M382" t="s">
        <v>90</v>
      </c>
      <c r="N382" t="s">
        <v>166</v>
      </c>
      <c r="O382" t="s">
        <v>167</v>
      </c>
      <c r="P382">
        <v>0.11</v>
      </c>
      <c r="Q382" t="s">
        <v>29</v>
      </c>
      <c r="R382" t="s">
        <v>50</v>
      </c>
      <c r="S382" t="s">
        <v>6936</v>
      </c>
    </row>
    <row r="383" spans="1:19" x14ac:dyDescent="0.25">
      <c r="A383">
        <v>2014</v>
      </c>
      <c r="B383">
        <v>3564</v>
      </c>
      <c r="C383" t="s">
        <v>528</v>
      </c>
      <c r="D383" t="s">
        <v>529</v>
      </c>
      <c r="E383">
        <v>562920</v>
      </c>
      <c r="F383" t="s">
        <v>329</v>
      </c>
      <c r="G383" t="s">
        <v>330</v>
      </c>
      <c r="H383" t="s">
        <v>79</v>
      </c>
      <c r="I383" t="s">
        <v>271</v>
      </c>
      <c r="J383" t="s">
        <v>272</v>
      </c>
      <c r="K383" t="s">
        <v>273</v>
      </c>
      <c r="L383" t="s">
        <v>25</v>
      </c>
      <c r="M383" t="s">
        <v>26</v>
      </c>
      <c r="N383" t="s">
        <v>48</v>
      </c>
      <c r="O383" t="s">
        <v>49</v>
      </c>
      <c r="P383">
        <v>85.66</v>
      </c>
      <c r="Q383" t="s">
        <v>29</v>
      </c>
      <c r="R383" t="s">
        <v>258</v>
      </c>
      <c r="S383" t="s">
        <v>6936</v>
      </c>
    </row>
    <row r="384" spans="1:19" x14ac:dyDescent="0.25">
      <c r="A384">
        <v>2000</v>
      </c>
      <c r="B384">
        <v>3590</v>
      </c>
      <c r="C384" t="s">
        <v>1145</v>
      </c>
      <c r="D384" t="s">
        <v>1146</v>
      </c>
      <c r="E384">
        <v>325520</v>
      </c>
      <c r="F384" t="s">
        <v>1147</v>
      </c>
      <c r="G384" t="s">
        <v>1122</v>
      </c>
      <c r="H384" t="s">
        <v>21</v>
      </c>
      <c r="I384" t="s">
        <v>55</v>
      </c>
      <c r="J384" t="s">
        <v>56</v>
      </c>
      <c r="K384" t="s">
        <v>57</v>
      </c>
      <c r="L384" t="s">
        <v>89</v>
      </c>
      <c r="M384" t="s">
        <v>90</v>
      </c>
      <c r="N384" t="s">
        <v>166</v>
      </c>
      <c r="O384" t="s">
        <v>167</v>
      </c>
      <c r="P384">
        <v>0.40500000000000003</v>
      </c>
      <c r="Q384" t="s">
        <v>29</v>
      </c>
      <c r="R384" t="s">
        <v>50</v>
      </c>
      <c r="S384" t="s">
        <v>6936</v>
      </c>
    </row>
    <row r="385" spans="1:19" x14ac:dyDescent="0.25">
      <c r="A385">
        <v>2023</v>
      </c>
      <c r="B385">
        <v>405</v>
      </c>
      <c r="C385" t="s">
        <v>1148</v>
      </c>
      <c r="D385" t="s">
        <v>1149</v>
      </c>
      <c r="E385">
        <v>324110</v>
      </c>
      <c r="F385" t="s">
        <v>196</v>
      </c>
      <c r="G385" t="s">
        <v>96</v>
      </c>
      <c r="H385" t="s">
        <v>69</v>
      </c>
      <c r="I385" t="s">
        <v>1150</v>
      </c>
      <c r="J385" t="s">
        <v>1151</v>
      </c>
      <c r="K385" t="s">
        <v>1152</v>
      </c>
      <c r="L385" t="s">
        <v>25</v>
      </c>
      <c r="M385" t="s">
        <v>26</v>
      </c>
      <c r="N385" t="s">
        <v>200</v>
      </c>
      <c r="O385" t="s">
        <v>201</v>
      </c>
      <c r="P385">
        <v>64.228499999999997</v>
      </c>
      <c r="Q385" t="s">
        <v>29</v>
      </c>
      <c r="R385" t="s">
        <v>30</v>
      </c>
      <c r="S385" t="s">
        <v>6936</v>
      </c>
    </row>
    <row r="386" spans="1:19" x14ac:dyDescent="0.25">
      <c r="A386">
        <v>2004</v>
      </c>
      <c r="B386">
        <v>2712</v>
      </c>
      <c r="C386" t="s">
        <v>1153</v>
      </c>
      <c r="D386" t="s">
        <v>1154</v>
      </c>
      <c r="E386">
        <v>324110</v>
      </c>
      <c r="F386" t="s">
        <v>95</v>
      </c>
      <c r="G386" t="s">
        <v>96</v>
      </c>
      <c r="H386" t="s">
        <v>243</v>
      </c>
      <c r="I386" t="s">
        <v>271</v>
      </c>
      <c r="J386" t="s">
        <v>272</v>
      </c>
      <c r="K386" t="s">
        <v>273</v>
      </c>
      <c r="L386" t="s">
        <v>89</v>
      </c>
      <c r="M386" t="s">
        <v>90</v>
      </c>
      <c r="N386" t="s">
        <v>100</v>
      </c>
      <c r="O386" t="s">
        <v>101</v>
      </c>
      <c r="P386">
        <v>0.121</v>
      </c>
      <c r="Q386" t="s">
        <v>29</v>
      </c>
      <c r="R386" t="s">
        <v>124</v>
      </c>
      <c r="S386" t="s">
        <v>6936</v>
      </c>
    </row>
    <row r="387" spans="1:19" x14ac:dyDescent="0.25">
      <c r="A387">
        <v>2003</v>
      </c>
      <c r="B387">
        <v>4625</v>
      </c>
      <c r="C387" t="s">
        <v>1155</v>
      </c>
      <c r="D387" t="s">
        <v>1156</v>
      </c>
      <c r="E387">
        <v>336390</v>
      </c>
      <c r="F387" t="s">
        <v>60</v>
      </c>
      <c r="G387" t="s">
        <v>61</v>
      </c>
      <c r="H387" t="s">
        <v>21</v>
      </c>
      <c r="I387" t="s">
        <v>209</v>
      </c>
      <c r="J387" t="s">
        <v>210</v>
      </c>
      <c r="K387" t="s">
        <v>211</v>
      </c>
      <c r="L387" t="s">
        <v>25</v>
      </c>
      <c r="M387" t="s">
        <v>26</v>
      </c>
      <c r="N387" t="s">
        <v>595</v>
      </c>
      <c r="O387" t="s">
        <v>596</v>
      </c>
      <c r="P387">
        <v>0.97199999999999998</v>
      </c>
      <c r="Q387" t="s">
        <v>29</v>
      </c>
      <c r="R387" t="s">
        <v>50</v>
      </c>
      <c r="S387" t="s">
        <v>6936</v>
      </c>
    </row>
    <row r="388" spans="1:19" x14ac:dyDescent="0.25">
      <c r="A388">
        <v>2017</v>
      </c>
      <c r="B388">
        <v>10105</v>
      </c>
      <c r="C388" t="s">
        <v>1157</v>
      </c>
      <c r="D388" t="s">
        <v>1158</v>
      </c>
      <c r="E388">
        <v>336360</v>
      </c>
      <c r="F388" t="s">
        <v>1159</v>
      </c>
      <c r="G388" t="s">
        <v>1160</v>
      </c>
      <c r="H388" t="s">
        <v>21</v>
      </c>
      <c r="I388" t="s">
        <v>152</v>
      </c>
      <c r="J388" t="s">
        <v>153</v>
      </c>
      <c r="K388" t="s">
        <v>154</v>
      </c>
      <c r="L388" t="s">
        <v>25</v>
      </c>
      <c r="M388" t="s">
        <v>26</v>
      </c>
      <c r="N388" t="s">
        <v>38</v>
      </c>
      <c r="O388" t="s">
        <v>39</v>
      </c>
      <c r="P388">
        <v>8.0500000000000007</v>
      </c>
      <c r="Q388" t="s">
        <v>29</v>
      </c>
      <c r="R388" t="s">
        <v>50</v>
      </c>
      <c r="S388" t="s">
        <v>6936</v>
      </c>
    </row>
    <row r="389" spans="1:19" x14ac:dyDescent="0.25">
      <c r="A389">
        <v>2018</v>
      </c>
      <c r="B389">
        <v>10215</v>
      </c>
      <c r="C389" t="s">
        <v>125</v>
      </c>
      <c r="D389" t="s">
        <v>1161</v>
      </c>
      <c r="E389">
        <v>412110</v>
      </c>
      <c r="F389" t="s">
        <v>127</v>
      </c>
      <c r="G389" t="s">
        <v>128</v>
      </c>
      <c r="H389" t="s">
        <v>85</v>
      </c>
      <c r="I389" t="s">
        <v>70</v>
      </c>
      <c r="J389" t="s">
        <v>71</v>
      </c>
      <c r="K389" t="s">
        <v>72</v>
      </c>
      <c r="L389" t="s">
        <v>25</v>
      </c>
      <c r="M389" t="s">
        <v>26</v>
      </c>
      <c r="N389" t="s">
        <v>155</v>
      </c>
      <c r="O389" t="s">
        <v>156</v>
      </c>
      <c r="P389">
        <v>7.46E-2</v>
      </c>
      <c r="Q389" t="s">
        <v>29</v>
      </c>
      <c r="R389" t="s">
        <v>30</v>
      </c>
      <c r="S389" t="s">
        <v>6936</v>
      </c>
    </row>
    <row r="390" spans="1:19" x14ac:dyDescent="0.25">
      <c r="A390">
        <v>1993</v>
      </c>
      <c r="B390">
        <v>3928</v>
      </c>
      <c r="C390" t="s">
        <v>1162</v>
      </c>
      <c r="D390" t="s">
        <v>228</v>
      </c>
      <c r="E390">
        <v>324110</v>
      </c>
      <c r="F390" t="s">
        <v>95</v>
      </c>
      <c r="G390" t="s">
        <v>96</v>
      </c>
      <c r="H390" t="s">
        <v>79</v>
      </c>
      <c r="I390" t="s">
        <v>1163</v>
      </c>
      <c r="J390" t="s">
        <v>1164</v>
      </c>
      <c r="K390" t="s">
        <v>1165</v>
      </c>
      <c r="L390" t="s">
        <v>89</v>
      </c>
      <c r="M390" t="s">
        <v>90</v>
      </c>
      <c r="N390" t="s">
        <v>166</v>
      </c>
      <c r="O390" t="s">
        <v>167</v>
      </c>
      <c r="P390">
        <v>4.0000000000000001E-3</v>
      </c>
      <c r="Q390" t="s">
        <v>29</v>
      </c>
      <c r="S390" t="s">
        <v>6936</v>
      </c>
    </row>
    <row r="391" spans="1:19" x14ac:dyDescent="0.25">
      <c r="A391">
        <v>2009</v>
      </c>
      <c r="B391">
        <v>5455</v>
      </c>
      <c r="C391" t="s">
        <v>652</v>
      </c>
      <c r="D391" t="s">
        <v>652</v>
      </c>
      <c r="E391">
        <v>562990</v>
      </c>
      <c r="F391" t="s">
        <v>104</v>
      </c>
      <c r="G391" t="s">
        <v>105</v>
      </c>
      <c r="H391" t="s">
        <v>79</v>
      </c>
      <c r="I391" t="s">
        <v>331</v>
      </c>
      <c r="J391" t="s">
        <v>332</v>
      </c>
      <c r="K391" t="s">
        <v>333</v>
      </c>
      <c r="L391" t="s">
        <v>89</v>
      </c>
      <c r="M391" t="s">
        <v>90</v>
      </c>
      <c r="N391" t="s">
        <v>166</v>
      </c>
      <c r="O391" t="s">
        <v>167</v>
      </c>
      <c r="P391">
        <v>43.448</v>
      </c>
      <c r="Q391" t="s">
        <v>29</v>
      </c>
      <c r="R391" t="s">
        <v>50</v>
      </c>
      <c r="S391" t="s">
        <v>6936</v>
      </c>
    </row>
    <row r="392" spans="1:19" x14ac:dyDescent="0.25">
      <c r="A392">
        <v>2000</v>
      </c>
      <c r="B392">
        <v>5111</v>
      </c>
      <c r="C392" t="s">
        <v>1166</v>
      </c>
      <c r="D392" t="s">
        <v>1167</v>
      </c>
      <c r="E392">
        <v>562210</v>
      </c>
      <c r="F392" t="s">
        <v>52</v>
      </c>
      <c r="G392" t="s">
        <v>53</v>
      </c>
      <c r="H392" t="s">
        <v>69</v>
      </c>
      <c r="I392" t="s">
        <v>264</v>
      </c>
      <c r="J392" t="s">
        <v>265</v>
      </c>
      <c r="K392" t="s">
        <v>266</v>
      </c>
      <c r="L392" t="s">
        <v>89</v>
      </c>
      <c r="M392" t="s">
        <v>90</v>
      </c>
      <c r="N392" t="s">
        <v>166</v>
      </c>
      <c r="O392" t="s">
        <v>167</v>
      </c>
      <c r="P392">
        <v>5.5270000000000001</v>
      </c>
      <c r="Q392" t="s">
        <v>29</v>
      </c>
      <c r="R392" t="s">
        <v>442</v>
      </c>
      <c r="S392" t="s">
        <v>6936</v>
      </c>
    </row>
    <row r="393" spans="1:19" x14ac:dyDescent="0.25">
      <c r="A393">
        <v>2019</v>
      </c>
      <c r="B393">
        <v>26403</v>
      </c>
      <c r="C393" t="s">
        <v>1168</v>
      </c>
      <c r="D393" t="s">
        <v>1169</v>
      </c>
      <c r="E393">
        <v>211142</v>
      </c>
      <c r="F393" t="s">
        <v>357</v>
      </c>
      <c r="G393" t="s">
        <v>358</v>
      </c>
      <c r="H393" t="s">
        <v>85</v>
      </c>
      <c r="I393" t="s">
        <v>923</v>
      </c>
      <c r="J393" t="s">
        <v>924</v>
      </c>
      <c r="K393" t="s">
        <v>924</v>
      </c>
      <c r="L393" t="s">
        <v>89</v>
      </c>
      <c r="M393" t="s">
        <v>90</v>
      </c>
      <c r="N393" t="s">
        <v>166</v>
      </c>
      <c r="O393" t="s">
        <v>167</v>
      </c>
      <c r="P393">
        <v>0.44259999999999999</v>
      </c>
      <c r="Q393" t="s">
        <v>29</v>
      </c>
      <c r="R393" t="s">
        <v>30</v>
      </c>
      <c r="S393" t="s">
        <v>6936</v>
      </c>
    </row>
    <row r="394" spans="1:19" x14ac:dyDescent="0.25">
      <c r="A394">
        <v>2023</v>
      </c>
      <c r="B394">
        <v>3949</v>
      </c>
      <c r="C394" t="s">
        <v>1170</v>
      </c>
      <c r="D394" t="s">
        <v>1171</v>
      </c>
      <c r="E394">
        <v>336370</v>
      </c>
      <c r="F394" t="s">
        <v>1022</v>
      </c>
      <c r="G394" t="s">
        <v>587</v>
      </c>
      <c r="H394" t="s">
        <v>21</v>
      </c>
      <c r="I394" t="s">
        <v>209</v>
      </c>
      <c r="J394" t="s">
        <v>210</v>
      </c>
      <c r="K394" t="s">
        <v>211</v>
      </c>
      <c r="L394" t="s">
        <v>25</v>
      </c>
      <c r="M394" t="s">
        <v>26</v>
      </c>
      <c r="N394" t="s">
        <v>38</v>
      </c>
      <c r="O394" t="s">
        <v>39</v>
      </c>
      <c r="P394">
        <v>74.483099999999993</v>
      </c>
      <c r="Q394" t="s">
        <v>29</v>
      </c>
      <c r="R394" t="s">
        <v>50</v>
      </c>
      <c r="S394" t="s">
        <v>6936</v>
      </c>
    </row>
    <row r="395" spans="1:19" x14ac:dyDescent="0.25">
      <c r="A395">
        <v>2014</v>
      </c>
      <c r="B395">
        <v>4527</v>
      </c>
      <c r="C395" t="s">
        <v>1172</v>
      </c>
      <c r="D395" t="s">
        <v>1173</v>
      </c>
      <c r="E395">
        <v>332810</v>
      </c>
      <c r="F395" t="s">
        <v>361</v>
      </c>
      <c r="G395" t="s">
        <v>362</v>
      </c>
      <c r="H395" t="s">
        <v>21</v>
      </c>
      <c r="I395" t="s">
        <v>129</v>
      </c>
      <c r="J395" t="s">
        <v>130</v>
      </c>
      <c r="K395" t="s">
        <v>131</v>
      </c>
      <c r="L395" t="s">
        <v>25</v>
      </c>
      <c r="M395" t="s">
        <v>26</v>
      </c>
      <c r="N395" t="s">
        <v>48</v>
      </c>
      <c r="O395" t="s">
        <v>49</v>
      </c>
      <c r="P395">
        <v>1.7190000000000001</v>
      </c>
      <c r="Q395" t="s">
        <v>29</v>
      </c>
      <c r="R395" t="s">
        <v>50</v>
      </c>
      <c r="S395" t="s">
        <v>6936</v>
      </c>
    </row>
    <row r="396" spans="1:19" x14ac:dyDescent="0.25">
      <c r="A396">
        <v>2002</v>
      </c>
      <c r="B396">
        <v>2070</v>
      </c>
      <c r="C396" t="s">
        <v>701</v>
      </c>
      <c r="E396">
        <v>324190</v>
      </c>
      <c r="F396" t="s">
        <v>702</v>
      </c>
      <c r="G396" t="s">
        <v>667</v>
      </c>
      <c r="H396" t="s">
        <v>21</v>
      </c>
      <c r="I396" t="s">
        <v>1174</v>
      </c>
      <c r="J396" t="s">
        <v>1175</v>
      </c>
      <c r="K396" t="s">
        <v>1176</v>
      </c>
      <c r="L396" t="s">
        <v>89</v>
      </c>
      <c r="M396" t="s">
        <v>90</v>
      </c>
      <c r="N396" t="s">
        <v>120</v>
      </c>
      <c r="O396" t="s">
        <v>121</v>
      </c>
      <c r="P396">
        <v>1.2070000000000001</v>
      </c>
      <c r="Q396" t="s">
        <v>29</v>
      </c>
      <c r="R396" t="s">
        <v>30</v>
      </c>
      <c r="S396" t="s">
        <v>6936</v>
      </c>
    </row>
    <row r="397" spans="1:19" x14ac:dyDescent="0.25">
      <c r="A397">
        <v>2020</v>
      </c>
      <c r="B397">
        <v>29593</v>
      </c>
      <c r="C397" t="s">
        <v>1177</v>
      </c>
      <c r="D397" t="s">
        <v>1178</v>
      </c>
      <c r="E397">
        <v>339990</v>
      </c>
      <c r="F397" t="s">
        <v>1179</v>
      </c>
      <c r="G397" t="s">
        <v>872</v>
      </c>
      <c r="H397" t="s">
        <v>79</v>
      </c>
      <c r="I397" t="s">
        <v>1180</v>
      </c>
      <c r="J397" t="s">
        <v>1181</v>
      </c>
      <c r="K397" t="s">
        <v>1182</v>
      </c>
      <c r="L397" t="s">
        <v>89</v>
      </c>
      <c r="M397" t="s">
        <v>90</v>
      </c>
      <c r="N397" t="s">
        <v>100</v>
      </c>
      <c r="O397" t="s">
        <v>101</v>
      </c>
      <c r="P397">
        <v>0</v>
      </c>
      <c r="Q397" t="s">
        <v>29</v>
      </c>
      <c r="R397" t="s">
        <v>30</v>
      </c>
      <c r="S397" t="s">
        <v>6936</v>
      </c>
    </row>
    <row r="398" spans="1:19" x14ac:dyDescent="0.25">
      <c r="A398">
        <v>2022</v>
      </c>
      <c r="B398">
        <v>10229</v>
      </c>
      <c r="C398" t="s">
        <v>125</v>
      </c>
      <c r="D398" t="s">
        <v>1183</v>
      </c>
      <c r="E398">
        <v>412110</v>
      </c>
      <c r="F398" t="s">
        <v>589</v>
      </c>
      <c r="G398" t="s">
        <v>590</v>
      </c>
      <c r="H398" t="s">
        <v>21</v>
      </c>
      <c r="I398" t="s">
        <v>703</v>
      </c>
      <c r="J398" t="s">
        <v>1127</v>
      </c>
      <c r="K398" t="s">
        <v>1128</v>
      </c>
      <c r="L398" t="s">
        <v>89</v>
      </c>
      <c r="M398" t="s">
        <v>90</v>
      </c>
      <c r="N398" t="s">
        <v>120</v>
      </c>
      <c r="O398" t="s">
        <v>121</v>
      </c>
      <c r="P398">
        <v>6.9999999999999999E-4</v>
      </c>
      <c r="Q398" t="s">
        <v>29</v>
      </c>
      <c r="R398" t="s">
        <v>30</v>
      </c>
      <c r="S398" t="s">
        <v>6936</v>
      </c>
    </row>
    <row r="399" spans="1:19" x14ac:dyDescent="0.25">
      <c r="A399">
        <v>2006</v>
      </c>
      <c r="B399">
        <v>6797</v>
      </c>
      <c r="C399" t="s">
        <v>122</v>
      </c>
      <c r="D399" t="s">
        <v>1184</v>
      </c>
      <c r="E399">
        <v>562990</v>
      </c>
      <c r="F399" t="s">
        <v>104</v>
      </c>
      <c r="G399" t="s">
        <v>105</v>
      </c>
      <c r="H399" t="s">
        <v>85</v>
      </c>
      <c r="I399" t="s">
        <v>331</v>
      </c>
      <c r="J399" t="s">
        <v>332</v>
      </c>
      <c r="K399" t="s">
        <v>333</v>
      </c>
      <c r="L399" t="s">
        <v>25</v>
      </c>
      <c r="M399" t="s">
        <v>26</v>
      </c>
      <c r="N399" t="s">
        <v>48</v>
      </c>
      <c r="O399" t="s">
        <v>49</v>
      </c>
      <c r="P399">
        <v>1.879</v>
      </c>
      <c r="Q399" t="s">
        <v>29</v>
      </c>
      <c r="R399" t="s">
        <v>30</v>
      </c>
      <c r="S399" t="s">
        <v>6936</v>
      </c>
    </row>
    <row r="400" spans="1:19" x14ac:dyDescent="0.25">
      <c r="A400">
        <v>2003</v>
      </c>
      <c r="B400">
        <v>5753</v>
      </c>
      <c r="C400" t="s">
        <v>1185</v>
      </c>
      <c r="D400" t="s">
        <v>1186</v>
      </c>
      <c r="E400">
        <v>337214</v>
      </c>
      <c r="F400" t="s">
        <v>738</v>
      </c>
      <c r="G400" t="s">
        <v>1187</v>
      </c>
      <c r="H400" t="s">
        <v>21</v>
      </c>
      <c r="I400" t="s">
        <v>209</v>
      </c>
      <c r="J400" t="s">
        <v>210</v>
      </c>
      <c r="K400" t="s">
        <v>211</v>
      </c>
      <c r="L400" t="s">
        <v>25</v>
      </c>
      <c r="M400" t="s">
        <v>26</v>
      </c>
      <c r="N400" t="s">
        <v>38</v>
      </c>
      <c r="O400" t="s">
        <v>39</v>
      </c>
      <c r="P400">
        <v>20.879000000000001</v>
      </c>
      <c r="Q400" t="s">
        <v>29</v>
      </c>
      <c r="R400" t="s">
        <v>30</v>
      </c>
      <c r="S400" t="s">
        <v>6936</v>
      </c>
    </row>
    <row r="401" spans="1:19" x14ac:dyDescent="0.25">
      <c r="A401">
        <v>2020</v>
      </c>
      <c r="B401">
        <v>21548</v>
      </c>
      <c r="C401" t="s">
        <v>1043</v>
      </c>
      <c r="D401" t="s">
        <v>1188</v>
      </c>
      <c r="E401">
        <v>211141</v>
      </c>
      <c r="F401" t="s">
        <v>1189</v>
      </c>
      <c r="G401" t="s">
        <v>1190</v>
      </c>
      <c r="H401" t="s">
        <v>85</v>
      </c>
      <c r="I401" t="s">
        <v>923</v>
      </c>
      <c r="J401" t="s">
        <v>924</v>
      </c>
      <c r="K401" t="s">
        <v>924</v>
      </c>
      <c r="L401" t="s">
        <v>25</v>
      </c>
      <c r="M401" t="s">
        <v>26</v>
      </c>
      <c r="N401" t="s">
        <v>380</v>
      </c>
      <c r="O401" t="s">
        <v>381</v>
      </c>
      <c r="P401">
        <v>0</v>
      </c>
      <c r="Q401" t="s">
        <v>29</v>
      </c>
      <c r="R401" t="s">
        <v>30</v>
      </c>
      <c r="S401" t="s">
        <v>6936</v>
      </c>
    </row>
    <row r="402" spans="1:19" x14ac:dyDescent="0.25">
      <c r="A402">
        <v>2018</v>
      </c>
      <c r="B402">
        <v>5928</v>
      </c>
      <c r="C402" t="s">
        <v>642</v>
      </c>
      <c r="D402" t="s">
        <v>1191</v>
      </c>
      <c r="E402">
        <v>562110</v>
      </c>
      <c r="F402" t="s">
        <v>644</v>
      </c>
      <c r="G402" t="s">
        <v>645</v>
      </c>
      <c r="H402" t="s">
        <v>21</v>
      </c>
      <c r="I402" t="s">
        <v>461</v>
      </c>
      <c r="J402" t="s">
        <v>462</v>
      </c>
      <c r="K402" t="s">
        <v>463</v>
      </c>
      <c r="L402" t="s">
        <v>89</v>
      </c>
      <c r="M402" t="s">
        <v>90</v>
      </c>
      <c r="N402" t="s">
        <v>120</v>
      </c>
      <c r="O402" t="s">
        <v>121</v>
      </c>
      <c r="P402">
        <v>90.015500000000003</v>
      </c>
      <c r="Q402" t="s">
        <v>40</v>
      </c>
      <c r="R402" t="s">
        <v>50</v>
      </c>
      <c r="S402" t="s">
        <v>6936</v>
      </c>
    </row>
    <row r="403" spans="1:19" x14ac:dyDescent="0.25">
      <c r="A403">
        <v>2003</v>
      </c>
      <c r="B403">
        <v>126</v>
      </c>
      <c r="C403" t="s">
        <v>1192</v>
      </c>
      <c r="D403" t="s">
        <v>1193</v>
      </c>
      <c r="E403">
        <v>325110</v>
      </c>
      <c r="F403" t="s">
        <v>1194</v>
      </c>
      <c r="G403" t="s">
        <v>445</v>
      </c>
      <c r="H403" t="s">
        <v>85</v>
      </c>
      <c r="I403" t="s">
        <v>1123</v>
      </c>
      <c r="J403" t="s">
        <v>1124</v>
      </c>
      <c r="K403" t="s">
        <v>1125</v>
      </c>
      <c r="L403" t="s">
        <v>89</v>
      </c>
      <c r="M403" t="s">
        <v>90</v>
      </c>
      <c r="N403" t="s">
        <v>166</v>
      </c>
      <c r="O403" t="s">
        <v>167</v>
      </c>
      <c r="P403">
        <v>99.5</v>
      </c>
      <c r="Q403" t="s">
        <v>29</v>
      </c>
      <c r="R403" t="s">
        <v>50</v>
      </c>
      <c r="S403" t="s">
        <v>6936</v>
      </c>
    </row>
    <row r="404" spans="1:19" x14ac:dyDescent="0.25">
      <c r="A404">
        <v>2007</v>
      </c>
      <c r="B404">
        <v>5481</v>
      </c>
      <c r="C404" t="s">
        <v>1195</v>
      </c>
      <c r="D404" t="s">
        <v>1196</v>
      </c>
      <c r="E404">
        <v>336410</v>
      </c>
      <c r="F404" t="s">
        <v>260</v>
      </c>
      <c r="G404" t="s">
        <v>261</v>
      </c>
      <c r="H404" t="s">
        <v>79</v>
      </c>
      <c r="I404" t="s">
        <v>461</v>
      </c>
      <c r="J404" t="s">
        <v>462</v>
      </c>
      <c r="K404" t="s">
        <v>463</v>
      </c>
      <c r="L404" t="s">
        <v>89</v>
      </c>
      <c r="M404" t="s">
        <v>90</v>
      </c>
      <c r="N404" t="s">
        <v>91</v>
      </c>
      <c r="O404" t="s">
        <v>92</v>
      </c>
      <c r="P404">
        <v>615</v>
      </c>
      <c r="Q404" t="s">
        <v>40</v>
      </c>
      <c r="R404" t="s">
        <v>30</v>
      </c>
      <c r="S404" t="s">
        <v>6936</v>
      </c>
    </row>
    <row r="405" spans="1:19" x14ac:dyDescent="0.25">
      <c r="A405">
        <v>2003</v>
      </c>
      <c r="B405">
        <v>4537</v>
      </c>
      <c r="C405" t="s">
        <v>1197</v>
      </c>
      <c r="E405">
        <v>336370</v>
      </c>
      <c r="F405" t="s">
        <v>586</v>
      </c>
      <c r="G405" t="s">
        <v>587</v>
      </c>
      <c r="H405" t="s">
        <v>21</v>
      </c>
      <c r="I405" t="s">
        <v>177</v>
      </c>
      <c r="J405" t="s">
        <v>178</v>
      </c>
      <c r="K405" t="s">
        <v>179</v>
      </c>
      <c r="L405" t="s">
        <v>89</v>
      </c>
      <c r="M405" t="s">
        <v>90</v>
      </c>
      <c r="N405" t="s">
        <v>166</v>
      </c>
      <c r="O405" t="s">
        <v>167</v>
      </c>
      <c r="P405">
        <v>0</v>
      </c>
      <c r="Q405" t="s">
        <v>29</v>
      </c>
      <c r="R405" t="s">
        <v>258</v>
      </c>
      <c r="S405" t="s">
        <v>6936</v>
      </c>
    </row>
    <row r="406" spans="1:19" x14ac:dyDescent="0.25">
      <c r="A406">
        <v>2023</v>
      </c>
      <c r="B406">
        <v>3790</v>
      </c>
      <c r="C406" t="s">
        <v>276</v>
      </c>
      <c r="D406" t="s">
        <v>1198</v>
      </c>
      <c r="E406">
        <v>336110</v>
      </c>
      <c r="F406" t="s">
        <v>43</v>
      </c>
      <c r="G406" t="s">
        <v>44</v>
      </c>
      <c r="H406" t="s">
        <v>21</v>
      </c>
      <c r="I406" t="s">
        <v>152</v>
      </c>
      <c r="J406" t="s">
        <v>153</v>
      </c>
      <c r="K406" t="s">
        <v>154</v>
      </c>
      <c r="L406" t="s">
        <v>25</v>
      </c>
      <c r="M406" t="s">
        <v>26</v>
      </c>
      <c r="N406" t="s">
        <v>48</v>
      </c>
      <c r="O406" t="s">
        <v>49</v>
      </c>
      <c r="P406">
        <v>0.33300000000000002</v>
      </c>
      <c r="Q406" t="s">
        <v>29</v>
      </c>
      <c r="R406" t="s">
        <v>30</v>
      </c>
      <c r="S406" t="s">
        <v>6936</v>
      </c>
    </row>
    <row r="407" spans="1:19" x14ac:dyDescent="0.25">
      <c r="A407">
        <v>2005</v>
      </c>
      <c r="B407">
        <v>2776</v>
      </c>
      <c r="C407" t="s">
        <v>93</v>
      </c>
      <c r="D407" t="s">
        <v>1199</v>
      </c>
      <c r="E407">
        <v>324110</v>
      </c>
      <c r="F407" t="s">
        <v>95</v>
      </c>
      <c r="G407" t="s">
        <v>96</v>
      </c>
      <c r="H407" t="s">
        <v>69</v>
      </c>
      <c r="I407" t="s">
        <v>152</v>
      </c>
      <c r="J407" t="s">
        <v>153</v>
      </c>
      <c r="K407" t="s">
        <v>154</v>
      </c>
      <c r="L407" t="s">
        <v>89</v>
      </c>
      <c r="M407" t="s">
        <v>90</v>
      </c>
      <c r="N407" t="s">
        <v>120</v>
      </c>
      <c r="O407" t="s">
        <v>121</v>
      </c>
      <c r="P407">
        <v>1.21</v>
      </c>
      <c r="Q407" t="s">
        <v>29</v>
      </c>
      <c r="R407" t="s">
        <v>30</v>
      </c>
      <c r="S407" t="s">
        <v>6936</v>
      </c>
    </row>
    <row r="408" spans="1:19" x14ac:dyDescent="0.25">
      <c r="A408">
        <v>2003</v>
      </c>
      <c r="B408">
        <v>1562</v>
      </c>
      <c r="C408" t="s">
        <v>1200</v>
      </c>
      <c r="E408">
        <v>325510</v>
      </c>
      <c r="F408" t="s">
        <v>143</v>
      </c>
      <c r="G408" t="s">
        <v>112</v>
      </c>
      <c r="H408" t="s">
        <v>21</v>
      </c>
      <c r="I408" t="s">
        <v>520</v>
      </c>
      <c r="J408" t="s">
        <v>521</v>
      </c>
      <c r="K408" t="s">
        <v>522</v>
      </c>
      <c r="L408" t="s">
        <v>25</v>
      </c>
      <c r="M408" t="s">
        <v>26</v>
      </c>
      <c r="N408" t="s">
        <v>48</v>
      </c>
      <c r="O408" t="s">
        <v>49</v>
      </c>
      <c r="P408">
        <v>0.59</v>
      </c>
      <c r="Q408" t="s">
        <v>29</v>
      </c>
      <c r="R408" t="s">
        <v>157</v>
      </c>
      <c r="S408" t="s">
        <v>6936</v>
      </c>
    </row>
    <row r="409" spans="1:19" x14ac:dyDescent="0.25">
      <c r="A409">
        <v>2014</v>
      </c>
      <c r="B409">
        <v>1096</v>
      </c>
      <c r="C409" t="s">
        <v>484</v>
      </c>
      <c r="D409" t="s">
        <v>485</v>
      </c>
      <c r="E409">
        <v>418410</v>
      </c>
      <c r="F409" t="s">
        <v>433</v>
      </c>
      <c r="G409" t="s">
        <v>434</v>
      </c>
      <c r="H409" t="s">
        <v>21</v>
      </c>
      <c r="I409" t="s">
        <v>70</v>
      </c>
      <c r="J409" t="s">
        <v>71</v>
      </c>
      <c r="K409" t="s">
        <v>72</v>
      </c>
      <c r="L409" t="s">
        <v>25</v>
      </c>
      <c r="M409" t="s">
        <v>26</v>
      </c>
      <c r="N409" t="s">
        <v>155</v>
      </c>
      <c r="O409" t="s">
        <v>156</v>
      </c>
      <c r="P409">
        <v>5.3097000000000003</v>
      </c>
      <c r="Q409" t="s">
        <v>29</v>
      </c>
      <c r="R409" t="s">
        <v>30</v>
      </c>
      <c r="S409" t="s">
        <v>6936</v>
      </c>
    </row>
    <row r="410" spans="1:19" x14ac:dyDescent="0.25">
      <c r="A410">
        <v>2021</v>
      </c>
      <c r="B410">
        <v>29088</v>
      </c>
      <c r="C410" t="s">
        <v>1201</v>
      </c>
      <c r="D410" t="s">
        <v>1201</v>
      </c>
      <c r="E410">
        <v>331317</v>
      </c>
      <c r="F410" t="s">
        <v>768</v>
      </c>
      <c r="G410" t="s">
        <v>769</v>
      </c>
      <c r="H410" t="s">
        <v>79</v>
      </c>
      <c r="I410" t="s">
        <v>117</v>
      </c>
      <c r="J410" t="s">
        <v>118</v>
      </c>
      <c r="K410" t="s">
        <v>119</v>
      </c>
      <c r="L410" t="s">
        <v>25</v>
      </c>
      <c r="M410" t="s">
        <v>26</v>
      </c>
      <c r="N410" t="s">
        <v>38</v>
      </c>
      <c r="O410" t="s">
        <v>39</v>
      </c>
      <c r="P410">
        <v>482.1</v>
      </c>
      <c r="Q410" t="s">
        <v>29</v>
      </c>
      <c r="R410" t="s">
        <v>50</v>
      </c>
      <c r="S410" t="s">
        <v>6936</v>
      </c>
    </row>
    <row r="411" spans="1:19" x14ac:dyDescent="0.25">
      <c r="A411">
        <v>2019</v>
      </c>
      <c r="B411">
        <v>11576</v>
      </c>
      <c r="C411" t="s">
        <v>276</v>
      </c>
      <c r="D411" t="s">
        <v>1202</v>
      </c>
      <c r="E411">
        <v>336110</v>
      </c>
      <c r="F411" t="s">
        <v>43</v>
      </c>
      <c r="G411" t="s">
        <v>44</v>
      </c>
      <c r="H411" t="s">
        <v>21</v>
      </c>
      <c r="I411" t="s">
        <v>402</v>
      </c>
      <c r="J411" t="s">
        <v>403</v>
      </c>
      <c r="K411" t="s">
        <v>404</v>
      </c>
      <c r="L411" t="s">
        <v>25</v>
      </c>
      <c r="M411" t="s">
        <v>26</v>
      </c>
      <c r="N411" t="s">
        <v>48</v>
      </c>
      <c r="O411" t="s">
        <v>49</v>
      </c>
      <c r="P411">
        <v>7.0000000000000001E-3</v>
      </c>
      <c r="Q411" t="s">
        <v>29</v>
      </c>
      <c r="R411" t="s">
        <v>30</v>
      </c>
      <c r="S411" t="s">
        <v>6936</v>
      </c>
    </row>
    <row r="412" spans="1:19" x14ac:dyDescent="0.25">
      <c r="A412">
        <v>2015</v>
      </c>
      <c r="B412">
        <v>7161</v>
      </c>
      <c r="C412" t="s">
        <v>1203</v>
      </c>
      <c r="D412" t="s">
        <v>1204</v>
      </c>
      <c r="E412">
        <v>335930</v>
      </c>
      <c r="F412" t="s">
        <v>1205</v>
      </c>
      <c r="G412" t="s">
        <v>1206</v>
      </c>
      <c r="H412" t="s">
        <v>21</v>
      </c>
      <c r="I412" t="s">
        <v>35</v>
      </c>
      <c r="J412" t="s">
        <v>36</v>
      </c>
      <c r="K412" t="s">
        <v>37</v>
      </c>
      <c r="L412" t="s">
        <v>89</v>
      </c>
      <c r="M412" t="s">
        <v>90</v>
      </c>
      <c r="N412" t="s">
        <v>166</v>
      </c>
      <c r="O412" t="s">
        <v>167</v>
      </c>
      <c r="P412">
        <v>1.4079999999999999</v>
      </c>
      <c r="Q412" t="s">
        <v>40</v>
      </c>
      <c r="R412" t="s">
        <v>30</v>
      </c>
      <c r="S412" t="s">
        <v>6936</v>
      </c>
    </row>
    <row r="413" spans="1:19" x14ac:dyDescent="0.25">
      <c r="A413">
        <v>2014</v>
      </c>
      <c r="B413">
        <v>5965</v>
      </c>
      <c r="C413" t="s">
        <v>1207</v>
      </c>
      <c r="D413" t="s">
        <v>217</v>
      </c>
      <c r="E413">
        <v>325410</v>
      </c>
      <c r="F413" t="s">
        <v>1208</v>
      </c>
      <c r="G413" t="s">
        <v>219</v>
      </c>
      <c r="H413" t="s">
        <v>21</v>
      </c>
      <c r="I413" t="s">
        <v>55</v>
      </c>
      <c r="J413" t="s">
        <v>56</v>
      </c>
      <c r="K413" t="s">
        <v>57</v>
      </c>
      <c r="L413" t="s">
        <v>89</v>
      </c>
      <c r="M413" t="s">
        <v>90</v>
      </c>
      <c r="N413" t="s">
        <v>166</v>
      </c>
      <c r="O413" t="s">
        <v>167</v>
      </c>
      <c r="P413">
        <v>523.70000000000005</v>
      </c>
      <c r="Q413" t="s">
        <v>29</v>
      </c>
      <c r="R413" t="s">
        <v>50</v>
      </c>
      <c r="S413" t="s">
        <v>6936</v>
      </c>
    </row>
    <row r="414" spans="1:19" x14ac:dyDescent="0.25">
      <c r="A414">
        <v>1998</v>
      </c>
      <c r="B414">
        <v>4173</v>
      </c>
      <c r="C414" t="s">
        <v>1209</v>
      </c>
      <c r="D414" t="s">
        <v>386</v>
      </c>
      <c r="E414">
        <v>336110</v>
      </c>
      <c r="F414" t="s">
        <v>377</v>
      </c>
      <c r="G414" t="s">
        <v>44</v>
      </c>
      <c r="H414" t="s">
        <v>21</v>
      </c>
      <c r="I414" t="s">
        <v>152</v>
      </c>
      <c r="J414" t="s">
        <v>153</v>
      </c>
      <c r="K414" t="s">
        <v>154</v>
      </c>
      <c r="L414" t="s">
        <v>89</v>
      </c>
      <c r="M414" t="s">
        <v>90</v>
      </c>
      <c r="N414" t="s">
        <v>91</v>
      </c>
      <c r="O414" t="s">
        <v>92</v>
      </c>
      <c r="P414">
        <v>6.7000000000000004E-2</v>
      </c>
      <c r="Q414" t="s">
        <v>29</v>
      </c>
      <c r="R414" t="s">
        <v>30</v>
      </c>
      <c r="S414" t="s">
        <v>6936</v>
      </c>
    </row>
    <row r="415" spans="1:19" x14ac:dyDescent="0.25">
      <c r="A415">
        <v>2016</v>
      </c>
      <c r="B415">
        <v>4609</v>
      </c>
      <c r="C415" t="s">
        <v>1210</v>
      </c>
      <c r="D415" t="s">
        <v>1211</v>
      </c>
      <c r="E415">
        <v>321114</v>
      </c>
      <c r="F415" t="s">
        <v>1212</v>
      </c>
      <c r="G415" t="s">
        <v>366</v>
      </c>
      <c r="H415" t="s">
        <v>483</v>
      </c>
      <c r="I415" t="s">
        <v>244</v>
      </c>
      <c r="J415" t="s">
        <v>245</v>
      </c>
      <c r="K415" t="s">
        <v>246</v>
      </c>
      <c r="L415" t="s">
        <v>89</v>
      </c>
      <c r="M415" t="s">
        <v>90</v>
      </c>
      <c r="N415" t="s">
        <v>166</v>
      </c>
      <c r="O415" t="s">
        <v>167</v>
      </c>
      <c r="P415">
        <v>268.202</v>
      </c>
      <c r="Q415" t="s">
        <v>40</v>
      </c>
      <c r="R415" t="s">
        <v>430</v>
      </c>
      <c r="S415" t="s">
        <v>6936</v>
      </c>
    </row>
    <row r="416" spans="1:19" x14ac:dyDescent="0.25">
      <c r="A416">
        <v>2004</v>
      </c>
      <c r="B416">
        <v>1562</v>
      </c>
      <c r="C416" t="s">
        <v>1213</v>
      </c>
      <c r="D416" t="s">
        <v>1213</v>
      </c>
      <c r="E416">
        <v>325510</v>
      </c>
      <c r="F416" t="s">
        <v>143</v>
      </c>
      <c r="G416" t="s">
        <v>112</v>
      </c>
      <c r="H416" t="s">
        <v>21</v>
      </c>
      <c r="I416" t="s">
        <v>520</v>
      </c>
      <c r="J416" t="s">
        <v>521</v>
      </c>
      <c r="K416" t="s">
        <v>522</v>
      </c>
      <c r="L416" t="s">
        <v>25</v>
      </c>
      <c r="M416" t="s">
        <v>26</v>
      </c>
      <c r="N416" t="s">
        <v>48</v>
      </c>
      <c r="O416" t="s">
        <v>49</v>
      </c>
      <c r="P416">
        <v>0.67</v>
      </c>
      <c r="Q416" t="s">
        <v>29</v>
      </c>
      <c r="R416" t="s">
        <v>157</v>
      </c>
      <c r="S416" t="s">
        <v>6936</v>
      </c>
    </row>
    <row r="417" spans="1:19" x14ac:dyDescent="0.25">
      <c r="A417">
        <v>2013</v>
      </c>
      <c r="B417">
        <v>20197</v>
      </c>
      <c r="C417" t="s">
        <v>65</v>
      </c>
      <c r="D417" t="s">
        <v>1214</v>
      </c>
      <c r="E417">
        <v>562210</v>
      </c>
      <c r="F417" t="s">
        <v>84</v>
      </c>
      <c r="G417" t="s">
        <v>53</v>
      </c>
      <c r="H417" t="s">
        <v>69</v>
      </c>
      <c r="I417" t="s">
        <v>271</v>
      </c>
      <c r="J417" t="s">
        <v>272</v>
      </c>
      <c r="K417" t="s">
        <v>273</v>
      </c>
      <c r="L417" t="s">
        <v>25</v>
      </c>
      <c r="M417" t="s">
        <v>26</v>
      </c>
      <c r="N417" t="s">
        <v>73</v>
      </c>
      <c r="O417" t="s">
        <v>74</v>
      </c>
      <c r="P417">
        <v>66.45</v>
      </c>
      <c r="Q417" t="s">
        <v>29</v>
      </c>
      <c r="R417" t="s">
        <v>50</v>
      </c>
      <c r="S417" t="s">
        <v>6936</v>
      </c>
    </row>
    <row r="418" spans="1:19" x14ac:dyDescent="0.25">
      <c r="A418">
        <v>2016</v>
      </c>
      <c r="B418">
        <v>10286</v>
      </c>
      <c r="C418" t="s">
        <v>1215</v>
      </c>
      <c r="D418" t="s">
        <v>1215</v>
      </c>
      <c r="E418">
        <v>333310</v>
      </c>
      <c r="F418" t="s">
        <v>1216</v>
      </c>
      <c r="G418" t="s">
        <v>1217</v>
      </c>
      <c r="H418" t="s">
        <v>21</v>
      </c>
      <c r="I418" t="s">
        <v>136</v>
      </c>
      <c r="J418" t="s">
        <v>137</v>
      </c>
      <c r="K418" t="s">
        <v>138</v>
      </c>
      <c r="L418" t="s">
        <v>25</v>
      </c>
      <c r="M418" t="s">
        <v>26</v>
      </c>
      <c r="N418" t="s">
        <v>38</v>
      </c>
      <c r="O418" t="s">
        <v>39</v>
      </c>
      <c r="P418">
        <v>8.8729999999999993</v>
      </c>
      <c r="Q418" t="s">
        <v>29</v>
      </c>
      <c r="R418" t="s">
        <v>30</v>
      </c>
      <c r="S418" t="s">
        <v>6936</v>
      </c>
    </row>
    <row r="419" spans="1:19" x14ac:dyDescent="0.25">
      <c r="A419">
        <v>1993</v>
      </c>
      <c r="B419">
        <v>2773</v>
      </c>
      <c r="C419" t="s">
        <v>1218</v>
      </c>
      <c r="D419" t="s">
        <v>1219</v>
      </c>
      <c r="E419">
        <v>325510</v>
      </c>
      <c r="F419" t="s">
        <v>143</v>
      </c>
      <c r="G419" t="s">
        <v>112</v>
      </c>
      <c r="H419" t="s">
        <v>79</v>
      </c>
      <c r="I419" t="s">
        <v>271</v>
      </c>
      <c r="J419" t="s">
        <v>387</v>
      </c>
      <c r="K419" t="s">
        <v>388</v>
      </c>
      <c r="L419" t="s">
        <v>89</v>
      </c>
      <c r="M419" t="s">
        <v>90</v>
      </c>
      <c r="N419" t="s">
        <v>166</v>
      </c>
      <c r="O419" t="s">
        <v>167</v>
      </c>
      <c r="P419">
        <v>2.5000000000000001E-2</v>
      </c>
      <c r="Q419" t="s">
        <v>29</v>
      </c>
      <c r="S419" t="s">
        <v>6936</v>
      </c>
    </row>
    <row r="420" spans="1:19" x14ac:dyDescent="0.25">
      <c r="A420">
        <v>2013</v>
      </c>
      <c r="B420">
        <v>1464</v>
      </c>
      <c r="C420" t="s">
        <v>194</v>
      </c>
      <c r="D420" t="s">
        <v>443</v>
      </c>
      <c r="E420">
        <v>325110</v>
      </c>
      <c r="F420" t="s">
        <v>444</v>
      </c>
      <c r="G420" t="s">
        <v>445</v>
      </c>
      <c r="H420" t="s">
        <v>21</v>
      </c>
      <c r="I420" t="s">
        <v>837</v>
      </c>
      <c r="J420" t="s">
        <v>838</v>
      </c>
      <c r="K420" t="s">
        <v>839</v>
      </c>
      <c r="L420" t="s">
        <v>89</v>
      </c>
      <c r="M420" t="s">
        <v>90</v>
      </c>
      <c r="N420" t="s">
        <v>166</v>
      </c>
      <c r="O420" t="s">
        <v>167</v>
      </c>
      <c r="P420">
        <v>3.0999999999999999E-3</v>
      </c>
      <c r="Q420" t="s">
        <v>40</v>
      </c>
      <c r="R420" t="s">
        <v>124</v>
      </c>
      <c r="S420" t="s">
        <v>6936</v>
      </c>
    </row>
    <row r="421" spans="1:19" x14ac:dyDescent="0.25">
      <c r="A421">
        <v>2006</v>
      </c>
      <c r="B421">
        <v>11360</v>
      </c>
      <c r="C421" t="s">
        <v>1220</v>
      </c>
      <c r="D421" t="s">
        <v>1221</v>
      </c>
      <c r="E421">
        <v>326290</v>
      </c>
      <c r="F421" t="s">
        <v>451</v>
      </c>
      <c r="G421" t="s">
        <v>452</v>
      </c>
      <c r="H421" t="s">
        <v>21</v>
      </c>
      <c r="I421" t="s">
        <v>45</v>
      </c>
      <c r="J421" t="s">
        <v>46</v>
      </c>
      <c r="K421" t="s">
        <v>47</v>
      </c>
      <c r="L421" t="s">
        <v>89</v>
      </c>
      <c r="M421" t="s">
        <v>90</v>
      </c>
      <c r="N421" t="s">
        <v>166</v>
      </c>
      <c r="O421" t="s">
        <v>167</v>
      </c>
      <c r="P421">
        <v>1.7529999999999999</v>
      </c>
      <c r="Q421" t="s">
        <v>29</v>
      </c>
      <c r="R421" t="s">
        <v>50</v>
      </c>
      <c r="S421" t="s">
        <v>6936</v>
      </c>
    </row>
    <row r="422" spans="1:19" x14ac:dyDescent="0.25">
      <c r="A422">
        <v>2016</v>
      </c>
      <c r="B422">
        <v>10228</v>
      </c>
      <c r="C422" t="s">
        <v>125</v>
      </c>
      <c r="D422" t="s">
        <v>1222</v>
      </c>
      <c r="E422">
        <v>412110</v>
      </c>
      <c r="F422" t="s">
        <v>127</v>
      </c>
      <c r="G422" t="s">
        <v>128</v>
      </c>
      <c r="H422" t="s">
        <v>243</v>
      </c>
      <c r="I422" t="s">
        <v>1050</v>
      </c>
      <c r="J422" t="s">
        <v>1051</v>
      </c>
      <c r="K422" t="s">
        <v>1052</v>
      </c>
      <c r="L422" t="s">
        <v>25</v>
      </c>
      <c r="M422" t="s">
        <v>26</v>
      </c>
      <c r="N422" t="s">
        <v>380</v>
      </c>
      <c r="O422" t="s">
        <v>381</v>
      </c>
      <c r="P422">
        <v>473.47890000000001</v>
      </c>
      <c r="Q422" t="s">
        <v>40</v>
      </c>
      <c r="R422" t="s">
        <v>30</v>
      </c>
      <c r="S422" t="s">
        <v>6936</v>
      </c>
    </row>
    <row r="423" spans="1:19" x14ac:dyDescent="0.25">
      <c r="A423">
        <v>2023</v>
      </c>
      <c r="B423">
        <v>3713</v>
      </c>
      <c r="C423" t="s">
        <v>1223</v>
      </c>
      <c r="D423" t="s">
        <v>1224</v>
      </c>
      <c r="E423">
        <v>331110</v>
      </c>
      <c r="F423" t="s">
        <v>627</v>
      </c>
      <c r="G423" t="s">
        <v>336</v>
      </c>
      <c r="H423" t="s">
        <v>21</v>
      </c>
      <c r="I423" t="s">
        <v>62</v>
      </c>
      <c r="J423" t="s">
        <v>63</v>
      </c>
      <c r="K423" t="s">
        <v>64</v>
      </c>
      <c r="L423" t="s">
        <v>25</v>
      </c>
      <c r="M423" t="s">
        <v>26</v>
      </c>
      <c r="N423" t="s">
        <v>155</v>
      </c>
      <c r="O423" t="s">
        <v>156</v>
      </c>
      <c r="P423">
        <v>2.6243949999999998</v>
      </c>
      <c r="Q423" t="s">
        <v>29</v>
      </c>
      <c r="R423" t="s">
        <v>50</v>
      </c>
      <c r="S423" t="s">
        <v>6936</v>
      </c>
    </row>
    <row r="424" spans="1:19" x14ac:dyDescent="0.25">
      <c r="A424">
        <v>2009</v>
      </c>
      <c r="B424">
        <v>1953</v>
      </c>
      <c r="C424" t="s">
        <v>305</v>
      </c>
      <c r="D424" t="s">
        <v>1056</v>
      </c>
      <c r="E424">
        <v>325510</v>
      </c>
      <c r="F424" t="s">
        <v>143</v>
      </c>
      <c r="G424" t="s">
        <v>112</v>
      </c>
      <c r="H424" t="s">
        <v>21</v>
      </c>
      <c r="I424" t="s">
        <v>778</v>
      </c>
      <c r="J424" t="s">
        <v>779</v>
      </c>
      <c r="K424" t="s">
        <v>780</v>
      </c>
      <c r="L424" t="s">
        <v>25</v>
      </c>
      <c r="M424" t="s">
        <v>26</v>
      </c>
      <c r="N424" t="s">
        <v>48</v>
      </c>
      <c r="O424" t="s">
        <v>49</v>
      </c>
      <c r="P424">
        <v>0</v>
      </c>
      <c r="Q424" t="s">
        <v>29</v>
      </c>
      <c r="R424" t="s">
        <v>30</v>
      </c>
      <c r="S424" t="s">
        <v>6936</v>
      </c>
    </row>
    <row r="425" spans="1:19" x14ac:dyDescent="0.25">
      <c r="A425">
        <v>2019</v>
      </c>
      <c r="B425">
        <v>10238</v>
      </c>
      <c r="C425" t="s">
        <v>125</v>
      </c>
      <c r="D425" t="s">
        <v>126</v>
      </c>
      <c r="E425">
        <v>412110</v>
      </c>
      <c r="F425" t="s">
        <v>127</v>
      </c>
      <c r="G425" t="s">
        <v>128</v>
      </c>
      <c r="H425" t="s">
        <v>69</v>
      </c>
      <c r="I425" t="s">
        <v>348</v>
      </c>
      <c r="J425" t="s">
        <v>349</v>
      </c>
      <c r="K425" t="s">
        <v>350</v>
      </c>
      <c r="L425" t="s">
        <v>25</v>
      </c>
      <c r="M425" t="s">
        <v>26</v>
      </c>
      <c r="N425" t="s">
        <v>380</v>
      </c>
      <c r="O425" t="s">
        <v>381</v>
      </c>
      <c r="P425">
        <v>26.130299999999998</v>
      </c>
      <c r="Q425" t="s">
        <v>29</v>
      </c>
      <c r="R425" t="s">
        <v>30</v>
      </c>
      <c r="S425" t="s">
        <v>6936</v>
      </c>
    </row>
    <row r="426" spans="1:19" x14ac:dyDescent="0.25">
      <c r="A426">
        <v>2006</v>
      </c>
      <c r="B426">
        <v>4781</v>
      </c>
      <c r="C426" t="s">
        <v>375</v>
      </c>
      <c r="D426" t="s">
        <v>774</v>
      </c>
      <c r="E426">
        <v>336310</v>
      </c>
      <c r="F426" t="s">
        <v>775</v>
      </c>
      <c r="G426" t="s">
        <v>776</v>
      </c>
      <c r="H426" t="s">
        <v>21</v>
      </c>
      <c r="I426" t="s">
        <v>35</v>
      </c>
      <c r="J426" t="s">
        <v>36</v>
      </c>
      <c r="K426" t="s">
        <v>37</v>
      </c>
      <c r="L426" t="s">
        <v>25</v>
      </c>
      <c r="M426" t="s">
        <v>26</v>
      </c>
      <c r="N426" t="s">
        <v>38</v>
      </c>
      <c r="O426" t="s">
        <v>39</v>
      </c>
      <c r="P426">
        <v>3378.2</v>
      </c>
      <c r="Q426" t="s">
        <v>40</v>
      </c>
      <c r="R426" t="s">
        <v>50</v>
      </c>
      <c r="S426" t="s">
        <v>6936</v>
      </c>
    </row>
    <row r="427" spans="1:19" x14ac:dyDescent="0.25">
      <c r="A427">
        <v>1999</v>
      </c>
      <c r="B427">
        <v>3146</v>
      </c>
      <c r="C427" t="s">
        <v>1225</v>
      </c>
      <c r="D427" t="s">
        <v>1226</v>
      </c>
      <c r="E427">
        <v>325190</v>
      </c>
      <c r="F427" t="s">
        <v>832</v>
      </c>
      <c r="G427" t="s">
        <v>601</v>
      </c>
      <c r="H427" t="s">
        <v>21</v>
      </c>
      <c r="I427" t="s">
        <v>348</v>
      </c>
      <c r="J427" t="s">
        <v>349</v>
      </c>
      <c r="K427" t="s">
        <v>350</v>
      </c>
      <c r="L427" t="s">
        <v>89</v>
      </c>
      <c r="M427" t="s">
        <v>90</v>
      </c>
      <c r="N427" t="s">
        <v>166</v>
      </c>
      <c r="O427" t="s">
        <v>167</v>
      </c>
      <c r="P427">
        <v>12.151999999999999</v>
      </c>
      <c r="Q427" t="s">
        <v>29</v>
      </c>
      <c r="R427" t="s">
        <v>50</v>
      </c>
      <c r="S427" t="s">
        <v>6936</v>
      </c>
    </row>
    <row r="428" spans="1:19" x14ac:dyDescent="0.25">
      <c r="A428">
        <v>2013</v>
      </c>
      <c r="B428">
        <v>5438</v>
      </c>
      <c r="C428" t="s">
        <v>1227</v>
      </c>
      <c r="D428" t="s">
        <v>583</v>
      </c>
      <c r="E428">
        <v>325620</v>
      </c>
      <c r="F428" t="s">
        <v>1228</v>
      </c>
      <c r="G428" t="s">
        <v>1229</v>
      </c>
      <c r="H428" t="s">
        <v>79</v>
      </c>
      <c r="I428" t="s">
        <v>504</v>
      </c>
      <c r="J428" t="s">
        <v>505</v>
      </c>
      <c r="K428" t="s">
        <v>506</v>
      </c>
      <c r="L428" t="s">
        <v>89</v>
      </c>
      <c r="M428" t="s">
        <v>90</v>
      </c>
      <c r="N428" t="s">
        <v>166</v>
      </c>
      <c r="O428" t="s">
        <v>167</v>
      </c>
      <c r="P428">
        <v>0.88400000000000001</v>
      </c>
      <c r="Q428" t="s">
        <v>29</v>
      </c>
      <c r="R428" t="s">
        <v>50</v>
      </c>
      <c r="S428" t="s">
        <v>6936</v>
      </c>
    </row>
    <row r="429" spans="1:19" x14ac:dyDescent="0.25">
      <c r="A429">
        <v>2022</v>
      </c>
      <c r="B429">
        <v>3713</v>
      </c>
      <c r="C429" t="s">
        <v>1223</v>
      </c>
      <c r="D429" t="s">
        <v>1224</v>
      </c>
      <c r="E429">
        <v>331110</v>
      </c>
      <c r="F429" t="s">
        <v>627</v>
      </c>
      <c r="G429" t="s">
        <v>336</v>
      </c>
      <c r="H429" t="s">
        <v>21</v>
      </c>
      <c r="I429" t="s">
        <v>70</v>
      </c>
      <c r="J429" t="s">
        <v>71</v>
      </c>
      <c r="K429" t="s">
        <v>72</v>
      </c>
      <c r="L429" t="s">
        <v>89</v>
      </c>
      <c r="M429" t="s">
        <v>90</v>
      </c>
      <c r="N429" t="s">
        <v>91</v>
      </c>
      <c r="O429" t="s">
        <v>92</v>
      </c>
      <c r="P429">
        <v>3.1999999999999999E-5</v>
      </c>
      <c r="Q429" t="s">
        <v>29</v>
      </c>
      <c r="R429" t="s">
        <v>50</v>
      </c>
      <c r="S429" t="s">
        <v>6936</v>
      </c>
    </row>
    <row r="430" spans="1:19" x14ac:dyDescent="0.25">
      <c r="A430">
        <v>2004</v>
      </c>
      <c r="B430">
        <v>442</v>
      </c>
      <c r="C430" t="s">
        <v>125</v>
      </c>
      <c r="D430" t="s">
        <v>1230</v>
      </c>
      <c r="E430">
        <v>211114</v>
      </c>
      <c r="F430" t="s">
        <v>835</v>
      </c>
      <c r="G430" t="s">
        <v>836</v>
      </c>
      <c r="H430" t="s">
        <v>85</v>
      </c>
      <c r="I430" t="s">
        <v>348</v>
      </c>
      <c r="J430" t="s">
        <v>349</v>
      </c>
      <c r="K430" t="s">
        <v>350</v>
      </c>
      <c r="L430" t="s">
        <v>89</v>
      </c>
      <c r="M430" t="s">
        <v>90</v>
      </c>
      <c r="N430" t="s">
        <v>166</v>
      </c>
      <c r="O430" t="s">
        <v>167</v>
      </c>
      <c r="P430">
        <v>1.7000000000000001E-2</v>
      </c>
      <c r="Q430" t="s">
        <v>29</v>
      </c>
      <c r="R430" t="s">
        <v>30</v>
      </c>
      <c r="S430" t="s">
        <v>6936</v>
      </c>
    </row>
    <row r="431" spans="1:19" x14ac:dyDescent="0.25">
      <c r="A431">
        <v>2008</v>
      </c>
      <c r="B431">
        <v>3476</v>
      </c>
      <c r="C431" t="s">
        <v>1231</v>
      </c>
      <c r="D431" t="s">
        <v>1104</v>
      </c>
      <c r="E431">
        <v>336110</v>
      </c>
      <c r="F431" t="s">
        <v>377</v>
      </c>
      <c r="G431" t="s">
        <v>44</v>
      </c>
      <c r="H431" t="s">
        <v>21</v>
      </c>
      <c r="I431" t="s">
        <v>402</v>
      </c>
      <c r="J431" t="s">
        <v>403</v>
      </c>
      <c r="K431" t="s">
        <v>404</v>
      </c>
      <c r="L431" t="s">
        <v>89</v>
      </c>
      <c r="M431" t="s">
        <v>90</v>
      </c>
      <c r="N431" t="s">
        <v>100</v>
      </c>
      <c r="O431" t="s">
        <v>101</v>
      </c>
      <c r="P431">
        <v>28.774000000000001</v>
      </c>
      <c r="Q431" t="s">
        <v>29</v>
      </c>
      <c r="R431" t="s">
        <v>30</v>
      </c>
      <c r="S431" t="s">
        <v>6936</v>
      </c>
    </row>
    <row r="432" spans="1:19" x14ac:dyDescent="0.25">
      <c r="A432">
        <v>2008</v>
      </c>
      <c r="B432">
        <v>5927</v>
      </c>
      <c r="C432" t="s">
        <v>1232</v>
      </c>
      <c r="D432" t="s">
        <v>741</v>
      </c>
      <c r="E432">
        <v>332999</v>
      </c>
      <c r="F432" t="s">
        <v>309</v>
      </c>
      <c r="G432" t="s">
        <v>304</v>
      </c>
      <c r="H432" t="s">
        <v>21</v>
      </c>
      <c r="I432" t="s">
        <v>337</v>
      </c>
      <c r="J432" t="s">
        <v>338</v>
      </c>
      <c r="K432" t="s">
        <v>339</v>
      </c>
      <c r="L432" t="s">
        <v>25</v>
      </c>
      <c r="M432" t="s">
        <v>26</v>
      </c>
      <c r="N432" t="s">
        <v>288</v>
      </c>
      <c r="O432" t="s">
        <v>289</v>
      </c>
      <c r="P432">
        <v>18.873999999999999</v>
      </c>
      <c r="Q432" t="s">
        <v>29</v>
      </c>
      <c r="R432" t="s">
        <v>30</v>
      </c>
      <c r="S432" t="s">
        <v>6936</v>
      </c>
    </row>
    <row r="433" spans="1:19" x14ac:dyDescent="0.25">
      <c r="A433">
        <v>2014</v>
      </c>
      <c r="B433">
        <v>3916</v>
      </c>
      <c r="C433" t="s">
        <v>1109</v>
      </c>
      <c r="D433" t="s">
        <v>1233</v>
      </c>
      <c r="E433">
        <v>331410</v>
      </c>
      <c r="F433" t="s">
        <v>1234</v>
      </c>
      <c r="G433" t="s">
        <v>1235</v>
      </c>
      <c r="H433" t="s">
        <v>79</v>
      </c>
      <c r="I433" t="s">
        <v>35</v>
      </c>
      <c r="J433" t="s">
        <v>36</v>
      </c>
      <c r="K433" t="s">
        <v>37</v>
      </c>
      <c r="L433" t="s">
        <v>89</v>
      </c>
      <c r="M433" t="s">
        <v>90</v>
      </c>
      <c r="N433" t="s">
        <v>100</v>
      </c>
      <c r="O433" t="s">
        <v>101</v>
      </c>
      <c r="P433">
        <v>31.97</v>
      </c>
      <c r="Q433" t="s">
        <v>40</v>
      </c>
      <c r="R433" t="s">
        <v>124</v>
      </c>
      <c r="S433" t="s">
        <v>6936</v>
      </c>
    </row>
    <row r="434" spans="1:19" x14ac:dyDescent="0.25">
      <c r="A434">
        <v>2009</v>
      </c>
      <c r="B434">
        <v>3655</v>
      </c>
      <c r="C434" t="s">
        <v>1236</v>
      </c>
      <c r="D434" t="s">
        <v>1237</v>
      </c>
      <c r="E434">
        <v>418110</v>
      </c>
      <c r="F434" t="s">
        <v>1238</v>
      </c>
      <c r="G434" t="s">
        <v>1239</v>
      </c>
      <c r="H434" t="s">
        <v>79</v>
      </c>
      <c r="I434" t="s">
        <v>177</v>
      </c>
      <c r="J434" t="s">
        <v>178</v>
      </c>
      <c r="K434" t="s">
        <v>179</v>
      </c>
      <c r="L434" t="s">
        <v>89</v>
      </c>
      <c r="M434" t="s">
        <v>90</v>
      </c>
      <c r="N434" t="s">
        <v>472</v>
      </c>
      <c r="O434" t="s">
        <v>473</v>
      </c>
      <c r="P434">
        <v>1E-3</v>
      </c>
      <c r="Q434" t="s">
        <v>29</v>
      </c>
      <c r="R434" t="s">
        <v>124</v>
      </c>
      <c r="S434" t="s">
        <v>6936</v>
      </c>
    </row>
    <row r="435" spans="1:19" x14ac:dyDescent="0.25">
      <c r="A435">
        <v>2019</v>
      </c>
      <c r="B435">
        <v>4781</v>
      </c>
      <c r="C435" t="s">
        <v>856</v>
      </c>
      <c r="D435" t="s">
        <v>774</v>
      </c>
      <c r="E435">
        <v>336310</v>
      </c>
      <c r="F435" t="s">
        <v>857</v>
      </c>
      <c r="G435" t="s">
        <v>776</v>
      </c>
      <c r="H435" t="s">
        <v>21</v>
      </c>
      <c r="I435" t="s">
        <v>177</v>
      </c>
      <c r="J435" t="s">
        <v>178</v>
      </c>
      <c r="K435" t="s">
        <v>179</v>
      </c>
      <c r="L435" t="s">
        <v>89</v>
      </c>
      <c r="M435" t="s">
        <v>90</v>
      </c>
      <c r="N435" t="s">
        <v>100</v>
      </c>
      <c r="O435" t="s">
        <v>101</v>
      </c>
      <c r="P435">
        <v>5.0000000000000001E-3</v>
      </c>
      <c r="Q435" t="s">
        <v>29</v>
      </c>
      <c r="R435" t="s">
        <v>30</v>
      </c>
      <c r="S435" t="s">
        <v>6936</v>
      </c>
    </row>
    <row r="436" spans="1:19" x14ac:dyDescent="0.25">
      <c r="A436">
        <v>2008</v>
      </c>
      <c r="B436">
        <v>5810</v>
      </c>
      <c r="C436" t="s">
        <v>1240</v>
      </c>
      <c r="D436" t="s">
        <v>1241</v>
      </c>
      <c r="E436">
        <v>325610</v>
      </c>
      <c r="F436" t="s">
        <v>612</v>
      </c>
      <c r="G436" t="s">
        <v>613</v>
      </c>
      <c r="H436" t="s">
        <v>21</v>
      </c>
      <c r="I436" t="s">
        <v>614</v>
      </c>
      <c r="J436" t="s">
        <v>615</v>
      </c>
      <c r="K436" t="s">
        <v>616</v>
      </c>
      <c r="L436" t="s">
        <v>89</v>
      </c>
      <c r="M436" t="s">
        <v>90</v>
      </c>
      <c r="N436" t="s">
        <v>120</v>
      </c>
      <c r="O436" t="s">
        <v>121</v>
      </c>
      <c r="P436">
        <v>0.36899999999999999</v>
      </c>
      <c r="Q436" t="s">
        <v>29</v>
      </c>
      <c r="R436" t="s">
        <v>50</v>
      </c>
      <c r="S436" t="s">
        <v>6936</v>
      </c>
    </row>
    <row r="437" spans="1:19" x14ac:dyDescent="0.25">
      <c r="A437">
        <v>2021</v>
      </c>
      <c r="B437">
        <v>7366</v>
      </c>
      <c r="C437" t="s">
        <v>1242</v>
      </c>
      <c r="D437" t="s">
        <v>1243</v>
      </c>
      <c r="E437">
        <v>332999</v>
      </c>
      <c r="F437" t="s">
        <v>303</v>
      </c>
      <c r="G437" t="s">
        <v>304</v>
      </c>
      <c r="H437" t="s">
        <v>21</v>
      </c>
      <c r="I437" t="s">
        <v>136</v>
      </c>
      <c r="J437" t="s">
        <v>137</v>
      </c>
      <c r="K437" t="s">
        <v>138</v>
      </c>
      <c r="L437" t="s">
        <v>25</v>
      </c>
      <c r="M437" t="s">
        <v>26</v>
      </c>
      <c r="N437" t="s">
        <v>38</v>
      </c>
      <c r="O437" t="s">
        <v>39</v>
      </c>
      <c r="P437">
        <v>10.363</v>
      </c>
      <c r="Q437" t="s">
        <v>29</v>
      </c>
      <c r="R437" t="s">
        <v>50</v>
      </c>
      <c r="S437" t="s">
        <v>6936</v>
      </c>
    </row>
    <row r="438" spans="1:19" x14ac:dyDescent="0.25">
      <c r="A438">
        <v>2013</v>
      </c>
      <c r="B438">
        <v>22378</v>
      </c>
      <c r="C438" t="s">
        <v>1244</v>
      </c>
      <c r="D438" t="s">
        <v>1245</v>
      </c>
      <c r="E438">
        <v>211114</v>
      </c>
      <c r="F438" t="s">
        <v>956</v>
      </c>
      <c r="G438" t="s">
        <v>836</v>
      </c>
      <c r="H438" t="s">
        <v>85</v>
      </c>
      <c r="I438" t="s">
        <v>70</v>
      </c>
      <c r="J438" t="s">
        <v>71</v>
      </c>
      <c r="K438" t="s">
        <v>72</v>
      </c>
      <c r="L438" t="s">
        <v>89</v>
      </c>
      <c r="M438" t="s">
        <v>90</v>
      </c>
      <c r="N438" t="s">
        <v>166</v>
      </c>
      <c r="O438" t="s">
        <v>167</v>
      </c>
      <c r="P438">
        <v>3.2000000000000001E-2</v>
      </c>
      <c r="Q438" t="s">
        <v>29</v>
      </c>
      <c r="R438" t="s">
        <v>30</v>
      </c>
      <c r="S438" t="s">
        <v>6936</v>
      </c>
    </row>
    <row r="439" spans="1:19" x14ac:dyDescent="0.25">
      <c r="A439">
        <v>2010</v>
      </c>
      <c r="B439">
        <v>3071</v>
      </c>
      <c r="C439" t="s">
        <v>1246</v>
      </c>
      <c r="D439" t="s">
        <v>1247</v>
      </c>
      <c r="E439">
        <v>324110</v>
      </c>
      <c r="F439" t="s">
        <v>95</v>
      </c>
      <c r="G439" t="s">
        <v>96</v>
      </c>
      <c r="H439" t="s">
        <v>21</v>
      </c>
      <c r="I439" t="s">
        <v>129</v>
      </c>
      <c r="J439" t="s">
        <v>130</v>
      </c>
      <c r="K439" t="s">
        <v>131</v>
      </c>
      <c r="L439" t="s">
        <v>89</v>
      </c>
      <c r="M439" t="s">
        <v>90</v>
      </c>
      <c r="N439" t="s">
        <v>120</v>
      </c>
      <c r="O439" t="s">
        <v>121</v>
      </c>
      <c r="P439">
        <v>0.32179999999999997</v>
      </c>
      <c r="Q439" t="s">
        <v>29</v>
      </c>
      <c r="R439" t="s">
        <v>30</v>
      </c>
      <c r="S439" t="s">
        <v>6936</v>
      </c>
    </row>
    <row r="440" spans="1:19" x14ac:dyDescent="0.25">
      <c r="A440">
        <v>1998</v>
      </c>
      <c r="B440">
        <v>3254</v>
      </c>
      <c r="C440" t="s">
        <v>1248</v>
      </c>
      <c r="D440" t="s">
        <v>1249</v>
      </c>
      <c r="E440">
        <v>336410</v>
      </c>
      <c r="F440" t="s">
        <v>260</v>
      </c>
      <c r="G440" t="s">
        <v>261</v>
      </c>
      <c r="H440" t="s">
        <v>79</v>
      </c>
      <c r="I440" t="s">
        <v>62</v>
      </c>
      <c r="J440" t="s">
        <v>63</v>
      </c>
      <c r="K440" t="s">
        <v>64</v>
      </c>
      <c r="L440" t="s">
        <v>25</v>
      </c>
      <c r="M440" t="s">
        <v>26</v>
      </c>
      <c r="N440" t="s">
        <v>38</v>
      </c>
      <c r="O440" t="s">
        <v>39</v>
      </c>
      <c r="P440">
        <v>14.112</v>
      </c>
      <c r="Q440" t="s">
        <v>29</v>
      </c>
      <c r="R440" t="s">
        <v>30</v>
      </c>
      <c r="S440" t="s">
        <v>6936</v>
      </c>
    </row>
    <row r="441" spans="1:19" x14ac:dyDescent="0.25">
      <c r="A441">
        <v>2017</v>
      </c>
      <c r="B441">
        <v>3071</v>
      </c>
      <c r="C441" t="s">
        <v>1250</v>
      </c>
      <c r="D441" t="s">
        <v>1247</v>
      </c>
      <c r="E441">
        <v>324110</v>
      </c>
      <c r="F441" t="s">
        <v>196</v>
      </c>
      <c r="G441" t="s">
        <v>96</v>
      </c>
      <c r="H441" t="s">
        <v>21</v>
      </c>
      <c r="I441" t="s">
        <v>1251</v>
      </c>
      <c r="J441" t="s">
        <v>1252</v>
      </c>
      <c r="K441" t="s">
        <v>1253</v>
      </c>
      <c r="L441" t="s">
        <v>89</v>
      </c>
      <c r="M441" t="s">
        <v>90</v>
      </c>
      <c r="N441" t="s">
        <v>91</v>
      </c>
      <c r="O441" t="s">
        <v>92</v>
      </c>
      <c r="P441">
        <v>19.072800000000001</v>
      </c>
      <c r="Q441" t="s">
        <v>40</v>
      </c>
      <c r="R441" t="s">
        <v>124</v>
      </c>
      <c r="S441" t="s">
        <v>6936</v>
      </c>
    </row>
    <row r="442" spans="1:19" x14ac:dyDescent="0.25">
      <c r="A442">
        <v>2000</v>
      </c>
      <c r="B442">
        <v>4820</v>
      </c>
      <c r="C442" t="s">
        <v>1254</v>
      </c>
      <c r="D442" t="s">
        <v>1255</v>
      </c>
      <c r="E442">
        <v>332999</v>
      </c>
      <c r="F442" t="s">
        <v>309</v>
      </c>
      <c r="G442" t="s">
        <v>304</v>
      </c>
      <c r="H442" t="s">
        <v>54</v>
      </c>
      <c r="I442" t="s">
        <v>136</v>
      </c>
      <c r="J442" t="s">
        <v>137</v>
      </c>
      <c r="K442" t="s">
        <v>138</v>
      </c>
      <c r="L442" t="s">
        <v>89</v>
      </c>
      <c r="M442" t="s">
        <v>90</v>
      </c>
      <c r="N442" t="s">
        <v>100</v>
      </c>
      <c r="O442" t="s">
        <v>101</v>
      </c>
      <c r="P442">
        <v>0.28000000000000003</v>
      </c>
      <c r="Q442" t="s">
        <v>29</v>
      </c>
      <c r="R442" t="s">
        <v>442</v>
      </c>
      <c r="S442" t="s">
        <v>6936</v>
      </c>
    </row>
    <row r="443" spans="1:19" x14ac:dyDescent="0.25">
      <c r="A443">
        <v>2011</v>
      </c>
      <c r="B443">
        <v>139</v>
      </c>
      <c r="C443" t="s">
        <v>1256</v>
      </c>
      <c r="D443" t="s">
        <v>902</v>
      </c>
      <c r="E443">
        <v>332810</v>
      </c>
      <c r="F443" t="s">
        <v>237</v>
      </c>
      <c r="G443" t="s">
        <v>238</v>
      </c>
      <c r="H443" t="s">
        <v>21</v>
      </c>
      <c r="I443" t="s">
        <v>22</v>
      </c>
      <c r="J443" t="s">
        <v>23</v>
      </c>
      <c r="K443" t="s">
        <v>24</v>
      </c>
      <c r="L443" t="s">
        <v>89</v>
      </c>
      <c r="M443" t="s">
        <v>90</v>
      </c>
      <c r="N443" t="s">
        <v>166</v>
      </c>
      <c r="O443" t="s">
        <v>167</v>
      </c>
      <c r="P443">
        <v>0.19570000000000001</v>
      </c>
      <c r="Q443" t="s">
        <v>29</v>
      </c>
      <c r="R443" t="s">
        <v>50</v>
      </c>
      <c r="S443" t="s">
        <v>6936</v>
      </c>
    </row>
    <row r="444" spans="1:19" x14ac:dyDescent="0.25">
      <c r="A444">
        <v>2016</v>
      </c>
      <c r="B444">
        <v>10276</v>
      </c>
      <c r="C444" t="s">
        <v>1257</v>
      </c>
      <c r="D444" t="s">
        <v>1258</v>
      </c>
      <c r="E444">
        <v>562920</v>
      </c>
      <c r="F444" t="s">
        <v>329</v>
      </c>
      <c r="G444" t="s">
        <v>330</v>
      </c>
      <c r="H444" t="s">
        <v>21</v>
      </c>
      <c r="I444" t="s">
        <v>317</v>
      </c>
      <c r="J444" t="s">
        <v>318</v>
      </c>
      <c r="K444" t="s">
        <v>319</v>
      </c>
      <c r="L444" t="s">
        <v>89</v>
      </c>
      <c r="M444" t="s">
        <v>90</v>
      </c>
      <c r="N444" t="s">
        <v>166</v>
      </c>
      <c r="O444" t="s">
        <v>167</v>
      </c>
      <c r="P444">
        <v>0.49880000000000002</v>
      </c>
      <c r="Q444" t="s">
        <v>29</v>
      </c>
      <c r="R444" t="s">
        <v>50</v>
      </c>
      <c r="S444" t="s">
        <v>6936</v>
      </c>
    </row>
    <row r="445" spans="1:19" x14ac:dyDescent="0.25">
      <c r="A445">
        <v>2022</v>
      </c>
      <c r="B445">
        <v>28660</v>
      </c>
      <c r="C445" t="s">
        <v>1259</v>
      </c>
      <c r="D445" t="s">
        <v>1259</v>
      </c>
      <c r="E445">
        <v>333110</v>
      </c>
      <c r="F445" t="s">
        <v>1260</v>
      </c>
      <c r="G445" t="s">
        <v>1261</v>
      </c>
      <c r="H445" t="s">
        <v>79</v>
      </c>
      <c r="I445" t="s">
        <v>209</v>
      </c>
      <c r="J445" t="s">
        <v>210</v>
      </c>
      <c r="K445" t="s">
        <v>211</v>
      </c>
      <c r="L445" t="s">
        <v>25</v>
      </c>
      <c r="M445" t="s">
        <v>26</v>
      </c>
      <c r="N445" t="s">
        <v>38</v>
      </c>
      <c r="O445" t="s">
        <v>39</v>
      </c>
      <c r="P445">
        <v>10.08</v>
      </c>
      <c r="Q445" t="s">
        <v>29</v>
      </c>
      <c r="R445" t="s">
        <v>50</v>
      </c>
      <c r="S445" t="s">
        <v>6936</v>
      </c>
    </row>
    <row r="446" spans="1:19" x14ac:dyDescent="0.25">
      <c r="A446">
        <v>2005</v>
      </c>
      <c r="B446">
        <v>5302</v>
      </c>
      <c r="C446" t="s">
        <v>122</v>
      </c>
      <c r="D446" t="s">
        <v>1262</v>
      </c>
      <c r="E446">
        <v>562210</v>
      </c>
      <c r="F446" t="s">
        <v>52</v>
      </c>
      <c r="G446" t="s">
        <v>53</v>
      </c>
      <c r="H446" t="s">
        <v>85</v>
      </c>
      <c r="I446" t="s">
        <v>331</v>
      </c>
      <c r="J446" t="s">
        <v>332</v>
      </c>
      <c r="K446" t="s">
        <v>333</v>
      </c>
      <c r="L446" t="s">
        <v>25</v>
      </c>
      <c r="M446" t="s">
        <v>26</v>
      </c>
      <c r="N446" t="s">
        <v>380</v>
      </c>
      <c r="O446" t="s">
        <v>381</v>
      </c>
      <c r="P446">
        <v>98.234999999999999</v>
      </c>
      <c r="Q446" t="s">
        <v>29</v>
      </c>
      <c r="R446" t="s">
        <v>124</v>
      </c>
      <c r="S446" t="s">
        <v>6936</v>
      </c>
    </row>
    <row r="447" spans="1:19" x14ac:dyDescent="0.25">
      <c r="A447">
        <v>2006</v>
      </c>
      <c r="B447">
        <v>6097</v>
      </c>
      <c r="C447" t="s">
        <v>1010</v>
      </c>
      <c r="D447" t="s">
        <v>1011</v>
      </c>
      <c r="E447">
        <v>325410</v>
      </c>
      <c r="F447" t="s">
        <v>218</v>
      </c>
      <c r="G447" t="s">
        <v>219</v>
      </c>
      <c r="H447" t="s">
        <v>1012</v>
      </c>
      <c r="I447" t="s">
        <v>435</v>
      </c>
      <c r="J447" t="s">
        <v>436</v>
      </c>
      <c r="K447" t="s">
        <v>437</v>
      </c>
      <c r="L447" t="s">
        <v>89</v>
      </c>
      <c r="M447" t="s">
        <v>90</v>
      </c>
      <c r="N447" t="s">
        <v>472</v>
      </c>
      <c r="O447" t="s">
        <v>473</v>
      </c>
      <c r="P447">
        <v>0</v>
      </c>
      <c r="Q447" t="s">
        <v>29</v>
      </c>
      <c r="R447" t="s">
        <v>30</v>
      </c>
      <c r="S447" t="s">
        <v>6936</v>
      </c>
    </row>
    <row r="448" spans="1:19" x14ac:dyDescent="0.25">
      <c r="A448">
        <v>2003</v>
      </c>
      <c r="B448">
        <v>2559</v>
      </c>
      <c r="C448" t="s">
        <v>1263</v>
      </c>
      <c r="D448" t="s">
        <v>1263</v>
      </c>
      <c r="E448">
        <v>313320</v>
      </c>
      <c r="F448" t="s">
        <v>1264</v>
      </c>
      <c r="G448" t="s">
        <v>1265</v>
      </c>
      <c r="H448" t="s">
        <v>79</v>
      </c>
      <c r="I448" t="s">
        <v>70</v>
      </c>
      <c r="J448" t="s">
        <v>71</v>
      </c>
      <c r="K448" t="s">
        <v>72</v>
      </c>
      <c r="L448" t="s">
        <v>89</v>
      </c>
      <c r="M448" t="s">
        <v>90</v>
      </c>
      <c r="N448" t="s">
        <v>166</v>
      </c>
      <c r="O448" t="s">
        <v>167</v>
      </c>
      <c r="P448">
        <v>27.9</v>
      </c>
      <c r="Q448" t="s">
        <v>29</v>
      </c>
      <c r="R448" t="s">
        <v>50</v>
      </c>
      <c r="S448" t="s">
        <v>6936</v>
      </c>
    </row>
    <row r="449" spans="1:19" x14ac:dyDescent="0.25">
      <c r="A449">
        <v>2015</v>
      </c>
      <c r="B449">
        <v>4797</v>
      </c>
      <c r="C449" t="s">
        <v>113</v>
      </c>
      <c r="D449" t="s">
        <v>114</v>
      </c>
      <c r="E449">
        <v>332113</v>
      </c>
      <c r="F449" t="s">
        <v>115</v>
      </c>
      <c r="G449" t="s">
        <v>116</v>
      </c>
      <c r="H449" t="s">
        <v>79</v>
      </c>
      <c r="I449" t="s">
        <v>136</v>
      </c>
      <c r="J449" t="s">
        <v>137</v>
      </c>
      <c r="K449" t="s">
        <v>138</v>
      </c>
      <c r="L449" t="s">
        <v>89</v>
      </c>
      <c r="M449" t="s">
        <v>90</v>
      </c>
      <c r="N449" t="s">
        <v>120</v>
      </c>
      <c r="O449" t="s">
        <v>121</v>
      </c>
      <c r="P449">
        <v>18.295999999999999</v>
      </c>
      <c r="Q449" t="s">
        <v>29</v>
      </c>
      <c r="R449" t="s">
        <v>30</v>
      </c>
      <c r="S449" t="s">
        <v>6936</v>
      </c>
    </row>
    <row r="450" spans="1:19" x14ac:dyDescent="0.25">
      <c r="A450">
        <v>2021</v>
      </c>
      <c r="B450">
        <v>3845</v>
      </c>
      <c r="C450" t="s">
        <v>1266</v>
      </c>
      <c r="D450" t="s">
        <v>1267</v>
      </c>
      <c r="E450">
        <v>332810</v>
      </c>
      <c r="F450" t="s">
        <v>361</v>
      </c>
      <c r="G450" t="s">
        <v>362</v>
      </c>
      <c r="H450" t="s">
        <v>21</v>
      </c>
      <c r="I450" t="s">
        <v>35</v>
      </c>
      <c r="J450" t="s">
        <v>36</v>
      </c>
      <c r="K450" t="s">
        <v>37</v>
      </c>
      <c r="L450" t="s">
        <v>89</v>
      </c>
      <c r="M450" t="s">
        <v>90</v>
      </c>
      <c r="N450" t="s">
        <v>91</v>
      </c>
      <c r="O450" t="s">
        <v>92</v>
      </c>
      <c r="P450">
        <v>6.7030000000000003</v>
      </c>
      <c r="Q450" t="s">
        <v>40</v>
      </c>
      <c r="R450" t="s">
        <v>30</v>
      </c>
      <c r="S450" t="s">
        <v>6936</v>
      </c>
    </row>
    <row r="451" spans="1:19" x14ac:dyDescent="0.25">
      <c r="A451">
        <v>2008</v>
      </c>
      <c r="B451">
        <v>5370</v>
      </c>
      <c r="C451" t="s">
        <v>1268</v>
      </c>
      <c r="D451" t="s">
        <v>1269</v>
      </c>
      <c r="E451">
        <v>211113</v>
      </c>
      <c r="F451" t="s">
        <v>425</v>
      </c>
      <c r="G451" t="s">
        <v>426</v>
      </c>
      <c r="H451" t="s">
        <v>85</v>
      </c>
      <c r="I451" t="s">
        <v>491</v>
      </c>
      <c r="J451" t="s">
        <v>492</v>
      </c>
      <c r="K451" t="s">
        <v>492</v>
      </c>
      <c r="L451" t="s">
        <v>25</v>
      </c>
      <c r="M451" t="s">
        <v>26</v>
      </c>
      <c r="N451" t="s">
        <v>73</v>
      </c>
      <c r="O451" t="s">
        <v>74</v>
      </c>
      <c r="P451">
        <v>0.187</v>
      </c>
      <c r="Q451" t="s">
        <v>29</v>
      </c>
      <c r="R451" t="s">
        <v>30</v>
      </c>
      <c r="S451" t="s">
        <v>6936</v>
      </c>
    </row>
    <row r="452" spans="1:19" x14ac:dyDescent="0.25">
      <c r="A452">
        <v>2005</v>
      </c>
      <c r="B452">
        <v>5456</v>
      </c>
      <c r="C452" t="s">
        <v>1270</v>
      </c>
      <c r="D452" t="s">
        <v>1270</v>
      </c>
      <c r="E452">
        <v>332810</v>
      </c>
      <c r="F452" t="s">
        <v>237</v>
      </c>
      <c r="G452" t="s">
        <v>238</v>
      </c>
      <c r="H452" t="s">
        <v>79</v>
      </c>
      <c r="I452" t="s">
        <v>86</v>
      </c>
      <c r="J452" t="s">
        <v>87</v>
      </c>
      <c r="K452" t="s">
        <v>88</v>
      </c>
      <c r="L452" t="s">
        <v>89</v>
      </c>
      <c r="M452" t="s">
        <v>90</v>
      </c>
      <c r="N452" t="s">
        <v>100</v>
      </c>
      <c r="O452" t="s">
        <v>101</v>
      </c>
      <c r="P452">
        <v>0</v>
      </c>
      <c r="Q452" t="s">
        <v>29</v>
      </c>
      <c r="R452" t="s">
        <v>30</v>
      </c>
      <c r="S452" t="s">
        <v>6936</v>
      </c>
    </row>
    <row r="453" spans="1:19" x14ac:dyDescent="0.25">
      <c r="A453">
        <v>2018</v>
      </c>
      <c r="B453">
        <v>4740</v>
      </c>
      <c r="C453" t="s">
        <v>1271</v>
      </c>
      <c r="D453" t="s">
        <v>1271</v>
      </c>
      <c r="E453">
        <v>336390</v>
      </c>
      <c r="F453" t="s">
        <v>182</v>
      </c>
      <c r="G453" t="s">
        <v>61</v>
      </c>
      <c r="H453" t="s">
        <v>21</v>
      </c>
      <c r="I453" t="s">
        <v>209</v>
      </c>
      <c r="J453" t="s">
        <v>210</v>
      </c>
      <c r="K453" t="s">
        <v>211</v>
      </c>
      <c r="L453" t="s">
        <v>89</v>
      </c>
      <c r="M453" t="s">
        <v>90</v>
      </c>
      <c r="N453" t="s">
        <v>91</v>
      </c>
      <c r="O453" t="s">
        <v>92</v>
      </c>
      <c r="P453">
        <v>0.16600000000000001</v>
      </c>
      <c r="Q453" t="s">
        <v>29</v>
      </c>
      <c r="R453" t="s">
        <v>50</v>
      </c>
      <c r="S453" t="s">
        <v>6936</v>
      </c>
    </row>
    <row r="454" spans="1:19" x14ac:dyDescent="0.25">
      <c r="A454">
        <v>2012</v>
      </c>
      <c r="B454">
        <v>7661</v>
      </c>
      <c r="C454" t="s">
        <v>1272</v>
      </c>
      <c r="D454" t="s">
        <v>1273</v>
      </c>
      <c r="E454">
        <v>331317</v>
      </c>
      <c r="F454" t="s">
        <v>768</v>
      </c>
      <c r="G454" t="s">
        <v>769</v>
      </c>
      <c r="H454" t="s">
        <v>21</v>
      </c>
      <c r="I454" t="s">
        <v>461</v>
      </c>
      <c r="J454" t="s">
        <v>462</v>
      </c>
      <c r="K454" t="s">
        <v>463</v>
      </c>
      <c r="L454" t="s">
        <v>89</v>
      </c>
      <c r="M454" t="s">
        <v>90</v>
      </c>
      <c r="N454" t="s">
        <v>166</v>
      </c>
      <c r="O454" t="s">
        <v>167</v>
      </c>
      <c r="P454">
        <v>9.64</v>
      </c>
      <c r="Q454" t="s">
        <v>40</v>
      </c>
      <c r="R454" t="s">
        <v>30</v>
      </c>
      <c r="S454" t="s">
        <v>6936</v>
      </c>
    </row>
    <row r="455" spans="1:19" x14ac:dyDescent="0.25">
      <c r="A455">
        <v>2004</v>
      </c>
      <c r="B455">
        <v>117</v>
      </c>
      <c r="C455" t="s">
        <v>1274</v>
      </c>
      <c r="D455" t="s">
        <v>1275</v>
      </c>
      <c r="E455">
        <v>336330</v>
      </c>
      <c r="F455" t="s">
        <v>1276</v>
      </c>
      <c r="G455" t="s">
        <v>675</v>
      </c>
      <c r="H455" t="s">
        <v>21</v>
      </c>
      <c r="I455" t="s">
        <v>62</v>
      </c>
      <c r="J455" t="s">
        <v>63</v>
      </c>
      <c r="K455" t="s">
        <v>64</v>
      </c>
      <c r="L455" t="s">
        <v>89</v>
      </c>
      <c r="M455" t="s">
        <v>90</v>
      </c>
      <c r="N455" t="s">
        <v>100</v>
      </c>
      <c r="O455" t="s">
        <v>101</v>
      </c>
      <c r="P455">
        <v>2.5999999999999999E-2</v>
      </c>
      <c r="Q455" t="s">
        <v>29</v>
      </c>
      <c r="R455" t="s">
        <v>124</v>
      </c>
      <c r="S455" t="s">
        <v>6936</v>
      </c>
    </row>
    <row r="456" spans="1:19" x14ac:dyDescent="0.25">
      <c r="A456">
        <v>2007</v>
      </c>
      <c r="B456">
        <v>1816</v>
      </c>
      <c r="C456" t="s">
        <v>1277</v>
      </c>
      <c r="D456" t="s">
        <v>1278</v>
      </c>
      <c r="E456">
        <v>335110</v>
      </c>
      <c r="F456" t="s">
        <v>1279</v>
      </c>
      <c r="G456" t="s">
        <v>1280</v>
      </c>
      <c r="H456" t="s">
        <v>79</v>
      </c>
      <c r="I456" t="s">
        <v>271</v>
      </c>
      <c r="J456" t="s">
        <v>272</v>
      </c>
      <c r="K456" t="s">
        <v>273</v>
      </c>
      <c r="L456" t="s">
        <v>25</v>
      </c>
      <c r="M456" t="s">
        <v>26</v>
      </c>
      <c r="N456" t="s">
        <v>48</v>
      </c>
      <c r="O456" t="s">
        <v>49</v>
      </c>
      <c r="P456">
        <v>18.399999999999999</v>
      </c>
      <c r="Q456" t="s">
        <v>29</v>
      </c>
      <c r="R456" t="s">
        <v>124</v>
      </c>
      <c r="S456" t="s">
        <v>6936</v>
      </c>
    </row>
    <row r="457" spans="1:19" x14ac:dyDescent="0.25">
      <c r="A457">
        <v>2002</v>
      </c>
      <c r="B457">
        <v>2685</v>
      </c>
      <c r="C457" t="s">
        <v>1281</v>
      </c>
      <c r="E457">
        <v>336370</v>
      </c>
      <c r="F457" t="s">
        <v>586</v>
      </c>
      <c r="G457" t="s">
        <v>587</v>
      </c>
      <c r="H457" t="s">
        <v>21</v>
      </c>
      <c r="I457" t="s">
        <v>136</v>
      </c>
      <c r="J457" t="s">
        <v>137</v>
      </c>
      <c r="K457" t="s">
        <v>138</v>
      </c>
      <c r="L457" t="s">
        <v>25</v>
      </c>
      <c r="M457" t="s">
        <v>26</v>
      </c>
      <c r="N457" t="s">
        <v>38</v>
      </c>
      <c r="O457" t="s">
        <v>39</v>
      </c>
      <c r="P457">
        <v>133.19</v>
      </c>
      <c r="Q457" t="s">
        <v>29</v>
      </c>
      <c r="R457" t="s">
        <v>30</v>
      </c>
      <c r="S457" t="s">
        <v>6936</v>
      </c>
    </row>
    <row r="458" spans="1:19" x14ac:dyDescent="0.25">
      <c r="A458">
        <v>2019</v>
      </c>
      <c r="B458">
        <v>11580</v>
      </c>
      <c r="C458" t="s">
        <v>1070</v>
      </c>
      <c r="D458" t="s">
        <v>1282</v>
      </c>
      <c r="E458">
        <v>325510</v>
      </c>
      <c r="F458" t="s">
        <v>111</v>
      </c>
      <c r="G458" t="s">
        <v>112</v>
      </c>
      <c r="H458" t="s">
        <v>21</v>
      </c>
      <c r="I458" t="s">
        <v>778</v>
      </c>
      <c r="J458" t="s">
        <v>779</v>
      </c>
      <c r="K458" t="s">
        <v>780</v>
      </c>
      <c r="L458" t="s">
        <v>25</v>
      </c>
      <c r="M458" t="s">
        <v>26</v>
      </c>
      <c r="N458" t="s">
        <v>27</v>
      </c>
      <c r="O458" t="s">
        <v>28</v>
      </c>
      <c r="P458">
        <v>0.02</v>
      </c>
      <c r="Q458" t="s">
        <v>29</v>
      </c>
      <c r="R458" t="s">
        <v>30</v>
      </c>
      <c r="S458" t="s">
        <v>6936</v>
      </c>
    </row>
    <row r="459" spans="1:19" x14ac:dyDescent="0.25">
      <c r="A459">
        <v>2017</v>
      </c>
      <c r="B459">
        <v>8645</v>
      </c>
      <c r="C459" t="s">
        <v>642</v>
      </c>
      <c r="D459" t="s">
        <v>712</v>
      </c>
      <c r="E459">
        <v>562110</v>
      </c>
      <c r="F459" t="s">
        <v>644</v>
      </c>
      <c r="G459" t="s">
        <v>645</v>
      </c>
      <c r="H459" t="s">
        <v>79</v>
      </c>
      <c r="I459" t="s">
        <v>22</v>
      </c>
      <c r="J459" t="s">
        <v>23</v>
      </c>
      <c r="K459" t="s">
        <v>24</v>
      </c>
      <c r="L459" t="s">
        <v>89</v>
      </c>
      <c r="M459" t="s">
        <v>90</v>
      </c>
      <c r="N459" t="s">
        <v>120</v>
      </c>
      <c r="O459" t="s">
        <v>121</v>
      </c>
      <c r="P459">
        <v>44.1751</v>
      </c>
      <c r="Q459" t="s">
        <v>29</v>
      </c>
      <c r="R459" t="s">
        <v>50</v>
      </c>
      <c r="S459" t="s">
        <v>6936</v>
      </c>
    </row>
    <row r="460" spans="1:19" x14ac:dyDescent="0.25">
      <c r="A460">
        <v>2014</v>
      </c>
      <c r="B460">
        <v>3698</v>
      </c>
      <c r="C460" t="s">
        <v>194</v>
      </c>
      <c r="D460" t="s">
        <v>1283</v>
      </c>
      <c r="E460">
        <v>412110</v>
      </c>
      <c r="F460" t="s">
        <v>127</v>
      </c>
      <c r="G460" t="s">
        <v>128</v>
      </c>
      <c r="H460" t="s">
        <v>483</v>
      </c>
      <c r="I460" t="s">
        <v>427</v>
      </c>
      <c r="J460" t="s">
        <v>428</v>
      </c>
      <c r="K460" t="s">
        <v>429</v>
      </c>
      <c r="L460" t="s">
        <v>89</v>
      </c>
      <c r="M460" t="s">
        <v>90</v>
      </c>
      <c r="N460" t="s">
        <v>166</v>
      </c>
      <c r="O460" t="s">
        <v>167</v>
      </c>
      <c r="P460">
        <v>0.5</v>
      </c>
      <c r="Q460" t="s">
        <v>29</v>
      </c>
      <c r="R460" t="s">
        <v>30</v>
      </c>
      <c r="S460" t="s">
        <v>6936</v>
      </c>
    </row>
    <row r="461" spans="1:19" x14ac:dyDescent="0.25">
      <c r="A461">
        <v>2023</v>
      </c>
      <c r="B461">
        <v>3713</v>
      </c>
      <c r="C461" t="s">
        <v>1223</v>
      </c>
      <c r="D461" t="s">
        <v>1224</v>
      </c>
      <c r="E461">
        <v>331110</v>
      </c>
      <c r="F461" t="s">
        <v>627</v>
      </c>
      <c r="G461" t="s">
        <v>336</v>
      </c>
      <c r="H461" t="s">
        <v>21</v>
      </c>
      <c r="I461" t="s">
        <v>70</v>
      </c>
      <c r="J461" t="s">
        <v>71</v>
      </c>
      <c r="K461" t="s">
        <v>72</v>
      </c>
      <c r="L461" t="s">
        <v>25</v>
      </c>
      <c r="M461" t="s">
        <v>26</v>
      </c>
      <c r="N461" t="s">
        <v>155</v>
      </c>
      <c r="O461" t="s">
        <v>156</v>
      </c>
      <c r="P461">
        <v>7.2000000000000002E-5</v>
      </c>
      <c r="Q461" t="s">
        <v>29</v>
      </c>
      <c r="R461" t="s">
        <v>50</v>
      </c>
      <c r="S461" t="s">
        <v>6936</v>
      </c>
    </row>
    <row r="462" spans="1:19" x14ac:dyDescent="0.25">
      <c r="A462">
        <v>2016</v>
      </c>
      <c r="B462">
        <v>3698</v>
      </c>
      <c r="C462" t="s">
        <v>194</v>
      </c>
      <c r="D462" t="s">
        <v>1097</v>
      </c>
      <c r="E462">
        <v>412110</v>
      </c>
      <c r="F462" t="s">
        <v>127</v>
      </c>
      <c r="G462" t="s">
        <v>128</v>
      </c>
      <c r="H462" t="s">
        <v>483</v>
      </c>
      <c r="I462" t="s">
        <v>543</v>
      </c>
      <c r="J462" t="s">
        <v>544</v>
      </c>
      <c r="K462" t="s">
        <v>545</v>
      </c>
      <c r="L462" t="s">
        <v>89</v>
      </c>
      <c r="M462" t="s">
        <v>90</v>
      </c>
      <c r="N462" t="s">
        <v>91</v>
      </c>
      <c r="O462" t="s">
        <v>92</v>
      </c>
      <c r="P462">
        <v>19.197299999999998</v>
      </c>
      <c r="Q462" t="s">
        <v>40</v>
      </c>
      <c r="R462" t="s">
        <v>30</v>
      </c>
      <c r="S462" t="s">
        <v>6936</v>
      </c>
    </row>
    <row r="463" spans="1:19" x14ac:dyDescent="0.25">
      <c r="A463">
        <v>2007</v>
      </c>
      <c r="B463">
        <v>4756</v>
      </c>
      <c r="C463" t="s">
        <v>1284</v>
      </c>
      <c r="D463" t="s">
        <v>1285</v>
      </c>
      <c r="E463">
        <v>336390</v>
      </c>
      <c r="F463" t="s">
        <v>60</v>
      </c>
      <c r="G463" t="s">
        <v>61</v>
      </c>
      <c r="H463" t="s">
        <v>21</v>
      </c>
      <c r="I463" t="s">
        <v>62</v>
      </c>
      <c r="J463" t="s">
        <v>63</v>
      </c>
      <c r="K463" t="s">
        <v>64</v>
      </c>
      <c r="L463" t="s">
        <v>89</v>
      </c>
      <c r="M463" t="s">
        <v>90</v>
      </c>
      <c r="N463" t="s">
        <v>100</v>
      </c>
      <c r="O463" t="s">
        <v>101</v>
      </c>
      <c r="P463">
        <v>2.3E-2</v>
      </c>
      <c r="Q463" t="s">
        <v>29</v>
      </c>
      <c r="R463" t="s">
        <v>124</v>
      </c>
      <c r="S463" t="s">
        <v>6936</v>
      </c>
    </row>
    <row r="464" spans="1:19" x14ac:dyDescent="0.25">
      <c r="A464">
        <v>2010</v>
      </c>
      <c r="B464">
        <v>2070</v>
      </c>
      <c r="C464" t="s">
        <v>1286</v>
      </c>
      <c r="D464" t="s">
        <v>1287</v>
      </c>
      <c r="E464">
        <v>325190</v>
      </c>
      <c r="F464" t="s">
        <v>832</v>
      </c>
      <c r="G464" t="s">
        <v>601</v>
      </c>
      <c r="H464" t="s">
        <v>21</v>
      </c>
      <c r="I464" t="s">
        <v>172</v>
      </c>
      <c r="J464" t="s">
        <v>173</v>
      </c>
      <c r="K464" t="s">
        <v>174</v>
      </c>
      <c r="L464" t="s">
        <v>89</v>
      </c>
      <c r="M464" t="s">
        <v>90</v>
      </c>
      <c r="N464" t="s">
        <v>166</v>
      </c>
      <c r="O464" t="s">
        <v>167</v>
      </c>
      <c r="P464">
        <v>0.02</v>
      </c>
      <c r="Q464" t="s">
        <v>29</v>
      </c>
      <c r="R464" t="s">
        <v>30</v>
      </c>
      <c r="S464" t="s">
        <v>6936</v>
      </c>
    </row>
    <row r="465" spans="1:19" x14ac:dyDescent="0.25">
      <c r="A465">
        <v>2006</v>
      </c>
      <c r="B465">
        <v>1495</v>
      </c>
      <c r="C465" t="s">
        <v>1288</v>
      </c>
      <c r="D465" t="s">
        <v>1289</v>
      </c>
      <c r="E465">
        <v>325189</v>
      </c>
      <c r="F465" t="s">
        <v>1290</v>
      </c>
      <c r="G465" t="s">
        <v>1291</v>
      </c>
      <c r="H465" t="s">
        <v>21</v>
      </c>
      <c r="I465" t="s">
        <v>35</v>
      </c>
      <c r="J465" t="s">
        <v>36</v>
      </c>
      <c r="K465" t="s">
        <v>37</v>
      </c>
      <c r="L465" t="s">
        <v>89</v>
      </c>
      <c r="M465" t="s">
        <v>90</v>
      </c>
      <c r="N465" t="s">
        <v>100</v>
      </c>
      <c r="O465" t="s">
        <v>101</v>
      </c>
      <c r="P465">
        <v>95</v>
      </c>
      <c r="Q465" t="s">
        <v>40</v>
      </c>
      <c r="R465" t="s">
        <v>124</v>
      </c>
      <c r="S465" t="s">
        <v>6936</v>
      </c>
    </row>
    <row r="466" spans="1:19" x14ac:dyDescent="0.25">
      <c r="A466">
        <v>2017</v>
      </c>
      <c r="B466">
        <v>7293</v>
      </c>
      <c r="C466" t="s">
        <v>1292</v>
      </c>
      <c r="D466" t="s">
        <v>1293</v>
      </c>
      <c r="E466">
        <v>336390</v>
      </c>
      <c r="F466" t="s">
        <v>182</v>
      </c>
      <c r="G466" t="s">
        <v>61</v>
      </c>
      <c r="H466" t="s">
        <v>21</v>
      </c>
      <c r="I466" t="s">
        <v>136</v>
      </c>
      <c r="J466" t="s">
        <v>137</v>
      </c>
      <c r="K466" t="s">
        <v>138</v>
      </c>
      <c r="L466" t="s">
        <v>25</v>
      </c>
      <c r="M466" t="s">
        <v>26</v>
      </c>
      <c r="N466" t="s">
        <v>38</v>
      </c>
      <c r="O466" t="s">
        <v>39</v>
      </c>
      <c r="P466">
        <v>356.17899999999997</v>
      </c>
      <c r="Q466" t="s">
        <v>29</v>
      </c>
      <c r="R466" t="s">
        <v>124</v>
      </c>
      <c r="S466" t="s">
        <v>6936</v>
      </c>
    </row>
    <row r="467" spans="1:19" x14ac:dyDescent="0.25">
      <c r="A467">
        <v>2019</v>
      </c>
      <c r="B467">
        <v>1541</v>
      </c>
      <c r="C467" t="s">
        <v>1294</v>
      </c>
      <c r="D467" t="s">
        <v>767</v>
      </c>
      <c r="E467">
        <v>331317</v>
      </c>
      <c r="F467" t="s">
        <v>768</v>
      </c>
      <c r="G467" t="s">
        <v>769</v>
      </c>
      <c r="H467" t="s">
        <v>85</v>
      </c>
      <c r="I467" t="s">
        <v>1295</v>
      </c>
      <c r="J467" t="s">
        <v>1296</v>
      </c>
      <c r="K467" t="s">
        <v>1297</v>
      </c>
      <c r="L467" t="s">
        <v>25</v>
      </c>
      <c r="M467" t="s">
        <v>26</v>
      </c>
      <c r="N467" t="s">
        <v>38</v>
      </c>
      <c r="O467" t="s">
        <v>39</v>
      </c>
      <c r="P467">
        <v>6.0000000000000001E-3</v>
      </c>
      <c r="Q467" t="s">
        <v>29</v>
      </c>
      <c r="R467" t="s">
        <v>50</v>
      </c>
      <c r="S467" t="s">
        <v>6936</v>
      </c>
    </row>
    <row r="468" spans="1:19" x14ac:dyDescent="0.25">
      <c r="A468">
        <v>2014</v>
      </c>
      <c r="B468">
        <v>199</v>
      </c>
      <c r="C468" t="s">
        <v>1108</v>
      </c>
      <c r="D468" t="s">
        <v>969</v>
      </c>
      <c r="E468">
        <v>331523</v>
      </c>
      <c r="F468" t="s">
        <v>33</v>
      </c>
      <c r="G468" t="s">
        <v>34</v>
      </c>
      <c r="H468" t="s">
        <v>21</v>
      </c>
      <c r="I468" t="s">
        <v>152</v>
      </c>
      <c r="J468" t="s">
        <v>153</v>
      </c>
      <c r="K468" t="s">
        <v>154</v>
      </c>
      <c r="L468" t="s">
        <v>89</v>
      </c>
      <c r="M468" t="s">
        <v>90</v>
      </c>
      <c r="N468" t="s">
        <v>120</v>
      </c>
      <c r="O468" t="s">
        <v>121</v>
      </c>
      <c r="P468">
        <v>1E-3</v>
      </c>
      <c r="Q468" t="s">
        <v>29</v>
      </c>
      <c r="R468" t="s">
        <v>30</v>
      </c>
      <c r="S468" t="s">
        <v>6936</v>
      </c>
    </row>
    <row r="469" spans="1:19" x14ac:dyDescent="0.25">
      <c r="A469">
        <v>2022</v>
      </c>
      <c r="B469">
        <v>8645</v>
      </c>
      <c r="C469" t="s">
        <v>995</v>
      </c>
      <c r="D469" t="s">
        <v>712</v>
      </c>
      <c r="E469">
        <v>562110</v>
      </c>
      <c r="F469" t="s">
        <v>644</v>
      </c>
      <c r="G469" t="s">
        <v>645</v>
      </c>
      <c r="H469" t="s">
        <v>79</v>
      </c>
      <c r="I469" t="s">
        <v>1123</v>
      </c>
      <c r="J469" t="s">
        <v>1124</v>
      </c>
      <c r="K469" t="s">
        <v>1125</v>
      </c>
      <c r="L469" t="s">
        <v>89</v>
      </c>
      <c r="M469" t="s">
        <v>90</v>
      </c>
      <c r="N469" t="s">
        <v>166</v>
      </c>
      <c r="O469" t="s">
        <v>167</v>
      </c>
      <c r="P469">
        <v>18.170300000000001</v>
      </c>
      <c r="Q469" t="s">
        <v>29</v>
      </c>
      <c r="R469" t="s">
        <v>50</v>
      </c>
      <c r="S469" t="s">
        <v>6936</v>
      </c>
    </row>
    <row r="470" spans="1:19" x14ac:dyDescent="0.25">
      <c r="A470">
        <v>2009</v>
      </c>
      <c r="B470">
        <v>4756</v>
      </c>
      <c r="C470" t="s">
        <v>1284</v>
      </c>
      <c r="D470" t="s">
        <v>1285</v>
      </c>
      <c r="E470">
        <v>336390</v>
      </c>
      <c r="F470" t="s">
        <v>60</v>
      </c>
      <c r="G470" t="s">
        <v>61</v>
      </c>
      <c r="H470" t="s">
        <v>21</v>
      </c>
      <c r="I470" t="s">
        <v>152</v>
      </c>
      <c r="J470" t="s">
        <v>153</v>
      </c>
      <c r="K470" t="s">
        <v>154</v>
      </c>
      <c r="L470" t="s">
        <v>89</v>
      </c>
      <c r="M470" t="s">
        <v>90</v>
      </c>
      <c r="N470" t="s">
        <v>100</v>
      </c>
      <c r="O470" t="s">
        <v>101</v>
      </c>
      <c r="P470">
        <v>0</v>
      </c>
      <c r="Q470" t="s">
        <v>29</v>
      </c>
      <c r="R470" t="s">
        <v>124</v>
      </c>
      <c r="S470" t="s">
        <v>6936</v>
      </c>
    </row>
    <row r="471" spans="1:19" x14ac:dyDescent="0.25">
      <c r="A471">
        <v>2004</v>
      </c>
      <c r="B471">
        <v>4048</v>
      </c>
      <c r="C471" t="s">
        <v>1298</v>
      </c>
      <c r="D471" t="s">
        <v>1299</v>
      </c>
      <c r="E471">
        <v>324110</v>
      </c>
      <c r="F471" t="s">
        <v>95</v>
      </c>
      <c r="G471" t="s">
        <v>96</v>
      </c>
      <c r="H471" t="s">
        <v>243</v>
      </c>
      <c r="I471" t="s">
        <v>525</v>
      </c>
      <c r="J471" t="s">
        <v>526</v>
      </c>
      <c r="K471" t="s">
        <v>527</v>
      </c>
      <c r="L471" t="s">
        <v>89</v>
      </c>
      <c r="M471" t="s">
        <v>90</v>
      </c>
      <c r="N471" t="s">
        <v>100</v>
      </c>
      <c r="O471" t="s">
        <v>101</v>
      </c>
      <c r="P471">
        <v>0.14399999999999999</v>
      </c>
      <c r="Q471" t="s">
        <v>29</v>
      </c>
      <c r="R471" t="s">
        <v>124</v>
      </c>
      <c r="S471" t="s">
        <v>6936</v>
      </c>
    </row>
    <row r="472" spans="1:19" x14ac:dyDescent="0.25">
      <c r="A472">
        <v>2006</v>
      </c>
      <c r="B472">
        <v>1012</v>
      </c>
      <c r="C472" t="s">
        <v>1300</v>
      </c>
      <c r="D472" t="s">
        <v>1301</v>
      </c>
      <c r="E472">
        <v>488190</v>
      </c>
      <c r="F472" t="s">
        <v>1302</v>
      </c>
      <c r="G472" t="s">
        <v>1303</v>
      </c>
      <c r="H472" t="s">
        <v>79</v>
      </c>
      <c r="I472" t="s">
        <v>331</v>
      </c>
      <c r="J472" t="s">
        <v>332</v>
      </c>
      <c r="K472" t="s">
        <v>333</v>
      </c>
      <c r="L472" t="s">
        <v>25</v>
      </c>
      <c r="M472" t="s">
        <v>26</v>
      </c>
      <c r="N472" t="s">
        <v>380</v>
      </c>
      <c r="O472" t="s">
        <v>381</v>
      </c>
      <c r="P472">
        <v>42.957000000000001</v>
      </c>
      <c r="Q472" t="s">
        <v>29</v>
      </c>
      <c r="R472" t="s">
        <v>258</v>
      </c>
      <c r="S472" t="s">
        <v>6936</v>
      </c>
    </row>
    <row r="473" spans="1:19" x14ac:dyDescent="0.25">
      <c r="A473">
        <v>2023</v>
      </c>
      <c r="B473">
        <v>5471</v>
      </c>
      <c r="C473" t="s">
        <v>1304</v>
      </c>
      <c r="D473" t="s">
        <v>1305</v>
      </c>
      <c r="E473">
        <v>322122</v>
      </c>
      <c r="F473" t="s">
        <v>1061</v>
      </c>
      <c r="G473" t="s">
        <v>1062</v>
      </c>
      <c r="H473" t="s">
        <v>79</v>
      </c>
      <c r="I473" t="s">
        <v>324</v>
      </c>
      <c r="J473" t="s">
        <v>325</v>
      </c>
      <c r="K473" t="s">
        <v>326</v>
      </c>
      <c r="L473" t="s">
        <v>25</v>
      </c>
      <c r="M473" t="s">
        <v>26</v>
      </c>
      <c r="N473" t="s">
        <v>155</v>
      </c>
      <c r="O473" t="s">
        <v>156</v>
      </c>
      <c r="P473">
        <v>74.069999999999993</v>
      </c>
      <c r="Q473" t="s">
        <v>40</v>
      </c>
      <c r="R473" t="s">
        <v>124</v>
      </c>
      <c r="S473" t="s">
        <v>6936</v>
      </c>
    </row>
    <row r="474" spans="1:19" x14ac:dyDescent="0.25">
      <c r="A474">
        <v>2018</v>
      </c>
      <c r="B474">
        <v>11602</v>
      </c>
      <c r="C474" t="s">
        <v>1306</v>
      </c>
      <c r="D474" t="s">
        <v>1307</v>
      </c>
      <c r="E474">
        <v>335315</v>
      </c>
      <c r="F474" t="s">
        <v>1033</v>
      </c>
      <c r="G474" t="s">
        <v>1034</v>
      </c>
      <c r="H474" t="s">
        <v>21</v>
      </c>
      <c r="I474" t="s">
        <v>152</v>
      </c>
      <c r="J474" t="s">
        <v>153</v>
      </c>
      <c r="K474" t="s">
        <v>154</v>
      </c>
      <c r="L474" t="s">
        <v>25</v>
      </c>
      <c r="M474" t="s">
        <v>26</v>
      </c>
      <c r="N474" t="s">
        <v>38</v>
      </c>
      <c r="O474" t="s">
        <v>39</v>
      </c>
      <c r="P474">
        <v>8.6739999999999995</v>
      </c>
      <c r="Q474" t="s">
        <v>29</v>
      </c>
      <c r="R474" t="s">
        <v>50</v>
      </c>
      <c r="S474" t="s">
        <v>6936</v>
      </c>
    </row>
    <row r="475" spans="1:19" x14ac:dyDescent="0.25">
      <c r="A475">
        <v>2000</v>
      </c>
      <c r="B475">
        <v>397</v>
      </c>
      <c r="C475" t="s">
        <v>1308</v>
      </c>
      <c r="D475" t="s">
        <v>1309</v>
      </c>
      <c r="E475">
        <v>336110</v>
      </c>
      <c r="F475" t="s">
        <v>377</v>
      </c>
      <c r="G475" t="s">
        <v>44</v>
      </c>
      <c r="H475" t="s">
        <v>21</v>
      </c>
      <c r="I475" t="s">
        <v>152</v>
      </c>
      <c r="J475" t="s">
        <v>153</v>
      </c>
      <c r="K475" t="s">
        <v>154</v>
      </c>
      <c r="L475" t="s">
        <v>25</v>
      </c>
      <c r="M475" t="s">
        <v>26</v>
      </c>
      <c r="N475" t="s">
        <v>38</v>
      </c>
      <c r="O475" t="s">
        <v>39</v>
      </c>
      <c r="P475">
        <v>23.4</v>
      </c>
      <c r="Q475" t="s">
        <v>29</v>
      </c>
      <c r="R475" t="s">
        <v>50</v>
      </c>
      <c r="S475" t="s">
        <v>6936</v>
      </c>
    </row>
    <row r="476" spans="1:19" x14ac:dyDescent="0.25">
      <c r="A476">
        <v>2014</v>
      </c>
      <c r="B476">
        <v>800</v>
      </c>
      <c r="C476" t="s">
        <v>1310</v>
      </c>
      <c r="D476" t="s">
        <v>1311</v>
      </c>
      <c r="E476">
        <v>325190</v>
      </c>
      <c r="F476" t="s">
        <v>600</v>
      </c>
      <c r="G476" t="s">
        <v>601</v>
      </c>
      <c r="H476" t="s">
        <v>21</v>
      </c>
      <c r="I476" t="s">
        <v>520</v>
      </c>
      <c r="J476" t="s">
        <v>521</v>
      </c>
      <c r="K476" t="s">
        <v>522</v>
      </c>
      <c r="L476" t="s">
        <v>89</v>
      </c>
      <c r="M476" t="s">
        <v>90</v>
      </c>
      <c r="N476" t="s">
        <v>166</v>
      </c>
      <c r="O476" t="s">
        <v>167</v>
      </c>
      <c r="P476">
        <v>24.58</v>
      </c>
      <c r="Q476" t="s">
        <v>29</v>
      </c>
      <c r="R476" t="s">
        <v>30</v>
      </c>
      <c r="S476" t="s">
        <v>6936</v>
      </c>
    </row>
    <row r="477" spans="1:19" x14ac:dyDescent="0.25">
      <c r="A477">
        <v>1998</v>
      </c>
      <c r="B477">
        <v>5647</v>
      </c>
      <c r="C477" t="s">
        <v>1312</v>
      </c>
      <c r="D477" t="s">
        <v>1313</v>
      </c>
      <c r="E477">
        <v>562210</v>
      </c>
      <c r="F477" t="s">
        <v>52</v>
      </c>
      <c r="G477" t="s">
        <v>53</v>
      </c>
      <c r="H477" t="s">
        <v>21</v>
      </c>
      <c r="I477" t="s">
        <v>129</v>
      </c>
      <c r="J477" t="s">
        <v>130</v>
      </c>
      <c r="K477" t="s">
        <v>131</v>
      </c>
      <c r="L477" t="s">
        <v>25</v>
      </c>
      <c r="M477" t="s">
        <v>26</v>
      </c>
      <c r="N477" t="s">
        <v>48</v>
      </c>
      <c r="O477" t="s">
        <v>49</v>
      </c>
      <c r="P477">
        <v>19.370999999999999</v>
      </c>
      <c r="Q477" t="s">
        <v>29</v>
      </c>
      <c r="R477" t="s">
        <v>442</v>
      </c>
      <c r="S477" t="s">
        <v>6936</v>
      </c>
    </row>
    <row r="478" spans="1:19" x14ac:dyDescent="0.25">
      <c r="A478">
        <v>2001</v>
      </c>
      <c r="B478">
        <v>1162</v>
      </c>
      <c r="C478" t="s">
        <v>1314</v>
      </c>
      <c r="D478" t="s">
        <v>1315</v>
      </c>
      <c r="E478">
        <v>325110</v>
      </c>
      <c r="F478" t="s">
        <v>1194</v>
      </c>
      <c r="G478" t="s">
        <v>445</v>
      </c>
      <c r="H478" t="s">
        <v>85</v>
      </c>
      <c r="I478" t="s">
        <v>106</v>
      </c>
      <c r="J478" t="s">
        <v>107</v>
      </c>
      <c r="K478" t="s">
        <v>108</v>
      </c>
      <c r="L478" t="s">
        <v>25</v>
      </c>
      <c r="M478" t="s">
        <v>26</v>
      </c>
      <c r="N478" t="s">
        <v>38</v>
      </c>
      <c r="O478" t="s">
        <v>39</v>
      </c>
      <c r="P478">
        <v>19</v>
      </c>
      <c r="Q478" t="s">
        <v>40</v>
      </c>
      <c r="R478" t="s">
        <v>442</v>
      </c>
      <c r="S478" t="s">
        <v>6936</v>
      </c>
    </row>
    <row r="479" spans="1:19" x14ac:dyDescent="0.25">
      <c r="A479">
        <v>1996</v>
      </c>
      <c r="B479">
        <v>3427</v>
      </c>
      <c r="C479" t="s">
        <v>1070</v>
      </c>
      <c r="E479">
        <v>325510</v>
      </c>
      <c r="F479" t="s">
        <v>143</v>
      </c>
      <c r="G479" t="s">
        <v>112</v>
      </c>
      <c r="H479" t="s">
        <v>85</v>
      </c>
      <c r="I479" t="s">
        <v>271</v>
      </c>
      <c r="J479" t="s">
        <v>387</v>
      </c>
      <c r="K479" t="s">
        <v>388</v>
      </c>
      <c r="L479" t="s">
        <v>25</v>
      </c>
      <c r="M479" t="s">
        <v>26</v>
      </c>
      <c r="N479" t="s">
        <v>48</v>
      </c>
      <c r="O479" t="s">
        <v>49</v>
      </c>
      <c r="P479">
        <v>0.33500000000000002</v>
      </c>
      <c r="Q479" t="s">
        <v>29</v>
      </c>
      <c r="R479" t="s">
        <v>30</v>
      </c>
      <c r="S479" t="s">
        <v>6936</v>
      </c>
    </row>
    <row r="480" spans="1:19" x14ac:dyDescent="0.25">
      <c r="A480">
        <v>2017</v>
      </c>
      <c r="B480">
        <v>8645</v>
      </c>
      <c r="C480" t="s">
        <v>642</v>
      </c>
      <c r="D480" t="s">
        <v>712</v>
      </c>
      <c r="E480">
        <v>562110</v>
      </c>
      <c r="F480" t="s">
        <v>644</v>
      </c>
      <c r="G480" t="s">
        <v>645</v>
      </c>
      <c r="H480" t="s">
        <v>79</v>
      </c>
      <c r="I480" t="s">
        <v>1316</v>
      </c>
      <c r="J480" t="s">
        <v>1317</v>
      </c>
      <c r="K480" t="s">
        <v>1318</v>
      </c>
      <c r="L480" t="s">
        <v>89</v>
      </c>
      <c r="M480" t="s">
        <v>90</v>
      </c>
      <c r="N480" t="s">
        <v>120</v>
      </c>
      <c r="O480" t="s">
        <v>121</v>
      </c>
      <c r="P480">
        <v>8.6452000000000009</v>
      </c>
      <c r="Q480" t="s">
        <v>29</v>
      </c>
      <c r="R480" t="s">
        <v>50</v>
      </c>
      <c r="S480" t="s">
        <v>6936</v>
      </c>
    </row>
    <row r="481" spans="1:19" x14ac:dyDescent="0.25">
      <c r="A481">
        <v>1994</v>
      </c>
      <c r="B481">
        <v>2528</v>
      </c>
      <c r="C481" t="s">
        <v>1319</v>
      </c>
      <c r="E481">
        <v>325110</v>
      </c>
      <c r="F481" t="s">
        <v>1194</v>
      </c>
      <c r="G481" t="s">
        <v>445</v>
      </c>
      <c r="H481" t="s">
        <v>69</v>
      </c>
      <c r="I481" t="s">
        <v>331</v>
      </c>
      <c r="J481" t="s">
        <v>332</v>
      </c>
      <c r="K481" t="s">
        <v>333</v>
      </c>
      <c r="L481" t="s">
        <v>89</v>
      </c>
      <c r="M481" t="s">
        <v>90</v>
      </c>
      <c r="N481" t="s">
        <v>166</v>
      </c>
      <c r="O481" t="s">
        <v>167</v>
      </c>
      <c r="P481">
        <v>0.1</v>
      </c>
      <c r="Q481" t="s">
        <v>29</v>
      </c>
      <c r="R481" t="s">
        <v>30</v>
      </c>
      <c r="S481" t="s">
        <v>6936</v>
      </c>
    </row>
    <row r="482" spans="1:19" x14ac:dyDescent="0.25">
      <c r="A482">
        <v>2011</v>
      </c>
      <c r="B482">
        <v>10215</v>
      </c>
      <c r="C482" t="s">
        <v>125</v>
      </c>
      <c r="D482" t="s">
        <v>1161</v>
      </c>
      <c r="E482">
        <v>412110</v>
      </c>
      <c r="F482" t="s">
        <v>346</v>
      </c>
      <c r="G482" t="s">
        <v>347</v>
      </c>
      <c r="H482" t="s">
        <v>85</v>
      </c>
      <c r="I482" t="s">
        <v>844</v>
      </c>
      <c r="J482" t="s">
        <v>845</v>
      </c>
      <c r="K482" t="s">
        <v>846</v>
      </c>
      <c r="L482" t="s">
        <v>25</v>
      </c>
      <c r="M482" t="s">
        <v>26</v>
      </c>
      <c r="N482" t="s">
        <v>380</v>
      </c>
      <c r="O482" t="s">
        <v>381</v>
      </c>
      <c r="P482">
        <v>15.363799999999999</v>
      </c>
      <c r="Q482" t="s">
        <v>29</v>
      </c>
      <c r="R482" t="s">
        <v>30</v>
      </c>
      <c r="S482" t="s">
        <v>6936</v>
      </c>
    </row>
    <row r="483" spans="1:19" x14ac:dyDescent="0.25">
      <c r="A483">
        <v>2009</v>
      </c>
      <c r="B483">
        <v>2390</v>
      </c>
      <c r="C483" t="s">
        <v>1320</v>
      </c>
      <c r="D483" t="s">
        <v>1321</v>
      </c>
      <c r="E483">
        <v>336360</v>
      </c>
      <c r="F483" t="s">
        <v>1322</v>
      </c>
      <c r="G483" t="s">
        <v>1160</v>
      </c>
      <c r="H483" t="s">
        <v>21</v>
      </c>
      <c r="I483" t="s">
        <v>1180</v>
      </c>
      <c r="J483" t="s">
        <v>1181</v>
      </c>
      <c r="K483" t="s">
        <v>1182</v>
      </c>
      <c r="L483" t="s">
        <v>89</v>
      </c>
      <c r="M483" t="s">
        <v>90</v>
      </c>
      <c r="N483" t="s">
        <v>166</v>
      </c>
      <c r="O483" t="s">
        <v>167</v>
      </c>
      <c r="P483">
        <v>5.0000000000000001E-3</v>
      </c>
      <c r="Q483" t="s">
        <v>29</v>
      </c>
      <c r="R483" t="s">
        <v>30</v>
      </c>
      <c r="S483" t="s">
        <v>6936</v>
      </c>
    </row>
    <row r="484" spans="1:19" x14ac:dyDescent="0.25">
      <c r="A484">
        <v>2023</v>
      </c>
      <c r="B484">
        <v>27506</v>
      </c>
      <c r="C484" t="s">
        <v>1323</v>
      </c>
      <c r="D484" t="s">
        <v>1324</v>
      </c>
      <c r="E484">
        <v>211142</v>
      </c>
      <c r="F484" t="s">
        <v>357</v>
      </c>
      <c r="G484" t="s">
        <v>358</v>
      </c>
      <c r="H484" t="s">
        <v>85</v>
      </c>
      <c r="I484" t="s">
        <v>106</v>
      </c>
      <c r="J484" t="s">
        <v>107</v>
      </c>
      <c r="K484" t="s">
        <v>108</v>
      </c>
      <c r="L484" t="s">
        <v>25</v>
      </c>
      <c r="M484" t="s">
        <v>26</v>
      </c>
      <c r="N484" t="s">
        <v>27</v>
      </c>
      <c r="O484" t="s">
        <v>28</v>
      </c>
      <c r="P484">
        <v>1.8E-5</v>
      </c>
      <c r="Q484" t="s">
        <v>40</v>
      </c>
      <c r="R484" t="s">
        <v>30</v>
      </c>
      <c r="S484" t="s">
        <v>6936</v>
      </c>
    </row>
    <row r="485" spans="1:19" x14ac:dyDescent="0.25">
      <c r="A485">
        <v>2002</v>
      </c>
      <c r="B485">
        <v>3238</v>
      </c>
      <c r="C485" t="s">
        <v>824</v>
      </c>
      <c r="D485" t="s">
        <v>1325</v>
      </c>
      <c r="E485">
        <v>221112</v>
      </c>
      <c r="F485" t="s">
        <v>134</v>
      </c>
      <c r="G485" t="s">
        <v>135</v>
      </c>
      <c r="H485" t="s">
        <v>21</v>
      </c>
      <c r="I485" t="s">
        <v>35</v>
      </c>
      <c r="J485" t="s">
        <v>36</v>
      </c>
      <c r="K485" t="s">
        <v>37</v>
      </c>
      <c r="L485" t="s">
        <v>25</v>
      </c>
      <c r="M485" t="s">
        <v>26</v>
      </c>
      <c r="N485" t="s">
        <v>155</v>
      </c>
      <c r="O485" t="s">
        <v>156</v>
      </c>
      <c r="P485">
        <v>1470</v>
      </c>
      <c r="Q485" t="s">
        <v>40</v>
      </c>
      <c r="R485" t="s">
        <v>50</v>
      </c>
      <c r="S485" t="s">
        <v>6936</v>
      </c>
    </row>
    <row r="486" spans="1:19" x14ac:dyDescent="0.25">
      <c r="A486">
        <v>2018</v>
      </c>
      <c r="B486">
        <v>7728</v>
      </c>
      <c r="C486" t="s">
        <v>1326</v>
      </c>
      <c r="D486" t="s">
        <v>1327</v>
      </c>
      <c r="E486">
        <v>486210</v>
      </c>
      <c r="F486" t="s">
        <v>1328</v>
      </c>
      <c r="G486" t="s">
        <v>1329</v>
      </c>
      <c r="H486" t="s">
        <v>69</v>
      </c>
      <c r="I486" t="s">
        <v>35</v>
      </c>
      <c r="J486" t="s">
        <v>36</v>
      </c>
      <c r="K486" t="s">
        <v>37</v>
      </c>
      <c r="L486" t="s">
        <v>25</v>
      </c>
      <c r="M486" t="s">
        <v>26</v>
      </c>
      <c r="N486" t="s">
        <v>38</v>
      </c>
      <c r="O486" t="s">
        <v>39</v>
      </c>
      <c r="P486">
        <v>2968</v>
      </c>
      <c r="Q486" t="s">
        <v>40</v>
      </c>
      <c r="R486" t="s">
        <v>50</v>
      </c>
      <c r="S486" t="s">
        <v>6936</v>
      </c>
    </row>
    <row r="487" spans="1:19" x14ac:dyDescent="0.25">
      <c r="A487">
        <v>2005</v>
      </c>
      <c r="B487">
        <v>5354</v>
      </c>
      <c r="C487" t="s">
        <v>1330</v>
      </c>
      <c r="D487" t="s">
        <v>1331</v>
      </c>
      <c r="E487">
        <v>221121</v>
      </c>
      <c r="F487" t="s">
        <v>1332</v>
      </c>
      <c r="G487" t="s">
        <v>1333</v>
      </c>
      <c r="H487" t="s">
        <v>54</v>
      </c>
      <c r="I487" t="s">
        <v>106</v>
      </c>
      <c r="J487" t="s">
        <v>107</v>
      </c>
      <c r="K487" t="s">
        <v>108</v>
      </c>
      <c r="L487" t="s">
        <v>25</v>
      </c>
      <c r="M487" t="s">
        <v>26</v>
      </c>
      <c r="N487" t="s">
        <v>155</v>
      </c>
      <c r="O487" t="s">
        <v>156</v>
      </c>
      <c r="P487">
        <v>431.68200000000002</v>
      </c>
      <c r="Q487" t="s">
        <v>40</v>
      </c>
      <c r="R487" t="s">
        <v>50</v>
      </c>
      <c r="S487" t="s">
        <v>6936</v>
      </c>
    </row>
    <row r="488" spans="1:19" x14ac:dyDescent="0.25">
      <c r="A488">
        <v>2000</v>
      </c>
      <c r="B488">
        <v>5351</v>
      </c>
      <c r="C488" t="s">
        <v>1334</v>
      </c>
      <c r="D488" t="s">
        <v>1335</v>
      </c>
      <c r="E488">
        <v>213118</v>
      </c>
      <c r="F488" t="s">
        <v>1336</v>
      </c>
      <c r="G488" t="s">
        <v>1337</v>
      </c>
      <c r="H488" t="s">
        <v>85</v>
      </c>
      <c r="I488" t="s">
        <v>271</v>
      </c>
      <c r="J488" t="s">
        <v>272</v>
      </c>
      <c r="K488" t="s">
        <v>273</v>
      </c>
      <c r="L488" t="s">
        <v>25</v>
      </c>
      <c r="M488" t="s">
        <v>26</v>
      </c>
      <c r="N488" t="s">
        <v>48</v>
      </c>
      <c r="O488" t="s">
        <v>49</v>
      </c>
      <c r="P488">
        <v>5.117</v>
      </c>
      <c r="Q488" t="s">
        <v>29</v>
      </c>
      <c r="R488" t="s">
        <v>30</v>
      </c>
      <c r="S488" t="s">
        <v>6936</v>
      </c>
    </row>
    <row r="489" spans="1:19" x14ac:dyDescent="0.25">
      <c r="A489">
        <v>2020</v>
      </c>
      <c r="B489">
        <v>2134</v>
      </c>
      <c r="C489" t="s">
        <v>1115</v>
      </c>
      <c r="D489" t="s">
        <v>1338</v>
      </c>
      <c r="E489">
        <v>325313</v>
      </c>
      <c r="F489" t="s">
        <v>1054</v>
      </c>
      <c r="G489" t="s">
        <v>1055</v>
      </c>
      <c r="H489" t="s">
        <v>85</v>
      </c>
      <c r="I489" t="s">
        <v>184</v>
      </c>
      <c r="J489" t="s">
        <v>185</v>
      </c>
      <c r="K489" t="s">
        <v>186</v>
      </c>
      <c r="L489" t="s">
        <v>89</v>
      </c>
      <c r="M489" t="s">
        <v>90</v>
      </c>
      <c r="N489" t="s">
        <v>100</v>
      </c>
      <c r="O489" t="s">
        <v>101</v>
      </c>
      <c r="P489">
        <v>0.66</v>
      </c>
      <c r="Q489" t="s">
        <v>40</v>
      </c>
      <c r="R489" t="s">
        <v>124</v>
      </c>
      <c r="S489" t="s">
        <v>6936</v>
      </c>
    </row>
    <row r="490" spans="1:19" x14ac:dyDescent="0.25">
      <c r="A490">
        <v>2014</v>
      </c>
      <c r="B490">
        <v>23544</v>
      </c>
      <c r="C490" t="s">
        <v>1339</v>
      </c>
      <c r="D490" t="s">
        <v>1340</v>
      </c>
      <c r="E490">
        <v>562990</v>
      </c>
      <c r="F490" t="s">
        <v>581</v>
      </c>
      <c r="G490" t="s">
        <v>105</v>
      </c>
      <c r="H490" t="s">
        <v>85</v>
      </c>
      <c r="I490" t="s">
        <v>331</v>
      </c>
      <c r="J490" t="s">
        <v>332</v>
      </c>
      <c r="K490" t="s">
        <v>333</v>
      </c>
      <c r="L490" t="s">
        <v>25</v>
      </c>
      <c r="M490" t="s">
        <v>26</v>
      </c>
      <c r="N490" t="s">
        <v>155</v>
      </c>
      <c r="O490" t="s">
        <v>156</v>
      </c>
      <c r="P490">
        <v>95</v>
      </c>
      <c r="Q490" t="s">
        <v>29</v>
      </c>
      <c r="R490" t="s">
        <v>30</v>
      </c>
      <c r="S490" t="s">
        <v>6936</v>
      </c>
    </row>
    <row r="491" spans="1:19" x14ac:dyDescent="0.25">
      <c r="A491">
        <v>2005</v>
      </c>
      <c r="B491">
        <v>7239</v>
      </c>
      <c r="C491" t="s">
        <v>1341</v>
      </c>
      <c r="D491" t="s">
        <v>1342</v>
      </c>
      <c r="E491">
        <v>336390</v>
      </c>
      <c r="F491" t="s">
        <v>60</v>
      </c>
      <c r="G491" t="s">
        <v>61</v>
      </c>
      <c r="H491" t="s">
        <v>21</v>
      </c>
      <c r="I491" t="s">
        <v>35</v>
      </c>
      <c r="J491" t="s">
        <v>36</v>
      </c>
      <c r="K491" t="s">
        <v>37</v>
      </c>
      <c r="L491" t="s">
        <v>89</v>
      </c>
      <c r="M491" t="s">
        <v>90</v>
      </c>
      <c r="N491" t="s">
        <v>91</v>
      </c>
      <c r="O491" t="s">
        <v>92</v>
      </c>
      <c r="P491">
        <v>99.76</v>
      </c>
      <c r="Q491" t="s">
        <v>40</v>
      </c>
      <c r="R491" t="s">
        <v>124</v>
      </c>
      <c r="S491" t="s">
        <v>6936</v>
      </c>
    </row>
    <row r="492" spans="1:19" x14ac:dyDescent="0.25">
      <c r="A492">
        <v>1999</v>
      </c>
      <c r="B492">
        <v>3953</v>
      </c>
      <c r="C492" t="s">
        <v>1343</v>
      </c>
      <c r="D492" t="s">
        <v>1344</v>
      </c>
      <c r="E492">
        <v>331110</v>
      </c>
      <c r="F492" t="s">
        <v>335</v>
      </c>
      <c r="G492" t="s">
        <v>336</v>
      </c>
      <c r="H492" t="s">
        <v>79</v>
      </c>
      <c r="I492" t="s">
        <v>209</v>
      </c>
      <c r="J492" t="s">
        <v>210</v>
      </c>
      <c r="K492" t="s">
        <v>211</v>
      </c>
      <c r="L492" t="s">
        <v>89</v>
      </c>
      <c r="M492" t="s">
        <v>90</v>
      </c>
      <c r="N492" t="s">
        <v>120</v>
      </c>
      <c r="O492" t="s">
        <v>121</v>
      </c>
      <c r="P492">
        <v>272.95999999999998</v>
      </c>
      <c r="Q492" t="s">
        <v>29</v>
      </c>
      <c r="R492" t="s">
        <v>30</v>
      </c>
      <c r="S492" t="s">
        <v>6936</v>
      </c>
    </row>
    <row r="493" spans="1:19" x14ac:dyDescent="0.25">
      <c r="A493">
        <v>2002</v>
      </c>
      <c r="B493">
        <v>4785</v>
      </c>
      <c r="C493" t="s">
        <v>1345</v>
      </c>
      <c r="D493" t="s">
        <v>1346</v>
      </c>
      <c r="E493">
        <v>332319</v>
      </c>
      <c r="F493" t="s">
        <v>1347</v>
      </c>
      <c r="G493" t="s">
        <v>773</v>
      </c>
      <c r="H493" t="s">
        <v>21</v>
      </c>
      <c r="I493" t="s">
        <v>177</v>
      </c>
      <c r="J493" t="s">
        <v>178</v>
      </c>
      <c r="K493" t="s">
        <v>179</v>
      </c>
      <c r="L493" t="s">
        <v>25</v>
      </c>
      <c r="M493" t="s">
        <v>26</v>
      </c>
      <c r="N493" t="s">
        <v>38</v>
      </c>
      <c r="O493" t="s">
        <v>39</v>
      </c>
      <c r="P493">
        <v>21.1</v>
      </c>
      <c r="Q493" t="s">
        <v>29</v>
      </c>
      <c r="R493" t="s">
        <v>30</v>
      </c>
      <c r="S493" t="s">
        <v>6936</v>
      </c>
    </row>
    <row r="494" spans="1:19" x14ac:dyDescent="0.25">
      <c r="A494">
        <v>2021</v>
      </c>
      <c r="B494">
        <v>8696</v>
      </c>
      <c r="C494" t="s">
        <v>1348</v>
      </c>
      <c r="D494" t="s">
        <v>1348</v>
      </c>
      <c r="E494">
        <v>562990</v>
      </c>
      <c r="F494" t="s">
        <v>581</v>
      </c>
      <c r="G494" t="s">
        <v>105</v>
      </c>
      <c r="H494" t="s">
        <v>79</v>
      </c>
      <c r="I494" t="s">
        <v>70</v>
      </c>
      <c r="J494" t="s">
        <v>71</v>
      </c>
      <c r="K494" t="s">
        <v>72</v>
      </c>
      <c r="L494" t="s">
        <v>25</v>
      </c>
      <c r="M494" t="s">
        <v>26</v>
      </c>
      <c r="N494" t="s">
        <v>27</v>
      </c>
      <c r="O494" t="s">
        <v>28</v>
      </c>
      <c r="P494">
        <v>15.58</v>
      </c>
      <c r="Q494" t="s">
        <v>29</v>
      </c>
      <c r="R494" t="s">
        <v>50</v>
      </c>
      <c r="S494" t="s">
        <v>6936</v>
      </c>
    </row>
    <row r="495" spans="1:19" x14ac:dyDescent="0.25">
      <c r="A495">
        <v>2023</v>
      </c>
      <c r="B495">
        <v>10226</v>
      </c>
      <c r="C495" t="s">
        <v>125</v>
      </c>
      <c r="D495" t="s">
        <v>1349</v>
      </c>
      <c r="E495">
        <v>412110</v>
      </c>
      <c r="F495" t="s">
        <v>589</v>
      </c>
      <c r="G495" t="s">
        <v>590</v>
      </c>
      <c r="H495" t="s">
        <v>21</v>
      </c>
      <c r="I495" t="s">
        <v>1050</v>
      </c>
      <c r="J495" t="s">
        <v>1051</v>
      </c>
      <c r="K495" t="s">
        <v>1052</v>
      </c>
      <c r="L495" t="s">
        <v>25</v>
      </c>
      <c r="M495" t="s">
        <v>26</v>
      </c>
      <c r="N495" t="s">
        <v>380</v>
      </c>
      <c r="O495" t="s">
        <v>381</v>
      </c>
      <c r="P495">
        <v>19.921500000000002</v>
      </c>
      <c r="Q495" t="s">
        <v>40</v>
      </c>
      <c r="R495" t="s">
        <v>30</v>
      </c>
      <c r="S495" t="s">
        <v>6936</v>
      </c>
    </row>
    <row r="496" spans="1:19" x14ac:dyDescent="0.25">
      <c r="A496">
        <v>2007</v>
      </c>
      <c r="B496">
        <v>4799</v>
      </c>
      <c r="C496" t="s">
        <v>1350</v>
      </c>
      <c r="D496" t="s">
        <v>1351</v>
      </c>
      <c r="E496">
        <v>331511</v>
      </c>
      <c r="F496" t="s">
        <v>160</v>
      </c>
      <c r="G496" t="s">
        <v>161</v>
      </c>
      <c r="H496" t="s">
        <v>79</v>
      </c>
      <c r="I496" t="s">
        <v>324</v>
      </c>
      <c r="J496" t="s">
        <v>325</v>
      </c>
      <c r="K496" t="s">
        <v>326</v>
      </c>
      <c r="L496" t="s">
        <v>25</v>
      </c>
      <c r="M496" t="s">
        <v>26</v>
      </c>
      <c r="N496" t="s">
        <v>288</v>
      </c>
      <c r="O496" t="s">
        <v>289</v>
      </c>
      <c r="P496">
        <v>70</v>
      </c>
      <c r="Q496" t="s">
        <v>40</v>
      </c>
      <c r="R496" t="s">
        <v>50</v>
      </c>
      <c r="S496" t="s">
        <v>6936</v>
      </c>
    </row>
    <row r="497" spans="1:19" x14ac:dyDescent="0.25">
      <c r="A497">
        <v>2015</v>
      </c>
      <c r="B497">
        <v>5498</v>
      </c>
      <c r="C497" t="s">
        <v>1352</v>
      </c>
      <c r="D497" t="s">
        <v>1353</v>
      </c>
      <c r="E497">
        <v>311990</v>
      </c>
      <c r="F497" t="s">
        <v>1354</v>
      </c>
      <c r="G497" t="s">
        <v>1039</v>
      </c>
      <c r="H497" t="s">
        <v>79</v>
      </c>
      <c r="I497" t="s">
        <v>97</v>
      </c>
      <c r="J497" t="s">
        <v>98</v>
      </c>
      <c r="K497" t="s">
        <v>99</v>
      </c>
      <c r="L497" t="s">
        <v>89</v>
      </c>
      <c r="M497" t="s">
        <v>90</v>
      </c>
      <c r="N497" t="s">
        <v>100</v>
      </c>
      <c r="O497" t="s">
        <v>101</v>
      </c>
      <c r="P497">
        <v>17.623000000000001</v>
      </c>
      <c r="Q497" t="s">
        <v>29</v>
      </c>
      <c r="R497" t="s">
        <v>124</v>
      </c>
      <c r="S497" t="s">
        <v>6936</v>
      </c>
    </row>
    <row r="498" spans="1:19" x14ac:dyDescent="0.25">
      <c r="A498">
        <v>2011</v>
      </c>
      <c r="B498">
        <v>397</v>
      </c>
      <c r="C498" t="s">
        <v>41</v>
      </c>
      <c r="D498" t="s">
        <v>42</v>
      </c>
      <c r="E498">
        <v>336110</v>
      </c>
      <c r="F498" t="s">
        <v>377</v>
      </c>
      <c r="G498" t="s">
        <v>44</v>
      </c>
      <c r="H498" t="s">
        <v>21</v>
      </c>
      <c r="I498" t="s">
        <v>129</v>
      </c>
      <c r="J498" t="s">
        <v>130</v>
      </c>
      <c r="K498" t="s">
        <v>131</v>
      </c>
      <c r="L498" t="s">
        <v>25</v>
      </c>
      <c r="M498" t="s">
        <v>26</v>
      </c>
      <c r="N498" t="s">
        <v>27</v>
      </c>
      <c r="O498" t="s">
        <v>28</v>
      </c>
      <c r="P498">
        <v>71.305000000000007</v>
      </c>
      <c r="Q498" t="s">
        <v>29</v>
      </c>
      <c r="R498" t="s">
        <v>124</v>
      </c>
      <c r="S498" t="s">
        <v>6936</v>
      </c>
    </row>
    <row r="499" spans="1:19" x14ac:dyDescent="0.25">
      <c r="A499">
        <v>2008</v>
      </c>
      <c r="B499">
        <v>6467</v>
      </c>
      <c r="C499" t="s">
        <v>1355</v>
      </c>
      <c r="D499" t="s">
        <v>1355</v>
      </c>
      <c r="E499">
        <v>332999</v>
      </c>
      <c r="F499" t="s">
        <v>309</v>
      </c>
      <c r="G499" t="s">
        <v>304</v>
      </c>
      <c r="H499" t="s">
        <v>79</v>
      </c>
      <c r="I499" t="s">
        <v>461</v>
      </c>
      <c r="J499" t="s">
        <v>462</v>
      </c>
      <c r="K499" t="s">
        <v>463</v>
      </c>
      <c r="L499" t="s">
        <v>89</v>
      </c>
      <c r="M499" t="s">
        <v>90</v>
      </c>
      <c r="N499" t="s">
        <v>91</v>
      </c>
      <c r="O499" t="s">
        <v>92</v>
      </c>
      <c r="P499">
        <v>10</v>
      </c>
      <c r="Q499" t="s">
        <v>40</v>
      </c>
      <c r="R499" t="s">
        <v>50</v>
      </c>
      <c r="S499" t="s">
        <v>6936</v>
      </c>
    </row>
    <row r="500" spans="1:19" x14ac:dyDescent="0.25">
      <c r="A500">
        <v>2017</v>
      </c>
      <c r="B500">
        <v>27506</v>
      </c>
      <c r="C500" t="s">
        <v>1323</v>
      </c>
      <c r="D500" t="s">
        <v>1356</v>
      </c>
      <c r="E500">
        <v>211142</v>
      </c>
      <c r="F500" t="s">
        <v>357</v>
      </c>
      <c r="G500" t="s">
        <v>358</v>
      </c>
      <c r="H500" t="s">
        <v>85</v>
      </c>
      <c r="I500" t="s">
        <v>391</v>
      </c>
      <c r="J500" t="s">
        <v>392</v>
      </c>
      <c r="K500" t="s">
        <v>393</v>
      </c>
      <c r="L500" t="s">
        <v>25</v>
      </c>
      <c r="M500" t="s">
        <v>26</v>
      </c>
      <c r="N500" t="s">
        <v>380</v>
      </c>
      <c r="O500" t="s">
        <v>381</v>
      </c>
      <c r="P500">
        <v>1.2E-2</v>
      </c>
      <c r="Q500" t="s">
        <v>40</v>
      </c>
      <c r="R500" t="s">
        <v>30</v>
      </c>
      <c r="S500" t="s">
        <v>6936</v>
      </c>
    </row>
    <row r="501" spans="1:19" x14ac:dyDescent="0.25">
      <c r="A501">
        <v>2011</v>
      </c>
      <c r="B501">
        <v>4377</v>
      </c>
      <c r="C501" t="s">
        <v>1357</v>
      </c>
      <c r="D501" t="s">
        <v>1357</v>
      </c>
      <c r="E501">
        <v>332999</v>
      </c>
      <c r="F501" t="s">
        <v>309</v>
      </c>
      <c r="G501" t="s">
        <v>304</v>
      </c>
      <c r="H501" t="s">
        <v>79</v>
      </c>
      <c r="I501" t="s">
        <v>152</v>
      </c>
      <c r="J501" t="s">
        <v>153</v>
      </c>
      <c r="K501" t="s">
        <v>154</v>
      </c>
      <c r="L501" t="s">
        <v>25</v>
      </c>
      <c r="M501" t="s">
        <v>26</v>
      </c>
      <c r="N501" t="s">
        <v>155</v>
      </c>
      <c r="O501" t="s">
        <v>156</v>
      </c>
      <c r="P501">
        <v>0</v>
      </c>
      <c r="Q501" t="s">
        <v>29</v>
      </c>
      <c r="R501" t="s">
        <v>50</v>
      </c>
      <c r="S501" t="s">
        <v>6936</v>
      </c>
    </row>
    <row r="502" spans="1:19" x14ac:dyDescent="0.25">
      <c r="A502">
        <v>2004</v>
      </c>
      <c r="B502">
        <v>4725</v>
      </c>
      <c r="C502" t="s">
        <v>1358</v>
      </c>
      <c r="D502" t="s">
        <v>1358</v>
      </c>
      <c r="E502">
        <v>332510</v>
      </c>
      <c r="F502" t="s">
        <v>1359</v>
      </c>
      <c r="G502" t="s">
        <v>1360</v>
      </c>
      <c r="H502" t="s">
        <v>21</v>
      </c>
      <c r="I502" t="s">
        <v>62</v>
      </c>
      <c r="J502" t="s">
        <v>63</v>
      </c>
      <c r="K502" t="s">
        <v>64</v>
      </c>
      <c r="L502" t="s">
        <v>1361</v>
      </c>
      <c r="M502" t="s">
        <v>1362</v>
      </c>
      <c r="N502" t="s">
        <v>1363</v>
      </c>
      <c r="O502" t="s">
        <v>1364</v>
      </c>
      <c r="P502">
        <v>5.0999999999999997E-2</v>
      </c>
      <c r="Q502" t="s">
        <v>29</v>
      </c>
      <c r="R502" t="s">
        <v>30</v>
      </c>
      <c r="S502" t="s">
        <v>6937</v>
      </c>
    </row>
    <row r="503" spans="1:19" x14ac:dyDescent="0.25">
      <c r="A503">
        <v>2017</v>
      </c>
      <c r="B503">
        <v>10450</v>
      </c>
      <c r="C503" t="s">
        <v>1365</v>
      </c>
      <c r="D503" t="s">
        <v>1366</v>
      </c>
      <c r="E503">
        <v>321111</v>
      </c>
      <c r="F503" t="s">
        <v>1367</v>
      </c>
      <c r="G503" t="s">
        <v>1368</v>
      </c>
      <c r="H503" t="s">
        <v>21</v>
      </c>
      <c r="I503" t="s">
        <v>1369</v>
      </c>
      <c r="J503" t="s">
        <v>1370</v>
      </c>
      <c r="K503" t="s">
        <v>1371</v>
      </c>
      <c r="L503" t="s">
        <v>1372</v>
      </c>
      <c r="M503" t="s">
        <v>1373</v>
      </c>
      <c r="N503" t="s">
        <v>1374</v>
      </c>
      <c r="O503" t="s">
        <v>1375</v>
      </c>
      <c r="P503">
        <v>23.3</v>
      </c>
      <c r="Q503" t="s">
        <v>29</v>
      </c>
      <c r="R503" t="s">
        <v>430</v>
      </c>
      <c r="S503" t="s">
        <v>6937</v>
      </c>
    </row>
    <row r="504" spans="1:19" x14ac:dyDescent="0.25">
      <c r="A504">
        <v>2009</v>
      </c>
      <c r="B504">
        <v>1797</v>
      </c>
      <c r="C504" t="s">
        <v>1376</v>
      </c>
      <c r="D504" t="s">
        <v>1377</v>
      </c>
      <c r="E504">
        <v>322112</v>
      </c>
      <c r="F504" t="s">
        <v>620</v>
      </c>
      <c r="G504" t="s">
        <v>621</v>
      </c>
      <c r="H504" t="s">
        <v>69</v>
      </c>
      <c r="I504" t="s">
        <v>191</v>
      </c>
      <c r="J504" t="s">
        <v>192</v>
      </c>
      <c r="K504" t="s">
        <v>193</v>
      </c>
      <c r="L504" t="s">
        <v>1378</v>
      </c>
      <c r="M504" t="s">
        <v>1379</v>
      </c>
      <c r="N504" t="s">
        <v>1380</v>
      </c>
      <c r="O504" t="s">
        <v>1381</v>
      </c>
      <c r="P504">
        <v>1.702</v>
      </c>
      <c r="Q504" t="s">
        <v>29</v>
      </c>
      <c r="R504" t="s">
        <v>430</v>
      </c>
      <c r="S504" t="s">
        <v>6937</v>
      </c>
    </row>
    <row r="505" spans="1:19" x14ac:dyDescent="0.25">
      <c r="A505">
        <v>2016</v>
      </c>
      <c r="B505">
        <v>1872</v>
      </c>
      <c r="C505" t="s">
        <v>1382</v>
      </c>
      <c r="D505" t="s">
        <v>1383</v>
      </c>
      <c r="E505">
        <v>322121</v>
      </c>
      <c r="F505" t="s">
        <v>938</v>
      </c>
      <c r="G505" t="s">
        <v>765</v>
      </c>
      <c r="H505" t="s">
        <v>79</v>
      </c>
      <c r="I505" t="s">
        <v>1251</v>
      </c>
      <c r="J505" t="s">
        <v>1252</v>
      </c>
      <c r="K505" t="s">
        <v>1253</v>
      </c>
      <c r="L505" t="s">
        <v>1372</v>
      </c>
      <c r="M505" t="s">
        <v>1373</v>
      </c>
      <c r="N505" t="s">
        <v>1374</v>
      </c>
      <c r="O505" t="s">
        <v>1375</v>
      </c>
      <c r="P505">
        <v>25</v>
      </c>
      <c r="Q505" t="s">
        <v>40</v>
      </c>
      <c r="R505" t="s">
        <v>157</v>
      </c>
      <c r="S505" t="s">
        <v>6937</v>
      </c>
    </row>
    <row r="506" spans="1:19" x14ac:dyDescent="0.25">
      <c r="A506">
        <v>2020</v>
      </c>
      <c r="B506">
        <v>4866</v>
      </c>
      <c r="C506" t="s">
        <v>1384</v>
      </c>
      <c r="D506" t="s">
        <v>1385</v>
      </c>
      <c r="E506">
        <v>212291</v>
      </c>
      <c r="F506" t="s">
        <v>241</v>
      </c>
      <c r="G506" t="s">
        <v>242</v>
      </c>
      <c r="H506" t="s">
        <v>243</v>
      </c>
      <c r="I506" t="s">
        <v>244</v>
      </c>
      <c r="J506" t="s">
        <v>245</v>
      </c>
      <c r="K506" t="s">
        <v>246</v>
      </c>
      <c r="L506" t="s">
        <v>1378</v>
      </c>
      <c r="M506" t="s">
        <v>1379</v>
      </c>
      <c r="N506" t="s">
        <v>1380</v>
      </c>
      <c r="O506" t="s">
        <v>1381</v>
      </c>
      <c r="P506">
        <v>47.125</v>
      </c>
      <c r="Q506" t="s">
        <v>40</v>
      </c>
      <c r="R506" t="s">
        <v>124</v>
      </c>
      <c r="S506" t="s">
        <v>6937</v>
      </c>
    </row>
    <row r="507" spans="1:19" x14ac:dyDescent="0.25">
      <c r="A507">
        <v>2017</v>
      </c>
      <c r="B507">
        <v>5544</v>
      </c>
      <c r="C507" t="s">
        <v>1386</v>
      </c>
      <c r="D507" t="s">
        <v>1387</v>
      </c>
      <c r="E507">
        <v>327310</v>
      </c>
      <c r="F507" t="s">
        <v>1388</v>
      </c>
      <c r="G507" t="s">
        <v>1389</v>
      </c>
      <c r="H507" t="s">
        <v>79</v>
      </c>
      <c r="I507" t="s">
        <v>1369</v>
      </c>
      <c r="J507" t="s">
        <v>1370</v>
      </c>
      <c r="K507" t="s">
        <v>1371</v>
      </c>
      <c r="L507" t="s">
        <v>1372</v>
      </c>
      <c r="M507" t="s">
        <v>1373</v>
      </c>
      <c r="N507" t="s">
        <v>1390</v>
      </c>
      <c r="O507" t="s">
        <v>1391</v>
      </c>
      <c r="P507">
        <v>15.8597</v>
      </c>
      <c r="Q507" t="s">
        <v>29</v>
      </c>
      <c r="R507" t="s">
        <v>430</v>
      </c>
      <c r="S507" t="s">
        <v>6937</v>
      </c>
    </row>
    <row r="508" spans="1:19" x14ac:dyDescent="0.25">
      <c r="A508">
        <v>2004</v>
      </c>
      <c r="B508">
        <v>7041</v>
      </c>
      <c r="C508" t="s">
        <v>1392</v>
      </c>
      <c r="D508" t="s">
        <v>1393</v>
      </c>
      <c r="E508">
        <v>221113</v>
      </c>
      <c r="F508" t="s">
        <v>911</v>
      </c>
      <c r="G508" t="s">
        <v>912</v>
      </c>
      <c r="H508" t="s">
        <v>21</v>
      </c>
      <c r="I508" t="s">
        <v>337</v>
      </c>
      <c r="J508" t="s">
        <v>338</v>
      </c>
      <c r="K508" t="s">
        <v>339</v>
      </c>
      <c r="L508" t="s">
        <v>1394</v>
      </c>
      <c r="M508" t="s">
        <v>1395</v>
      </c>
      <c r="N508" t="s">
        <v>1396</v>
      </c>
      <c r="O508" t="s">
        <v>1397</v>
      </c>
      <c r="P508">
        <v>3.0000000000000001E-3</v>
      </c>
      <c r="Q508" t="s">
        <v>29</v>
      </c>
      <c r="R508" t="s">
        <v>30</v>
      </c>
      <c r="S508" t="s">
        <v>6937</v>
      </c>
    </row>
    <row r="509" spans="1:19" x14ac:dyDescent="0.25">
      <c r="A509">
        <v>2007</v>
      </c>
      <c r="B509">
        <v>1464</v>
      </c>
      <c r="C509" t="s">
        <v>125</v>
      </c>
      <c r="D509" t="s">
        <v>1398</v>
      </c>
      <c r="E509">
        <v>325110</v>
      </c>
      <c r="F509" t="s">
        <v>1194</v>
      </c>
      <c r="G509" t="s">
        <v>445</v>
      </c>
      <c r="H509" t="s">
        <v>21</v>
      </c>
      <c r="I509" t="s">
        <v>129</v>
      </c>
      <c r="J509" t="s">
        <v>130</v>
      </c>
      <c r="K509" t="s">
        <v>131</v>
      </c>
      <c r="L509" t="s">
        <v>1372</v>
      </c>
      <c r="M509" t="s">
        <v>1373</v>
      </c>
      <c r="N509" t="s">
        <v>1399</v>
      </c>
      <c r="O509" t="s">
        <v>1400</v>
      </c>
      <c r="P509">
        <v>0.45700000000000002</v>
      </c>
      <c r="Q509" t="s">
        <v>29</v>
      </c>
      <c r="R509" t="s">
        <v>430</v>
      </c>
      <c r="S509" t="s">
        <v>6937</v>
      </c>
    </row>
    <row r="510" spans="1:19" x14ac:dyDescent="0.25">
      <c r="A510">
        <v>2003</v>
      </c>
      <c r="B510">
        <v>3758</v>
      </c>
      <c r="C510" t="s">
        <v>634</v>
      </c>
      <c r="D510" t="s">
        <v>1401</v>
      </c>
      <c r="E510">
        <v>211113</v>
      </c>
      <c r="F510" t="s">
        <v>425</v>
      </c>
      <c r="G510" t="s">
        <v>426</v>
      </c>
      <c r="H510" t="s">
        <v>85</v>
      </c>
      <c r="I510" t="s">
        <v>70</v>
      </c>
      <c r="J510" t="s">
        <v>71</v>
      </c>
      <c r="K510" t="s">
        <v>72</v>
      </c>
      <c r="L510" t="s">
        <v>1372</v>
      </c>
      <c r="M510" t="s">
        <v>1373</v>
      </c>
      <c r="N510" t="s">
        <v>1402</v>
      </c>
      <c r="O510" t="s">
        <v>1403</v>
      </c>
      <c r="P510">
        <v>2E-3</v>
      </c>
      <c r="Q510" t="s">
        <v>29</v>
      </c>
      <c r="R510" t="s">
        <v>30</v>
      </c>
      <c r="S510" t="s">
        <v>6937</v>
      </c>
    </row>
    <row r="511" spans="1:19" x14ac:dyDescent="0.25">
      <c r="A511">
        <v>2016</v>
      </c>
      <c r="B511">
        <v>4778</v>
      </c>
      <c r="C511" t="s">
        <v>1404</v>
      </c>
      <c r="D511" t="s">
        <v>1404</v>
      </c>
      <c r="E511">
        <v>331313</v>
      </c>
      <c r="F511" t="s">
        <v>1405</v>
      </c>
      <c r="G511" t="s">
        <v>1132</v>
      </c>
      <c r="H511" t="s">
        <v>79</v>
      </c>
      <c r="I511" t="s">
        <v>1406</v>
      </c>
      <c r="J511" t="s">
        <v>1407</v>
      </c>
      <c r="K511" t="s">
        <v>1408</v>
      </c>
      <c r="L511" t="s">
        <v>1372</v>
      </c>
      <c r="M511" t="s">
        <v>1373</v>
      </c>
      <c r="N511" t="s">
        <v>1409</v>
      </c>
      <c r="O511" t="s">
        <v>1410</v>
      </c>
      <c r="P511">
        <v>10.553000000000001</v>
      </c>
      <c r="Q511" t="s">
        <v>29</v>
      </c>
      <c r="R511" t="s">
        <v>50</v>
      </c>
      <c r="S511" t="s">
        <v>6937</v>
      </c>
    </row>
    <row r="512" spans="1:19" x14ac:dyDescent="0.25">
      <c r="A512">
        <v>2023</v>
      </c>
      <c r="B512">
        <v>32701</v>
      </c>
      <c r="C512" t="s">
        <v>1411</v>
      </c>
      <c r="D512" t="s">
        <v>1412</v>
      </c>
      <c r="E512">
        <v>211110</v>
      </c>
      <c r="F512" t="s">
        <v>233</v>
      </c>
      <c r="G512" t="s">
        <v>234</v>
      </c>
      <c r="H512" t="s">
        <v>85</v>
      </c>
      <c r="I512" t="s">
        <v>1413</v>
      </c>
      <c r="J512" t="s">
        <v>1414</v>
      </c>
      <c r="K512" t="s">
        <v>1415</v>
      </c>
      <c r="L512" t="s">
        <v>1372</v>
      </c>
      <c r="M512" t="s">
        <v>1373</v>
      </c>
      <c r="N512" t="s">
        <v>1374</v>
      </c>
      <c r="O512" t="s">
        <v>1375</v>
      </c>
      <c r="P512">
        <v>0</v>
      </c>
      <c r="Q512" t="s">
        <v>29</v>
      </c>
      <c r="S512" t="s">
        <v>6937</v>
      </c>
    </row>
    <row r="513" spans="1:19" x14ac:dyDescent="0.25">
      <c r="A513">
        <v>2015</v>
      </c>
      <c r="B513">
        <v>10153</v>
      </c>
      <c r="C513" t="s">
        <v>1109</v>
      </c>
      <c r="D513" t="s">
        <v>1416</v>
      </c>
      <c r="E513">
        <v>212233</v>
      </c>
      <c r="F513" t="s">
        <v>1111</v>
      </c>
      <c r="G513" t="s">
        <v>441</v>
      </c>
      <c r="H513" t="s">
        <v>21</v>
      </c>
      <c r="I513" t="s">
        <v>35</v>
      </c>
      <c r="J513" t="s">
        <v>36</v>
      </c>
      <c r="K513" t="s">
        <v>37</v>
      </c>
      <c r="L513" t="s">
        <v>1372</v>
      </c>
      <c r="M513" t="s">
        <v>1373</v>
      </c>
      <c r="N513" t="s">
        <v>1374</v>
      </c>
      <c r="O513" t="s">
        <v>1375</v>
      </c>
      <c r="P513">
        <v>95.3</v>
      </c>
      <c r="Q513" t="s">
        <v>40</v>
      </c>
      <c r="R513" t="s">
        <v>430</v>
      </c>
      <c r="S513" t="s">
        <v>6937</v>
      </c>
    </row>
    <row r="514" spans="1:19" x14ac:dyDescent="0.25">
      <c r="A514">
        <v>2020</v>
      </c>
      <c r="B514">
        <v>1885</v>
      </c>
      <c r="C514" t="s">
        <v>1417</v>
      </c>
      <c r="D514" t="s">
        <v>1418</v>
      </c>
      <c r="E514">
        <v>212396</v>
      </c>
      <c r="F514" t="s">
        <v>1419</v>
      </c>
      <c r="G514" t="s">
        <v>1420</v>
      </c>
      <c r="H514" t="s">
        <v>243</v>
      </c>
      <c r="I514" t="s">
        <v>1421</v>
      </c>
      <c r="J514" t="s">
        <v>1422</v>
      </c>
      <c r="K514" t="s">
        <v>1423</v>
      </c>
      <c r="L514" t="s">
        <v>1372</v>
      </c>
      <c r="M514" t="s">
        <v>1373</v>
      </c>
      <c r="N514" t="s">
        <v>1390</v>
      </c>
      <c r="O514" t="s">
        <v>1391</v>
      </c>
      <c r="P514">
        <v>0.39200000000000002</v>
      </c>
      <c r="Q514" t="s">
        <v>29</v>
      </c>
      <c r="R514" t="s">
        <v>430</v>
      </c>
      <c r="S514" t="s">
        <v>6937</v>
      </c>
    </row>
    <row r="515" spans="1:19" x14ac:dyDescent="0.25">
      <c r="A515">
        <v>2022</v>
      </c>
      <c r="B515">
        <v>11649</v>
      </c>
      <c r="C515" t="s">
        <v>1424</v>
      </c>
      <c r="D515" t="s">
        <v>1425</v>
      </c>
      <c r="E515">
        <v>331514</v>
      </c>
      <c r="F515" t="s">
        <v>292</v>
      </c>
      <c r="G515" t="s">
        <v>293</v>
      </c>
      <c r="H515" t="s">
        <v>21</v>
      </c>
      <c r="I515" t="s">
        <v>209</v>
      </c>
      <c r="J515" t="s">
        <v>210</v>
      </c>
      <c r="K515" t="s">
        <v>211</v>
      </c>
      <c r="L515" t="s">
        <v>1372</v>
      </c>
      <c r="M515" t="s">
        <v>1373</v>
      </c>
      <c r="N515" t="s">
        <v>1374</v>
      </c>
      <c r="O515" t="s">
        <v>1375</v>
      </c>
      <c r="P515">
        <v>3.2800000000000003E-2</v>
      </c>
      <c r="Q515" t="s">
        <v>29</v>
      </c>
      <c r="R515" t="s">
        <v>430</v>
      </c>
      <c r="S515" t="s">
        <v>6937</v>
      </c>
    </row>
    <row r="516" spans="1:19" x14ac:dyDescent="0.25">
      <c r="A516">
        <v>2018</v>
      </c>
      <c r="B516">
        <v>7345</v>
      </c>
      <c r="C516" t="s">
        <v>1426</v>
      </c>
      <c r="D516" t="s">
        <v>1427</v>
      </c>
      <c r="E516">
        <v>332118</v>
      </c>
      <c r="F516" t="s">
        <v>459</v>
      </c>
      <c r="G516" t="s">
        <v>460</v>
      </c>
      <c r="H516" t="s">
        <v>21</v>
      </c>
      <c r="I516" t="s">
        <v>271</v>
      </c>
      <c r="J516" t="s">
        <v>272</v>
      </c>
      <c r="K516" t="s">
        <v>273</v>
      </c>
      <c r="L516" t="s">
        <v>1361</v>
      </c>
      <c r="M516" t="s">
        <v>1362</v>
      </c>
      <c r="N516" t="s">
        <v>1363</v>
      </c>
      <c r="O516" t="s">
        <v>1364</v>
      </c>
      <c r="P516">
        <v>0.376</v>
      </c>
      <c r="Q516" t="s">
        <v>29</v>
      </c>
      <c r="R516" t="s">
        <v>50</v>
      </c>
      <c r="S516" t="s">
        <v>6937</v>
      </c>
    </row>
    <row r="517" spans="1:19" x14ac:dyDescent="0.25">
      <c r="A517">
        <v>2018</v>
      </c>
      <c r="B517">
        <v>6388</v>
      </c>
      <c r="C517" t="s">
        <v>1428</v>
      </c>
      <c r="D517" t="s">
        <v>1429</v>
      </c>
      <c r="E517">
        <v>221320</v>
      </c>
      <c r="F517" t="s">
        <v>146</v>
      </c>
      <c r="G517" t="s">
        <v>147</v>
      </c>
      <c r="H517" t="s">
        <v>79</v>
      </c>
      <c r="I517" t="s">
        <v>504</v>
      </c>
      <c r="J517" t="s">
        <v>505</v>
      </c>
      <c r="K517" t="s">
        <v>506</v>
      </c>
      <c r="L517" t="s">
        <v>1378</v>
      </c>
      <c r="M517" t="s">
        <v>1379</v>
      </c>
      <c r="N517" t="s">
        <v>1380</v>
      </c>
      <c r="O517" t="s">
        <v>1381</v>
      </c>
      <c r="P517">
        <v>206</v>
      </c>
      <c r="Q517" t="s">
        <v>29</v>
      </c>
      <c r="R517" t="s">
        <v>124</v>
      </c>
      <c r="S517" t="s">
        <v>6937</v>
      </c>
    </row>
    <row r="518" spans="1:19" x14ac:dyDescent="0.25">
      <c r="A518">
        <v>2008</v>
      </c>
      <c r="B518">
        <v>15416</v>
      </c>
      <c r="C518" t="s">
        <v>1430</v>
      </c>
      <c r="D518" t="s">
        <v>1431</v>
      </c>
      <c r="E518">
        <v>211113</v>
      </c>
      <c r="F518" t="s">
        <v>425</v>
      </c>
      <c r="G518" t="s">
        <v>426</v>
      </c>
      <c r="H518" t="s">
        <v>85</v>
      </c>
      <c r="I518" t="s">
        <v>1421</v>
      </c>
      <c r="J518" t="s">
        <v>1422</v>
      </c>
      <c r="K518" t="s">
        <v>1423</v>
      </c>
      <c r="L518" t="s">
        <v>1372</v>
      </c>
      <c r="M518" t="s">
        <v>1373</v>
      </c>
      <c r="N518" t="s">
        <v>1374</v>
      </c>
      <c r="O518" t="s">
        <v>1375</v>
      </c>
      <c r="P518">
        <v>3.9449999999999998</v>
      </c>
      <c r="Q518" t="s">
        <v>29</v>
      </c>
      <c r="R518" t="s">
        <v>430</v>
      </c>
      <c r="S518" t="s">
        <v>6937</v>
      </c>
    </row>
    <row r="519" spans="1:19" x14ac:dyDescent="0.25">
      <c r="A519">
        <v>2019</v>
      </c>
      <c r="B519">
        <v>2794</v>
      </c>
      <c r="C519" t="s">
        <v>1432</v>
      </c>
      <c r="D519" t="s">
        <v>1433</v>
      </c>
      <c r="E519">
        <v>212299</v>
      </c>
      <c r="F519" t="s">
        <v>1434</v>
      </c>
      <c r="G519" t="s">
        <v>1435</v>
      </c>
      <c r="H519" t="s">
        <v>69</v>
      </c>
      <c r="I519" t="s">
        <v>1369</v>
      </c>
      <c r="J519" t="s">
        <v>1370</v>
      </c>
      <c r="K519" t="s">
        <v>1371</v>
      </c>
      <c r="L519" t="s">
        <v>1372</v>
      </c>
      <c r="M519" t="s">
        <v>1373</v>
      </c>
      <c r="N519" t="s">
        <v>1390</v>
      </c>
      <c r="O519" t="s">
        <v>1391</v>
      </c>
      <c r="P519">
        <v>3.8969999999999998</v>
      </c>
      <c r="Q519" t="s">
        <v>29</v>
      </c>
      <c r="R519" t="s">
        <v>430</v>
      </c>
      <c r="S519" t="s">
        <v>6937</v>
      </c>
    </row>
    <row r="520" spans="1:19" x14ac:dyDescent="0.25">
      <c r="A520">
        <v>1994</v>
      </c>
      <c r="B520">
        <v>126</v>
      </c>
      <c r="C520" t="s">
        <v>1436</v>
      </c>
      <c r="E520">
        <v>325110</v>
      </c>
      <c r="F520" t="s">
        <v>1194</v>
      </c>
      <c r="G520" t="s">
        <v>445</v>
      </c>
      <c r="H520" t="s">
        <v>85</v>
      </c>
      <c r="I520" t="s">
        <v>1123</v>
      </c>
      <c r="J520" t="s">
        <v>1124</v>
      </c>
      <c r="K520" t="s">
        <v>1125</v>
      </c>
      <c r="L520" t="s">
        <v>1372</v>
      </c>
      <c r="M520" t="s">
        <v>1373</v>
      </c>
      <c r="N520" t="s">
        <v>1399</v>
      </c>
      <c r="O520" t="s">
        <v>1400</v>
      </c>
      <c r="P520">
        <v>3.7559999999999998</v>
      </c>
      <c r="Q520" t="s">
        <v>29</v>
      </c>
      <c r="R520" t="s">
        <v>30</v>
      </c>
      <c r="S520" t="s">
        <v>6937</v>
      </c>
    </row>
    <row r="521" spans="1:19" x14ac:dyDescent="0.25">
      <c r="A521">
        <v>2007</v>
      </c>
      <c r="B521">
        <v>2372</v>
      </c>
      <c r="C521" t="s">
        <v>1437</v>
      </c>
      <c r="D521" t="s">
        <v>1438</v>
      </c>
      <c r="E521">
        <v>212233</v>
      </c>
      <c r="F521" t="s">
        <v>440</v>
      </c>
      <c r="G521" t="s">
        <v>441</v>
      </c>
      <c r="H521" t="s">
        <v>69</v>
      </c>
      <c r="I521" t="s">
        <v>152</v>
      </c>
      <c r="J521" t="s">
        <v>153</v>
      </c>
      <c r="K521" t="s">
        <v>154</v>
      </c>
      <c r="L521" t="s">
        <v>1378</v>
      </c>
      <c r="M521" t="s">
        <v>1379</v>
      </c>
      <c r="N521" t="s">
        <v>1380</v>
      </c>
      <c r="O521" t="s">
        <v>1381</v>
      </c>
      <c r="P521">
        <v>3.47</v>
      </c>
      <c r="Q521" t="s">
        <v>29</v>
      </c>
      <c r="R521" t="s">
        <v>124</v>
      </c>
      <c r="S521" t="s">
        <v>6937</v>
      </c>
    </row>
    <row r="522" spans="1:19" x14ac:dyDescent="0.25">
      <c r="A522">
        <v>2008</v>
      </c>
      <c r="B522">
        <v>16657</v>
      </c>
      <c r="C522" t="s">
        <v>1439</v>
      </c>
      <c r="D522" t="s">
        <v>1440</v>
      </c>
      <c r="E522">
        <v>211113</v>
      </c>
      <c r="F522" t="s">
        <v>425</v>
      </c>
      <c r="G522" t="s">
        <v>426</v>
      </c>
      <c r="H522" t="s">
        <v>85</v>
      </c>
      <c r="I522" t="s">
        <v>1441</v>
      </c>
      <c r="J522" t="s">
        <v>1442</v>
      </c>
      <c r="K522" t="s">
        <v>1443</v>
      </c>
      <c r="L522" t="s">
        <v>1372</v>
      </c>
      <c r="M522" t="s">
        <v>1373</v>
      </c>
      <c r="N522" t="s">
        <v>1374</v>
      </c>
      <c r="O522" t="s">
        <v>1375</v>
      </c>
      <c r="P522">
        <v>24.061</v>
      </c>
      <c r="Q522" t="s">
        <v>29</v>
      </c>
      <c r="R522" t="s">
        <v>430</v>
      </c>
      <c r="S522" t="s">
        <v>6937</v>
      </c>
    </row>
    <row r="523" spans="1:19" x14ac:dyDescent="0.25">
      <c r="A523">
        <v>2004</v>
      </c>
      <c r="B523">
        <v>3928</v>
      </c>
      <c r="C523" t="s">
        <v>1444</v>
      </c>
      <c r="D523" t="s">
        <v>1445</v>
      </c>
      <c r="E523">
        <v>324110</v>
      </c>
      <c r="F523" t="s">
        <v>95</v>
      </c>
      <c r="G523" t="s">
        <v>96</v>
      </c>
      <c r="H523" t="s">
        <v>79</v>
      </c>
      <c r="I523" t="s">
        <v>391</v>
      </c>
      <c r="J523" t="s">
        <v>392</v>
      </c>
      <c r="K523" t="s">
        <v>393</v>
      </c>
      <c r="L523" t="s">
        <v>1372</v>
      </c>
      <c r="M523" t="s">
        <v>1373</v>
      </c>
      <c r="N523" t="s">
        <v>1374</v>
      </c>
      <c r="O523" t="s">
        <v>1375</v>
      </c>
      <c r="P523">
        <v>0.77900000000000003</v>
      </c>
      <c r="Q523" t="s">
        <v>40</v>
      </c>
      <c r="R523" t="s">
        <v>124</v>
      </c>
      <c r="S523" t="s">
        <v>6937</v>
      </c>
    </row>
    <row r="524" spans="1:19" x14ac:dyDescent="0.25">
      <c r="A524">
        <v>2014</v>
      </c>
      <c r="B524">
        <v>4743</v>
      </c>
      <c r="C524" t="s">
        <v>1446</v>
      </c>
      <c r="D524" t="s">
        <v>1447</v>
      </c>
      <c r="E524">
        <v>221320</v>
      </c>
      <c r="F524" t="s">
        <v>146</v>
      </c>
      <c r="G524" t="s">
        <v>147</v>
      </c>
      <c r="H524" t="s">
        <v>21</v>
      </c>
      <c r="I524" t="s">
        <v>152</v>
      </c>
      <c r="J524" t="s">
        <v>153</v>
      </c>
      <c r="K524" t="s">
        <v>154</v>
      </c>
      <c r="L524" t="s">
        <v>1378</v>
      </c>
      <c r="M524" t="s">
        <v>1379</v>
      </c>
      <c r="N524" t="s">
        <v>1402</v>
      </c>
      <c r="O524" t="s">
        <v>1403</v>
      </c>
      <c r="P524">
        <v>8.8000000000000005E-3</v>
      </c>
      <c r="Q524" t="s">
        <v>29</v>
      </c>
      <c r="R524" t="s">
        <v>124</v>
      </c>
      <c r="S524" t="s">
        <v>6937</v>
      </c>
    </row>
    <row r="525" spans="1:19" x14ac:dyDescent="0.25">
      <c r="A525">
        <v>2002</v>
      </c>
      <c r="B525">
        <v>7291</v>
      </c>
      <c r="C525" t="s">
        <v>1448</v>
      </c>
      <c r="E525">
        <v>312220</v>
      </c>
      <c r="F525" t="s">
        <v>1449</v>
      </c>
      <c r="G525" t="s">
        <v>1450</v>
      </c>
      <c r="H525" t="s">
        <v>21</v>
      </c>
      <c r="I525" t="s">
        <v>1369</v>
      </c>
      <c r="J525" t="s">
        <v>1370</v>
      </c>
      <c r="K525" t="s">
        <v>1371</v>
      </c>
      <c r="L525" t="s">
        <v>1372</v>
      </c>
      <c r="M525" t="s">
        <v>1373</v>
      </c>
      <c r="N525" t="s">
        <v>1374</v>
      </c>
      <c r="O525" t="s">
        <v>1375</v>
      </c>
      <c r="P525">
        <v>3.38</v>
      </c>
      <c r="Q525" t="s">
        <v>29</v>
      </c>
      <c r="R525" t="s">
        <v>157</v>
      </c>
      <c r="S525" t="s">
        <v>6937</v>
      </c>
    </row>
    <row r="526" spans="1:19" x14ac:dyDescent="0.25">
      <c r="A526">
        <v>2004</v>
      </c>
      <c r="B526">
        <v>1467</v>
      </c>
      <c r="C526" t="s">
        <v>1451</v>
      </c>
      <c r="D526" t="s">
        <v>1452</v>
      </c>
      <c r="E526">
        <v>331410</v>
      </c>
      <c r="F526" t="s">
        <v>1453</v>
      </c>
      <c r="G526" t="s">
        <v>1235</v>
      </c>
      <c r="H526" t="s">
        <v>21</v>
      </c>
      <c r="I526" t="s">
        <v>1369</v>
      </c>
      <c r="J526" t="s">
        <v>1370</v>
      </c>
      <c r="K526" t="s">
        <v>1371</v>
      </c>
      <c r="L526" t="s">
        <v>1372</v>
      </c>
      <c r="M526" t="s">
        <v>1373</v>
      </c>
      <c r="N526" t="s">
        <v>1374</v>
      </c>
      <c r="O526" t="s">
        <v>1375</v>
      </c>
      <c r="P526">
        <v>100.75</v>
      </c>
      <c r="Q526" t="s">
        <v>29</v>
      </c>
      <c r="R526" t="s">
        <v>30</v>
      </c>
      <c r="S526" t="s">
        <v>6937</v>
      </c>
    </row>
    <row r="527" spans="1:19" x14ac:dyDescent="0.25">
      <c r="A527">
        <v>2020</v>
      </c>
      <c r="B527">
        <v>28032</v>
      </c>
      <c r="C527" t="s">
        <v>1411</v>
      </c>
      <c r="D527" t="s">
        <v>1454</v>
      </c>
      <c r="E527">
        <v>211110</v>
      </c>
      <c r="F527" t="s">
        <v>233</v>
      </c>
      <c r="G527" t="s">
        <v>234</v>
      </c>
      <c r="H527" t="s">
        <v>85</v>
      </c>
      <c r="I527" t="s">
        <v>1421</v>
      </c>
      <c r="J527" t="s">
        <v>1422</v>
      </c>
      <c r="K527" t="s">
        <v>1423</v>
      </c>
      <c r="L527" t="s">
        <v>1372</v>
      </c>
      <c r="M527" t="s">
        <v>1373</v>
      </c>
      <c r="N527" t="s">
        <v>1374</v>
      </c>
      <c r="O527" t="s">
        <v>1375</v>
      </c>
      <c r="P527">
        <v>2.9000000000000001E-2</v>
      </c>
      <c r="Q527" t="s">
        <v>29</v>
      </c>
      <c r="R527" t="s">
        <v>430</v>
      </c>
      <c r="S527" t="s">
        <v>6937</v>
      </c>
    </row>
    <row r="528" spans="1:19" x14ac:dyDescent="0.25">
      <c r="A528">
        <v>2019</v>
      </c>
      <c r="B528">
        <v>28140</v>
      </c>
      <c r="C528" t="s">
        <v>1455</v>
      </c>
      <c r="D528" t="s">
        <v>1456</v>
      </c>
      <c r="E528">
        <v>211110</v>
      </c>
      <c r="F528" t="s">
        <v>233</v>
      </c>
      <c r="G528" t="s">
        <v>234</v>
      </c>
      <c r="H528" t="s">
        <v>85</v>
      </c>
      <c r="I528" t="s">
        <v>1457</v>
      </c>
      <c r="J528" t="s">
        <v>1458</v>
      </c>
      <c r="K528" t="s">
        <v>1459</v>
      </c>
      <c r="L528" t="s">
        <v>1372</v>
      </c>
      <c r="M528" t="s">
        <v>1373</v>
      </c>
      <c r="N528" t="s">
        <v>1402</v>
      </c>
      <c r="O528" t="s">
        <v>1403</v>
      </c>
      <c r="P528">
        <v>0</v>
      </c>
      <c r="Q528" t="s">
        <v>29</v>
      </c>
      <c r="R528" t="s">
        <v>258</v>
      </c>
      <c r="S528" t="s">
        <v>6937</v>
      </c>
    </row>
    <row r="529" spans="1:19" x14ac:dyDescent="0.25">
      <c r="A529">
        <v>2002</v>
      </c>
      <c r="B529">
        <v>5128</v>
      </c>
      <c r="C529" t="s">
        <v>1460</v>
      </c>
      <c r="D529" t="s">
        <v>1461</v>
      </c>
      <c r="E529">
        <v>321216</v>
      </c>
      <c r="F529" t="s">
        <v>1462</v>
      </c>
      <c r="G529" t="s">
        <v>1463</v>
      </c>
      <c r="H529" t="s">
        <v>69</v>
      </c>
      <c r="I529" t="s">
        <v>1421</v>
      </c>
      <c r="J529" t="s">
        <v>1422</v>
      </c>
      <c r="K529" t="s">
        <v>1423</v>
      </c>
      <c r="L529" t="s">
        <v>1372</v>
      </c>
      <c r="M529" t="s">
        <v>1373</v>
      </c>
      <c r="N529" t="s">
        <v>1374</v>
      </c>
      <c r="O529" t="s">
        <v>1375</v>
      </c>
      <c r="P529">
        <v>6.8</v>
      </c>
      <c r="Q529" t="s">
        <v>29</v>
      </c>
      <c r="R529" t="s">
        <v>30</v>
      </c>
      <c r="S529" t="s">
        <v>6937</v>
      </c>
    </row>
    <row r="530" spans="1:19" x14ac:dyDescent="0.25">
      <c r="A530">
        <v>2012</v>
      </c>
      <c r="B530">
        <v>2164</v>
      </c>
      <c r="C530" t="s">
        <v>1464</v>
      </c>
      <c r="D530" t="s">
        <v>1465</v>
      </c>
      <c r="E530">
        <v>325610</v>
      </c>
      <c r="F530" t="s">
        <v>300</v>
      </c>
      <c r="G530" t="s">
        <v>301</v>
      </c>
      <c r="H530" t="s">
        <v>21</v>
      </c>
      <c r="I530" t="s">
        <v>22</v>
      </c>
      <c r="J530" t="s">
        <v>23</v>
      </c>
      <c r="K530" t="s">
        <v>24</v>
      </c>
      <c r="L530" t="s">
        <v>1361</v>
      </c>
      <c r="M530" t="s">
        <v>1362</v>
      </c>
      <c r="N530" t="s">
        <v>1363</v>
      </c>
      <c r="O530" t="s">
        <v>1364</v>
      </c>
      <c r="P530">
        <v>0.39100000000000001</v>
      </c>
      <c r="Q530" t="s">
        <v>29</v>
      </c>
      <c r="R530" t="s">
        <v>30</v>
      </c>
      <c r="S530" t="s">
        <v>6937</v>
      </c>
    </row>
    <row r="531" spans="1:19" x14ac:dyDescent="0.25">
      <c r="A531">
        <v>2013</v>
      </c>
      <c r="B531">
        <v>18566</v>
      </c>
      <c r="C531" t="s">
        <v>1466</v>
      </c>
      <c r="D531" t="s">
        <v>1467</v>
      </c>
      <c r="E531">
        <v>211113</v>
      </c>
      <c r="F531" t="s">
        <v>786</v>
      </c>
      <c r="G531" t="s">
        <v>426</v>
      </c>
      <c r="H531" t="s">
        <v>85</v>
      </c>
      <c r="I531" t="s">
        <v>1421</v>
      </c>
      <c r="J531" t="s">
        <v>1422</v>
      </c>
      <c r="K531" t="s">
        <v>1423</v>
      </c>
      <c r="L531" t="s">
        <v>1372</v>
      </c>
      <c r="M531" t="s">
        <v>1373</v>
      </c>
      <c r="N531" t="s">
        <v>1374</v>
      </c>
      <c r="O531" t="s">
        <v>1375</v>
      </c>
      <c r="P531">
        <v>2.496</v>
      </c>
      <c r="Q531" t="s">
        <v>29</v>
      </c>
      <c r="R531" t="s">
        <v>430</v>
      </c>
      <c r="S531" t="s">
        <v>6937</v>
      </c>
    </row>
    <row r="532" spans="1:19" x14ac:dyDescent="0.25">
      <c r="A532">
        <v>2005</v>
      </c>
      <c r="B532">
        <v>1042</v>
      </c>
      <c r="C532" t="s">
        <v>1468</v>
      </c>
      <c r="D532" t="s">
        <v>1469</v>
      </c>
      <c r="E532">
        <v>562210</v>
      </c>
      <c r="F532" t="s">
        <v>52</v>
      </c>
      <c r="G532" t="s">
        <v>53</v>
      </c>
      <c r="H532" t="s">
        <v>85</v>
      </c>
      <c r="I532" t="s">
        <v>244</v>
      </c>
      <c r="J532" t="s">
        <v>245</v>
      </c>
      <c r="K532" t="s">
        <v>246</v>
      </c>
      <c r="L532" t="s">
        <v>1372</v>
      </c>
      <c r="M532" t="s">
        <v>1373</v>
      </c>
      <c r="N532" t="s">
        <v>1374</v>
      </c>
      <c r="O532" t="s">
        <v>1375</v>
      </c>
      <c r="P532">
        <v>7.0000000000000007E-2</v>
      </c>
      <c r="Q532" t="s">
        <v>40</v>
      </c>
      <c r="R532" t="s">
        <v>124</v>
      </c>
      <c r="S532" t="s">
        <v>6937</v>
      </c>
    </row>
    <row r="533" spans="1:19" x14ac:dyDescent="0.25">
      <c r="A533">
        <v>2017</v>
      </c>
      <c r="B533">
        <v>3419</v>
      </c>
      <c r="C533" t="s">
        <v>856</v>
      </c>
      <c r="D533" t="s">
        <v>926</v>
      </c>
      <c r="E533">
        <v>336110</v>
      </c>
      <c r="F533" t="s">
        <v>43</v>
      </c>
      <c r="G533" t="s">
        <v>44</v>
      </c>
      <c r="H533" t="s">
        <v>21</v>
      </c>
      <c r="I533" t="s">
        <v>271</v>
      </c>
      <c r="J533" t="s">
        <v>272</v>
      </c>
      <c r="K533" t="s">
        <v>273</v>
      </c>
      <c r="L533" t="s">
        <v>1372</v>
      </c>
      <c r="M533" t="s">
        <v>1373</v>
      </c>
      <c r="N533" t="s">
        <v>1374</v>
      </c>
      <c r="O533" t="s">
        <v>1375</v>
      </c>
      <c r="P533">
        <v>80.231499999999997</v>
      </c>
      <c r="Q533" t="s">
        <v>29</v>
      </c>
      <c r="R533" t="s">
        <v>30</v>
      </c>
      <c r="S533" t="s">
        <v>6937</v>
      </c>
    </row>
    <row r="534" spans="1:19" x14ac:dyDescent="0.25">
      <c r="A534">
        <v>1994</v>
      </c>
      <c r="B534">
        <v>1070</v>
      </c>
      <c r="C534" t="s">
        <v>1470</v>
      </c>
      <c r="D534" t="s">
        <v>1471</v>
      </c>
      <c r="E534">
        <v>331110</v>
      </c>
      <c r="F534" t="s">
        <v>335</v>
      </c>
      <c r="G534" t="s">
        <v>336</v>
      </c>
      <c r="H534" t="s">
        <v>21</v>
      </c>
      <c r="I534" t="s">
        <v>271</v>
      </c>
      <c r="J534" t="s">
        <v>387</v>
      </c>
      <c r="K534" t="s">
        <v>388</v>
      </c>
      <c r="L534" t="s">
        <v>1372</v>
      </c>
      <c r="M534" t="s">
        <v>1373</v>
      </c>
      <c r="N534" t="s">
        <v>1409</v>
      </c>
      <c r="O534" t="s">
        <v>1410</v>
      </c>
      <c r="P534">
        <v>1.03</v>
      </c>
      <c r="Q534" t="s">
        <v>29</v>
      </c>
      <c r="R534" t="s">
        <v>204</v>
      </c>
      <c r="S534" t="s">
        <v>6937</v>
      </c>
    </row>
    <row r="535" spans="1:19" x14ac:dyDescent="0.25">
      <c r="A535">
        <v>2003</v>
      </c>
      <c r="B535">
        <v>5365</v>
      </c>
      <c r="C535" t="s">
        <v>1472</v>
      </c>
      <c r="D535" t="s">
        <v>1473</v>
      </c>
      <c r="E535">
        <v>321111</v>
      </c>
      <c r="F535" t="s">
        <v>1474</v>
      </c>
      <c r="G535" t="s">
        <v>1368</v>
      </c>
      <c r="H535" t="s">
        <v>243</v>
      </c>
      <c r="I535" t="s">
        <v>1441</v>
      </c>
      <c r="J535" t="s">
        <v>1442</v>
      </c>
      <c r="K535" t="s">
        <v>1443</v>
      </c>
      <c r="L535" t="s">
        <v>1372</v>
      </c>
      <c r="M535" t="s">
        <v>1373</v>
      </c>
      <c r="N535" t="s">
        <v>1374</v>
      </c>
      <c r="O535" t="s">
        <v>1375</v>
      </c>
      <c r="P535">
        <v>2692.1709999999998</v>
      </c>
      <c r="Q535" t="s">
        <v>29</v>
      </c>
      <c r="R535" t="s">
        <v>430</v>
      </c>
      <c r="S535" t="s">
        <v>6937</v>
      </c>
    </row>
    <row r="536" spans="1:19" x14ac:dyDescent="0.25">
      <c r="A536">
        <v>2017</v>
      </c>
      <c r="B536">
        <v>1461</v>
      </c>
      <c r="C536" t="s">
        <v>1475</v>
      </c>
      <c r="D536" t="s">
        <v>1476</v>
      </c>
      <c r="E536">
        <v>336350</v>
      </c>
      <c r="F536" t="s">
        <v>1477</v>
      </c>
      <c r="G536" t="s">
        <v>1005</v>
      </c>
      <c r="H536" t="s">
        <v>21</v>
      </c>
      <c r="I536" t="s">
        <v>1369</v>
      </c>
      <c r="J536" t="s">
        <v>1370</v>
      </c>
      <c r="K536" t="s">
        <v>1371</v>
      </c>
      <c r="L536" t="s">
        <v>1372</v>
      </c>
      <c r="M536" t="s">
        <v>1373</v>
      </c>
      <c r="N536" t="s">
        <v>1374</v>
      </c>
      <c r="O536" t="s">
        <v>1375</v>
      </c>
      <c r="P536">
        <v>1.3069999999999999</v>
      </c>
      <c r="Q536" t="s">
        <v>29</v>
      </c>
      <c r="R536" t="s">
        <v>30</v>
      </c>
      <c r="S536" t="s">
        <v>6937</v>
      </c>
    </row>
    <row r="537" spans="1:19" x14ac:dyDescent="0.25">
      <c r="A537">
        <v>2019</v>
      </c>
      <c r="B537">
        <v>31761</v>
      </c>
      <c r="C537" t="s">
        <v>1478</v>
      </c>
      <c r="D537" t="s">
        <v>1479</v>
      </c>
      <c r="E537">
        <v>221112</v>
      </c>
      <c r="F537" t="s">
        <v>499</v>
      </c>
      <c r="G537" t="s">
        <v>135</v>
      </c>
      <c r="H537" t="s">
        <v>85</v>
      </c>
      <c r="I537" t="s">
        <v>1441</v>
      </c>
      <c r="J537" t="s">
        <v>1442</v>
      </c>
      <c r="K537" t="s">
        <v>1443</v>
      </c>
      <c r="L537" t="s">
        <v>1372</v>
      </c>
      <c r="M537" t="s">
        <v>1373</v>
      </c>
      <c r="N537" t="s">
        <v>1374</v>
      </c>
      <c r="O537" t="s">
        <v>1375</v>
      </c>
      <c r="P537">
        <v>54.668199999999999</v>
      </c>
      <c r="Q537" t="s">
        <v>29</v>
      </c>
      <c r="R537" t="s">
        <v>124</v>
      </c>
      <c r="S537" t="s">
        <v>6937</v>
      </c>
    </row>
    <row r="538" spans="1:19" x14ac:dyDescent="0.25">
      <c r="A538">
        <v>2020</v>
      </c>
      <c r="B538">
        <v>3790</v>
      </c>
      <c r="C538" t="s">
        <v>276</v>
      </c>
      <c r="D538" t="s">
        <v>1480</v>
      </c>
      <c r="E538">
        <v>336110</v>
      </c>
      <c r="F538" t="s">
        <v>43</v>
      </c>
      <c r="G538" t="s">
        <v>44</v>
      </c>
      <c r="H538" t="s">
        <v>21</v>
      </c>
      <c r="I538" t="s">
        <v>152</v>
      </c>
      <c r="J538" t="s">
        <v>153</v>
      </c>
      <c r="K538" t="s">
        <v>154</v>
      </c>
      <c r="L538" t="s">
        <v>1372</v>
      </c>
      <c r="M538" t="s">
        <v>1373</v>
      </c>
      <c r="N538" t="s">
        <v>1374</v>
      </c>
      <c r="O538" t="s">
        <v>1375</v>
      </c>
      <c r="P538">
        <v>0.16300000000000001</v>
      </c>
      <c r="Q538" t="s">
        <v>29</v>
      </c>
      <c r="R538" t="s">
        <v>30</v>
      </c>
      <c r="S538" t="s">
        <v>6937</v>
      </c>
    </row>
    <row r="539" spans="1:19" x14ac:dyDescent="0.25">
      <c r="A539">
        <v>2014</v>
      </c>
      <c r="B539">
        <v>2070</v>
      </c>
      <c r="C539" t="s">
        <v>1286</v>
      </c>
      <c r="D539" t="s">
        <v>1287</v>
      </c>
      <c r="E539">
        <v>325190</v>
      </c>
      <c r="F539" t="s">
        <v>600</v>
      </c>
      <c r="G539" t="s">
        <v>601</v>
      </c>
      <c r="H539" t="s">
        <v>21</v>
      </c>
      <c r="I539" t="s">
        <v>1457</v>
      </c>
      <c r="J539" t="s">
        <v>1458</v>
      </c>
      <c r="K539" t="s">
        <v>1459</v>
      </c>
      <c r="L539" t="s">
        <v>1372</v>
      </c>
      <c r="M539" t="s">
        <v>1373</v>
      </c>
      <c r="N539" t="s">
        <v>1409</v>
      </c>
      <c r="O539" t="s">
        <v>1410</v>
      </c>
      <c r="P539">
        <v>4.5999999999999996</v>
      </c>
      <c r="Q539" t="s">
        <v>29</v>
      </c>
      <c r="R539" t="s">
        <v>157</v>
      </c>
      <c r="S539" t="s">
        <v>6937</v>
      </c>
    </row>
    <row r="540" spans="1:19" x14ac:dyDescent="0.25">
      <c r="A540">
        <v>2018</v>
      </c>
      <c r="B540">
        <v>19280</v>
      </c>
      <c r="C540" t="s">
        <v>1481</v>
      </c>
      <c r="D540" t="s">
        <v>1482</v>
      </c>
      <c r="E540">
        <v>493110</v>
      </c>
      <c r="F540" t="s">
        <v>1483</v>
      </c>
      <c r="G540" t="s">
        <v>1484</v>
      </c>
      <c r="H540" t="s">
        <v>69</v>
      </c>
      <c r="I540" t="s">
        <v>1421</v>
      </c>
      <c r="J540" t="s">
        <v>1422</v>
      </c>
      <c r="K540" t="s">
        <v>1423</v>
      </c>
      <c r="L540" t="s">
        <v>1372</v>
      </c>
      <c r="M540" t="s">
        <v>1373</v>
      </c>
      <c r="N540" t="s">
        <v>1399</v>
      </c>
      <c r="O540" t="s">
        <v>1400</v>
      </c>
      <c r="P540">
        <v>1.17</v>
      </c>
      <c r="Q540" t="s">
        <v>29</v>
      </c>
      <c r="R540" t="s">
        <v>430</v>
      </c>
      <c r="S540" t="s">
        <v>6937</v>
      </c>
    </row>
    <row r="541" spans="1:19" x14ac:dyDescent="0.25">
      <c r="A541">
        <v>2019</v>
      </c>
      <c r="B541">
        <v>16437</v>
      </c>
      <c r="C541" t="s">
        <v>1485</v>
      </c>
      <c r="D541" t="s">
        <v>1486</v>
      </c>
      <c r="E541">
        <v>211110</v>
      </c>
      <c r="F541" t="s">
        <v>233</v>
      </c>
      <c r="G541" t="s">
        <v>234</v>
      </c>
      <c r="H541" t="s">
        <v>85</v>
      </c>
      <c r="I541" t="s">
        <v>1487</v>
      </c>
      <c r="J541" t="s">
        <v>1488</v>
      </c>
      <c r="K541" t="s">
        <v>1489</v>
      </c>
      <c r="L541" t="s">
        <v>1372</v>
      </c>
      <c r="M541" t="s">
        <v>1373</v>
      </c>
      <c r="N541" t="s">
        <v>1374</v>
      </c>
      <c r="O541" t="s">
        <v>1375</v>
      </c>
      <c r="P541">
        <v>0.112</v>
      </c>
      <c r="Q541" t="s">
        <v>29</v>
      </c>
      <c r="R541" t="s">
        <v>430</v>
      </c>
      <c r="S541" t="s">
        <v>6937</v>
      </c>
    </row>
    <row r="542" spans="1:19" x14ac:dyDescent="0.25">
      <c r="A542">
        <v>2014</v>
      </c>
      <c r="B542">
        <v>17153</v>
      </c>
      <c r="C542" t="s">
        <v>1490</v>
      </c>
      <c r="D542" t="s">
        <v>1491</v>
      </c>
      <c r="E542">
        <v>321111</v>
      </c>
      <c r="F542" t="s">
        <v>1367</v>
      </c>
      <c r="G542" t="s">
        <v>1368</v>
      </c>
      <c r="H542" t="s">
        <v>85</v>
      </c>
      <c r="I542" t="s">
        <v>35</v>
      </c>
      <c r="J542" t="s">
        <v>36</v>
      </c>
      <c r="K542" t="s">
        <v>37</v>
      </c>
      <c r="L542" t="s">
        <v>1372</v>
      </c>
      <c r="M542" t="s">
        <v>1373</v>
      </c>
      <c r="N542" t="s">
        <v>1374</v>
      </c>
      <c r="O542" t="s">
        <v>1375</v>
      </c>
      <c r="P542">
        <v>0.27600000000000002</v>
      </c>
      <c r="Q542" t="s">
        <v>40</v>
      </c>
      <c r="R542" t="s">
        <v>430</v>
      </c>
      <c r="S542" t="s">
        <v>6937</v>
      </c>
    </row>
    <row r="543" spans="1:19" x14ac:dyDescent="0.25">
      <c r="A543">
        <v>2015</v>
      </c>
      <c r="B543">
        <v>815</v>
      </c>
      <c r="C543" t="s">
        <v>1492</v>
      </c>
      <c r="D543" t="s">
        <v>1492</v>
      </c>
      <c r="E543">
        <v>322112</v>
      </c>
      <c r="F543" t="s">
        <v>660</v>
      </c>
      <c r="G543" t="s">
        <v>621</v>
      </c>
      <c r="H543" t="s">
        <v>483</v>
      </c>
      <c r="I543" t="s">
        <v>504</v>
      </c>
      <c r="J543" t="s">
        <v>505</v>
      </c>
      <c r="K543" t="s">
        <v>506</v>
      </c>
      <c r="L543" t="s">
        <v>1372</v>
      </c>
      <c r="M543" t="s">
        <v>1373</v>
      </c>
      <c r="N543" t="s">
        <v>1374</v>
      </c>
      <c r="O543" t="s">
        <v>1375</v>
      </c>
      <c r="P543">
        <v>37</v>
      </c>
      <c r="Q543" t="s">
        <v>29</v>
      </c>
      <c r="R543" t="s">
        <v>430</v>
      </c>
      <c r="S543" t="s">
        <v>6937</v>
      </c>
    </row>
    <row r="544" spans="1:19" x14ac:dyDescent="0.25">
      <c r="A544">
        <v>2018</v>
      </c>
      <c r="B544">
        <v>2875</v>
      </c>
      <c r="C544" t="s">
        <v>1493</v>
      </c>
      <c r="D544" t="s">
        <v>1494</v>
      </c>
      <c r="E544">
        <v>322112</v>
      </c>
      <c r="F544" t="s">
        <v>660</v>
      </c>
      <c r="G544" t="s">
        <v>621</v>
      </c>
      <c r="H544" t="s">
        <v>85</v>
      </c>
      <c r="I544" t="s">
        <v>55</v>
      </c>
      <c r="J544" t="s">
        <v>56</v>
      </c>
      <c r="K544" t="s">
        <v>57</v>
      </c>
      <c r="L544" t="s">
        <v>1378</v>
      </c>
      <c r="M544" t="s">
        <v>1379</v>
      </c>
      <c r="N544" t="s">
        <v>1380</v>
      </c>
      <c r="O544" t="s">
        <v>1381</v>
      </c>
      <c r="P544">
        <v>3.9287000000000001</v>
      </c>
      <c r="Q544" t="s">
        <v>29</v>
      </c>
      <c r="R544" t="s">
        <v>430</v>
      </c>
      <c r="S544" t="s">
        <v>6937</v>
      </c>
    </row>
    <row r="545" spans="1:19" x14ac:dyDescent="0.25">
      <c r="A545">
        <v>2008</v>
      </c>
      <c r="B545">
        <v>7614</v>
      </c>
      <c r="C545" t="s">
        <v>1495</v>
      </c>
      <c r="D545" t="s">
        <v>1496</v>
      </c>
      <c r="E545">
        <v>212323</v>
      </c>
      <c r="F545" t="s">
        <v>1497</v>
      </c>
      <c r="G545" t="s">
        <v>1498</v>
      </c>
      <c r="H545" t="s">
        <v>21</v>
      </c>
      <c r="I545" t="s">
        <v>1369</v>
      </c>
      <c r="J545" t="s">
        <v>1370</v>
      </c>
      <c r="K545" t="s">
        <v>1371</v>
      </c>
      <c r="L545" t="s">
        <v>1372</v>
      </c>
      <c r="M545" t="s">
        <v>1373</v>
      </c>
      <c r="N545" t="s">
        <v>1409</v>
      </c>
      <c r="O545" t="s">
        <v>1410</v>
      </c>
      <c r="P545">
        <v>8.7520000000000007</v>
      </c>
      <c r="Q545" t="s">
        <v>29</v>
      </c>
      <c r="R545" t="s">
        <v>430</v>
      </c>
      <c r="S545" t="s">
        <v>6937</v>
      </c>
    </row>
    <row r="546" spans="1:19" x14ac:dyDescent="0.25">
      <c r="A546">
        <v>2016</v>
      </c>
      <c r="B546">
        <v>5456</v>
      </c>
      <c r="C546" t="s">
        <v>1499</v>
      </c>
      <c r="D546" t="s">
        <v>1500</v>
      </c>
      <c r="E546">
        <v>332810</v>
      </c>
      <c r="F546" t="s">
        <v>361</v>
      </c>
      <c r="G546" t="s">
        <v>362</v>
      </c>
      <c r="H546" t="s">
        <v>79</v>
      </c>
      <c r="I546" t="s">
        <v>337</v>
      </c>
      <c r="J546" t="s">
        <v>338</v>
      </c>
      <c r="K546" t="s">
        <v>339</v>
      </c>
      <c r="L546" t="s">
        <v>1361</v>
      </c>
      <c r="M546" t="s">
        <v>1362</v>
      </c>
      <c r="N546" t="s">
        <v>1363</v>
      </c>
      <c r="O546" t="s">
        <v>1364</v>
      </c>
      <c r="P546">
        <v>0</v>
      </c>
      <c r="Q546" t="s">
        <v>29</v>
      </c>
      <c r="R546" t="s">
        <v>30</v>
      </c>
      <c r="S546" t="s">
        <v>6937</v>
      </c>
    </row>
    <row r="547" spans="1:19" x14ac:dyDescent="0.25">
      <c r="A547">
        <v>2002</v>
      </c>
      <c r="B547">
        <v>2106</v>
      </c>
      <c r="C547" t="s">
        <v>1501</v>
      </c>
      <c r="E547">
        <v>325510</v>
      </c>
      <c r="F547" t="s">
        <v>143</v>
      </c>
      <c r="G547" t="s">
        <v>112</v>
      </c>
      <c r="H547" t="s">
        <v>21</v>
      </c>
      <c r="I547" t="s">
        <v>427</v>
      </c>
      <c r="J547" t="s">
        <v>428</v>
      </c>
      <c r="K547" t="s">
        <v>429</v>
      </c>
      <c r="L547" t="s">
        <v>1361</v>
      </c>
      <c r="M547" t="s">
        <v>1362</v>
      </c>
      <c r="N547" t="s">
        <v>1363</v>
      </c>
      <c r="O547" t="s">
        <v>1364</v>
      </c>
      <c r="P547">
        <v>0.09</v>
      </c>
      <c r="Q547" t="s">
        <v>29</v>
      </c>
      <c r="R547" t="s">
        <v>204</v>
      </c>
      <c r="S547" t="s">
        <v>6937</v>
      </c>
    </row>
    <row r="548" spans="1:19" x14ac:dyDescent="0.25">
      <c r="A548">
        <v>2015</v>
      </c>
      <c r="B548">
        <v>3201</v>
      </c>
      <c r="C548" t="s">
        <v>781</v>
      </c>
      <c r="D548" t="s">
        <v>782</v>
      </c>
      <c r="E548">
        <v>322220</v>
      </c>
      <c r="F548" t="s">
        <v>783</v>
      </c>
      <c r="G548" t="s">
        <v>190</v>
      </c>
      <c r="H548" t="s">
        <v>21</v>
      </c>
      <c r="I548" t="s">
        <v>1369</v>
      </c>
      <c r="J548" t="s">
        <v>1370</v>
      </c>
      <c r="K548" t="s">
        <v>1371</v>
      </c>
      <c r="L548" t="s">
        <v>1372</v>
      </c>
      <c r="M548" t="s">
        <v>1373</v>
      </c>
      <c r="N548" t="s">
        <v>1374</v>
      </c>
      <c r="O548" t="s">
        <v>1375</v>
      </c>
      <c r="P548">
        <v>1.073</v>
      </c>
      <c r="Q548" t="s">
        <v>29</v>
      </c>
      <c r="R548" t="s">
        <v>30</v>
      </c>
      <c r="S548" t="s">
        <v>6937</v>
      </c>
    </row>
    <row r="549" spans="1:19" x14ac:dyDescent="0.25">
      <c r="A549">
        <v>2000</v>
      </c>
      <c r="B549">
        <v>2963</v>
      </c>
      <c r="C549" t="s">
        <v>1502</v>
      </c>
      <c r="D549" t="s">
        <v>1503</v>
      </c>
      <c r="E549">
        <v>325110</v>
      </c>
      <c r="F549" t="s">
        <v>1194</v>
      </c>
      <c r="G549" t="s">
        <v>445</v>
      </c>
      <c r="H549" t="s">
        <v>85</v>
      </c>
      <c r="I549" t="s">
        <v>1504</v>
      </c>
      <c r="J549" t="s">
        <v>1505</v>
      </c>
      <c r="K549" t="s">
        <v>1506</v>
      </c>
      <c r="L549" t="s">
        <v>1372</v>
      </c>
      <c r="M549" t="s">
        <v>1373</v>
      </c>
      <c r="N549" t="s">
        <v>1374</v>
      </c>
      <c r="O549" t="s">
        <v>1375</v>
      </c>
      <c r="P549">
        <v>1.0489999999999999</v>
      </c>
      <c r="Q549" t="s">
        <v>29</v>
      </c>
      <c r="R549" t="s">
        <v>442</v>
      </c>
      <c r="S549" t="s">
        <v>6937</v>
      </c>
    </row>
    <row r="550" spans="1:19" x14ac:dyDescent="0.25">
      <c r="A550">
        <v>2023</v>
      </c>
      <c r="B550">
        <v>4743</v>
      </c>
      <c r="C550" t="s">
        <v>1446</v>
      </c>
      <c r="D550" t="s">
        <v>1447</v>
      </c>
      <c r="E550">
        <v>221320</v>
      </c>
      <c r="F550" t="s">
        <v>146</v>
      </c>
      <c r="G550" t="s">
        <v>147</v>
      </c>
      <c r="H550" t="s">
        <v>21</v>
      </c>
      <c r="I550" t="s">
        <v>1413</v>
      </c>
      <c r="J550" t="s">
        <v>1414</v>
      </c>
      <c r="K550" t="s">
        <v>1415</v>
      </c>
      <c r="L550" t="s">
        <v>1372</v>
      </c>
      <c r="M550" t="s">
        <v>1373</v>
      </c>
      <c r="N550" t="s">
        <v>1374</v>
      </c>
      <c r="O550" t="s">
        <v>1375</v>
      </c>
      <c r="P550">
        <v>23.58</v>
      </c>
      <c r="Q550" t="s">
        <v>29</v>
      </c>
      <c r="R550" t="s">
        <v>430</v>
      </c>
      <c r="S550" t="s">
        <v>6937</v>
      </c>
    </row>
    <row r="551" spans="1:19" x14ac:dyDescent="0.25">
      <c r="A551">
        <v>2021</v>
      </c>
      <c r="B551">
        <v>26107</v>
      </c>
      <c r="C551" t="s">
        <v>1027</v>
      </c>
      <c r="D551" t="s">
        <v>1507</v>
      </c>
      <c r="E551">
        <v>211110</v>
      </c>
      <c r="F551" t="s">
        <v>233</v>
      </c>
      <c r="G551" t="s">
        <v>234</v>
      </c>
      <c r="H551" t="s">
        <v>85</v>
      </c>
      <c r="I551" t="s">
        <v>1413</v>
      </c>
      <c r="J551" t="s">
        <v>1414</v>
      </c>
      <c r="K551" t="s">
        <v>1415</v>
      </c>
      <c r="L551" t="s">
        <v>1372</v>
      </c>
      <c r="M551" t="s">
        <v>1373</v>
      </c>
      <c r="N551" t="s">
        <v>1374</v>
      </c>
      <c r="O551" t="s">
        <v>1375</v>
      </c>
      <c r="P551">
        <v>0</v>
      </c>
      <c r="Q551" t="s">
        <v>29</v>
      </c>
      <c r="R551" t="s">
        <v>258</v>
      </c>
      <c r="S551" t="s">
        <v>6937</v>
      </c>
    </row>
    <row r="552" spans="1:19" x14ac:dyDescent="0.25">
      <c r="A552">
        <v>2020</v>
      </c>
      <c r="B552">
        <v>21413</v>
      </c>
      <c r="C552" t="s">
        <v>1112</v>
      </c>
      <c r="D552" t="s">
        <v>1508</v>
      </c>
      <c r="E552">
        <v>211110</v>
      </c>
      <c r="F552" t="s">
        <v>233</v>
      </c>
      <c r="G552" t="s">
        <v>234</v>
      </c>
      <c r="H552" t="s">
        <v>69</v>
      </c>
      <c r="I552" t="s">
        <v>1457</v>
      </c>
      <c r="J552" t="s">
        <v>1458</v>
      </c>
      <c r="K552" t="s">
        <v>1459</v>
      </c>
      <c r="L552" t="s">
        <v>1372</v>
      </c>
      <c r="M552" t="s">
        <v>1373</v>
      </c>
      <c r="N552" t="s">
        <v>1399</v>
      </c>
      <c r="O552" t="s">
        <v>1400</v>
      </c>
      <c r="P552">
        <v>0</v>
      </c>
      <c r="Q552" t="s">
        <v>29</v>
      </c>
      <c r="R552" t="s">
        <v>30</v>
      </c>
      <c r="S552" t="s">
        <v>6937</v>
      </c>
    </row>
    <row r="553" spans="1:19" x14ac:dyDescent="0.25">
      <c r="A553">
        <v>2006</v>
      </c>
      <c r="B553">
        <v>10695</v>
      </c>
      <c r="C553" t="s">
        <v>1509</v>
      </c>
      <c r="D553" t="s">
        <v>1510</v>
      </c>
      <c r="E553">
        <v>332999</v>
      </c>
      <c r="F553" t="s">
        <v>309</v>
      </c>
      <c r="G553" t="s">
        <v>304</v>
      </c>
      <c r="H553" t="s">
        <v>21</v>
      </c>
      <c r="I553" t="s">
        <v>1369</v>
      </c>
      <c r="J553" t="s">
        <v>1370</v>
      </c>
      <c r="K553" t="s">
        <v>1371</v>
      </c>
      <c r="L553" t="s">
        <v>1372</v>
      </c>
      <c r="M553" t="s">
        <v>1373</v>
      </c>
      <c r="N553" t="s">
        <v>1374</v>
      </c>
      <c r="O553" t="s">
        <v>1375</v>
      </c>
      <c r="P553">
        <v>0.89200000000000002</v>
      </c>
      <c r="Q553" t="s">
        <v>29</v>
      </c>
      <c r="R553" t="s">
        <v>430</v>
      </c>
      <c r="S553" t="s">
        <v>6937</v>
      </c>
    </row>
    <row r="554" spans="1:19" x14ac:dyDescent="0.25">
      <c r="A554">
        <v>1994</v>
      </c>
      <c r="B554">
        <v>1902</v>
      </c>
      <c r="C554" t="s">
        <v>1511</v>
      </c>
      <c r="D554" t="s">
        <v>607</v>
      </c>
      <c r="E554">
        <v>211113</v>
      </c>
      <c r="F554" t="s">
        <v>425</v>
      </c>
      <c r="G554" t="s">
        <v>426</v>
      </c>
      <c r="H554" t="s">
        <v>85</v>
      </c>
      <c r="I554" t="s">
        <v>923</v>
      </c>
      <c r="J554" t="s">
        <v>924</v>
      </c>
      <c r="K554" t="s">
        <v>924</v>
      </c>
      <c r="L554" t="s">
        <v>1361</v>
      </c>
      <c r="M554" t="s">
        <v>1362</v>
      </c>
      <c r="N554" t="s">
        <v>1363</v>
      </c>
      <c r="O554" t="s">
        <v>1364</v>
      </c>
      <c r="P554">
        <v>0.66600000000000004</v>
      </c>
      <c r="Q554" t="s">
        <v>29</v>
      </c>
      <c r="R554" t="s">
        <v>204</v>
      </c>
      <c r="S554" t="s">
        <v>6937</v>
      </c>
    </row>
    <row r="555" spans="1:19" x14ac:dyDescent="0.25">
      <c r="A555">
        <v>2018</v>
      </c>
      <c r="B555">
        <v>718</v>
      </c>
      <c r="C555" t="s">
        <v>148</v>
      </c>
      <c r="D555" t="s">
        <v>1512</v>
      </c>
      <c r="E555">
        <v>321217</v>
      </c>
      <c r="F555" t="s">
        <v>150</v>
      </c>
      <c r="G555" t="s">
        <v>151</v>
      </c>
      <c r="H555" t="s">
        <v>69</v>
      </c>
      <c r="I555" t="s">
        <v>1421</v>
      </c>
      <c r="J555" t="s">
        <v>1422</v>
      </c>
      <c r="K555" t="s">
        <v>1423</v>
      </c>
      <c r="L555" t="s">
        <v>1372</v>
      </c>
      <c r="M555" t="s">
        <v>1373</v>
      </c>
      <c r="N555" t="s">
        <v>1374</v>
      </c>
      <c r="O555" t="s">
        <v>1375</v>
      </c>
      <c r="P555">
        <v>6.2430000000000003</v>
      </c>
      <c r="Q555" t="s">
        <v>29</v>
      </c>
      <c r="R555" t="s">
        <v>157</v>
      </c>
      <c r="S555" t="s">
        <v>6937</v>
      </c>
    </row>
    <row r="556" spans="1:19" x14ac:dyDescent="0.25">
      <c r="A556">
        <v>2021</v>
      </c>
      <c r="B556">
        <v>2230</v>
      </c>
      <c r="C556" t="s">
        <v>1513</v>
      </c>
      <c r="D556" t="s">
        <v>1514</v>
      </c>
      <c r="E556">
        <v>211142</v>
      </c>
      <c r="F556" t="s">
        <v>357</v>
      </c>
      <c r="G556" t="s">
        <v>358</v>
      </c>
      <c r="H556" t="s">
        <v>85</v>
      </c>
      <c r="I556" t="s">
        <v>1515</v>
      </c>
      <c r="J556" t="s">
        <v>1516</v>
      </c>
      <c r="K556" t="s">
        <v>1517</v>
      </c>
      <c r="L556" t="s">
        <v>1372</v>
      </c>
      <c r="M556" t="s">
        <v>1373</v>
      </c>
      <c r="N556" t="s">
        <v>1402</v>
      </c>
      <c r="O556" t="s">
        <v>1403</v>
      </c>
      <c r="P556">
        <v>3.3110000000000001E-3</v>
      </c>
      <c r="Q556" t="s">
        <v>29</v>
      </c>
      <c r="R556" t="s">
        <v>30</v>
      </c>
      <c r="S556" t="s">
        <v>6937</v>
      </c>
    </row>
    <row r="557" spans="1:19" x14ac:dyDescent="0.25">
      <c r="A557">
        <v>2009</v>
      </c>
      <c r="B557">
        <v>22750</v>
      </c>
      <c r="C557" t="s">
        <v>1518</v>
      </c>
      <c r="D557" t="s">
        <v>1519</v>
      </c>
      <c r="E557">
        <v>211114</v>
      </c>
      <c r="F557" t="s">
        <v>835</v>
      </c>
      <c r="G557" t="s">
        <v>836</v>
      </c>
      <c r="H557" t="s">
        <v>85</v>
      </c>
      <c r="I557" t="s">
        <v>348</v>
      </c>
      <c r="J557" t="s">
        <v>349</v>
      </c>
      <c r="K557" t="s">
        <v>350</v>
      </c>
      <c r="L557" t="s">
        <v>1372</v>
      </c>
      <c r="M557" t="s">
        <v>1373</v>
      </c>
      <c r="N557" t="s">
        <v>1520</v>
      </c>
      <c r="O557" t="s">
        <v>1521</v>
      </c>
      <c r="P557">
        <v>1.6819999999999999</v>
      </c>
      <c r="Q557" t="s">
        <v>29</v>
      </c>
      <c r="R557" t="s">
        <v>430</v>
      </c>
      <c r="S557" t="s">
        <v>6937</v>
      </c>
    </row>
    <row r="558" spans="1:19" x14ac:dyDescent="0.25">
      <c r="A558">
        <v>2013</v>
      </c>
      <c r="B558">
        <v>23275</v>
      </c>
      <c r="C558" t="s">
        <v>1027</v>
      </c>
      <c r="D558" t="s">
        <v>1522</v>
      </c>
      <c r="E558">
        <v>211114</v>
      </c>
      <c r="F558" t="s">
        <v>956</v>
      </c>
      <c r="G558" t="s">
        <v>836</v>
      </c>
      <c r="H558" t="s">
        <v>85</v>
      </c>
      <c r="I558" t="s">
        <v>184</v>
      </c>
      <c r="J558" t="s">
        <v>185</v>
      </c>
      <c r="K558" t="s">
        <v>186</v>
      </c>
      <c r="L558" t="s">
        <v>1372</v>
      </c>
      <c r="M558" t="s">
        <v>1373</v>
      </c>
      <c r="N558" t="s">
        <v>1374</v>
      </c>
      <c r="O558" t="s">
        <v>1375</v>
      </c>
      <c r="P558">
        <v>2E-3</v>
      </c>
      <c r="Q558" t="s">
        <v>29</v>
      </c>
      <c r="R558" t="s">
        <v>430</v>
      </c>
      <c r="S558" t="s">
        <v>6937</v>
      </c>
    </row>
    <row r="559" spans="1:19" x14ac:dyDescent="0.25">
      <c r="A559">
        <v>2009</v>
      </c>
      <c r="B559">
        <v>1071</v>
      </c>
      <c r="C559" t="s">
        <v>1523</v>
      </c>
      <c r="D559" t="s">
        <v>1523</v>
      </c>
      <c r="E559">
        <v>331313</v>
      </c>
      <c r="F559" t="s">
        <v>1131</v>
      </c>
      <c r="G559" t="s">
        <v>1132</v>
      </c>
      <c r="H559" t="s">
        <v>79</v>
      </c>
      <c r="I559" t="s">
        <v>1421</v>
      </c>
      <c r="J559" t="s">
        <v>1422</v>
      </c>
      <c r="K559" t="s">
        <v>1423</v>
      </c>
      <c r="L559" t="s">
        <v>1372</v>
      </c>
      <c r="M559" t="s">
        <v>1373</v>
      </c>
      <c r="N559" t="s">
        <v>1374</v>
      </c>
      <c r="O559" t="s">
        <v>1375</v>
      </c>
      <c r="P559">
        <v>149</v>
      </c>
      <c r="Q559" t="s">
        <v>29</v>
      </c>
      <c r="R559" t="s">
        <v>430</v>
      </c>
      <c r="S559" t="s">
        <v>6937</v>
      </c>
    </row>
    <row r="560" spans="1:19" x14ac:dyDescent="0.25">
      <c r="A560">
        <v>2015</v>
      </c>
      <c r="B560">
        <v>28890</v>
      </c>
      <c r="C560" t="s">
        <v>1027</v>
      </c>
      <c r="D560" t="s">
        <v>1524</v>
      </c>
      <c r="E560">
        <v>211113</v>
      </c>
      <c r="F560" t="s">
        <v>786</v>
      </c>
      <c r="G560" t="s">
        <v>426</v>
      </c>
      <c r="H560" t="s">
        <v>85</v>
      </c>
      <c r="I560" t="s">
        <v>1441</v>
      </c>
      <c r="J560" t="s">
        <v>1442</v>
      </c>
      <c r="K560" t="s">
        <v>1443</v>
      </c>
      <c r="L560" t="s">
        <v>1372</v>
      </c>
      <c r="M560" t="s">
        <v>1373</v>
      </c>
      <c r="N560" t="s">
        <v>1374</v>
      </c>
      <c r="O560" t="s">
        <v>1375</v>
      </c>
      <c r="P560">
        <v>62.968000000000004</v>
      </c>
      <c r="Q560" t="s">
        <v>29</v>
      </c>
      <c r="R560" t="s">
        <v>430</v>
      </c>
      <c r="S560" t="s">
        <v>6937</v>
      </c>
    </row>
    <row r="561" spans="1:19" x14ac:dyDescent="0.25">
      <c r="A561">
        <v>2016</v>
      </c>
      <c r="B561">
        <v>5614</v>
      </c>
      <c r="C561" t="s">
        <v>1525</v>
      </c>
      <c r="D561" t="s">
        <v>1526</v>
      </c>
      <c r="E561">
        <v>221320</v>
      </c>
      <c r="F561" t="s">
        <v>146</v>
      </c>
      <c r="G561" t="s">
        <v>147</v>
      </c>
      <c r="H561" t="s">
        <v>21</v>
      </c>
      <c r="I561" t="s">
        <v>97</v>
      </c>
      <c r="J561" t="s">
        <v>98</v>
      </c>
      <c r="K561" t="s">
        <v>99</v>
      </c>
      <c r="L561" t="s">
        <v>1378</v>
      </c>
      <c r="M561" t="s">
        <v>1379</v>
      </c>
      <c r="N561" t="s">
        <v>1380</v>
      </c>
      <c r="O561" t="s">
        <v>1381</v>
      </c>
      <c r="P561">
        <v>3.3</v>
      </c>
      <c r="Q561" t="s">
        <v>29</v>
      </c>
      <c r="R561" t="s">
        <v>124</v>
      </c>
      <c r="S561" t="s">
        <v>6937</v>
      </c>
    </row>
    <row r="562" spans="1:19" x14ac:dyDescent="0.25">
      <c r="A562">
        <v>2008</v>
      </c>
      <c r="B562">
        <v>16459</v>
      </c>
      <c r="C562" t="s">
        <v>1527</v>
      </c>
      <c r="D562" t="s">
        <v>1528</v>
      </c>
      <c r="E562">
        <v>211113</v>
      </c>
      <c r="F562" t="s">
        <v>425</v>
      </c>
      <c r="G562" t="s">
        <v>426</v>
      </c>
      <c r="H562" t="s">
        <v>69</v>
      </c>
      <c r="I562" t="s">
        <v>1441</v>
      </c>
      <c r="J562" t="s">
        <v>1442</v>
      </c>
      <c r="K562" t="s">
        <v>1443</v>
      </c>
      <c r="L562" t="s">
        <v>1372</v>
      </c>
      <c r="M562" t="s">
        <v>1373</v>
      </c>
      <c r="N562" t="s">
        <v>1374</v>
      </c>
      <c r="O562" t="s">
        <v>1375</v>
      </c>
      <c r="P562">
        <v>113.408</v>
      </c>
      <c r="Q562" t="s">
        <v>29</v>
      </c>
      <c r="R562" t="s">
        <v>430</v>
      </c>
      <c r="S562" t="s">
        <v>6937</v>
      </c>
    </row>
    <row r="563" spans="1:19" x14ac:dyDescent="0.25">
      <c r="A563">
        <v>2019</v>
      </c>
      <c r="B563">
        <v>15564</v>
      </c>
      <c r="C563" t="s">
        <v>1529</v>
      </c>
      <c r="D563" t="s">
        <v>1530</v>
      </c>
      <c r="E563">
        <v>211110</v>
      </c>
      <c r="F563" t="s">
        <v>233</v>
      </c>
      <c r="G563" t="s">
        <v>234</v>
      </c>
      <c r="H563" t="s">
        <v>85</v>
      </c>
      <c r="I563" t="s">
        <v>1421</v>
      </c>
      <c r="J563" t="s">
        <v>1422</v>
      </c>
      <c r="K563" t="s">
        <v>1423</v>
      </c>
      <c r="L563" t="s">
        <v>1372</v>
      </c>
      <c r="M563" t="s">
        <v>1373</v>
      </c>
      <c r="N563" t="s">
        <v>1374</v>
      </c>
      <c r="O563" t="s">
        <v>1375</v>
      </c>
      <c r="P563">
        <v>0.126</v>
      </c>
      <c r="Q563" t="s">
        <v>29</v>
      </c>
      <c r="R563" t="s">
        <v>430</v>
      </c>
      <c r="S563" t="s">
        <v>6937</v>
      </c>
    </row>
    <row r="564" spans="1:19" x14ac:dyDescent="0.25">
      <c r="A564">
        <v>2015</v>
      </c>
      <c r="B564">
        <v>11343</v>
      </c>
      <c r="C564" t="s">
        <v>1531</v>
      </c>
      <c r="D564" t="s">
        <v>1532</v>
      </c>
      <c r="E564">
        <v>339990</v>
      </c>
      <c r="F564" t="s">
        <v>1179</v>
      </c>
      <c r="G564" t="s">
        <v>872</v>
      </c>
      <c r="H564" t="s">
        <v>21</v>
      </c>
      <c r="I564" t="s">
        <v>1533</v>
      </c>
      <c r="J564" t="s">
        <v>1534</v>
      </c>
      <c r="K564" t="s">
        <v>1535</v>
      </c>
      <c r="L564" t="s">
        <v>1372</v>
      </c>
      <c r="M564" t="s">
        <v>1373</v>
      </c>
      <c r="N564" t="s">
        <v>1520</v>
      </c>
      <c r="O564" t="s">
        <v>1521</v>
      </c>
      <c r="P564">
        <v>0</v>
      </c>
      <c r="Q564" t="s">
        <v>29</v>
      </c>
      <c r="R564" t="s">
        <v>30</v>
      </c>
      <c r="S564" t="s">
        <v>6937</v>
      </c>
    </row>
    <row r="565" spans="1:19" x14ac:dyDescent="0.25">
      <c r="A565">
        <v>2020</v>
      </c>
      <c r="B565">
        <v>17042</v>
      </c>
      <c r="C565" t="s">
        <v>1027</v>
      </c>
      <c r="D565" t="s">
        <v>1536</v>
      </c>
      <c r="E565">
        <v>211110</v>
      </c>
      <c r="F565" t="s">
        <v>233</v>
      </c>
      <c r="G565" t="s">
        <v>234</v>
      </c>
      <c r="H565" t="s">
        <v>85</v>
      </c>
      <c r="I565" t="s">
        <v>1457</v>
      </c>
      <c r="J565" t="s">
        <v>1458</v>
      </c>
      <c r="K565" t="s">
        <v>1459</v>
      </c>
      <c r="L565" t="s">
        <v>1372</v>
      </c>
      <c r="M565" t="s">
        <v>1373</v>
      </c>
      <c r="N565" t="s">
        <v>1399</v>
      </c>
      <c r="O565" t="s">
        <v>1400</v>
      </c>
      <c r="P565">
        <v>13.4</v>
      </c>
      <c r="Q565" t="s">
        <v>29</v>
      </c>
      <c r="R565" t="s">
        <v>258</v>
      </c>
      <c r="S565" t="s">
        <v>6937</v>
      </c>
    </row>
    <row r="566" spans="1:19" x14ac:dyDescent="0.25">
      <c r="A566">
        <v>2010</v>
      </c>
      <c r="B566">
        <v>22106</v>
      </c>
      <c r="C566" t="s">
        <v>231</v>
      </c>
      <c r="D566" t="s">
        <v>1537</v>
      </c>
      <c r="E566">
        <v>211113</v>
      </c>
      <c r="F566" t="s">
        <v>425</v>
      </c>
      <c r="G566" t="s">
        <v>426</v>
      </c>
      <c r="H566" t="s">
        <v>85</v>
      </c>
      <c r="I566" t="s">
        <v>1369</v>
      </c>
      <c r="J566" t="s">
        <v>1370</v>
      </c>
      <c r="K566" t="s">
        <v>1371</v>
      </c>
      <c r="L566" t="s">
        <v>1372</v>
      </c>
      <c r="M566" t="s">
        <v>1373</v>
      </c>
      <c r="N566" t="s">
        <v>1374</v>
      </c>
      <c r="O566" t="s">
        <v>1375</v>
      </c>
      <c r="P566">
        <v>1.119</v>
      </c>
      <c r="Q566" t="s">
        <v>29</v>
      </c>
      <c r="R566" t="s">
        <v>430</v>
      </c>
      <c r="S566" t="s">
        <v>6937</v>
      </c>
    </row>
    <row r="567" spans="1:19" x14ac:dyDescent="0.25">
      <c r="A567">
        <v>2017</v>
      </c>
      <c r="B567">
        <v>20025</v>
      </c>
      <c r="C567" t="s">
        <v>1538</v>
      </c>
      <c r="D567" t="s">
        <v>1539</v>
      </c>
      <c r="E567">
        <v>324121</v>
      </c>
      <c r="F567" t="s">
        <v>1540</v>
      </c>
      <c r="G567" t="s">
        <v>1541</v>
      </c>
      <c r="H567" t="s">
        <v>69</v>
      </c>
      <c r="I567" t="s">
        <v>1487</v>
      </c>
      <c r="J567" t="s">
        <v>1488</v>
      </c>
      <c r="K567" t="s">
        <v>1489</v>
      </c>
      <c r="L567" t="s">
        <v>1372</v>
      </c>
      <c r="M567" t="s">
        <v>1373</v>
      </c>
      <c r="N567" t="s">
        <v>1374</v>
      </c>
      <c r="O567" t="s">
        <v>1375</v>
      </c>
      <c r="P567">
        <v>3.9800000000000002E-2</v>
      </c>
      <c r="Q567" t="s">
        <v>29</v>
      </c>
      <c r="R567" t="s">
        <v>430</v>
      </c>
      <c r="S567" t="s">
        <v>6937</v>
      </c>
    </row>
    <row r="568" spans="1:19" x14ac:dyDescent="0.25">
      <c r="A568">
        <v>2012</v>
      </c>
      <c r="B568">
        <v>26472</v>
      </c>
      <c r="C568" t="s">
        <v>1542</v>
      </c>
      <c r="D568" t="s">
        <v>1543</v>
      </c>
      <c r="E568">
        <v>562210</v>
      </c>
      <c r="F568" t="s">
        <v>84</v>
      </c>
      <c r="G568" t="s">
        <v>53</v>
      </c>
      <c r="H568" t="s">
        <v>21</v>
      </c>
      <c r="I568" t="s">
        <v>1441</v>
      </c>
      <c r="J568" t="s">
        <v>1442</v>
      </c>
      <c r="K568" t="s">
        <v>1443</v>
      </c>
      <c r="L568" t="s">
        <v>1372</v>
      </c>
      <c r="M568" t="s">
        <v>1373</v>
      </c>
      <c r="N568" t="s">
        <v>1374</v>
      </c>
      <c r="O568" t="s">
        <v>1375</v>
      </c>
      <c r="P568">
        <v>31.462</v>
      </c>
      <c r="Q568" t="s">
        <v>29</v>
      </c>
      <c r="R568" t="s">
        <v>430</v>
      </c>
      <c r="S568" t="s">
        <v>6937</v>
      </c>
    </row>
    <row r="569" spans="1:19" x14ac:dyDescent="0.25">
      <c r="A569">
        <v>2003</v>
      </c>
      <c r="B569">
        <v>428</v>
      </c>
      <c r="C569" t="s">
        <v>125</v>
      </c>
      <c r="D569" t="s">
        <v>1544</v>
      </c>
      <c r="E569">
        <v>211113</v>
      </c>
      <c r="F569" t="s">
        <v>425</v>
      </c>
      <c r="G569" t="s">
        <v>426</v>
      </c>
      <c r="H569" t="s">
        <v>379</v>
      </c>
      <c r="I569" t="s">
        <v>70</v>
      </c>
      <c r="J569" t="s">
        <v>71</v>
      </c>
      <c r="K569" t="s">
        <v>72</v>
      </c>
      <c r="L569" t="s">
        <v>1372</v>
      </c>
      <c r="M569" t="s">
        <v>1373</v>
      </c>
      <c r="N569" t="s">
        <v>1374</v>
      </c>
      <c r="O569" t="s">
        <v>1375</v>
      </c>
      <c r="P569">
        <v>0.16500000000000001</v>
      </c>
      <c r="Q569" t="s">
        <v>29</v>
      </c>
      <c r="R569" t="s">
        <v>430</v>
      </c>
      <c r="S569" t="s">
        <v>6937</v>
      </c>
    </row>
    <row r="570" spans="1:19" x14ac:dyDescent="0.25">
      <c r="A570">
        <v>2004</v>
      </c>
      <c r="B570">
        <v>10217</v>
      </c>
      <c r="C570" t="s">
        <v>125</v>
      </c>
      <c r="D570" t="s">
        <v>1545</v>
      </c>
      <c r="E570">
        <v>412110</v>
      </c>
      <c r="F570" t="s">
        <v>346</v>
      </c>
      <c r="G570" t="s">
        <v>347</v>
      </c>
      <c r="H570" t="s">
        <v>483</v>
      </c>
      <c r="I570" t="s">
        <v>844</v>
      </c>
      <c r="J570" t="s">
        <v>845</v>
      </c>
      <c r="K570" t="s">
        <v>846</v>
      </c>
      <c r="L570" t="s">
        <v>1372</v>
      </c>
      <c r="M570" t="s">
        <v>1373</v>
      </c>
      <c r="N570" t="s">
        <v>1399</v>
      </c>
      <c r="O570" t="s">
        <v>1400</v>
      </c>
      <c r="P570">
        <v>1.7000000000000001E-2</v>
      </c>
      <c r="Q570" t="s">
        <v>29</v>
      </c>
      <c r="R570" t="s">
        <v>430</v>
      </c>
      <c r="S570" t="s">
        <v>6937</v>
      </c>
    </row>
    <row r="571" spans="1:19" x14ac:dyDescent="0.25">
      <c r="A571">
        <v>2004</v>
      </c>
      <c r="B571">
        <v>16233</v>
      </c>
      <c r="C571" t="s">
        <v>1546</v>
      </c>
      <c r="D571" t="s">
        <v>1547</v>
      </c>
      <c r="E571">
        <v>211113</v>
      </c>
      <c r="F571" t="s">
        <v>425</v>
      </c>
      <c r="G571" t="s">
        <v>426</v>
      </c>
      <c r="H571" t="s">
        <v>85</v>
      </c>
      <c r="I571" t="s">
        <v>1369</v>
      </c>
      <c r="J571" t="s">
        <v>1370</v>
      </c>
      <c r="K571" t="s">
        <v>1371</v>
      </c>
      <c r="L571" t="s">
        <v>1372</v>
      </c>
      <c r="M571" t="s">
        <v>1373</v>
      </c>
      <c r="N571" t="s">
        <v>1374</v>
      </c>
      <c r="O571" t="s">
        <v>1375</v>
      </c>
      <c r="P571">
        <v>1.01</v>
      </c>
      <c r="Q571" t="s">
        <v>29</v>
      </c>
      <c r="R571" t="s">
        <v>430</v>
      </c>
      <c r="S571" t="s">
        <v>6937</v>
      </c>
    </row>
    <row r="572" spans="1:19" x14ac:dyDescent="0.25">
      <c r="A572">
        <v>2014</v>
      </c>
      <c r="B572">
        <v>3704</v>
      </c>
      <c r="C572" t="s">
        <v>194</v>
      </c>
      <c r="D572" t="s">
        <v>468</v>
      </c>
      <c r="E572">
        <v>324110</v>
      </c>
      <c r="F572" t="s">
        <v>196</v>
      </c>
      <c r="G572" t="s">
        <v>96</v>
      </c>
      <c r="H572" t="s">
        <v>21</v>
      </c>
      <c r="I572" t="s">
        <v>70</v>
      </c>
      <c r="J572" t="s">
        <v>71</v>
      </c>
      <c r="K572" t="s">
        <v>72</v>
      </c>
      <c r="L572" t="s">
        <v>1378</v>
      </c>
      <c r="M572" t="s">
        <v>1379</v>
      </c>
      <c r="N572" t="s">
        <v>1380</v>
      </c>
      <c r="O572" t="s">
        <v>1381</v>
      </c>
      <c r="P572">
        <v>5.1000000000000004E-3</v>
      </c>
      <c r="Q572" t="s">
        <v>29</v>
      </c>
      <c r="R572" t="s">
        <v>124</v>
      </c>
      <c r="S572" t="s">
        <v>6937</v>
      </c>
    </row>
    <row r="573" spans="1:19" x14ac:dyDescent="0.25">
      <c r="A573">
        <v>2011</v>
      </c>
      <c r="B573">
        <v>2230</v>
      </c>
      <c r="C573" t="s">
        <v>1548</v>
      </c>
      <c r="D573" t="s">
        <v>1514</v>
      </c>
      <c r="E573">
        <v>211114</v>
      </c>
      <c r="F573" t="s">
        <v>835</v>
      </c>
      <c r="G573" t="s">
        <v>836</v>
      </c>
      <c r="H573" t="s">
        <v>85</v>
      </c>
      <c r="I573" t="s">
        <v>1549</v>
      </c>
      <c r="J573" t="s">
        <v>1550</v>
      </c>
      <c r="K573" t="s">
        <v>1551</v>
      </c>
      <c r="L573" t="s">
        <v>1372</v>
      </c>
      <c r="M573" t="s">
        <v>1373</v>
      </c>
      <c r="N573" t="s">
        <v>1399</v>
      </c>
      <c r="O573" t="s">
        <v>1400</v>
      </c>
      <c r="P573">
        <v>1.7047000000000001</v>
      </c>
      <c r="Q573" t="s">
        <v>29</v>
      </c>
      <c r="R573" t="s">
        <v>124</v>
      </c>
      <c r="S573" t="s">
        <v>6937</v>
      </c>
    </row>
    <row r="574" spans="1:19" x14ac:dyDescent="0.25">
      <c r="A574">
        <v>2007</v>
      </c>
      <c r="B574">
        <v>5000</v>
      </c>
      <c r="C574" t="s">
        <v>1552</v>
      </c>
      <c r="D574" t="s">
        <v>1553</v>
      </c>
      <c r="E574">
        <v>311990</v>
      </c>
      <c r="F574" t="s">
        <v>1038</v>
      </c>
      <c r="G574" t="s">
        <v>1039</v>
      </c>
      <c r="H574" t="s">
        <v>1012</v>
      </c>
      <c r="I574" t="s">
        <v>1413</v>
      </c>
      <c r="J574" t="s">
        <v>1414</v>
      </c>
      <c r="K574" t="s">
        <v>1415</v>
      </c>
      <c r="L574" t="s">
        <v>1372</v>
      </c>
      <c r="M574" t="s">
        <v>1373</v>
      </c>
      <c r="N574" t="s">
        <v>1374</v>
      </c>
      <c r="O574" t="s">
        <v>1375</v>
      </c>
      <c r="P574">
        <v>160.6</v>
      </c>
      <c r="Q574" t="s">
        <v>29</v>
      </c>
      <c r="R574" t="s">
        <v>50</v>
      </c>
      <c r="S574" t="s">
        <v>6937</v>
      </c>
    </row>
    <row r="575" spans="1:19" x14ac:dyDescent="0.25">
      <c r="A575">
        <v>2003</v>
      </c>
      <c r="B575">
        <v>929</v>
      </c>
      <c r="C575" t="s">
        <v>1554</v>
      </c>
      <c r="D575" t="s">
        <v>1555</v>
      </c>
      <c r="E575">
        <v>322122</v>
      </c>
      <c r="F575" t="s">
        <v>1556</v>
      </c>
      <c r="G575" t="s">
        <v>1062</v>
      </c>
      <c r="H575" t="s">
        <v>79</v>
      </c>
      <c r="I575" t="s">
        <v>337</v>
      </c>
      <c r="J575" t="s">
        <v>338</v>
      </c>
      <c r="K575" t="s">
        <v>339</v>
      </c>
      <c r="L575" t="s">
        <v>1372</v>
      </c>
      <c r="M575" t="s">
        <v>1373</v>
      </c>
      <c r="N575" t="s">
        <v>1374</v>
      </c>
      <c r="O575" t="s">
        <v>1375</v>
      </c>
      <c r="P575">
        <v>1.615</v>
      </c>
      <c r="Q575" t="s">
        <v>29</v>
      </c>
      <c r="R575" t="s">
        <v>430</v>
      </c>
      <c r="S575" t="s">
        <v>6937</v>
      </c>
    </row>
    <row r="576" spans="1:19" x14ac:dyDescent="0.25">
      <c r="A576">
        <v>2010</v>
      </c>
      <c r="B576">
        <v>17608</v>
      </c>
      <c r="C576" t="s">
        <v>1557</v>
      </c>
      <c r="D576" t="s">
        <v>1558</v>
      </c>
      <c r="E576">
        <v>211113</v>
      </c>
      <c r="F576" t="s">
        <v>425</v>
      </c>
      <c r="G576" t="s">
        <v>426</v>
      </c>
      <c r="H576" t="s">
        <v>85</v>
      </c>
      <c r="I576" t="s">
        <v>1441</v>
      </c>
      <c r="J576" t="s">
        <v>1442</v>
      </c>
      <c r="K576" t="s">
        <v>1443</v>
      </c>
      <c r="L576" t="s">
        <v>1372</v>
      </c>
      <c r="M576" t="s">
        <v>1373</v>
      </c>
      <c r="N576" t="s">
        <v>1374</v>
      </c>
      <c r="O576" t="s">
        <v>1375</v>
      </c>
      <c r="P576">
        <v>23.778600000000001</v>
      </c>
      <c r="Q576" t="s">
        <v>29</v>
      </c>
      <c r="R576" t="s">
        <v>430</v>
      </c>
      <c r="S576" t="s">
        <v>6937</v>
      </c>
    </row>
    <row r="577" spans="1:19" x14ac:dyDescent="0.25">
      <c r="A577">
        <v>2015</v>
      </c>
      <c r="B577">
        <v>27978</v>
      </c>
      <c r="C577" t="s">
        <v>1559</v>
      </c>
      <c r="D577" t="s">
        <v>1560</v>
      </c>
      <c r="E577">
        <v>211113</v>
      </c>
      <c r="F577" t="s">
        <v>786</v>
      </c>
      <c r="G577" t="s">
        <v>426</v>
      </c>
      <c r="H577" t="s">
        <v>85</v>
      </c>
      <c r="I577" t="s">
        <v>1457</v>
      </c>
      <c r="J577" t="s">
        <v>1458</v>
      </c>
      <c r="K577" t="s">
        <v>1459</v>
      </c>
      <c r="L577" t="s">
        <v>1372</v>
      </c>
      <c r="M577" t="s">
        <v>1373</v>
      </c>
      <c r="N577" t="s">
        <v>1409</v>
      </c>
      <c r="O577" t="s">
        <v>1410</v>
      </c>
      <c r="P577">
        <v>22.664999999999999</v>
      </c>
      <c r="Q577" t="s">
        <v>29</v>
      </c>
      <c r="R577" t="s">
        <v>430</v>
      </c>
      <c r="S577" t="s">
        <v>6937</v>
      </c>
    </row>
    <row r="578" spans="1:19" x14ac:dyDescent="0.25">
      <c r="A578">
        <v>2012</v>
      </c>
      <c r="B578">
        <v>17880</v>
      </c>
      <c r="C578" t="s">
        <v>833</v>
      </c>
      <c r="D578" t="s">
        <v>1561</v>
      </c>
      <c r="E578">
        <v>211113</v>
      </c>
      <c r="F578" t="s">
        <v>786</v>
      </c>
      <c r="G578" t="s">
        <v>426</v>
      </c>
      <c r="H578" t="s">
        <v>85</v>
      </c>
      <c r="I578" t="s">
        <v>1533</v>
      </c>
      <c r="J578" t="s">
        <v>1534</v>
      </c>
      <c r="K578" t="s">
        <v>1535</v>
      </c>
      <c r="L578" t="s">
        <v>1372</v>
      </c>
      <c r="M578" t="s">
        <v>1373</v>
      </c>
      <c r="N578" t="s">
        <v>1374</v>
      </c>
      <c r="O578" t="s">
        <v>1375</v>
      </c>
      <c r="P578">
        <v>150.33500000000001</v>
      </c>
      <c r="Q578" t="s">
        <v>29</v>
      </c>
      <c r="R578" t="s">
        <v>30</v>
      </c>
      <c r="S578" t="s">
        <v>6937</v>
      </c>
    </row>
    <row r="579" spans="1:19" x14ac:dyDescent="0.25">
      <c r="A579">
        <v>2005</v>
      </c>
      <c r="B579">
        <v>18171</v>
      </c>
      <c r="C579" t="s">
        <v>1562</v>
      </c>
      <c r="D579" t="s">
        <v>1563</v>
      </c>
      <c r="E579">
        <v>211113</v>
      </c>
      <c r="F579" t="s">
        <v>425</v>
      </c>
      <c r="G579" t="s">
        <v>426</v>
      </c>
      <c r="H579" t="s">
        <v>85</v>
      </c>
      <c r="I579" t="s">
        <v>1421</v>
      </c>
      <c r="J579" t="s">
        <v>1422</v>
      </c>
      <c r="K579" t="s">
        <v>1423</v>
      </c>
      <c r="L579" t="s">
        <v>1372</v>
      </c>
      <c r="M579" t="s">
        <v>1373</v>
      </c>
      <c r="N579" t="s">
        <v>1374</v>
      </c>
      <c r="O579" t="s">
        <v>1375</v>
      </c>
      <c r="P579">
        <v>0.312</v>
      </c>
      <c r="Q579" t="s">
        <v>29</v>
      </c>
      <c r="R579" t="s">
        <v>430</v>
      </c>
      <c r="S579" t="s">
        <v>6937</v>
      </c>
    </row>
    <row r="580" spans="1:19" x14ac:dyDescent="0.25">
      <c r="A580">
        <v>2008</v>
      </c>
      <c r="B580">
        <v>409</v>
      </c>
      <c r="C580" t="s">
        <v>1564</v>
      </c>
      <c r="D580" t="s">
        <v>1565</v>
      </c>
      <c r="E580">
        <v>211114</v>
      </c>
      <c r="F580" t="s">
        <v>835</v>
      </c>
      <c r="G580" t="s">
        <v>836</v>
      </c>
      <c r="H580" t="s">
        <v>243</v>
      </c>
      <c r="I580" t="s">
        <v>129</v>
      </c>
      <c r="J580" t="s">
        <v>130</v>
      </c>
      <c r="K580" t="s">
        <v>131</v>
      </c>
      <c r="L580" t="s">
        <v>1372</v>
      </c>
      <c r="M580" t="s">
        <v>1373</v>
      </c>
      <c r="N580" t="s">
        <v>1520</v>
      </c>
      <c r="O580" t="s">
        <v>1521</v>
      </c>
      <c r="P580">
        <v>5.2999999999999999E-2</v>
      </c>
      <c r="Q580" t="s">
        <v>29</v>
      </c>
      <c r="R580" t="s">
        <v>430</v>
      </c>
      <c r="S580" t="s">
        <v>6937</v>
      </c>
    </row>
    <row r="581" spans="1:19" x14ac:dyDescent="0.25">
      <c r="A581">
        <v>2019</v>
      </c>
      <c r="B581">
        <v>10021</v>
      </c>
      <c r="C581" t="s">
        <v>1566</v>
      </c>
      <c r="D581" t="s">
        <v>1567</v>
      </c>
      <c r="E581">
        <v>212323</v>
      </c>
      <c r="F581" t="s">
        <v>1568</v>
      </c>
      <c r="G581" t="s">
        <v>1498</v>
      </c>
      <c r="H581" t="s">
        <v>21</v>
      </c>
      <c r="I581" t="s">
        <v>1487</v>
      </c>
      <c r="J581" t="s">
        <v>1488</v>
      </c>
      <c r="K581" t="s">
        <v>1489</v>
      </c>
      <c r="L581" t="s">
        <v>1372</v>
      </c>
      <c r="M581" t="s">
        <v>1373</v>
      </c>
      <c r="N581" t="s">
        <v>1390</v>
      </c>
      <c r="O581" t="s">
        <v>1391</v>
      </c>
      <c r="P581">
        <v>6.3090000000000002</v>
      </c>
      <c r="Q581" t="s">
        <v>29</v>
      </c>
      <c r="R581" t="s">
        <v>430</v>
      </c>
      <c r="S581" t="s">
        <v>6937</v>
      </c>
    </row>
    <row r="582" spans="1:19" x14ac:dyDescent="0.25">
      <c r="A582">
        <v>2009</v>
      </c>
      <c r="B582">
        <v>17854</v>
      </c>
      <c r="C582" t="s">
        <v>1569</v>
      </c>
      <c r="D582" t="s">
        <v>1570</v>
      </c>
      <c r="E582">
        <v>211113</v>
      </c>
      <c r="F582" t="s">
        <v>425</v>
      </c>
      <c r="G582" t="s">
        <v>426</v>
      </c>
      <c r="H582" t="s">
        <v>85</v>
      </c>
      <c r="I582" t="s">
        <v>1533</v>
      </c>
      <c r="J582" t="s">
        <v>1534</v>
      </c>
      <c r="K582" t="s">
        <v>1535</v>
      </c>
      <c r="L582" t="s">
        <v>1372</v>
      </c>
      <c r="M582" t="s">
        <v>1373</v>
      </c>
      <c r="N582" t="s">
        <v>1374</v>
      </c>
      <c r="O582" t="s">
        <v>1375</v>
      </c>
      <c r="P582">
        <v>287.23</v>
      </c>
      <c r="Q582" t="s">
        <v>29</v>
      </c>
      <c r="R582" t="s">
        <v>430</v>
      </c>
      <c r="S582" t="s">
        <v>6937</v>
      </c>
    </row>
    <row r="583" spans="1:19" x14ac:dyDescent="0.25">
      <c r="A583">
        <v>2008</v>
      </c>
      <c r="B583">
        <v>1797</v>
      </c>
      <c r="C583" t="s">
        <v>1376</v>
      </c>
      <c r="D583" t="s">
        <v>1377</v>
      </c>
      <c r="E583">
        <v>322112</v>
      </c>
      <c r="F583" t="s">
        <v>620</v>
      </c>
      <c r="G583" t="s">
        <v>621</v>
      </c>
      <c r="H583" t="s">
        <v>69</v>
      </c>
      <c r="I583" t="s">
        <v>1549</v>
      </c>
      <c r="J583" t="s">
        <v>1550</v>
      </c>
      <c r="K583" t="s">
        <v>1551</v>
      </c>
      <c r="L583" t="s">
        <v>1372</v>
      </c>
      <c r="M583" t="s">
        <v>1373</v>
      </c>
      <c r="N583" t="s">
        <v>1374</v>
      </c>
      <c r="O583" t="s">
        <v>1375</v>
      </c>
      <c r="P583">
        <v>32.009</v>
      </c>
      <c r="Q583" t="s">
        <v>29</v>
      </c>
      <c r="R583" t="s">
        <v>430</v>
      </c>
      <c r="S583" t="s">
        <v>6937</v>
      </c>
    </row>
    <row r="584" spans="1:19" x14ac:dyDescent="0.25">
      <c r="A584">
        <v>2004</v>
      </c>
      <c r="B584">
        <v>16480</v>
      </c>
      <c r="C584" t="s">
        <v>1571</v>
      </c>
      <c r="D584" t="s">
        <v>1572</v>
      </c>
      <c r="E584">
        <v>211113</v>
      </c>
      <c r="F584" t="s">
        <v>425</v>
      </c>
      <c r="G584" t="s">
        <v>426</v>
      </c>
      <c r="H584" t="s">
        <v>69</v>
      </c>
      <c r="I584" t="s">
        <v>1533</v>
      </c>
      <c r="J584" t="s">
        <v>1534</v>
      </c>
      <c r="K584" t="s">
        <v>1535</v>
      </c>
      <c r="L584" t="s">
        <v>1372</v>
      </c>
      <c r="M584" t="s">
        <v>1373</v>
      </c>
      <c r="N584" t="s">
        <v>1374</v>
      </c>
      <c r="O584" t="s">
        <v>1375</v>
      </c>
      <c r="P584">
        <v>75.489999999999995</v>
      </c>
      <c r="Q584" t="s">
        <v>29</v>
      </c>
      <c r="R584" t="s">
        <v>430</v>
      </c>
      <c r="S584" t="s">
        <v>6937</v>
      </c>
    </row>
    <row r="585" spans="1:19" x14ac:dyDescent="0.25">
      <c r="A585">
        <v>2013</v>
      </c>
      <c r="B585">
        <v>27118</v>
      </c>
      <c r="C585" t="s">
        <v>1573</v>
      </c>
      <c r="D585" t="s">
        <v>1574</v>
      </c>
      <c r="E585">
        <v>221320</v>
      </c>
      <c r="F585" t="s">
        <v>146</v>
      </c>
      <c r="G585" t="s">
        <v>147</v>
      </c>
      <c r="H585" t="s">
        <v>69</v>
      </c>
      <c r="I585" t="s">
        <v>97</v>
      </c>
      <c r="J585" t="s">
        <v>98</v>
      </c>
      <c r="K585" t="s">
        <v>99</v>
      </c>
      <c r="L585" t="s">
        <v>1361</v>
      </c>
      <c r="M585" t="s">
        <v>1362</v>
      </c>
      <c r="N585" t="s">
        <v>1363</v>
      </c>
      <c r="O585" t="s">
        <v>1364</v>
      </c>
      <c r="P585">
        <v>0</v>
      </c>
      <c r="Q585" t="s">
        <v>29</v>
      </c>
      <c r="R585" t="s">
        <v>124</v>
      </c>
      <c r="S585" t="s">
        <v>6937</v>
      </c>
    </row>
    <row r="586" spans="1:19" x14ac:dyDescent="0.25">
      <c r="A586">
        <v>2004</v>
      </c>
      <c r="B586">
        <v>1797</v>
      </c>
      <c r="C586" t="s">
        <v>1376</v>
      </c>
      <c r="D586" t="s">
        <v>1377</v>
      </c>
      <c r="E586">
        <v>322112</v>
      </c>
      <c r="F586" t="s">
        <v>620</v>
      </c>
      <c r="G586" t="s">
        <v>621</v>
      </c>
      <c r="H586" t="s">
        <v>69</v>
      </c>
      <c r="I586" t="s">
        <v>1533</v>
      </c>
      <c r="J586" t="s">
        <v>1534</v>
      </c>
      <c r="K586" t="s">
        <v>1535</v>
      </c>
      <c r="L586" t="s">
        <v>1372</v>
      </c>
      <c r="M586" t="s">
        <v>1373</v>
      </c>
      <c r="N586" t="s">
        <v>1374</v>
      </c>
      <c r="O586" t="s">
        <v>1375</v>
      </c>
      <c r="P586">
        <v>531.21</v>
      </c>
      <c r="Q586" t="s">
        <v>29</v>
      </c>
      <c r="R586" t="s">
        <v>124</v>
      </c>
      <c r="S586" t="s">
        <v>6937</v>
      </c>
    </row>
    <row r="587" spans="1:19" x14ac:dyDescent="0.25">
      <c r="A587">
        <v>2000</v>
      </c>
      <c r="B587">
        <v>1951</v>
      </c>
      <c r="C587" t="s">
        <v>1575</v>
      </c>
      <c r="E587">
        <v>325999</v>
      </c>
      <c r="F587" t="s">
        <v>396</v>
      </c>
      <c r="G587" t="s">
        <v>397</v>
      </c>
      <c r="H587" t="s">
        <v>21</v>
      </c>
      <c r="I587" t="s">
        <v>337</v>
      </c>
      <c r="J587" t="s">
        <v>338</v>
      </c>
      <c r="K587" t="s">
        <v>339</v>
      </c>
      <c r="L587" t="s">
        <v>1361</v>
      </c>
      <c r="M587" t="s">
        <v>1362</v>
      </c>
      <c r="N587" t="s">
        <v>1363</v>
      </c>
      <c r="O587" t="s">
        <v>1364</v>
      </c>
      <c r="P587">
        <v>7.0000000000000001E-3</v>
      </c>
      <c r="Q587" t="s">
        <v>29</v>
      </c>
      <c r="R587" t="s">
        <v>50</v>
      </c>
      <c r="S587" t="s">
        <v>6937</v>
      </c>
    </row>
    <row r="588" spans="1:19" x14ac:dyDescent="0.25">
      <c r="A588">
        <v>2012</v>
      </c>
      <c r="B588">
        <v>3713</v>
      </c>
      <c r="C588" t="s">
        <v>685</v>
      </c>
      <c r="D588" t="s">
        <v>686</v>
      </c>
      <c r="E588">
        <v>331110</v>
      </c>
      <c r="F588" t="s">
        <v>627</v>
      </c>
      <c r="G588" t="s">
        <v>336</v>
      </c>
      <c r="H588" t="s">
        <v>21</v>
      </c>
      <c r="I588" t="s">
        <v>152</v>
      </c>
      <c r="J588" t="s">
        <v>153</v>
      </c>
      <c r="K588" t="s">
        <v>154</v>
      </c>
      <c r="L588" t="s">
        <v>1372</v>
      </c>
      <c r="M588" t="s">
        <v>1373</v>
      </c>
      <c r="N588" t="s">
        <v>1399</v>
      </c>
      <c r="O588" t="s">
        <v>1400</v>
      </c>
      <c r="P588">
        <v>4.7000000000000002E-3</v>
      </c>
      <c r="Q588" t="s">
        <v>29</v>
      </c>
      <c r="R588" t="s">
        <v>157</v>
      </c>
      <c r="S588" t="s">
        <v>6937</v>
      </c>
    </row>
    <row r="589" spans="1:19" x14ac:dyDescent="0.25">
      <c r="A589">
        <v>2008</v>
      </c>
      <c r="B589">
        <v>15198</v>
      </c>
      <c r="C589" t="s">
        <v>1576</v>
      </c>
      <c r="D589" t="s">
        <v>1577</v>
      </c>
      <c r="E589">
        <v>211113</v>
      </c>
      <c r="F589" t="s">
        <v>425</v>
      </c>
      <c r="G589" t="s">
        <v>426</v>
      </c>
      <c r="H589" t="s">
        <v>85</v>
      </c>
      <c r="I589" t="s">
        <v>1533</v>
      </c>
      <c r="J589" t="s">
        <v>1534</v>
      </c>
      <c r="K589" t="s">
        <v>1535</v>
      </c>
      <c r="L589" t="s">
        <v>1372</v>
      </c>
      <c r="M589" t="s">
        <v>1373</v>
      </c>
      <c r="N589" t="s">
        <v>1374</v>
      </c>
      <c r="O589" t="s">
        <v>1375</v>
      </c>
      <c r="P589">
        <v>95.370999999999995</v>
      </c>
      <c r="Q589" t="s">
        <v>29</v>
      </c>
      <c r="R589" t="s">
        <v>430</v>
      </c>
      <c r="S589" t="s">
        <v>6937</v>
      </c>
    </row>
    <row r="590" spans="1:19" x14ac:dyDescent="0.25">
      <c r="A590">
        <v>2017</v>
      </c>
      <c r="B590">
        <v>31</v>
      </c>
      <c r="C590" t="s">
        <v>214</v>
      </c>
      <c r="D590" t="s">
        <v>215</v>
      </c>
      <c r="E590">
        <v>325510</v>
      </c>
      <c r="F590" t="s">
        <v>111</v>
      </c>
      <c r="G590" t="s">
        <v>112</v>
      </c>
      <c r="H590" t="s">
        <v>21</v>
      </c>
      <c r="I590" t="s">
        <v>778</v>
      </c>
      <c r="J590" t="s">
        <v>779</v>
      </c>
      <c r="K590" t="s">
        <v>780</v>
      </c>
      <c r="L590" t="s">
        <v>1372</v>
      </c>
      <c r="M590" t="s">
        <v>1373</v>
      </c>
      <c r="N590" t="s">
        <v>1374</v>
      </c>
      <c r="O590" t="s">
        <v>1375</v>
      </c>
      <c r="P590">
        <v>2</v>
      </c>
      <c r="Q590" t="s">
        <v>29</v>
      </c>
      <c r="R590" t="s">
        <v>157</v>
      </c>
      <c r="S590" t="s">
        <v>6937</v>
      </c>
    </row>
    <row r="591" spans="1:19" x14ac:dyDescent="0.25">
      <c r="A591">
        <v>1997</v>
      </c>
      <c r="B591">
        <v>793</v>
      </c>
      <c r="C591" t="s">
        <v>1578</v>
      </c>
      <c r="D591" t="s">
        <v>1579</v>
      </c>
      <c r="E591">
        <v>325999</v>
      </c>
      <c r="F591" t="s">
        <v>396</v>
      </c>
      <c r="G591" t="s">
        <v>397</v>
      </c>
      <c r="H591" t="s">
        <v>69</v>
      </c>
      <c r="I591" t="s">
        <v>1580</v>
      </c>
      <c r="J591" t="s">
        <v>1581</v>
      </c>
      <c r="K591" t="s">
        <v>1582</v>
      </c>
      <c r="L591" t="s">
        <v>1372</v>
      </c>
      <c r="M591" t="s">
        <v>1373</v>
      </c>
      <c r="N591" t="s">
        <v>1409</v>
      </c>
      <c r="O591" t="s">
        <v>1410</v>
      </c>
      <c r="P591">
        <v>1E-3</v>
      </c>
      <c r="Q591" t="s">
        <v>29</v>
      </c>
      <c r="R591" t="s">
        <v>30</v>
      </c>
      <c r="S591" t="s">
        <v>6937</v>
      </c>
    </row>
    <row r="592" spans="1:19" x14ac:dyDescent="0.25">
      <c r="A592">
        <v>2010</v>
      </c>
      <c r="B592">
        <v>2077</v>
      </c>
      <c r="C592" t="s">
        <v>1583</v>
      </c>
      <c r="D592" t="s">
        <v>1584</v>
      </c>
      <c r="E592">
        <v>325313</v>
      </c>
      <c r="F592" t="s">
        <v>1585</v>
      </c>
      <c r="G592" t="s">
        <v>1055</v>
      </c>
      <c r="H592" t="s">
        <v>243</v>
      </c>
      <c r="I592" t="s">
        <v>1369</v>
      </c>
      <c r="J592" t="s">
        <v>1370</v>
      </c>
      <c r="K592" t="s">
        <v>1371</v>
      </c>
      <c r="L592" t="s">
        <v>1372</v>
      </c>
      <c r="M592" t="s">
        <v>1373</v>
      </c>
      <c r="N592" t="s">
        <v>1374</v>
      </c>
      <c r="O592" t="s">
        <v>1375</v>
      </c>
      <c r="P592">
        <v>113.66</v>
      </c>
      <c r="Q592" t="s">
        <v>29</v>
      </c>
      <c r="R592" t="s">
        <v>124</v>
      </c>
      <c r="S592" t="s">
        <v>6937</v>
      </c>
    </row>
    <row r="593" spans="1:19" x14ac:dyDescent="0.25">
      <c r="A593">
        <v>2016</v>
      </c>
      <c r="B593">
        <v>28670</v>
      </c>
      <c r="C593" t="s">
        <v>1586</v>
      </c>
      <c r="D593" t="s">
        <v>1587</v>
      </c>
      <c r="E593">
        <v>488320</v>
      </c>
      <c r="F593" t="s">
        <v>1588</v>
      </c>
      <c r="G593" t="s">
        <v>1589</v>
      </c>
      <c r="H593" t="s">
        <v>79</v>
      </c>
      <c r="I593" t="s">
        <v>1369</v>
      </c>
      <c r="J593" t="s">
        <v>1370</v>
      </c>
      <c r="K593" t="s">
        <v>1371</v>
      </c>
      <c r="L593" t="s">
        <v>1372</v>
      </c>
      <c r="M593" t="s">
        <v>1373</v>
      </c>
      <c r="N593" t="s">
        <v>1520</v>
      </c>
      <c r="O593" t="s">
        <v>1521</v>
      </c>
      <c r="P593">
        <v>0.4</v>
      </c>
      <c r="Q593" t="s">
        <v>29</v>
      </c>
      <c r="R593" t="s">
        <v>430</v>
      </c>
      <c r="S593" t="s">
        <v>6937</v>
      </c>
    </row>
    <row r="594" spans="1:19" x14ac:dyDescent="0.25">
      <c r="A594">
        <v>2001</v>
      </c>
      <c r="B594">
        <v>2502</v>
      </c>
      <c r="C594" t="s">
        <v>1590</v>
      </c>
      <c r="E594">
        <v>322121</v>
      </c>
      <c r="F594" t="s">
        <v>764</v>
      </c>
      <c r="G594" t="s">
        <v>1591</v>
      </c>
      <c r="H594" t="s">
        <v>79</v>
      </c>
      <c r="I594" t="s">
        <v>106</v>
      </c>
      <c r="J594" t="s">
        <v>107</v>
      </c>
      <c r="K594" t="s">
        <v>108</v>
      </c>
      <c r="L594" t="s">
        <v>1372</v>
      </c>
      <c r="M594" t="s">
        <v>1373</v>
      </c>
      <c r="N594" t="s">
        <v>1374</v>
      </c>
      <c r="O594" t="s">
        <v>1375</v>
      </c>
      <c r="P594">
        <v>14.015000000000001</v>
      </c>
      <c r="Q594" t="s">
        <v>40</v>
      </c>
      <c r="R594" t="s">
        <v>204</v>
      </c>
      <c r="S594" t="s">
        <v>6937</v>
      </c>
    </row>
    <row r="595" spans="1:19" x14ac:dyDescent="0.25">
      <c r="A595">
        <v>2018</v>
      </c>
      <c r="B595">
        <v>19058</v>
      </c>
      <c r="C595" t="s">
        <v>1592</v>
      </c>
      <c r="D595" t="s">
        <v>1593</v>
      </c>
      <c r="E595">
        <v>211110</v>
      </c>
      <c r="F595" t="s">
        <v>233</v>
      </c>
      <c r="G595" t="s">
        <v>234</v>
      </c>
      <c r="H595" t="s">
        <v>85</v>
      </c>
      <c r="I595" t="s">
        <v>1369</v>
      </c>
      <c r="J595" t="s">
        <v>1370</v>
      </c>
      <c r="K595" t="s">
        <v>1371</v>
      </c>
      <c r="L595" t="s">
        <v>1372</v>
      </c>
      <c r="M595" t="s">
        <v>1373</v>
      </c>
      <c r="N595" t="s">
        <v>1374</v>
      </c>
      <c r="O595" t="s">
        <v>1375</v>
      </c>
      <c r="P595">
        <v>0.33700000000000002</v>
      </c>
      <c r="Q595" t="s">
        <v>29</v>
      </c>
      <c r="R595" t="s">
        <v>430</v>
      </c>
      <c r="S595" t="s">
        <v>6937</v>
      </c>
    </row>
    <row r="596" spans="1:19" x14ac:dyDescent="0.25">
      <c r="A596">
        <v>2018</v>
      </c>
      <c r="B596">
        <v>11755</v>
      </c>
      <c r="C596" t="s">
        <v>1594</v>
      </c>
      <c r="D596" t="s">
        <v>1595</v>
      </c>
      <c r="E596">
        <v>311930</v>
      </c>
      <c r="F596" t="s">
        <v>1596</v>
      </c>
      <c r="G596" t="s">
        <v>1597</v>
      </c>
      <c r="H596" t="s">
        <v>21</v>
      </c>
      <c r="I596" t="s">
        <v>1369</v>
      </c>
      <c r="J596" t="s">
        <v>1370</v>
      </c>
      <c r="K596" t="s">
        <v>1371</v>
      </c>
      <c r="L596" t="s">
        <v>1372</v>
      </c>
      <c r="M596" t="s">
        <v>1373</v>
      </c>
      <c r="N596" t="s">
        <v>1374</v>
      </c>
      <c r="O596" t="s">
        <v>1375</v>
      </c>
      <c r="P596">
        <v>0.69799999999999995</v>
      </c>
      <c r="Q596" t="s">
        <v>29</v>
      </c>
      <c r="R596" t="s">
        <v>30</v>
      </c>
      <c r="S596" t="s">
        <v>6937</v>
      </c>
    </row>
    <row r="597" spans="1:19" x14ac:dyDescent="0.25">
      <c r="A597">
        <v>2013</v>
      </c>
      <c r="B597">
        <v>8783</v>
      </c>
      <c r="C597" t="s">
        <v>1598</v>
      </c>
      <c r="D597" t="s">
        <v>1599</v>
      </c>
      <c r="E597">
        <v>212210</v>
      </c>
      <c r="F597" t="s">
        <v>888</v>
      </c>
      <c r="G597" t="s">
        <v>889</v>
      </c>
      <c r="H597" t="s">
        <v>79</v>
      </c>
      <c r="I597" t="s">
        <v>1421</v>
      </c>
      <c r="J597" t="s">
        <v>1422</v>
      </c>
      <c r="K597" t="s">
        <v>1423</v>
      </c>
      <c r="L597" t="s">
        <v>1372</v>
      </c>
      <c r="M597" t="s">
        <v>1373</v>
      </c>
      <c r="N597" t="s">
        <v>1374</v>
      </c>
      <c r="O597" t="s">
        <v>1375</v>
      </c>
      <c r="P597">
        <v>13.22</v>
      </c>
      <c r="Q597" t="s">
        <v>29</v>
      </c>
      <c r="R597" t="s">
        <v>124</v>
      </c>
      <c r="S597" t="s">
        <v>6937</v>
      </c>
    </row>
    <row r="598" spans="1:19" x14ac:dyDescent="0.25">
      <c r="A598">
        <v>2014</v>
      </c>
      <c r="B598">
        <v>6591</v>
      </c>
      <c r="C598" t="s">
        <v>1600</v>
      </c>
      <c r="D598" t="s">
        <v>1601</v>
      </c>
      <c r="E598">
        <v>221112</v>
      </c>
      <c r="F598" t="s">
        <v>499</v>
      </c>
      <c r="G598" t="s">
        <v>135</v>
      </c>
      <c r="H598" t="s">
        <v>85</v>
      </c>
      <c r="I598" t="s">
        <v>106</v>
      </c>
      <c r="J598" t="s">
        <v>107</v>
      </c>
      <c r="K598" t="s">
        <v>108</v>
      </c>
      <c r="L598" t="s">
        <v>1378</v>
      </c>
      <c r="M598" t="s">
        <v>1379</v>
      </c>
      <c r="N598" t="s">
        <v>1380</v>
      </c>
      <c r="O598" t="s">
        <v>1381</v>
      </c>
      <c r="P598">
        <v>1E-3</v>
      </c>
      <c r="Q598" t="s">
        <v>40</v>
      </c>
      <c r="R598" t="s">
        <v>124</v>
      </c>
      <c r="S598" t="s">
        <v>6937</v>
      </c>
    </row>
    <row r="599" spans="1:19" x14ac:dyDescent="0.25">
      <c r="A599">
        <v>2023</v>
      </c>
      <c r="B599">
        <v>15796</v>
      </c>
      <c r="C599" t="s">
        <v>1027</v>
      </c>
      <c r="D599" t="s">
        <v>1602</v>
      </c>
      <c r="E599">
        <v>211110</v>
      </c>
      <c r="F599" t="s">
        <v>233</v>
      </c>
      <c r="G599" t="s">
        <v>234</v>
      </c>
      <c r="H599" t="s">
        <v>85</v>
      </c>
      <c r="I599" t="s">
        <v>1413</v>
      </c>
      <c r="J599" t="s">
        <v>1414</v>
      </c>
      <c r="K599" t="s">
        <v>1415</v>
      </c>
      <c r="L599" t="s">
        <v>1372</v>
      </c>
      <c r="M599" t="s">
        <v>1373</v>
      </c>
      <c r="N599" t="s">
        <v>1374</v>
      </c>
      <c r="O599" t="s">
        <v>1375</v>
      </c>
      <c r="P599">
        <v>0</v>
      </c>
      <c r="Q599" t="s">
        <v>29</v>
      </c>
      <c r="S599" t="s">
        <v>6937</v>
      </c>
    </row>
    <row r="600" spans="1:19" x14ac:dyDescent="0.25">
      <c r="A600">
        <v>2004</v>
      </c>
      <c r="B600">
        <v>10366</v>
      </c>
      <c r="C600" t="s">
        <v>1603</v>
      </c>
      <c r="D600" t="s">
        <v>851</v>
      </c>
      <c r="E600">
        <v>311211</v>
      </c>
      <c r="F600" t="s">
        <v>1604</v>
      </c>
      <c r="G600" t="s">
        <v>1605</v>
      </c>
      <c r="H600" t="s">
        <v>21</v>
      </c>
      <c r="I600" t="s">
        <v>1487</v>
      </c>
      <c r="J600" t="s">
        <v>1488</v>
      </c>
      <c r="K600" t="s">
        <v>1489</v>
      </c>
      <c r="L600" t="s">
        <v>1372</v>
      </c>
      <c r="M600" t="s">
        <v>1373</v>
      </c>
      <c r="N600" t="s">
        <v>1520</v>
      </c>
      <c r="O600" t="s">
        <v>1521</v>
      </c>
      <c r="P600">
        <v>2.1999999999999999E-2</v>
      </c>
      <c r="Q600" t="s">
        <v>29</v>
      </c>
      <c r="R600" t="s">
        <v>430</v>
      </c>
      <c r="S600" t="s">
        <v>6937</v>
      </c>
    </row>
    <row r="601" spans="1:19" x14ac:dyDescent="0.25">
      <c r="A601">
        <v>2006</v>
      </c>
      <c r="B601">
        <v>18140</v>
      </c>
      <c r="C601" t="s">
        <v>1606</v>
      </c>
      <c r="D601" t="s">
        <v>1607</v>
      </c>
      <c r="E601">
        <v>211113</v>
      </c>
      <c r="F601" t="s">
        <v>425</v>
      </c>
      <c r="G601" t="s">
        <v>426</v>
      </c>
      <c r="H601" t="s">
        <v>85</v>
      </c>
      <c r="I601" t="s">
        <v>1421</v>
      </c>
      <c r="J601" t="s">
        <v>1422</v>
      </c>
      <c r="K601" t="s">
        <v>1423</v>
      </c>
      <c r="L601" t="s">
        <v>1372</v>
      </c>
      <c r="M601" t="s">
        <v>1373</v>
      </c>
      <c r="N601" t="s">
        <v>1374</v>
      </c>
      <c r="O601" t="s">
        <v>1375</v>
      </c>
      <c r="P601">
        <v>1.0089999999999999</v>
      </c>
      <c r="Q601" t="s">
        <v>29</v>
      </c>
      <c r="R601" t="s">
        <v>430</v>
      </c>
      <c r="S601" t="s">
        <v>6937</v>
      </c>
    </row>
    <row r="602" spans="1:19" x14ac:dyDescent="0.25">
      <c r="A602">
        <v>2016</v>
      </c>
      <c r="B602">
        <v>15656</v>
      </c>
      <c r="C602" t="s">
        <v>1608</v>
      </c>
      <c r="D602" t="s">
        <v>1609</v>
      </c>
      <c r="E602">
        <v>211113</v>
      </c>
      <c r="F602" t="s">
        <v>786</v>
      </c>
      <c r="G602" t="s">
        <v>426</v>
      </c>
      <c r="H602" t="s">
        <v>85</v>
      </c>
      <c r="I602" t="s">
        <v>1457</v>
      </c>
      <c r="J602" t="s">
        <v>1458</v>
      </c>
      <c r="K602" t="s">
        <v>1459</v>
      </c>
      <c r="L602" t="s">
        <v>1372</v>
      </c>
      <c r="M602" t="s">
        <v>1373</v>
      </c>
      <c r="N602" t="s">
        <v>1374</v>
      </c>
      <c r="O602" t="s">
        <v>1375</v>
      </c>
      <c r="P602">
        <v>10.766999999999999</v>
      </c>
      <c r="Q602" t="s">
        <v>29</v>
      </c>
      <c r="R602" t="s">
        <v>430</v>
      </c>
      <c r="S602" t="s">
        <v>6937</v>
      </c>
    </row>
    <row r="603" spans="1:19" x14ac:dyDescent="0.25">
      <c r="A603">
        <v>1995</v>
      </c>
      <c r="B603">
        <v>3119</v>
      </c>
      <c r="C603" t="s">
        <v>1610</v>
      </c>
      <c r="D603" t="s">
        <v>1610</v>
      </c>
      <c r="E603">
        <v>332999</v>
      </c>
      <c r="F603" t="s">
        <v>309</v>
      </c>
      <c r="G603" t="s">
        <v>304</v>
      </c>
      <c r="H603" t="s">
        <v>79</v>
      </c>
      <c r="I603" t="s">
        <v>520</v>
      </c>
      <c r="J603" t="s">
        <v>521</v>
      </c>
      <c r="K603" t="s">
        <v>522</v>
      </c>
      <c r="L603" t="s">
        <v>1372</v>
      </c>
      <c r="M603" t="s">
        <v>1373</v>
      </c>
      <c r="N603" t="s">
        <v>1409</v>
      </c>
      <c r="O603" t="s">
        <v>1410</v>
      </c>
      <c r="P603">
        <v>1.4419999999999999</v>
      </c>
      <c r="Q603" t="s">
        <v>29</v>
      </c>
      <c r="R603" t="s">
        <v>50</v>
      </c>
      <c r="S603" t="s">
        <v>6937</v>
      </c>
    </row>
    <row r="604" spans="1:19" x14ac:dyDescent="0.25">
      <c r="A604">
        <v>2021</v>
      </c>
      <c r="B604">
        <v>7605</v>
      </c>
      <c r="C604" t="s">
        <v>1611</v>
      </c>
      <c r="D604" t="s">
        <v>352</v>
      </c>
      <c r="E604">
        <v>418110</v>
      </c>
      <c r="F604" t="s">
        <v>1612</v>
      </c>
      <c r="G604" t="s">
        <v>1613</v>
      </c>
      <c r="H604" t="s">
        <v>21</v>
      </c>
      <c r="I604" t="s">
        <v>1421</v>
      </c>
      <c r="J604" t="s">
        <v>1422</v>
      </c>
      <c r="K604" t="s">
        <v>1423</v>
      </c>
      <c r="L604" t="s">
        <v>1372</v>
      </c>
      <c r="M604" t="s">
        <v>1373</v>
      </c>
      <c r="N604" t="s">
        <v>1390</v>
      </c>
      <c r="O604" t="s">
        <v>1391</v>
      </c>
      <c r="P604">
        <v>0.318</v>
      </c>
      <c r="Q604" t="s">
        <v>29</v>
      </c>
      <c r="R604" t="s">
        <v>30</v>
      </c>
      <c r="S604" t="s">
        <v>6937</v>
      </c>
    </row>
    <row r="605" spans="1:19" x14ac:dyDescent="0.25">
      <c r="A605">
        <v>2020</v>
      </c>
      <c r="B605">
        <v>29879</v>
      </c>
      <c r="C605" t="s">
        <v>1614</v>
      </c>
      <c r="D605" t="s">
        <v>1615</v>
      </c>
      <c r="E605">
        <v>486110</v>
      </c>
      <c r="F605" t="s">
        <v>1616</v>
      </c>
      <c r="G605" t="s">
        <v>541</v>
      </c>
      <c r="H605" t="s">
        <v>85</v>
      </c>
      <c r="I605" t="s">
        <v>129</v>
      </c>
      <c r="J605" t="s">
        <v>130</v>
      </c>
      <c r="K605" t="s">
        <v>131</v>
      </c>
      <c r="L605" t="s">
        <v>1372</v>
      </c>
      <c r="M605" t="s">
        <v>1373</v>
      </c>
      <c r="N605" t="s">
        <v>1399</v>
      </c>
      <c r="O605" t="s">
        <v>1400</v>
      </c>
      <c r="P605">
        <v>0.26775500000000002</v>
      </c>
      <c r="Q605" t="s">
        <v>29</v>
      </c>
      <c r="R605" t="s">
        <v>30</v>
      </c>
      <c r="S605" t="s">
        <v>6937</v>
      </c>
    </row>
    <row r="606" spans="1:19" x14ac:dyDescent="0.25">
      <c r="A606">
        <v>2013</v>
      </c>
      <c r="B606">
        <v>1568</v>
      </c>
      <c r="C606" t="s">
        <v>1617</v>
      </c>
      <c r="D606" t="s">
        <v>1618</v>
      </c>
      <c r="E606">
        <v>212220</v>
      </c>
      <c r="F606" t="s">
        <v>1619</v>
      </c>
      <c r="G606" t="s">
        <v>1620</v>
      </c>
      <c r="H606" t="s">
        <v>21</v>
      </c>
      <c r="I606" t="s">
        <v>35</v>
      </c>
      <c r="J606" t="s">
        <v>36</v>
      </c>
      <c r="K606" t="s">
        <v>37</v>
      </c>
      <c r="L606" t="s">
        <v>1372</v>
      </c>
      <c r="M606" t="s">
        <v>1373</v>
      </c>
      <c r="N606" t="s">
        <v>1374</v>
      </c>
      <c r="O606" t="s">
        <v>1375</v>
      </c>
      <c r="P606">
        <v>2</v>
      </c>
      <c r="Q606" t="s">
        <v>40</v>
      </c>
      <c r="R606" t="s">
        <v>157</v>
      </c>
      <c r="S606" t="s">
        <v>6937</v>
      </c>
    </row>
    <row r="607" spans="1:19" x14ac:dyDescent="0.25">
      <c r="A607">
        <v>2021</v>
      </c>
      <c r="B607">
        <v>6336</v>
      </c>
      <c r="C607" t="s">
        <v>1621</v>
      </c>
      <c r="D607" t="s">
        <v>1622</v>
      </c>
      <c r="E607">
        <v>321111</v>
      </c>
      <c r="F607" t="s">
        <v>1367</v>
      </c>
      <c r="G607" t="s">
        <v>1368</v>
      </c>
      <c r="H607" t="s">
        <v>79</v>
      </c>
      <c r="I607" t="s">
        <v>1457</v>
      </c>
      <c r="J607" t="s">
        <v>1458</v>
      </c>
      <c r="K607" t="s">
        <v>1459</v>
      </c>
      <c r="L607" t="s">
        <v>1372</v>
      </c>
      <c r="M607" t="s">
        <v>1373</v>
      </c>
      <c r="N607" t="s">
        <v>1374</v>
      </c>
      <c r="O607" t="s">
        <v>1375</v>
      </c>
      <c r="P607">
        <v>18.036000000000001</v>
      </c>
      <c r="Q607" t="s">
        <v>29</v>
      </c>
      <c r="R607" t="s">
        <v>430</v>
      </c>
      <c r="S607" t="s">
        <v>6937</v>
      </c>
    </row>
    <row r="608" spans="1:19" x14ac:dyDescent="0.25">
      <c r="A608">
        <v>2010</v>
      </c>
      <c r="B608">
        <v>8629</v>
      </c>
      <c r="C608" t="s">
        <v>1623</v>
      </c>
      <c r="D608" t="s">
        <v>1624</v>
      </c>
      <c r="E608">
        <v>412110</v>
      </c>
      <c r="F608" t="s">
        <v>346</v>
      </c>
      <c r="G608" t="s">
        <v>347</v>
      </c>
      <c r="H608" t="s">
        <v>1625</v>
      </c>
      <c r="I608" t="s">
        <v>427</v>
      </c>
      <c r="J608" t="s">
        <v>428</v>
      </c>
      <c r="K608" t="s">
        <v>429</v>
      </c>
      <c r="L608" t="s">
        <v>1372</v>
      </c>
      <c r="M608" t="s">
        <v>1373</v>
      </c>
      <c r="N608" t="s">
        <v>1409</v>
      </c>
      <c r="O608" t="s">
        <v>1410</v>
      </c>
      <c r="P608">
        <v>0</v>
      </c>
      <c r="Q608" t="s">
        <v>29</v>
      </c>
      <c r="R608" t="s">
        <v>30</v>
      </c>
      <c r="S608" t="s">
        <v>6937</v>
      </c>
    </row>
    <row r="609" spans="1:19" x14ac:dyDescent="0.25">
      <c r="A609">
        <v>2022</v>
      </c>
      <c r="B609">
        <v>29792</v>
      </c>
      <c r="C609" t="s">
        <v>1626</v>
      </c>
      <c r="D609" t="s">
        <v>1627</v>
      </c>
      <c r="E609">
        <v>486210</v>
      </c>
      <c r="F609" t="s">
        <v>1328</v>
      </c>
      <c r="G609" t="s">
        <v>1329</v>
      </c>
      <c r="H609" t="s">
        <v>85</v>
      </c>
      <c r="I609" t="s">
        <v>1441</v>
      </c>
      <c r="J609" t="s">
        <v>1442</v>
      </c>
      <c r="K609" t="s">
        <v>1443</v>
      </c>
      <c r="L609" t="s">
        <v>1372</v>
      </c>
      <c r="M609" t="s">
        <v>1373</v>
      </c>
      <c r="N609" t="s">
        <v>1374</v>
      </c>
      <c r="O609" t="s">
        <v>1375</v>
      </c>
      <c r="P609">
        <v>26.796040000000001</v>
      </c>
      <c r="Q609" t="s">
        <v>29</v>
      </c>
      <c r="R609" t="s">
        <v>430</v>
      </c>
      <c r="S609" t="s">
        <v>6937</v>
      </c>
    </row>
    <row r="610" spans="1:19" x14ac:dyDescent="0.25">
      <c r="A610">
        <v>2018</v>
      </c>
      <c r="B610">
        <v>3810</v>
      </c>
      <c r="C610" t="s">
        <v>1628</v>
      </c>
      <c r="D610" t="s">
        <v>1629</v>
      </c>
      <c r="E610">
        <v>212220</v>
      </c>
      <c r="F610" t="s">
        <v>1619</v>
      </c>
      <c r="G610" t="s">
        <v>1620</v>
      </c>
      <c r="H610" t="s">
        <v>21</v>
      </c>
      <c r="I610" t="s">
        <v>184</v>
      </c>
      <c r="J610" t="s">
        <v>185</v>
      </c>
      <c r="K610" t="s">
        <v>186</v>
      </c>
      <c r="L610" t="s">
        <v>1372</v>
      </c>
      <c r="M610" t="s">
        <v>1373</v>
      </c>
      <c r="N610" t="s">
        <v>1409</v>
      </c>
      <c r="O610" t="s">
        <v>1410</v>
      </c>
      <c r="P610">
        <v>1.0526</v>
      </c>
      <c r="Q610" t="s">
        <v>40</v>
      </c>
      <c r="R610" t="s">
        <v>430</v>
      </c>
      <c r="S610" t="s">
        <v>6937</v>
      </c>
    </row>
    <row r="611" spans="1:19" x14ac:dyDescent="0.25">
      <c r="A611">
        <v>2002</v>
      </c>
      <c r="B611">
        <v>3992</v>
      </c>
      <c r="C611" t="s">
        <v>1630</v>
      </c>
      <c r="D611" t="s">
        <v>1631</v>
      </c>
      <c r="E611">
        <v>221112</v>
      </c>
      <c r="F611" t="s">
        <v>134</v>
      </c>
      <c r="G611" t="s">
        <v>135</v>
      </c>
      <c r="H611" t="s">
        <v>483</v>
      </c>
      <c r="I611" t="s">
        <v>1369</v>
      </c>
      <c r="J611" t="s">
        <v>1370</v>
      </c>
      <c r="K611" t="s">
        <v>1371</v>
      </c>
      <c r="L611" t="s">
        <v>1372</v>
      </c>
      <c r="M611" t="s">
        <v>1373</v>
      </c>
      <c r="N611" t="s">
        <v>1374</v>
      </c>
      <c r="O611" t="s">
        <v>1375</v>
      </c>
      <c r="P611">
        <v>316.20999999999998</v>
      </c>
      <c r="Q611" t="s">
        <v>29</v>
      </c>
      <c r="R611" t="s">
        <v>204</v>
      </c>
      <c r="S611" t="s">
        <v>6937</v>
      </c>
    </row>
    <row r="612" spans="1:19" x14ac:dyDescent="0.25">
      <c r="A612">
        <v>2015</v>
      </c>
      <c r="B612">
        <v>683</v>
      </c>
      <c r="C612" t="s">
        <v>1466</v>
      </c>
      <c r="D612" t="s">
        <v>1632</v>
      </c>
      <c r="E612">
        <v>211113</v>
      </c>
      <c r="F612" t="s">
        <v>786</v>
      </c>
      <c r="G612" t="s">
        <v>426</v>
      </c>
      <c r="H612" t="s">
        <v>85</v>
      </c>
      <c r="I612" t="s">
        <v>923</v>
      </c>
      <c r="J612" t="s">
        <v>924</v>
      </c>
      <c r="K612" t="s">
        <v>924</v>
      </c>
      <c r="L612" t="s">
        <v>1372</v>
      </c>
      <c r="M612" t="s">
        <v>1373</v>
      </c>
      <c r="N612" t="s">
        <v>1399</v>
      </c>
      <c r="O612" t="s">
        <v>1400</v>
      </c>
      <c r="P612">
        <v>0.33</v>
      </c>
      <c r="Q612" t="s">
        <v>29</v>
      </c>
      <c r="R612" t="s">
        <v>30</v>
      </c>
      <c r="S612" t="s">
        <v>6937</v>
      </c>
    </row>
    <row r="613" spans="1:19" x14ac:dyDescent="0.25">
      <c r="A613">
        <v>2013</v>
      </c>
      <c r="B613">
        <v>1353</v>
      </c>
      <c r="C613" t="s">
        <v>1633</v>
      </c>
      <c r="D613" t="s">
        <v>1634</v>
      </c>
      <c r="E613">
        <v>325510</v>
      </c>
      <c r="F613" t="s">
        <v>111</v>
      </c>
      <c r="G613" t="s">
        <v>112</v>
      </c>
      <c r="H613" t="s">
        <v>21</v>
      </c>
      <c r="I613" t="s">
        <v>129</v>
      </c>
      <c r="J613" t="s">
        <v>130</v>
      </c>
      <c r="K613" t="s">
        <v>131</v>
      </c>
      <c r="L613" t="s">
        <v>1361</v>
      </c>
      <c r="M613" t="s">
        <v>1362</v>
      </c>
      <c r="N613" t="s">
        <v>1363</v>
      </c>
      <c r="O613" t="s">
        <v>1364</v>
      </c>
      <c r="P613">
        <v>0.745</v>
      </c>
      <c r="Q613" t="s">
        <v>29</v>
      </c>
      <c r="R613" t="s">
        <v>430</v>
      </c>
      <c r="S613" t="s">
        <v>6937</v>
      </c>
    </row>
    <row r="614" spans="1:19" x14ac:dyDescent="0.25">
      <c r="A614">
        <v>2009</v>
      </c>
      <c r="B614">
        <v>16379</v>
      </c>
      <c r="C614" t="s">
        <v>947</v>
      </c>
      <c r="D614" t="s">
        <v>1635</v>
      </c>
      <c r="E614">
        <v>211113</v>
      </c>
      <c r="F614" t="s">
        <v>425</v>
      </c>
      <c r="G614" t="s">
        <v>426</v>
      </c>
      <c r="H614" t="s">
        <v>85</v>
      </c>
      <c r="I614" t="s">
        <v>1533</v>
      </c>
      <c r="J614" t="s">
        <v>1534</v>
      </c>
      <c r="K614" t="s">
        <v>1535</v>
      </c>
      <c r="L614" t="s">
        <v>1372</v>
      </c>
      <c r="M614" t="s">
        <v>1373</v>
      </c>
      <c r="N614" t="s">
        <v>1374</v>
      </c>
      <c r="O614" t="s">
        <v>1375</v>
      </c>
      <c r="P614">
        <v>61.000999999999998</v>
      </c>
      <c r="Q614" t="s">
        <v>29</v>
      </c>
      <c r="R614" t="s">
        <v>430</v>
      </c>
      <c r="S614" t="s">
        <v>6937</v>
      </c>
    </row>
    <row r="615" spans="1:19" x14ac:dyDescent="0.25">
      <c r="A615">
        <v>2008</v>
      </c>
      <c r="B615">
        <v>11043</v>
      </c>
      <c r="C615" t="s">
        <v>1636</v>
      </c>
      <c r="D615" t="s">
        <v>1637</v>
      </c>
      <c r="E615">
        <v>337127</v>
      </c>
      <c r="F615" t="s">
        <v>1638</v>
      </c>
      <c r="G615" t="s">
        <v>1639</v>
      </c>
      <c r="H615" t="s">
        <v>21</v>
      </c>
      <c r="I615" t="s">
        <v>1457</v>
      </c>
      <c r="J615" t="s">
        <v>1458</v>
      </c>
      <c r="K615" t="s">
        <v>1459</v>
      </c>
      <c r="L615" t="s">
        <v>1372</v>
      </c>
      <c r="M615" t="s">
        <v>1373</v>
      </c>
      <c r="N615" t="s">
        <v>1374</v>
      </c>
      <c r="O615" t="s">
        <v>1375</v>
      </c>
      <c r="P615">
        <v>14.957000000000001</v>
      </c>
      <c r="Q615" t="s">
        <v>29</v>
      </c>
      <c r="R615" t="s">
        <v>50</v>
      </c>
      <c r="S615" t="s">
        <v>6937</v>
      </c>
    </row>
    <row r="616" spans="1:19" x14ac:dyDescent="0.25">
      <c r="A616">
        <v>1998</v>
      </c>
      <c r="B616">
        <v>728</v>
      </c>
      <c r="C616" t="s">
        <v>1640</v>
      </c>
      <c r="E616">
        <v>325999</v>
      </c>
      <c r="F616" t="s">
        <v>396</v>
      </c>
      <c r="G616" t="s">
        <v>397</v>
      </c>
      <c r="H616" t="s">
        <v>21</v>
      </c>
      <c r="I616" t="s">
        <v>271</v>
      </c>
      <c r="J616" t="s">
        <v>387</v>
      </c>
      <c r="K616" t="s">
        <v>388</v>
      </c>
      <c r="L616" t="s">
        <v>1361</v>
      </c>
      <c r="M616" t="s">
        <v>1362</v>
      </c>
      <c r="N616" t="s">
        <v>1363</v>
      </c>
      <c r="O616" t="s">
        <v>1364</v>
      </c>
      <c r="P616">
        <v>1.9E-2</v>
      </c>
      <c r="Q616" t="s">
        <v>29</v>
      </c>
      <c r="R616" t="s">
        <v>204</v>
      </c>
      <c r="S616" t="s">
        <v>6937</v>
      </c>
    </row>
    <row r="617" spans="1:19" x14ac:dyDescent="0.25">
      <c r="A617">
        <v>2022</v>
      </c>
      <c r="B617">
        <v>23425</v>
      </c>
      <c r="C617" t="s">
        <v>1641</v>
      </c>
      <c r="D617" t="s">
        <v>1642</v>
      </c>
      <c r="E617">
        <v>211110</v>
      </c>
      <c r="F617" t="s">
        <v>233</v>
      </c>
      <c r="G617" t="s">
        <v>234</v>
      </c>
      <c r="H617" t="s">
        <v>85</v>
      </c>
      <c r="I617" t="s">
        <v>1487</v>
      </c>
      <c r="J617" t="s">
        <v>1488</v>
      </c>
      <c r="K617" t="s">
        <v>1489</v>
      </c>
      <c r="L617" t="s">
        <v>1372</v>
      </c>
      <c r="M617" t="s">
        <v>1373</v>
      </c>
      <c r="N617" t="s">
        <v>1374</v>
      </c>
      <c r="O617" t="s">
        <v>1375</v>
      </c>
      <c r="P617">
        <v>0.15018999999999999</v>
      </c>
      <c r="Q617" t="s">
        <v>29</v>
      </c>
      <c r="R617" t="s">
        <v>430</v>
      </c>
      <c r="S617" t="s">
        <v>6937</v>
      </c>
    </row>
    <row r="618" spans="1:19" x14ac:dyDescent="0.25">
      <c r="A618">
        <v>2004</v>
      </c>
      <c r="B618">
        <v>2219</v>
      </c>
      <c r="C618" t="s">
        <v>1643</v>
      </c>
      <c r="D618" t="s">
        <v>1644</v>
      </c>
      <c r="E618">
        <v>322130</v>
      </c>
      <c r="F618" t="s">
        <v>1645</v>
      </c>
      <c r="G618" t="s">
        <v>1646</v>
      </c>
      <c r="H618" t="s">
        <v>661</v>
      </c>
      <c r="I618" t="s">
        <v>35</v>
      </c>
      <c r="J618" t="s">
        <v>36</v>
      </c>
      <c r="K618" t="s">
        <v>37</v>
      </c>
      <c r="L618" t="s">
        <v>1378</v>
      </c>
      <c r="M618" t="s">
        <v>1379</v>
      </c>
      <c r="N618" t="s">
        <v>1380</v>
      </c>
      <c r="O618" t="s">
        <v>1381</v>
      </c>
      <c r="P618">
        <v>141</v>
      </c>
      <c r="Q618" t="s">
        <v>40</v>
      </c>
      <c r="R618" t="s">
        <v>430</v>
      </c>
      <c r="S618" t="s">
        <v>6937</v>
      </c>
    </row>
    <row r="619" spans="1:19" x14ac:dyDescent="0.25">
      <c r="A619">
        <v>2015</v>
      </c>
      <c r="B619">
        <v>7309</v>
      </c>
      <c r="C619" t="s">
        <v>1647</v>
      </c>
      <c r="D619" t="s">
        <v>1648</v>
      </c>
      <c r="E619">
        <v>326198</v>
      </c>
      <c r="F619" t="s">
        <v>1069</v>
      </c>
      <c r="G619" t="s">
        <v>250</v>
      </c>
      <c r="H619" t="s">
        <v>21</v>
      </c>
      <c r="I619" t="s">
        <v>1457</v>
      </c>
      <c r="J619" t="s">
        <v>1458</v>
      </c>
      <c r="K619" t="s">
        <v>1459</v>
      </c>
      <c r="L619" t="s">
        <v>1372</v>
      </c>
      <c r="M619" t="s">
        <v>1373</v>
      </c>
      <c r="N619" t="s">
        <v>1374</v>
      </c>
      <c r="O619" t="s">
        <v>1375</v>
      </c>
      <c r="P619">
        <v>11</v>
      </c>
      <c r="Q619" t="s">
        <v>29</v>
      </c>
      <c r="R619" t="s">
        <v>430</v>
      </c>
      <c r="S619" t="s">
        <v>6937</v>
      </c>
    </row>
    <row r="620" spans="1:19" x14ac:dyDescent="0.25">
      <c r="A620">
        <v>2019</v>
      </c>
      <c r="B620">
        <v>1372</v>
      </c>
      <c r="C620" t="s">
        <v>1649</v>
      </c>
      <c r="D620" t="s">
        <v>1650</v>
      </c>
      <c r="E620">
        <v>211110</v>
      </c>
      <c r="F620" t="s">
        <v>233</v>
      </c>
      <c r="G620" t="s">
        <v>234</v>
      </c>
      <c r="H620" t="s">
        <v>85</v>
      </c>
      <c r="I620" t="s">
        <v>504</v>
      </c>
      <c r="J620" t="s">
        <v>505</v>
      </c>
      <c r="K620" t="s">
        <v>506</v>
      </c>
      <c r="L620" t="s">
        <v>1372</v>
      </c>
      <c r="M620" t="s">
        <v>1373</v>
      </c>
      <c r="N620" t="s">
        <v>1374</v>
      </c>
      <c r="O620" t="s">
        <v>1375</v>
      </c>
      <c r="P620">
        <v>11.9428</v>
      </c>
      <c r="Q620" t="s">
        <v>29</v>
      </c>
      <c r="R620" t="s">
        <v>430</v>
      </c>
      <c r="S620" t="s">
        <v>6937</v>
      </c>
    </row>
    <row r="621" spans="1:19" x14ac:dyDescent="0.25">
      <c r="A621">
        <v>2020</v>
      </c>
      <c r="B621">
        <v>27932</v>
      </c>
      <c r="C621" t="s">
        <v>1651</v>
      </c>
      <c r="D621" t="s">
        <v>1652</v>
      </c>
      <c r="E621">
        <v>211110</v>
      </c>
      <c r="F621" t="s">
        <v>233</v>
      </c>
      <c r="G621" t="s">
        <v>234</v>
      </c>
      <c r="H621" t="s">
        <v>243</v>
      </c>
      <c r="I621" t="s">
        <v>1413</v>
      </c>
      <c r="J621" t="s">
        <v>1414</v>
      </c>
      <c r="K621" t="s">
        <v>1415</v>
      </c>
      <c r="L621" t="s">
        <v>1372</v>
      </c>
      <c r="M621" t="s">
        <v>1373</v>
      </c>
      <c r="N621" t="s">
        <v>1374</v>
      </c>
      <c r="O621" t="s">
        <v>1375</v>
      </c>
      <c r="P621">
        <v>0.13500000000000001</v>
      </c>
      <c r="Q621" t="s">
        <v>29</v>
      </c>
      <c r="R621" t="s">
        <v>258</v>
      </c>
      <c r="S621" t="s">
        <v>6937</v>
      </c>
    </row>
    <row r="622" spans="1:19" x14ac:dyDescent="0.25">
      <c r="A622">
        <v>2021</v>
      </c>
      <c r="B622">
        <v>33092</v>
      </c>
      <c r="C622" t="s">
        <v>1653</v>
      </c>
      <c r="D622" t="s">
        <v>1654</v>
      </c>
      <c r="E622">
        <v>211110</v>
      </c>
      <c r="F622" t="s">
        <v>233</v>
      </c>
      <c r="G622" t="s">
        <v>234</v>
      </c>
      <c r="H622" t="s">
        <v>243</v>
      </c>
      <c r="I622" t="s">
        <v>1441</v>
      </c>
      <c r="J622" t="s">
        <v>1442</v>
      </c>
      <c r="K622" t="s">
        <v>1443</v>
      </c>
      <c r="L622" t="s">
        <v>1372</v>
      </c>
      <c r="M622" t="s">
        <v>1373</v>
      </c>
      <c r="N622" t="s">
        <v>1374</v>
      </c>
      <c r="O622" t="s">
        <v>1375</v>
      </c>
      <c r="P622">
        <v>3.7075999999999998</v>
      </c>
      <c r="Q622" t="s">
        <v>29</v>
      </c>
      <c r="R622" t="s">
        <v>430</v>
      </c>
      <c r="S622" t="s">
        <v>6937</v>
      </c>
    </row>
    <row r="623" spans="1:19" x14ac:dyDescent="0.25">
      <c r="A623">
        <v>2009</v>
      </c>
      <c r="B623">
        <v>92</v>
      </c>
      <c r="C623" t="s">
        <v>1655</v>
      </c>
      <c r="D623" t="s">
        <v>1656</v>
      </c>
      <c r="E623">
        <v>331317</v>
      </c>
      <c r="F623" t="s">
        <v>899</v>
      </c>
      <c r="G623" t="s">
        <v>769</v>
      </c>
      <c r="H623" t="s">
        <v>21</v>
      </c>
      <c r="I623" t="s">
        <v>191</v>
      </c>
      <c r="J623" t="s">
        <v>192</v>
      </c>
      <c r="K623" t="s">
        <v>193</v>
      </c>
      <c r="L623" t="s">
        <v>1372</v>
      </c>
      <c r="M623" t="s">
        <v>1373</v>
      </c>
      <c r="N623" t="s">
        <v>1374</v>
      </c>
      <c r="O623" t="s">
        <v>1375</v>
      </c>
      <c r="P623">
        <v>2.4649999999999999</v>
      </c>
      <c r="Q623" t="s">
        <v>29</v>
      </c>
      <c r="R623" t="s">
        <v>124</v>
      </c>
      <c r="S623" t="s">
        <v>6937</v>
      </c>
    </row>
    <row r="624" spans="1:19" x14ac:dyDescent="0.25">
      <c r="A624">
        <v>2019</v>
      </c>
      <c r="B624">
        <v>5337</v>
      </c>
      <c r="C624" t="s">
        <v>1649</v>
      </c>
      <c r="D624" t="s">
        <v>1657</v>
      </c>
      <c r="E624">
        <v>211110</v>
      </c>
      <c r="F624" t="s">
        <v>233</v>
      </c>
      <c r="G624" t="s">
        <v>234</v>
      </c>
      <c r="H624" t="s">
        <v>85</v>
      </c>
      <c r="I624" t="s">
        <v>70</v>
      </c>
      <c r="J624" t="s">
        <v>71</v>
      </c>
      <c r="K624" t="s">
        <v>72</v>
      </c>
      <c r="L624" t="s">
        <v>1372</v>
      </c>
      <c r="M624" t="s">
        <v>1373</v>
      </c>
      <c r="N624" t="s">
        <v>1399</v>
      </c>
      <c r="O624" t="s">
        <v>1400</v>
      </c>
      <c r="P624">
        <v>4.0500000000000001E-2</v>
      </c>
      <c r="Q624" t="s">
        <v>29</v>
      </c>
      <c r="R624" t="s">
        <v>30</v>
      </c>
      <c r="S624" t="s">
        <v>6937</v>
      </c>
    </row>
    <row r="625" spans="1:19" x14ac:dyDescent="0.25">
      <c r="A625">
        <v>2013</v>
      </c>
      <c r="B625">
        <v>5816</v>
      </c>
      <c r="C625" t="s">
        <v>1658</v>
      </c>
      <c r="D625" t="s">
        <v>1659</v>
      </c>
      <c r="E625">
        <v>325189</v>
      </c>
      <c r="F625" t="s">
        <v>1660</v>
      </c>
      <c r="G625" t="s">
        <v>1291</v>
      </c>
      <c r="H625" t="s">
        <v>21</v>
      </c>
      <c r="I625" t="s">
        <v>1457</v>
      </c>
      <c r="J625" t="s">
        <v>1458</v>
      </c>
      <c r="K625" t="s">
        <v>1459</v>
      </c>
      <c r="L625" t="s">
        <v>1372</v>
      </c>
      <c r="M625" t="s">
        <v>1373</v>
      </c>
      <c r="N625" t="s">
        <v>1399</v>
      </c>
      <c r="O625" t="s">
        <v>1400</v>
      </c>
      <c r="P625">
        <v>0.161</v>
      </c>
      <c r="Q625" t="s">
        <v>29</v>
      </c>
      <c r="R625" t="s">
        <v>50</v>
      </c>
      <c r="S625" t="s">
        <v>6937</v>
      </c>
    </row>
    <row r="626" spans="1:19" x14ac:dyDescent="0.25">
      <c r="A626">
        <v>2017</v>
      </c>
      <c r="B626">
        <v>1464</v>
      </c>
      <c r="C626" t="s">
        <v>194</v>
      </c>
      <c r="D626" t="s">
        <v>443</v>
      </c>
      <c r="E626">
        <v>325110</v>
      </c>
      <c r="F626" t="s">
        <v>444</v>
      </c>
      <c r="G626" t="s">
        <v>445</v>
      </c>
      <c r="H626" t="s">
        <v>21</v>
      </c>
      <c r="I626" t="s">
        <v>491</v>
      </c>
      <c r="J626" t="s">
        <v>492</v>
      </c>
      <c r="K626" t="s">
        <v>492</v>
      </c>
      <c r="L626" t="s">
        <v>1372</v>
      </c>
      <c r="M626" t="s">
        <v>1373</v>
      </c>
      <c r="N626" t="s">
        <v>1374</v>
      </c>
      <c r="O626" t="s">
        <v>1375</v>
      </c>
      <c r="P626">
        <v>1.5069999999999999</v>
      </c>
      <c r="Q626" t="s">
        <v>29</v>
      </c>
      <c r="R626" t="s">
        <v>430</v>
      </c>
      <c r="S626" t="s">
        <v>6937</v>
      </c>
    </row>
    <row r="627" spans="1:19" x14ac:dyDescent="0.25">
      <c r="A627">
        <v>2014</v>
      </c>
      <c r="B627">
        <v>1941</v>
      </c>
      <c r="C627" t="s">
        <v>1661</v>
      </c>
      <c r="D627" t="s">
        <v>1662</v>
      </c>
      <c r="E627">
        <v>212220</v>
      </c>
      <c r="F627" t="s">
        <v>1619</v>
      </c>
      <c r="G627" t="s">
        <v>1620</v>
      </c>
      <c r="H627" t="s">
        <v>21</v>
      </c>
      <c r="I627" t="s">
        <v>244</v>
      </c>
      <c r="J627" t="s">
        <v>245</v>
      </c>
      <c r="K627" t="s">
        <v>246</v>
      </c>
      <c r="L627" t="s">
        <v>1372</v>
      </c>
      <c r="M627" t="s">
        <v>1373</v>
      </c>
      <c r="N627" t="s">
        <v>1374</v>
      </c>
      <c r="O627" t="s">
        <v>1375</v>
      </c>
      <c r="P627">
        <v>5.1310000000000002</v>
      </c>
      <c r="Q627" t="s">
        <v>40</v>
      </c>
      <c r="R627" t="s">
        <v>430</v>
      </c>
      <c r="S627" t="s">
        <v>6937</v>
      </c>
    </row>
    <row r="628" spans="1:19" x14ac:dyDescent="0.25">
      <c r="A628">
        <v>2015</v>
      </c>
      <c r="B628">
        <v>1039</v>
      </c>
      <c r="C628" t="s">
        <v>1663</v>
      </c>
      <c r="D628" t="s">
        <v>1664</v>
      </c>
      <c r="E628">
        <v>221112</v>
      </c>
      <c r="F628" t="s">
        <v>499</v>
      </c>
      <c r="G628" t="s">
        <v>135</v>
      </c>
      <c r="H628" t="s">
        <v>85</v>
      </c>
      <c r="I628" t="s">
        <v>106</v>
      </c>
      <c r="J628" t="s">
        <v>107</v>
      </c>
      <c r="K628" t="s">
        <v>108</v>
      </c>
      <c r="L628" t="s">
        <v>1372</v>
      </c>
      <c r="M628" t="s">
        <v>1373</v>
      </c>
      <c r="N628" t="s">
        <v>1374</v>
      </c>
      <c r="O628" t="s">
        <v>1375</v>
      </c>
      <c r="P628">
        <v>3.6</v>
      </c>
      <c r="Q628" t="s">
        <v>40</v>
      </c>
      <c r="R628" t="s">
        <v>50</v>
      </c>
      <c r="S628" t="s">
        <v>6937</v>
      </c>
    </row>
    <row r="629" spans="1:19" x14ac:dyDescent="0.25">
      <c r="A629">
        <v>2006</v>
      </c>
      <c r="B629">
        <v>5186</v>
      </c>
      <c r="C629" t="s">
        <v>1665</v>
      </c>
      <c r="D629" t="s">
        <v>1666</v>
      </c>
      <c r="E629">
        <v>321111</v>
      </c>
      <c r="F629" t="s">
        <v>1474</v>
      </c>
      <c r="G629" t="s">
        <v>1368</v>
      </c>
      <c r="H629" t="s">
        <v>69</v>
      </c>
      <c r="I629" t="s">
        <v>1441</v>
      </c>
      <c r="J629" t="s">
        <v>1442</v>
      </c>
      <c r="K629" t="s">
        <v>1443</v>
      </c>
      <c r="L629" t="s">
        <v>1372</v>
      </c>
      <c r="M629" t="s">
        <v>1373</v>
      </c>
      <c r="N629" t="s">
        <v>1374</v>
      </c>
      <c r="O629" t="s">
        <v>1375</v>
      </c>
      <c r="P629">
        <v>55</v>
      </c>
      <c r="Q629" t="s">
        <v>29</v>
      </c>
      <c r="R629" t="s">
        <v>30</v>
      </c>
      <c r="S629" t="s">
        <v>6937</v>
      </c>
    </row>
    <row r="630" spans="1:19" x14ac:dyDescent="0.25">
      <c r="A630">
        <v>2016</v>
      </c>
      <c r="B630">
        <v>3040</v>
      </c>
      <c r="C630" t="s">
        <v>1667</v>
      </c>
      <c r="D630" t="s">
        <v>1668</v>
      </c>
      <c r="E630">
        <v>325189</v>
      </c>
      <c r="F630" t="s">
        <v>1660</v>
      </c>
      <c r="G630" t="s">
        <v>1291</v>
      </c>
      <c r="H630" t="s">
        <v>21</v>
      </c>
      <c r="I630" t="s">
        <v>337</v>
      </c>
      <c r="J630" t="s">
        <v>338</v>
      </c>
      <c r="K630" t="s">
        <v>339</v>
      </c>
      <c r="L630" t="s">
        <v>1361</v>
      </c>
      <c r="M630" t="s">
        <v>1362</v>
      </c>
      <c r="N630" t="s">
        <v>1363</v>
      </c>
      <c r="O630" t="s">
        <v>1364</v>
      </c>
      <c r="P630">
        <v>1.6E-2</v>
      </c>
      <c r="Q630" t="s">
        <v>29</v>
      </c>
      <c r="R630" t="s">
        <v>124</v>
      </c>
      <c r="S630" t="s">
        <v>6937</v>
      </c>
    </row>
    <row r="631" spans="1:19" x14ac:dyDescent="0.25">
      <c r="A631">
        <v>2019</v>
      </c>
      <c r="B631">
        <v>2478</v>
      </c>
      <c r="C631" t="s">
        <v>1210</v>
      </c>
      <c r="D631" t="s">
        <v>1669</v>
      </c>
      <c r="E631">
        <v>321114</v>
      </c>
      <c r="F631" t="s">
        <v>1212</v>
      </c>
      <c r="G631" t="s">
        <v>366</v>
      </c>
      <c r="H631" t="s">
        <v>79</v>
      </c>
      <c r="I631" t="s">
        <v>177</v>
      </c>
      <c r="J631" t="s">
        <v>178</v>
      </c>
      <c r="K631" t="s">
        <v>179</v>
      </c>
      <c r="L631" t="s">
        <v>1361</v>
      </c>
      <c r="M631" t="s">
        <v>1362</v>
      </c>
      <c r="N631" t="s">
        <v>1363</v>
      </c>
      <c r="O631" t="s">
        <v>1364</v>
      </c>
      <c r="P631">
        <v>9.9999999999999995E-7</v>
      </c>
      <c r="Q631" t="s">
        <v>29</v>
      </c>
      <c r="R631" t="s">
        <v>430</v>
      </c>
      <c r="S631" t="s">
        <v>6937</v>
      </c>
    </row>
    <row r="632" spans="1:19" x14ac:dyDescent="0.25">
      <c r="A632">
        <v>2018</v>
      </c>
      <c r="B632">
        <v>5463</v>
      </c>
      <c r="C632" t="s">
        <v>1670</v>
      </c>
      <c r="D632" t="s">
        <v>1671</v>
      </c>
      <c r="E632">
        <v>336410</v>
      </c>
      <c r="F632" t="s">
        <v>280</v>
      </c>
      <c r="G632" t="s">
        <v>261</v>
      </c>
      <c r="H632" t="s">
        <v>79</v>
      </c>
      <c r="I632" t="s">
        <v>778</v>
      </c>
      <c r="J632" t="s">
        <v>779</v>
      </c>
      <c r="K632" t="s">
        <v>780</v>
      </c>
      <c r="L632" t="s">
        <v>1372</v>
      </c>
      <c r="M632" t="s">
        <v>1373</v>
      </c>
      <c r="N632" t="s">
        <v>1374</v>
      </c>
      <c r="O632" t="s">
        <v>1375</v>
      </c>
      <c r="P632">
        <v>0.63900000000000001</v>
      </c>
      <c r="Q632" t="s">
        <v>29</v>
      </c>
      <c r="R632" t="s">
        <v>50</v>
      </c>
      <c r="S632" t="s">
        <v>6937</v>
      </c>
    </row>
    <row r="633" spans="1:19" x14ac:dyDescent="0.25">
      <c r="A633">
        <v>2000</v>
      </c>
      <c r="B633">
        <v>1071</v>
      </c>
      <c r="C633" t="s">
        <v>1523</v>
      </c>
      <c r="E633">
        <v>331313</v>
      </c>
      <c r="F633" t="s">
        <v>1131</v>
      </c>
      <c r="G633" t="s">
        <v>1132</v>
      </c>
      <c r="H633" t="s">
        <v>79</v>
      </c>
      <c r="I633" t="s">
        <v>1672</v>
      </c>
      <c r="J633" t="s">
        <v>1673</v>
      </c>
      <c r="K633" t="s">
        <v>1674</v>
      </c>
      <c r="L633" t="s">
        <v>1372</v>
      </c>
      <c r="M633" t="s">
        <v>1373</v>
      </c>
      <c r="N633" t="s">
        <v>1374</v>
      </c>
      <c r="O633" t="s">
        <v>1375</v>
      </c>
      <c r="P633">
        <v>1716</v>
      </c>
      <c r="Q633" t="s">
        <v>40</v>
      </c>
      <c r="R633" t="s">
        <v>442</v>
      </c>
      <c r="S633" t="s">
        <v>6937</v>
      </c>
    </row>
    <row r="634" spans="1:19" x14ac:dyDescent="0.25">
      <c r="A634">
        <v>2010</v>
      </c>
      <c r="B634">
        <v>6570</v>
      </c>
      <c r="C634" t="s">
        <v>1675</v>
      </c>
      <c r="D634" t="s">
        <v>1676</v>
      </c>
      <c r="E634">
        <v>412110</v>
      </c>
      <c r="F634" t="s">
        <v>346</v>
      </c>
      <c r="G634" t="s">
        <v>347</v>
      </c>
      <c r="H634" t="s">
        <v>85</v>
      </c>
      <c r="I634" t="s">
        <v>106</v>
      </c>
      <c r="J634" t="s">
        <v>107</v>
      </c>
      <c r="K634" t="s">
        <v>108</v>
      </c>
      <c r="L634" t="s">
        <v>1394</v>
      </c>
      <c r="M634" t="s">
        <v>1395</v>
      </c>
      <c r="N634" t="s">
        <v>155</v>
      </c>
      <c r="O634" t="s">
        <v>156</v>
      </c>
      <c r="P634">
        <v>0</v>
      </c>
      <c r="Q634" t="s">
        <v>40</v>
      </c>
      <c r="R634" t="s">
        <v>30</v>
      </c>
      <c r="S634" t="s">
        <v>6937</v>
      </c>
    </row>
    <row r="635" spans="1:19" x14ac:dyDescent="0.25">
      <c r="A635">
        <v>1998</v>
      </c>
      <c r="B635">
        <v>3937</v>
      </c>
      <c r="C635" t="s">
        <v>1677</v>
      </c>
      <c r="D635" t="s">
        <v>1678</v>
      </c>
      <c r="E635">
        <v>211113</v>
      </c>
      <c r="F635" t="s">
        <v>425</v>
      </c>
      <c r="G635" t="s">
        <v>426</v>
      </c>
      <c r="H635" t="s">
        <v>85</v>
      </c>
      <c r="I635" t="s">
        <v>70</v>
      </c>
      <c r="J635" t="s">
        <v>71</v>
      </c>
      <c r="K635" t="s">
        <v>72</v>
      </c>
      <c r="L635" t="s">
        <v>1372</v>
      </c>
      <c r="M635" t="s">
        <v>1373</v>
      </c>
      <c r="N635" t="s">
        <v>1374</v>
      </c>
      <c r="O635" t="s">
        <v>1375</v>
      </c>
      <c r="P635">
        <v>6.35</v>
      </c>
      <c r="Q635" t="s">
        <v>29</v>
      </c>
      <c r="R635" t="s">
        <v>204</v>
      </c>
      <c r="S635" t="s">
        <v>6937</v>
      </c>
    </row>
    <row r="636" spans="1:19" x14ac:dyDescent="0.25">
      <c r="A636">
        <v>2023</v>
      </c>
      <c r="B636">
        <v>5150</v>
      </c>
      <c r="C636" t="s">
        <v>1679</v>
      </c>
      <c r="D636" t="s">
        <v>1679</v>
      </c>
      <c r="E636">
        <v>322121</v>
      </c>
      <c r="F636" t="s">
        <v>938</v>
      </c>
      <c r="G636" t="s">
        <v>765</v>
      </c>
      <c r="H636" t="s">
        <v>69</v>
      </c>
      <c r="I636" t="s">
        <v>1457</v>
      </c>
      <c r="J636" t="s">
        <v>1680</v>
      </c>
      <c r="K636" t="s">
        <v>1681</v>
      </c>
      <c r="L636" t="s">
        <v>1372</v>
      </c>
      <c r="M636" t="s">
        <v>1373</v>
      </c>
      <c r="N636" t="s">
        <v>1399</v>
      </c>
      <c r="O636" t="s">
        <v>1400</v>
      </c>
      <c r="P636">
        <v>2.698</v>
      </c>
      <c r="Q636" t="s">
        <v>29</v>
      </c>
      <c r="R636" t="s">
        <v>50</v>
      </c>
      <c r="S636" t="s">
        <v>6937</v>
      </c>
    </row>
    <row r="637" spans="1:19" x14ac:dyDescent="0.25">
      <c r="A637">
        <v>2010</v>
      </c>
      <c r="B637">
        <v>21772</v>
      </c>
      <c r="C637" t="s">
        <v>858</v>
      </c>
      <c r="D637" t="s">
        <v>1682</v>
      </c>
      <c r="E637">
        <v>213118</v>
      </c>
      <c r="F637" t="s">
        <v>1336</v>
      </c>
      <c r="G637" t="s">
        <v>1337</v>
      </c>
      <c r="H637" t="s">
        <v>85</v>
      </c>
      <c r="I637" t="s">
        <v>1421</v>
      </c>
      <c r="J637" t="s">
        <v>1422</v>
      </c>
      <c r="K637" t="s">
        <v>1423</v>
      </c>
      <c r="L637" t="s">
        <v>1372</v>
      </c>
      <c r="M637" t="s">
        <v>1373</v>
      </c>
      <c r="N637" t="s">
        <v>1374</v>
      </c>
      <c r="O637" t="s">
        <v>1375</v>
      </c>
      <c r="P637">
        <v>1.6160000000000001</v>
      </c>
      <c r="Q637" t="s">
        <v>29</v>
      </c>
      <c r="R637" t="s">
        <v>430</v>
      </c>
      <c r="S637" t="s">
        <v>6937</v>
      </c>
    </row>
    <row r="638" spans="1:19" x14ac:dyDescent="0.25">
      <c r="A638">
        <v>1998</v>
      </c>
      <c r="B638">
        <v>4</v>
      </c>
      <c r="C638" t="s">
        <v>1683</v>
      </c>
      <c r="D638" t="s">
        <v>1684</v>
      </c>
      <c r="E638">
        <v>322122</v>
      </c>
      <c r="F638" t="s">
        <v>1556</v>
      </c>
      <c r="G638" t="s">
        <v>1062</v>
      </c>
      <c r="H638" t="s">
        <v>54</v>
      </c>
      <c r="I638" t="s">
        <v>55</v>
      </c>
      <c r="J638" t="s">
        <v>56</v>
      </c>
      <c r="K638" t="s">
        <v>57</v>
      </c>
      <c r="L638" t="s">
        <v>1378</v>
      </c>
      <c r="M638" t="s">
        <v>1379</v>
      </c>
      <c r="N638" t="s">
        <v>1380</v>
      </c>
      <c r="O638" t="s">
        <v>1381</v>
      </c>
      <c r="P638">
        <v>8.8999999999999996E-2</v>
      </c>
      <c r="Q638" t="s">
        <v>29</v>
      </c>
      <c r="R638" t="s">
        <v>204</v>
      </c>
      <c r="S638" t="s">
        <v>6937</v>
      </c>
    </row>
    <row r="639" spans="1:19" x14ac:dyDescent="0.25">
      <c r="A639">
        <v>2019</v>
      </c>
      <c r="B639">
        <v>4150</v>
      </c>
      <c r="C639" t="s">
        <v>1685</v>
      </c>
      <c r="D639" t="s">
        <v>1686</v>
      </c>
      <c r="E639">
        <v>211110</v>
      </c>
      <c r="F639" t="s">
        <v>233</v>
      </c>
      <c r="G639" t="s">
        <v>234</v>
      </c>
      <c r="H639" t="s">
        <v>85</v>
      </c>
      <c r="I639" t="s">
        <v>1533</v>
      </c>
      <c r="J639" t="s">
        <v>1534</v>
      </c>
      <c r="K639" t="s">
        <v>1535</v>
      </c>
      <c r="L639" t="s">
        <v>1372</v>
      </c>
      <c r="M639" t="s">
        <v>1373</v>
      </c>
      <c r="N639" t="s">
        <v>1374</v>
      </c>
      <c r="O639" t="s">
        <v>1375</v>
      </c>
      <c r="P639">
        <v>854.17700000000002</v>
      </c>
      <c r="Q639" t="s">
        <v>29</v>
      </c>
      <c r="R639" t="s">
        <v>430</v>
      </c>
      <c r="S639" t="s">
        <v>6937</v>
      </c>
    </row>
    <row r="640" spans="1:19" x14ac:dyDescent="0.25">
      <c r="A640">
        <v>2020</v>
      </c>
      <c r="B640">
        <v>4803</v>
      </c>
      <c r="C640" t="s">
        <v>1621</v>
      </c>
      <c r="D640" t="s">
        <v>1687</v>
      </c>
      <c r="E640">
        <v>322122</v>
      </c>
      <c r="F640" t="s">
        <v>1061</v>
      </c>
      <c r="G640" t="s">
        <v>1062</v>
      </c>
      <c r="H640" t="s">
        <v>79</v>
      </c>
      <c r="I640" t="s">
        <v>97</v>
      </c>
      <c r="J640" t="s">
        <v>98</v>
      </c>
      <c r="K640" t="s">
        <v>99</v>
      </c>
      <c r="L640" t="s">
        <v>1378</v>
      </c>
      <c r="M640" t="s">
        <v>1379</v>
      </c>
      <c r="N640" t="s">
        <v>1380</v>
      </c>
      <c r="O640" t="s">
        <v>1381</v>
      </c>
      <c r="P640">
        <v>9.39</v>
      </c>
      <c r="Q640" t="s">
        <v>29</v>
      </c>
      <c r="R640" t="s">
        <v>124</v>
      </c>
      <c r="S640" t="s">
        <v>6937</v>
      </c>
    </row>
    <row r="641" spans="1:19" x14ac:dyDescent="0.25">
      <c r="A641">
        <v>2021</v>
      </c>
      <c r="B641">
        <v>6145</v>
      </c>
      <c r="C641" t="s">
        <v>1688</v>
      </c>
      <c r="D641" t="s">
        <v>1689</v>
      </c>
      <c r="E641">
        <v>221112</v>
      </c>
      <c r="F641" t="s">
        <v>499</v>
      </c>
      <c r="G641" t="s">
        <v>135</v>
      </c>
      <c r="H641" t="s">
        <v>79</v>
      </c>
      <c r="I641" t="s">
        <v>1441</v>
      </c>
      <c r="J641" t="s">
        <v>1442</v>
      </c>
      <c r="K641" t="s">
        <v>1443</v>
      </c>
      <c r="L641" t="s">
        <v>1372</v>
      </c>
      <c r="M641" t="s">
        <v>1373</v>
      </c>
      <c r="N641" t="s">
        <v>1374</v>
      </c>
      <c r="O641" t="s">
        <v>1375</v>
      </c>
      <c r="P641">
        <v>45.151000000000003</v>
      </c>
      <c r="Q641" t="s">
        <v>29</v>
      </c>
      <c r="R641" t="s">
        <v>430</v>
      </c>
      <c r="S641" t="s">
        <v>6937</v>
      </c>
    </row>
    <row r="642" spans="1:19" x14ac:dyDescent="0.25">
      <c r="A642">
        <v>2020</v>
      </c>
      <c r="B642">
        <v>5281</v>
      </c>
      <c r="C642" t="s">
        <v>1690</v>
      </c>
      <c r="D642" t="s">
        <v>1691</v>
      </c>
      <c r="E642">
        <v>321212</v>
      </c>
      <c r="F642" t="s">
        <v>1692</v>
      </c>
      <c r="G642" t="s">
        <v>1693</v>
      </c>
      <c r="H642" t="s">
        <v>85</v>
      </c>
      <c r="I642" t="s">
        <v>1457</v>
      </c>
      <c r="J642" t="s">
        <v>1458</v>
      </c>
      <c r="K642" t="s">
        <v>1459</v>
      </c>
      <c r="L642" t="s">
        <v>1372</v>
      </c>
      <c r="M642" t="s">
        <v>1373</v>
      </c>
      <c r="N642" t="s">
        <v>1374</v>
      </c>
      <c r="O642" t="s">
        <v>1375</v>
      </c>
      <c r="P642">
        <v>21.381</v>
      </c>
      <c r="Q642" t="s">
        <v>29</v>
      </c>
      <c r="R642" t="s">
        <v>124</v>
      </c>
      <c r="S642" t="s">
        <v>6937</v>
      </c>
    </row>
    <row r="643" spans="1:19" x14ac:dyDescent="0.25">
      <c r="A643">
        <v>2015</v>
      </c>
      <c r="B643">
        <v>3466</v>
      </c>
      <c r="C643" t="s">
        <v>1694</v>
      </c>
      <c r="D643" t="s">
        <v>1695</v>
      </c>
      <c r="E643">
        <v>326210</v>
      </c>
      <c r="F643" t="s">
        <v>1696</v>
      </c>
      <c r="G643" t="s">
        <v>968</v>
      </c>
      <c r="H643" t="s">
        <v>483</v>
      </c>
      <c r="I643" t="s">
        <v>1487</v>
      </c>
      <c r="J643" t="s">
        <v>1488</v>
      </c>
      <c r="K643" t="s">
        <v>1489</v>
      </c>
      <c r="L643" t="s">
        <v>1372</v>
      </c>
      <c r="M643" t="s">
        <v>1373</v>
      </c>
      <c r="N643" t="s">
        <v>1374</v>
      </c>
      <c r="O643" t="s">
        <v>1375</v>
      </c>
      <c r="P643">
        <v>19.07</v>
      </c>
      <c r="Q643" t="s">
        <v>29</v>
      </c>
      <c r="R643" t="s">
        <v>430</v>
      </c>
      <c r="S643" t="s">
        <v>6937</v>
      </c>
    </row>
    <row r="644" spans="1:19" x14ac:dyDescent="0.25">
      <c r="A644">
        <v>2009</v>
      </c>
      <c r="B644">
        <v>3269</v>
      </c>
      <c r="C644" t="s">
        <v>1697</v>
      </c>
      <c r="D644" t="s">
        <v>1698</v>
      </c>
      <c r="E644">
        <v>325313</v>
      </c>
      <c r="F644" t="s">
        <v>1585</v>
      </c>
      <c r="G644" t="s">
        <v>1055</v>
      </c>
      <c r="H644" t="s">
        <v>85</v>
      </c>
      <c r="I644" t="s">
        <v>191</v>
      </c>
      <c r="J644" t="s">
        <v>192</v>
      </c>
      <c r="K644" t="s">
        <v>193</v>
      </c>
      <c r="L644" t="s">
        <v>1372</v>
      </c>
      <c r="M644" t="s">
        <v>1373</v>
      </c>
      <c r="N644" t="s">
        <v>1409</v>
      </c>
      <c r="O644" t="s">
        <v>1410</v>
      </c>
      <c r="P644">
        <v>0.01</v>
      </c>
      <c r="Q644" t="s">
        <v>29</v>
      </c>
      <c r="R644" t="s">
        <v>30</v>
      </c>
      <c r="S644" t="s">
        <v>6937</v>
      </c>
    </row>
    <row r="645" spans="1:19" x14ac:dyDescent="0.25">
      <c r="A645">
        <v>2019</v>
      </c>
      <c r="B645">
        <v>6884</v>
      </c>
      <c r="C645" t="s">
        <v>1699</v>
      </c>
      <c r="D645" t="s">
        <v>1700</v>
      </c>
      <c r="E645">
        <v>212396</v>
      </c>
      <c r="F645" t="s">
        <v>1419</v>
      </c>
      <c r="G645" t="s">
        <v>1420</v>
      </c>
      <c r="H645" t="s">
        <v>243</v>
      </c>
      <c r="I645" t="s">
        <v>1369</v>
      </c>
      <c r="J645" t="s">
        <v>1370</v>
      </c>
      <c r="K645" t="s">
        <v>1371</v>
      </c>
      <c r="L645" t="s">
        <v>1372</v>
      </c>
      <c r="M645" t="s">
        <v>1373</v>
      </c>
      <c r="N645" t="s">
        <v>1390</v>
      </c>
      <c r="O645" t="s">
        <v>1391</v>
      </c>
      <c r="P645">
        <v>4.67</v>
      </c>
      <c r="Q645" t="s">
        <v>29</v>
      </c>
      <c r="R645" t="s">
        <v>30</v>
      </c>
      <c r="S645" t="s">
        <v>6937</v>
      </c>
    </row>
    <row r="646" spans="1:19" x14ac:dyDescent="0.25">
      <c r="A646">
        <v>2011</v>
      </c>
      <c r="B646">
        <v>5518</v>
      </c>
      <c r="C646" t="s">
        <v>148</v>
      </c>
      <c r="D646" t="s">
        <v>1701</v>
      </c>
      <c r="E646">
        <v>321217</v>
      </c>
      <c r="F646" t="s">
        <v>1702</v>
      </c>
      <c r="G646" t="s">
        <v>151</v>
      </c>
      <c r="H646" t="s">
        <v>79</v>
      </c>
      <c r="I646" t="s">
        <v>1533</v>
      </c>
      <c r="J646" t="s">
        <v>1534</v>
      </c>
      <c r="K646" t="s">
        <v>1535</v>
      </c>
      <c r="L646" t="s">
        <v>1372</v>
      </c>
      <c r="M646" t="s">
        <v>1373</v>
      </c>
      <c r="N646" t="s">
        <v>1374</v>
      </c>
      <c r="O646" t="s">
        <v>1375</v>
      </c>
      <c r="P646">
        <v>52.207999999999998</v>
      </c>
      <c r="Q646" t="s">
        <v>29</v>
      </c>
      <c r="R646" t="s">
        <v>430</v>
      </c>
      <c r="S646" t="s">
        <v>6937</v>
      </c>
    </row>
    <row r="647" spans="1:19" x14ac:dyDescent="0.25">
      <c r="A647">
        <v>2018</v>
      </c>
      <c r="B647">
        <v>10224</v>
      </c>
      <c r="C647" t="s">
        <v>125</v>
      </c>
      <c r="D647" t="s">
        <v>1703</v>
      </c>
      <c r="E647">
        <v>412110</v>
      </c>
      <c r="F647" t="s">
        <v>127</v>
      </c>
      <c r="G647" t="s">
        <v>128</v>
      </c>
      <c r="H647" t="s">
        <v>21</v>
      </c>
      <c r="I647" t="s">
        <v>106</v>
      </c>
      <c r="J647" t="s">
        <v>107</v>
      </c>
      <c r="K647" t="s">
        <v>108</v>
      </c>
      <c r="L647" t="s">
        <v>1372</v>
      </c>
      <c r="M647" t="s">
        <v>1373</v>
      </c>
      <c r="N647" t="s">
        <v>1409</v>
      </c>
      <c r="O647" t="s">
        <v>1410</v>
      </c>
      <c r="P647">
        <v>0</v>
      </c>
      <c r="Q647" t="s">
        <v>40</v>
      </c>
      <c r="R647" t="s">
        <v>430</v>
      </c>
      <c r="S647" t="s">
        <v>6937</v>
      </c>
    </row>
    <row r="648" spans="1:19" x14ac:dyDescent="0.25">
      <c r="A648">
        <v>2023</v>
      </c>
      <c r="B648">
        <v>7720</v>
      </c>
      <c r="C648" t="s">
        <v>1704</v>
      </c>
      <c r="D648" t="s">
        <v>1705</v>
      </c>
      <c r="E648">
        <v>211110</v>
      </c>
      <c r="F648" t="s">
        <v>233</v>
      </c>
      <c r="G648" t="s">
        <v>234</v>
      </c>
      <c r="H648" t="s">
        <v>69</v>
      </c>
      <c r="I648" t="s">
        <v>1457</v>
      </c>
      <c r="J648" t="s">
        <v>1680</v>
      </c>
      <c r="K648" t="s">
        <v>1681</v>
      </c>
      <c r="L648" t="s">
        <v>1372</v>
      </c>
      <c r="M648" t="s">
        <v>1373</v>
      </c>
      <c r="N648" t="s">
        <v>1374</v>
      </c>
      <c r="O648" t="s">
        <v>1375</v>
      </c>
      <c r="P648">
        <v>1.3207</v>
      </c>
      <c r="Q648" t="s">
        <v>29</v>
      </c>
      <c r="R648" t="s">
        <v>430</v>
      </c>
      <c r="S648" t="s">
        <v>6937</v>
      </c>
    </row>
    <row r="649" spans="1:19" x14ac:dyDescent="0.25">
      <c r="A649">
        <v>2019</v>
      </c>
      <c r="B649">
        <v>1383</v>
      </c>
      <c r="C649" t="s">
        <v>1706</v>
      </c>
      <c r="D649" t="s">
        <v>1707</v>
      </c>
      <c r="E649">
        <v>322112</v>
      </c>
      <c r="F649" t="s">
        <v>660</v>
      </c>
      <c r="G649" t="s">
        <v>621</v>
      </c>
      <c r="H649" t="s">
        <v>69</v>
      </c>
      <c r="I649" t="s">
        <v>1708</v>
      </c>
      <c r="J649" t="s">
        <v>1709</v>
      </c>
      <c r="K649" t="s">
        <v>1710</v>
      </c>
      <c r="L649" t="s">
        <v>1372</v>
      </c>
      <c r="M649" t="s">
        <v>1373</v>
      </c>
      <c r="N649" t="s">
        <v>1374</v>
      </c>
      <c r="O649" t="s">
        <v>1375</v>
      </c>
      <c r="P649">
        <v>34.347999999999999</v>
      </c>
      <c r="Q649" t="s">
        <v>29</v>
      </c>
      <c r="R649" t="s">
        <v>124</v>
      </c>
      <c r="S649" t="s">
        <v>6937</v>
      </c>
    </row>
    <row r="650" spans="1:19" x14ac:dyDescent="0.25">
      <c r="A650">
        <v>2008</v>
      </c>
      <c r="B650">
        <v>1702</v>
      </c>
      <c r="C650" t="s">
        <v>1711</v>
      </c>
      <c r="D650" t="s">
        <v>1712</v>
      </c>
      <c r="E650">
        <v>221112</v>
      </c>
      <c r="F650" t="s">
        <v>134</v>
      </c>
      <c r="G650" t="s">
        <v>135</v>
      </c>
      <c r="H650" t="s">
        <v>661</v>
      </c>
      <c r="I650" t="s">
        <v>1421</v>
      </c>
      <c r="J650" t="s">
        <v>1422</v>
      </c>
      <c r="K650" t="s">
        <v>1423</v>
      </c>
      <c r="L650" t="s">
        <v>1372</v>
      </c>
      <c r="M650" t="s">
        <v>1373</v>
      </c>
      <c r="N650" t="s">
        <v>1390</v>
      </c>
      <c r="O650" t="s">
        <v>1391</v>
      </c>
      <c r="P650">
        <v>0</v>
      </c>
      <c r="Q650" t="s">
        <v>29</v>
      </c>
      <c r="R650" t="s">
        <v>30</v>
      </c>
      <c r="S650" t="s">
        <v>6937</v>
      </c>
    </row>
    <row r="651" spans="1:19" x14ac:dyDescent="0.25">
      <c r="A651">
        <v>2023</v>
      </c>
      <c r="B651">
        <v>33604</v>
      </c>
      <c r="C651" t="s">
        <v>1027</v>
      </c>
      <c r="D651" t="s">
        <v>1713</v>
      </c>
      <c r="E651">
        <v>211110</v>
      </c>
      <c r="F651" t="s">
        <v>233</v>
      </c>
      <c r="G651" t="s">
        <v>234</v>
      </c>
      <c r="H651" t="s">
        <v>243</v>
      </c>
      <c r="I651" t="s">
        <v>1441</v>
      </c>
      <c r="J651" t="s">
        <v>1442</v>
      </c>
      <c r="K651" t="s">
        <v>1443</v>
      </c>
      <c r="L651" t="s">
        <v>1372</v>
      </c>
      <c r="M651" t="s">
        <v>1373</v>
      </c>
      <c r="N651" t="s">
        <v>1374</v>
      </c>
      <c r="O651" t="s">
        <v>1375</v>
      </c>
      <c r="P651">
        <v>7.8575299999999997</v>
      </c>
      <c r="Q651" t="s">
        <v>29</v>
      </c>
      <c r="R651" t="s">
        <v>430</v>
      </c>
      <c r="S651" t="s">
        <v>6937</v>
      </c>
    </row>
    <row r="652" spans="1:19" x14ac:dyDescent="0.25">
      <c r="A652">
        <v>1994</v>
      </c>
      <c r="B652">
        <v>374</v>
      </c>
      <c r="C652" t="s">
        <v>1119</v>
      </c>
      <c r="E652">
        <v>325520</v>
      </c>
      <c r="F652" t="s">
        <v>1147</v>
      </c>
      <c r="G652" t="s">
        <v>1122</v>
      </c>
      <c r="H652" t="s">
        <v>21</v>
      </c>
      <c r="I652" t="s">
        <v>1123</v>
      </c>
      <c r="J652" t="s">
        <v>1124</v>
      </c>
      <c r="K652" t="s">
        <v>1125</v>
      </c>
      <c r="L652" t="s">
        <v>1372</v>
      </c>
      <c r="M652" t="s">
        <v>1373</v>
      </c>
      <c r="N652" t="s">
        <v>1374</v>
      </c>
      <c r="O652" t="s">
        <v>1375</v>
      </c>
      <c r="P652">
        <v>0.38</v>
      </c>
      <c r="Q652" t="s">
        <v>29</v>
      </c>
      <c r="R652" t="s">
        <v>50</v>
      </c>
      <c r="S652" t="s">
        <v>6937</v>
      </c>
    </row>
    <row r="653" spans="1:19" x14ac:dyDescent="0.25">
      <c r="A653">
        <v>2006</v>
      </c>
      <c r="B653">
        <v>6045</v>
      </c>
      <c r="C653" t="s">
        <v>1714</v>
      </c>
      <c r="D653" t="s">
        <v>1715</v>
      </c>
      <c r="E653">
        <v>322130</v>
      </c>
      <c r="F653" t="s">
        <v>1645</v>
      </c>
      <c r="G653" t="s">
        <v>1646</v>
      </c>
      <c r="H653" t="s">
        <v>483</v>
      </c>
      <c r="I653" t="s">
        <v>1413</v>
      </c>
      <c r="J653" t="s">
        <v>1414</v>
      </c>
      <c r="K653" t="s">
        <v>1415</v>
      </c>
      <c r="L653" t="s">
        <v>1372</v>
      </c>
      <c r="M653" t="s">
        <v>1373</v>
      </c>
      <c r="N653" t="s">
        <v>1374</v>
      </c>
      <c r="O653" t="s">
        <v>1375</v>
      </c>
      <c r="P653">
        <v>368.49</v>
      </c>
      <c r="Q653" t="s">
        <v>29</v>
      </c>
      <c r="R653" t="s">
        <v>430</v>
      </c>
      <c r="S653" t="s">
        <v>6937</v>
      </c>
    </row>
    <row r="654" spans="1:19" x14ac:dyDescent="0.25">
      <c r="A654">
        <v>2016</v>
      </c>
      <c r="B654">
        <v>3701</v>
      </c>
      <c r="C654" t="s">
        <v>194</v>
      </c>
      <c r="D654" t="s">
        <v>681</v>
      </c>
      <c r="E654">
        <v>324110</v>
      </c>
      <c r="F654" t="s">
        <v>196</v>
      </c>
      <c r="G654" t="s">
        <v>96</v>
      </c>
      <c r="H654" t="s">
        <v>21</v>
      </c>
      <c r="I654" t="s">
        <v>1549</v>
      </c>
      <c r="J654" t="s">
        <v>1550</v>
      </c>
      <c r="K654" t="s">
        <v>1551</v>
      </c>
      <c r="L654" t="s">
        <v>1372</v>
      </c>
      <c r="M654" t="s">
        <v>1373</v>
      </c>
      <c r="N654" t="s">
        <v>1374</v>
      </c>
      <c r="O654" t="s">
        <v>1375</v>
      </c>
      <c r="P654">
        <v>0.8</v>
      </c>
      <c r="Q654" t="s">
        <v>29</v>
      </c>
      <c r="R654" t="s">
        <v>430</v>
      </c>
      <c r="S654" t="s">
        <v>6937</v>
      </c>
    </row>
    <row r="655" spans="1:19" x14ac:dyDescent="0.25">
      <c r="A655">
        <v>1998</v>
      </c>
      <c r="B655">
        <v>1464</v>
      </c>
      <c r="C655" t="s">
        <v>125</v>
      </c>
      <c r="D655" t="s">
        <v>443</v>
      </c>
      <c r="E655">
        <v>324110</v>
      </c>
      <c r="F655" t="s">
        <v>95</v>
      </c>
      <c r="G655" t="s">
        <v>96</v>
      </c>
      <c r="H655" t="s">
        <v>21</v>
      </c>
      <c r="I655" t="s">
        <v>271</v>
      </c>
      <c r="J655" t="s">
        <v>387</v>
      </c>
      <c r="K655" t="s">
        <v>388</v>
      </c>
      <c r="L655" t="s">
        <v>1372</v>
      </c>
      <c r="M655" t="s">
        <v>1373</v>
      </c>
      <c r="N655" t="s">
        <v>1402</v>
      </c>
      <c r="O655" t="s">
        <v>1403</v>
      </c>
      <c r="P655">
        <v>0</v>
      </c>
      <c r="Q655" t="s">
        <v>29</v>
      </c>
      <c r="R655" t="s">
        <v>30</v>
      </c>
      <c r="S655" t="s">
        <v>6937</v>
      </c>
    </row>
    <row r="656" spans="1:19" x14ac:dyDescent="0.25">
      <c r="A656">
        <v>2003</v>
      </c>
      <c r="B656">
        <v>695</v>
      </c>
      <c r="C656" t="s">
        <v>1716</v>
      </c>
      <c r="D656" t="s">
        <v>1717</v>
      </c>
      <c r="E656">
        <v>211113</v>
      </c>
      <c r="F656" t="s">
        <v>425</v>
      </c>
      <c r="G656" t="s">
        <v>426</v>
      </c>
      <c r="H656" t="s">
        <v>85</v>
      </c>
      <c r="I656" t="s">
        <v>923</v>
      </c>
      <c r="J656" t="s">
        <v>924</v>
      </c>
      <c r="K656" t="s">
        <v>924</v>
      </c>
      <c r="L656" t="s">
        <v>1394</v>
      </c>
      <c r="M656" t="s">
        <v>1395</v>
      </c>
      <c r="N656" t="s">
        <v>1402</v>
      </c>
      <c r="O656" t="s">
        <v>1403</v>
      </c>
      <c r="P656">
        <v>9.0999999999999998E-2</v>
      </c>
      <c r="Q656" t="s">
        <v>29</v>
      </c>
      <c r="R656" t="s">
        <v>30</v>
      </c>
      <c r="S656" t="s">
        <v>6937</v>
      </c>
    </row>
    <row r="657" spans="1:19" x14ac:dyDescent="0.25">
      <c r="A657">
        <v>2022</v>
      </c>
      <c r="B657">
        <v>33645</v>
      </c>
      <c r="C657" t="s">
        <v>1718</v>
      </c>
      <c r="D657" t="s">
        <v>1719</v>
      </c>
      <c r="E657">
        <v>211110</v>
      </c>
      <c r="F657" t="s">
        <v>233</v>
      </c>
      <c r="G657" t="s">
        <v>234</v>
      </c>
      <c r="H657" t="s">
        <v>85</v>
      </c>
      <c r="I657" t="s">
        <v>1441</v>
      </c>
      <c r="J657" t="s">
        <v>1442</v>
      </c>
      <c r="K657" t="s">
        <v>1443</v>
      </c>
      <c r="L657" t="s">
        <v>1372</v>
      </c>
      <c r="M657" t="s">
        <v>1373</v>
      </c>
      <c r="N657" t="s">
        <v>1374</v>
      </c>
      <c r="O657" t="s">
        <v>1375</v>
      </c>
      <c r="P657">
        <v>18.20205</v>
      </c>
      <c r="Q657" t="s">
        <v>29</v>
      </c>
      <c r="R657" t="s">
        <v>430</v>
      </c>
      <c r="S657" t="s">
        <v>6937</v>
      </c>
    </row>
    <row r="658" spans="1:19" x14ac:dyDescent="0.25">
      <c r="A658">
        <v>2011</v>
      </c>
      <c r="B658">
        <v>32488</v>
      </c>
      <c r="C658" t="s">
        <v>1720</v>
      </c>
      <c r="D658" t="s">
        <v>1721</v>
      </c>
      <c r="E658">
        <v>211113</v>
      </c>
      <c r="F658" t="s">
        <v>425</v>
      </c>
      <c r="G658" t="s">
        <v>426</v>
      </c>
      <c r="H658" t="s">
        <v>243</v>
      </c>
      <c r="I658" t="s">
        <v>1421</v>
      </c>
      <c r="J658" t="s">
        <v>1422</v>
      </c>
      <c r="K658" t="s">
        <v>1423</v>
      </c>
      <c r="L658" t="s">
        <v>1372</v>
      </c>
      <c r="M658" t="s">
        <v>1373</v>
      </c>
      <c r="N658" t="s">
        <v>1374</v>
      </c>
      <c r="O658" t="s">
        <v>1375</v>
      </c>
      <c r="P658">
        <v>0.40500000000000003</v>
      </c>
      <c r="Q658" t="s">
        <v>29</v>
      </c>
      <c r="R658" t="s">
        <v>430</v>
      </c>
      <c r="S658" t="s">
        <v>6937</v>
      </c>
    </row>
    <row r="659" spans="1:19" x14ac:dyDescent="0.25">
      <c r="A659">
        <v>2023</v>
      </c>
      <c r="B659">
        <v>177</v>
      </c>
      <c r="C659" t="s">
        <v>1722</v>
      </c>
      <c r="D659" t="s">
        <v>1723</v>
      </c>
      <c r="E659">
        <v>322220</v>
      </c>
      <c r="F659" t="s">
        <v>783</v>
      </c>
      <c r="G659" t="s">
        <v>190</v>
      </c>
      <c r="H659" t="s">
        <v>21</v>
      </c>
      <c r="I659" t="s">
        <v>191</v>
      </c>
      <c r="J659" t="s">
        <v>192</v>
      </c>
      <c r="K659" t="s">
        <v>193</v>
      </c>
      <c r="L659" t="s">
        <v>1372</v>
      </c>
      <c r="M659" t="s">
        <v>1373</v>
      </c>
      <c r="N659" t="s">
        <v>1409</v>
      </c>
      <c r="O659" t="s">
        <v>1410</v>
      </c>
      <c r="P659">
        <v>0.16900000000000001</v>
      </c>
      <c r="Q659" t="s">
        <v>29</v>
      </c>
      <c r="R659" t="s">
        <v>157</v>
      </c>
      <c r="S659" t="s">
        <v>6937</v>
      </c>
    </row>
    <row r="660" spans="1:19" x14ac:dyDescent="0.25">
      <c r="A660">
        <v>2003</v>
      </c>
      <c r="B660">
        <v>6334</v>
      </c>
      <c r="C660" t="s">
        <v>1724</v>
      </c>
      <c r="D660" t="s">
        <v>1725</v>
      </c>
      <c r="E660">
        <v>321111</v>
      </c>
      <c r="F660" t="s">
        <v>1474</v>
      </c>
      <c r="G660" t="s">
        <v>1368</v>
      </c>
      <c r="H660" t="s">
        <v>79</v>
      </c>
      <c r="I660" t="s">
        <v>1533</v>
      </c>
      <c r="J660" t="s">
        <v>1534</v>
      </c>
      <c r="K660" t="s">
        <v>1535</v>
      </c>
      <c r="L660" t="s">
        <v>1372</v>
      </c>
      <c r="M660" t="s">
        <v>1373</v>
      </c>
      <c r="N660" t="s">
        <v>1409</v>
      </c>
      <c r="O660" t="s">
        <v>1410</v>
      </c>
      <c r="P660">
        <v>0</v>
      </c>
      <c r="Q660" t="s">
        <v>29</v>
      </c>
      <c r="R660" t="s">
        <v>430</v>
      </c>
      <c r="S660" t="s">
        <v>6937</v>
      </c>
    </row>
    <row r="661" spans="1:19" x14ac:dyDescent="0.25">
      <c r="A661">
        <v>2012</v>
      </c>
      <c r="B661">
        <v>3996</v>
      </c>
      <c r="C661" t="s">
        <v>1015</v>
      </c>
      <c r="D661" t="s">
        <v>1016</v>
      </c>
      <c r="E661">
        <v>221112</v>
      </c>
      <c r="F661" t="s">
        <v>499</v>
      </c>
      <c r="G661" t="s">
        <v>135</v>
      </c>
      <c r="H661" t="s">
        <v>483</v>
      </c>
      <c r="I661" t="s">
        <v>1533</v>
      </c>
      <c r="J661" t="s">
        <v>1534</v>
      </c>
      <c r="K661" t="s">
        <v>1535</v>
      </c>
      <c r="L661" t="s">
        <v>1372</v>
      </c>
      <c r="M661" t="s">
        <v>1373</v>
      </c>
      <c r="N661" t="s">
        <v>1374</v>
      </c>
      <c r="O661" t="s">
        <v>1375</v>
      </c>
      <c r="P661">
        <v>4427</v>
      </c>
      <c r="Q661" t="s">
        <v>29</v>
      </c>
      <c r="R661" t="s">
        <v>258</v>
      </c>
      <c r="S661" t="s">
        <v>6937</v>
      </c>
    </row>
    <row r="662" spans="1:19" x14ac:dyDescent="0.25">
      <c r="A662">
        <v>2010</v>
      </c>
      <c r="B662">
        <v>853</v>
      </c>
      <c r="C662" t="s">
        <v>1726</v>
      </c>
      <c r="D662" t="s">
        <v>1727</v>
      </c>
      <c r="E662">
        <v>325189</v>
      </c>
      <c r="F662" t="s">
        <v>1290</v>
      </c>
      <c r="G662" t="s">
        <v>1291</v>
      </c>
      <c r="H662" t="s">
        <v>85</v>
      </c>
      <c r="I662" t="s">
        <v>1533</v>
      </c>
      <c r="J662" t="s">
        <v>1534</v>
      </c>
      <c r="K662" t="s">
        <v>1535</v>
      </c>
      <c r="L662" t="s">
        <v>1372</v>
      </c>
      <c r="M662" t="s">
        <v>1373</v>
      </c>
      <c r="N662" t="s">
        <v>1374</v>
      </c>
      <c r="O662" t="s">
        <v>1375</v>
      </c>
      <c r="P662">
        <v>6.3E-2</v>
      </c>
      <c r="Q662" t="s">
        <v>29</v>
      </c>
      <c r="R662" t="s">
        <v>430</v>
      </c>
      <c r="S662" t="s">
        <v>6937</v>
      </c>
    </row>
    <row r="663" spans="1:19" x14ac:dyDescent="0.25">
      <c r="A663">
        <v>2018</v>
      </c>
      <c r="B663">
        <v>23770</v>
      </c>
      <c r="C663" t="s">
        <v>1728</v>
      </c>
      <c r="D663" t="s">
        <v>1729</v>
      </c>
      <c r="E663">
        <v>493110</v>
      </c>
      <c r="F663" t="s">
        <v>1483</v>
      </c>
      <c r="G663" t="s">
        <v>1484</v>
      </c>
      <c r="H663" t="s">
        <v>85</v>
      </c>
      <c r="I663" t="s">
        <v>1369</v>
      </c>
      <c r="J663" t="s">
        <v>1370</v>
      </c>
      <c r="K663" t="s">
        <v>1371</v>
      </c>
      <c r="L663" t="s">
        <v>1372</v>
      </c>
      <c r="M663" t="s">
        <v>1373</v>
      </c>
      <c r="N663" t="s">
        <v>1374</v>
      </c>
      <c r="O663" t="s">
        <v>1375</v>
      </c>
      <c r="P663">
        <v>3.1917900000000001</v>
      </c>
      <c r="Q663" t="s">
        <v>29</v>
      </c>
      <c r="R663" t="s">
        <v>430</v>
      </c>
      <c r="S663" t="s">
        <v>6937</v>
      </c>
    </row>
    <row r="664" spans="1:19" x14ac:dyDescent="0.25">
      <c r="A664">
        <v>2021</v>
      </c>
      <c r="B664">
        <v>2406</v>
      </c>
      <c r="C664" t="s">
        <v>1417</v>
      </c>
      <c r="D664" t="s">
        <v>1730</v>
      </c>
      <c r="E664">
        <v>212396</v>
      </c>
      <c r="F664" t="s">
        <v>1419</v>
      </c>
      <c r="G664" t="s">
        <v>1420</v>
      </c>
      <c r="H664" t="s">
        <v>243</v>
      </c>
      <c r="I664" t="s">
        <v>1487</v>
      </c>
      <c r="J664" t="s">
        <v>1488</v>
      </c>
      <c r="K664" t="s">
        <v>1489</v>
      </c>
      <c r="L664" t="s">
        <v>1372</v>
      </c>
      <c r="M664" t="s">
        <v>1373</v>
      </c>
      <c r="N664" t="s">
        <v>1374</v>
      </c>
      <c r="O664" t="s">
        <v>1375</v>
      </c>
      <c r="P664">
        <v>405.67500000000001</v>
      </c>
      <c r="Q664" t="s">
        <v>29</v>
      </c>
      <c r="R664" t="s">
        <v>124</v>
      </c>
      <c r="S664" t="s">
        <v>6937</v>
      </c>
    </row>
    <row r="665" spans="1:19" x14ac:dyDescent="0.25">
      <c r="A665">
        <v>2019</v>
      </c>
      <c r="B665">
        <v>1071</v>
      </c>
      <c r="C665" t="s">
        <v>1731</v>
      </c>
      <c r="D665" t="s">
        <v>1731</v>
      </c>
      <c r="E665">
        <v>331313</v>
      </c>
      <c r="F665" t="s">
        <v>1405</v>
      </c>
      <c r="G665" t="s">
        <v>1132</v>
      </c>
      <c r="H665" t="s">
        <v>79</v>
      </c>
      <c r="I665" t="s">
        <v>1406</v>
      </c>
      <c r="J665" t="s">
        <v>1407</v>
      </c>
      <c r="K665" t="s">
        <v>1408</v>
      </c>
      <c r="L665" t="s">
        <v>1372</v>
      </c>
      <c r="M665" t="s">
        <v>1373</v>
      </c>
      <c r="N665" t="s">
        <v>1374</v>
      </c>
      <c r="O665" t="s">
        <v>1375</v>
      </c>
      <c r="P665">
        <v>62.13</v>
      </c>
      <c r="Q665" t="s">
        <v>29</v>
      </c>
      <c r="R665" t="s">
        <v>430</v>
      </c>
      <c r="S665" t="s">
        <v>6937</v>
      </c>
    </row>
    <row r="666" spans="1:19" x14ac:dyDescent="0.25">
      <c r="A666">
        <v>2016</v>
      </c>
      <c r="B666">
        <v>3810</v>
      </c>
      <c r="C666" t="s">
        <v>1628</v>
      </c>
      <c r="D666" t="s">
        <v>1629</v>
      </c>
      <c r="E666">
        <v>212220</v>
      </c>
      <c r="F666" t="s">
        <v>1619</v>
      </c>
      <c r="G666" t="s">
        <v>1620</v>
      </c>
      <c r="H666" t="s">
        <v>21</v>
      </c>
      <c r="I666" t="s">
        <v>184</v>
      </c>
      <c r="J666" t="s">
        <v>185</v>
      </c>
      <c r="K666" t="s">
        <v>186</v>
      </c>
      <c r="L666" t="s">
        <v>1372</v>
      </c>
      <c r="M666" t="s">
        <v>1373</v>
      </c>
      <c r="N666" t="s">
        <v>1409</v>
      </c>
      <c r="O666" t="s">
        <v>1410</v>
      </c>
      <c r="P666">
        <v>1.3263</v>
      </c>
      <c r="Q666" t="s">
        <v>40</v>
      </c>
      <c r="R666" t="s">
        <v>430</v>
      </c>
      <c r="S666" t="s">
        <v>6937</v>
      </c>
    </row>
    <row r="667" spans="1:19" x14ac:dyDescent="0.25">
      <c r="A667">
        <v>2018</v>
      </c>
      <c r="B667">
        <v>658</v>
      </c>
      <c r="C667" t="s">
        <v>1732</v>
      </c>
      <c r="D667" t="s">
        <v>1733</v>
      </c>
      <c r="E667">
        <v>311940</v>
      </c>
      <c r="F667" t="s">
        <v>1734</v>
      </c>
      <c r="G667" t="s">
        <v>1735</v>
      </c>
      <c r="H667" t="s">
        <v>243</v>
      </c>
      <c r="I667" t="s">
        <v>1413</v>
      </c>
      <c r="J667" t="s">
        <v>1414</v>
      </c>
      <c r="K667" t="s">
        <v>1415</v>
      </c>
      <c r="L667" t="s">
        <v>1372</v>
      </c>
      <c r="M667" t="s">
        <v>1373</v>
      </c>
      <c r="N667" t="s">
        <v>1374</v>
      </c>
      <c r="O667" t="s">
        <v>1375</v>
      </c>
      <c r="P667">
        <v>1.2999999999999999E-2</v>
      </c>
      <c r="Q667" t="s">
        <v>29</v>
      </c>
      <c r="R667" t="s">
        <v>30</v>
      </c>
      <c r="S667" t="s">
        <v>6937</v>
      </c>
    </row>
    <row r="668" spans="1:19" x14ac:dyDescent="0.25">
      <c r="A668">
        <v>2003</v>
      </c>
      <c r="B668">
        <v>3424</v>
      </c>
      <c r="C668" t="s">
        <v>1736</v>
      </c>
      <c r="E668">
        <v>332810</v>
      </c>
      <c r="F668" t="s">
        <v>237</v>
      </c>
      <c r="G668" t="s">
        <v>238</v>
      </c>
      <c r="H668" t="s">
        <v>85</v>
      </c>
      <c r="I668" t="s">
        <v>86</v>
      </c>
      <c r="J668" t="s">
        <v>87</v>
      </c>
      <c r="K668" t="s">
        <v>88</v>
      </c>
      <c r="L668" t="s">
        <v>1372</v>
      </c>
      <c r="M668" t="s">
        <v>1373</v>
      </c>
      <c r="N668" t="s">
        <v>1374</v>
      </c>
      <c r="O668" t="s">
        <v>1375</v>
      </c>
      <c r="P668">
        <v>0.34200000000000003</v>
      </c>
      <c r="Q668" t="s">
        <v>29</v>
      </c>
      <c r="R668" t="s">
        <v>124</v>
      </c>
      <c r="S668" t="s">
        <v>6937</v>
      </c>
    </row>
    <row r="669" spans="1:19" x14ac:dyDescent="0.25">
      <c r="A669">
        <v>2009</v>
      </c>
      <c r="B669">
        <v>10639</v>
      </c>
      <c r="C669" t="s">
        <v>1737</v>
      </c>
      <c r="D669" t="s">
        <v>1738</v>
      </c>
      <c r="E669">
        <v>323119</v>
      </c>
      <c r="F669" t="s">
        <v>919</v>
      </c>
      <c r="G669" t="s">
        <v>920</v>
      </c>
      <c r="H669" t="s">
        <v>21</v>
      </c>
      <c r="I669" t="s">
        <v>1457</v>
      </c>
      <c r="J669" t="s">
        <v>1458</v>
      </c>
      <c r="K669" t="s">
        <v>1459</v>
      </c>
      <c r="L669" t="s">
        <v>1372</v>
      </c>
      <c r="M669" t="s">
        <v>1373</v>
      </c>
      <c r="N669" t="s">
        <v>1409</v>
      </c>
      <c r="O669" t="s">
        <v>1410</v>
      </c>
      <c r="P669">
        <v>3.79</v>
      </c>
      <c r="Q669" t="s">
        <v>29</v>
      </c>
      <c r="R669" t="s">
        <v>430</v>
      </c>
      <c r="S669" t="s">
        <v>6937</v>
      </c>
    </row>
    <row r="670" spans="1:19" x14ac:dyDescent="0.25">
      <c r="A670">
        <v>2019</v>
      </c>
      <c r="B670">
        <v>22141</v>
      </c>
      <c r="C670" t="s">
        <v>1739</v>
      </c>
      <c r="D670" t="s">
        <v>1740</v>
      </c>
      <c r="E670">
        <v>211141</v>
      </c>
      <c r="F670" t="s">
        <v>1189</v>
      </c>
      <c r="G670" t="s">
        <v>1190</v>
      </c>
      <c r="H670" t="s">
        <v>85</v>
      </c>
      <c r="I670" t="s">
        <v>271</v>
      </c>
      <c r="J670" t="s">
        <v>272</v>
      </c>
      <c r="K670" t="s">
        <v>273</v>
      </c>
      <c r="L670" t="s">
        <v>1372</v>
      </c>
      <c r="M670" t="s">
        <v>1373</v>
      </c>
      <c r="N670" t="s">
        <v>1399</v>
      </c>
      <c r="O670" t="s">
        <v>1400</v>
      </c>
      <c r="P670">
        <v>1.9300000000000001E-2</v>
      </c>
      <c r="Q670" t="s">
        <v>29</v>
      </c>
      <c r="R670" t="s">
        <v>30</v>
      </c>
      <c r="S670" t="s">
        <v>6937</v>
      </c>
    </row>
    <row r="671" spans="1:19" x14ac:dyDescent="0.25">
      <c r="A671">
        <v>2023</v>
      </c>
      <c r="B671">
        <v>11454</v>
      </c>
      <c r="C671" t="s">
        <v>1741</v>
      </c>
      <c r="D671" t="s">
        <v>1742</v>
      </c>
      <c r="E671">
        <v>212220</v>
      </c>
      <c r="F671" t="s">
        <v>1619</v>
      </c>
      <c r="G671" t="s">
        <v>1620</v>
      </c>
      <c r="H671" t="s">
        <v>21</v>
      </c>
      <c r="I671" t="s">
        <v>62</v>
      </c>
      <c r="J671" t="s">
        <v>63</v>
      </c>
      <c r="K671" t="s">
        <v>64</v>
      </c>
      <c r="L671" t="s">
        <v>1372</v>
      </c>
      <c r="M671" t="s">
        <v>1373</v>
      </c>
      <c r="N671" t="s">
        <v>1409</v>
      </c>
      <c r="O671" t="s">
        <v>1410</v>
      </c>
      <c r="P671">
        <v>2.0000000000000001E-4</v>
      </c>
      <c r="Q671" t="s">
        <v>29</v>
      </c>
      <c r="R671" t="s">
        <v>430</v>
      </c>
      <c r="S671" t="s">
        <v>6937</v>
      </c>
    </row>
    <row r="672" spans="1:19" x14ac:dyDescent="0.25">
      <c r="A672">
        <v>2023</v>
      </c>
      <c r="B672">
        <v>27984</v>
      </c>
      <c r="C672" t="s">
        <v>1743</v>
      </c>
      <c r="D672" t="s">
        <v>1744</v>
      </c>
      <c r="E672">
        <v>211110</v>
      </c>
      <c r="F672" t="s">
        <v>233</v>
      </c>
      <c r="G672" t="s">
        <v>234</v>
      </c>
      <c r="H672" t="s">
        <v>69</v>
      </c>
      <c r="I672" t="s">
        <v>1421</v>
      </c>
      <c r="J672" t="s">
        <v>1422</v>
      </c>
      <c r="K672" t="s">
        <v>1423</v>
      </c>
      <c r="L672" t="s">
        <v>1372</v>
      </c>
      <c r="M672" t="s">
        <v>1373</v>
      </c>
      <c r="N672" t="s">
        <v>1374</v>
      </c>
      <c r="O672" t="s">
        <v>1375</v>
      </c>
      <c r="P672">
        <v>2.74</v>
      </c>
      <c r="Q672" t="s">
        <v>29</v>
      </c>
      <c r="R672" t="s">
        <v>430</v>
      </c>
      <c r="S672" t="s">
        <v>6937</v>
      </c>
    </row>
    <row r="673" spans="1:19" x14ac:dyDescent="0.25">
      <c r="A673">
        <v>2005</v>
      </c>
      <c r="B673">
        <v>3698</v>
      </c>
      <c r="C673" t="s">
        <v>125</v>
      </c>
      <c r="D673" t="s">
        <v>1066</v>
      </c>
      <c r="E673">
        <v>324110</v>
      </c>
      <c r="F673" t="s">
        <v>95</v>
      </c>
      <c r="G673" t="s">
        <v>96</v>
      </c>
      <c r="H673" t="s">
        <v>483</v>
      </c>
      <c r="I673" t="s">
        <v>271</v>
      </c>
      <c r="J673" t="s">
        <v>272</v>
      </c>
      <c r="K673" t="s">
        <v>273</v>
      </c>
      <c r="L673" t="s">
        <v>1372</v>
      </c>
      <c r="M673" t="s">
        <v>1373</v>
      </c>
      <c r="N673" t="s">
        <v>1399</v>
      </c>
      <c r="O673" t="s">
        <v>1400</v>
      </c>
      <c r="P673">
        <v>2.3860000000000001</v>
      </c>
      <c r="Q673" t="s">
        <v>29</v>
      </c>
      <c r="R673" t="s">
        <v>430</v>
      </c>
      <c r="S673" t="s">
        <v>6937</v>
      </c>
    </row>
    <row r="674" spans="1:19" x14ac:dyDescent="0.25">
      <c r="A674">
        <v>2019</v>
      </c>
      <c r="B674">
        <v>1303</v>
      </c>
      <c r="C674" t="s">
        <v>1745</v>
      </c>
      <c r="D674" t="s">
        <v>1746</v>
      </c>
      <c r="E674">
        <v>212233</v>
      </c>
      <c r="F674" t="s">
        <v>1111</v>
      </c>
      <c r="G674" t="s">
        <v>441</v>
      </c>
      <c r="H674" t="s">
        <v>69</v>
      </c>
      <c r="I674" t="s">
        <v>1369</v>
      </c>
      <c r="J674" t="s">
        <v>1370</v>
      </c>
      <c r="K674" t="s">
        <v>1371</v>
      </c>
      <c r="L674" t="s">
        <v>1372</v>
      </c>
      <c r="M674" t="s">
        <v>1373</v>
      </c>
      <c r="N674" t="s">
        <v>1390</v>
      </c>
      <c r="O674" t="s">
        <v>1391</v>
      </c>
      <c r="P674">
        <v>1859.2038</v>
      </c>
      <c r="Q674" t="s">
        <v>29</v>
      </c>
      <c r="R674" t="s">
        <v>30</v>
      </c>
      <c r="S674" t="s">
        <v>6937</v>
      </c>
    </row>
    <row r="675" spans="1:19" x14ac:dyDescent="0.25">
      <c r="A675">
        <v>2007</v>
      </c>
      <c r="B675">
        <v>19903</v>
      </c>
      <c r="C675" t="s">
        <v>1747</v>
      </c>
      <c r="D675" t="s">
        <v>1748</v>
      </c>
      <c r="E675">
        <v>211113</v>
      </c>
      <c r="F675" t="s">
        <v>425</v>
      </c>
      <c r="G675" t="s">
        <v>426</v>
      </c>
      <c r="H675" t="s">
        <v>85</v>
      </c>
      <c r="I675" t="s">
        <v>1421</v>
      </c>
      <c r="J675" t="s">
        <v>1422</v>
      </c>
      <c r="K675" t="s">
        <v>1423</v>
      </c>
      <c r="L675" t="s">
        <v>1372</v>
      </c>
      <c r="M675" t="s">
        <v>1373</v>
      </c>
      <c r="N675" t="s">
        <v>1374</v>
      </c>
      <c r="O675" t="s">
        <v>1375</v>
      </c>
      <c r="P675">
        <v>0.56299999999999994</v>
      </c>
      <c r="Q675" t="s">
        <v>29</v>
      </c>
      <c r="R675" t="s">
        <v>430</v>
      </c>
      <c r="S675" t="s">
        <v>6937</v>
      </c>
    </row>
    <row r="676" spans="1:19" x14ac:dyDescent="0.25">
      <c r="A676">
        <v>2021</v>
      </c>
      <c r="B676">
        <v>23752</v>
      </c>
      <c r="C676" t="s">
        <v>489</v>
      </c>
      <c r="D676" t="s">
        <v>490</v>
      </c>
      <c r="E676">
        <v>211110</v>
      </c>
      <c r="F676" t="s">
        <v>233</v>
      </c>
      <c r="G676" t="s">
        <v>234</v>
      </c>
      <c r="H676" t="s">
        <v>69</v>
      </c>
      <c r="I676" t="s">
        <v>923</v>
      </c>
      <c r="J676" t="s">
        <v>924</v>
      </c>
      <c r="K676" t="s">
        <v>924</v>
      </c>
      <c r="L676" t="s">
        <v>1372</v>
      </c>
      <c r="M676" t="s">
        <v>1373</v>
      </c>
      <c r="N676" t="s">
        <v>1409</v>
      </c>
      <c r="O676" t="s">
        <v>1410</v>
      </c>
      <c r="P676">
        <v>0</v>
      </c>
      <c r="Q676" t="s">
        <v>29</v>
      </c>
      <c r="R676" t="s">
        <v>157</v>
      </c>
      <c r="S676" t="s">
        <v>6937</v>
      </c>
    </row>
    <row r="677" spans="1:19" x14ac:dyDescent="0.25">
      <c r="A677">
        <v>2016</v>
      </c>
      <c r="B677">
        <v>28323</v>
      </c>
      <c r="C677" t="s">
        <v>1027</v>
      </c>
      <c r="D677" t="s">
        <v>1749</v>
      </c>
      <c r="E677">
        <v>211113</v>
      </c>
      <c r="F677" t="s">
        <v>786</v>
      </c>
      <c r="G677" t="s">
        <v>426</v>
      </c>
      <c r="H677" t="s">
        <v>85</v>
      </c>
      <c r="I677" t="s">
        <v>1441</v>
      </c>
      <c r="J677" t="s">
        <v>1442</v>
      </c>
      <c r="K677" t="s">
        <v>1443</v>
      </c>
      <c r="L677" t="s">
        <v>1372</v>
      </c>
      <c r="M677" t="s">
        <v>1373</v>
      </c>
      <c r="N677" t="s">
        <v>1374</v>
      </c>
      <c r="O677" t="s">
        <v>1375</v>
      </c>
      <c r="P677">
        <v>33.603999999999999</v>
      </c>
      <c r="Q677" t="s">
        <v>29</v>
      </c>
      <c r="R677" t="s">
        <v>430</v>
      </c>
      <c r="S677" t="s">
        <v>6937</v>
      </c>
    </row>
    <row r="678" spans="1:19" x14ac:dyDescent="0.25">
      <c r="A678">
        <v>1996</v>
      </c>
      <c r="B678">
        <v>1681</v>
      </c>
      <c r="C678" t="s">
        <v>1750</v>
      </c>
      <c r="D678" t="s">
        <v>1751</v>
      </c>
      <c r="E678">
        <v>325210</v>
      </c>
      <c r="F678" t="s">
        <v>1752</v>
      </c>
      <c r="G678" t="s">
        <v>415</v>
      </c>
      <c r="H678" t="s">
        <v>79</v>
      </c>
      <c r="I678" t="s">
        <v>55</v>
      </c>
      <c r="J678" t="s">
        <v>56</v>
      </c>
      <c r="K678" t="s">
        <v>57</v>
      </c>
      <c r="L678" t="s">
        <v>1372</v>
      </c>
      <c r="M678" t="s">
        <v>1373</v>
      </c>
      <c r="N678" t="s">
        <v>1374</v>
      </c>
      <c r="O678" t="s">
        <v>1375</v>
      </c>
      <c r="P678">
        <v>0.53900000000000003</v>
      </c>
      <c r="Q678" t="s">
        <v>29</v>
      </c>
      <c r="R678" t="s">
        <v>442</v>
      </c>
      <c r="S678" t="s">
        <v>6937</v>
      </c>
    </row>
    <row r="679" spans="1:19" x14ac:dyDescent="0.25">
      <c r="A679">
        <v>2004</v>
      </c>
      <c r="B679">
        <v>16720</v>
      </c>
      <c r="C679" t="s">
        <v>1753</v>
      </c>
      <c r="D679" t="s">
        <v>1754</v>
      </c>
      <c r="E679">
        <v>211113</v>
      </c>
      <c r="F679" t="s">
        <v>425</v>
      </c>
      <c r="G679" t="s">
        <v>426</v>
      </c>
      <c r="H679" t="s">
        <v>85</v>
      </c>
      <c r="I679" t="s">
        <v>1441</v>
      </c>
      <c r="J679" t="s">
        <v>1442</v>
      </c>
      <c r="K679" t="s">
        <v>1443</v>
      </c>
      <c r="L679" t="s">
        <v>1372</v>
      </c>
      <c r="M679" t="s">
        <v>1373</v>
      </c>
      <c r="N679" t="s">
        <v>1374</v>
      </c>
      <c r="O679" t="s">
        <v>1375</v>
      </c>
      <c r="P679">
        <v>270.39</v>
      </c>
      <c r="Q679" t="s">
        <v>29</v>
      </c>
      <c r="R679" t="s">
        <v>430</v>
      </c>
      <c r="S679" t="s">
        <v>6937</v>
      </c>
    </row>
    <row r="680" spans="1:19" x14ac:dyDescent="0.25">
      <c r="A680">
        <v>1996</v>
      </c>
      <c r="B680">
        <v>4761</v>
      </c>
      <c r="C680" t="s">
        <v>1755</v>
      </c>
      <c r="E680">
        <v>331514</v>
      </c>
      <c r="F680" t="s">
        <v>1756</v>
      </c>
      <c r="G680" t="s">
        <v>293</v>
      </c>
      <c r="H680" t="s">
        <v>21</v>
      </c>
      <c r="I680" t="s">
        <v>209</v>
      </c>
      <c r="J680" t="s">
        <v>210</v>
      </c>
      <c r="K680" t="s">
        <v>211</v>
      </c>
      <c r="L680" t="s">
        <v>1372</v>
      </c>
      <c r="M680" t="s">
        <v>1373</v>
      </c>
      <c r="N680" t="s">
        <v>1374</v>
      </c>
      <c r="O680" t="s">
        <v>1375</v>
      </c>
      <c r="P680">
        <v>0.52100000000000002</v>
      </c>
      <c r="Q680" t="s">
        <v>29</v>
      </c>
      <c r="R680" t="s">
        <v>50</v>
      </c>
      <c r="S680" t="s">
        <v>6937</v>
      </c>
    </row>
    <row r="681" spans="1:19" x14ac:dyDescent="0.25">
      <c r="A681">
        <v>2013</v>
      </c>
      <c r="B681">
        <v>15015</v>
      </c>
      <c r="C681" t="s">
        <v>1757</v>
      </c>
      <c r="D681" t="s">
        <v>1758</v>
      </c>
      <c r="E681">
        <v>324121</v>
      </c>
      <c r="F681" t="s">
        <v>1540</v>
      </c>
      <c r="G681" t="s">
        <v>1541</v>
      </c>
      <c r="H681" t="s">
        <v>69</v>
      </c>
      <c r="I681" t="s">
        <v>1441</v>
      </c>
      <c r="J681" t="s">
        <v>1442</v>
      </c>
      <c r="K681" t="s">
        <v>1443</v>
      </c>
      <c r="L681" t="s">
        <v>1372</v>
      </c>
      <c r="M681" t="s">
        <v>1373</v>
      </c>
      <c r="N681" t="s">
        <v>1374</v>
      </c>
      <c r="O681" t="s">
        <v>1375</v>
      </c>
      <c r="P681">
        <v>33.120199999999997</v>
      </c>
      <c r="Q681" t="s">
        <v>29</v>
      </c>
      <c r="R681" t="s">
        <v>430</v>
      </c>
      <c r="S681" t="s">
        <v>6937</v>
      </c>
    </row>
    <row r="682" spans="1:19" x14ac:dyDescent="0.25">
      <c r="A682">
        <v>2015</v>
      </c>
      <c r="B682">
        <v>5656</v>
      </c>
      <c r="C682" t="s">
        <v>1661</v>
      </c>
      <c r="D682" t="s">
        <v>1759</v>
      </c>
      <c r="E682">
        <v>212220</v>
      </c>
      <c r="F682" t="s">
        <v>1619</v>
      </c>
      <c r="G682" t="s">
        <v>1620</v>
      </c>
      <c r="H682" t="s">
        <v>21</v>
      </c>
      <c r="I682" t="s">
        <v>682</v>
      </c>
      <c r="J682" t="s">
        <v>683</v>
      </c>
      <c r="K682" t="s">
        <v>684</v>
      </c>
      <c r="L682" t="s">
        <v>1361</v>
      </c>
      <c r="M682" t="s">
        <v>1362</v>
      </c>
      <c r="N682" t="s">
        <v>1363</v>
      </c>
      <c r="O682" t="s">
        <v>1364</v>
      </c>
      <c r="P682">
        <v>8.6999999999999994E-3</v>
      </c>
      <c r="Q682" t="s">
        <v>29</v>
      </c>
      <c r="R682" t="s">
        <v>124</v>
      </c>
      <c r="S682" t="s">
        <v>6937</v>
      </c>
    </row>
    <row r="683" spans="1:19" x14ac:dyDescent="0.25">
      <c r="A683">
        <v>2011</v>
      </c>
      <c r="B683">
        <v>5739</v>
      </c>
      <c r="C683" t="s">
        <v>1760</v>
      </c>
      <c r="D683" t="s">
        <v>1761</v>
      </c>
      <c r="E683">
        <v>325190</v>
      </c>
      <c r="F683" t="s">
        <v>832</v>
      </c>
      <c r="G683" t="s">
        <v>601</v>
      </c>
      <c r="H683" t="s">
        <v>21</v>
      </c>
      <c r="I683" t="s">
        <v>1762</v>
      </c>
      <c r="J683" t="s">
        <v>1763</v>
      </c>
      <c r="K683" t="s">
        <v>1764</v>
      </c>
      <c r="L683" t="s">
        <v>1372</v>
      </c>
      <c r="M683" t="s">
        <v>1373</v>
      </c>
      <c r="N683" t="s">
        <v>1520</v>
      </c>
      <c r="O683" t="s">
        <v>1521</v>
      </c>
      <c r="P683">
        <v>15.547000000000001</v>
      </c>
      <c r="Q683" t="s">
        <v>29</v>
      </c>
      <c r="R683" t="s">
        <v>124</v>
      </c>
      <c r="S683" t="s">
        <v>6937</v>
      </c>
    </row>
    <row r="684" spans="1:19" x14ac:dyDescent="0.25">
      <c r="A684">
        <v>2006</v>
      </c>
      <c r="B684">
        <v>3416</v>
      </c>
      <c r="C684" t="s">
        <v>375</v>
      </c>
      <c r="D684" t="s">
        <v>609</v>
      </c>
      <c r="E684">
        <v>331511</v>
      </c>
      <c r="F684" t="s">
        <v>160</v>
      </c>
      <c r="G684" t="s">
        <v>161</v>
      </c>
      <c r="H684" t="s">
        <v>21</v>
      </c>
      <c r="I684" t="s">
        <v>152</v>
      </c>
      <c r="J684" t="s">
        <v>153</v>
      </c>
      <c r="K684" t="s">
        <v>154</v>
      </c>
      <c r="L684" t="s">
        <v>1378</v>
      </c>
      <c r="M684" t="s">
        <v>1379</v>
      </c>
      <c r="N684" t="s">
        <v>1380</v>
      </c>
      <c r="O684" t="s">
        <v>1381</v>
      </c>
      <c r="P684">
        <v>1</v>
      </c>
      <c r="Q684" t="s">
        <v>29</v>
      </c>
      <c r="R684" t="s">
        <v>30</v>
      </c>
      <c r="S684" t="s">
        <v>6937</v>
      </c>
    </row>
    <row r="685" spans="1:19" x14ac:dyDescent="0.25">
      <c r="A685">
        <v>2019</v>
      </c>
      <c r="B685">
        <v>3707</v>
      </c>
      <c r="C685" t="s">
        <v>194</v>
      </c>
      <c r="D685" t="s">
        <v>651</v>
      </c>
      <c r="E685">
        <v>324110</v>
      </c>
      <c r="F685" t="s">
        <v>196</v>
      </c>
      <c r="G685" t="s">
        <v>96</v>
      </c>
      <c r="H685" t="s">
        <v>85</v>
      </c>
      <c r="I685" t="s">
        <v>348</v>
      </c>
      <c r="J685" t="s">
        <v>349</v>
      </c>
      <c r="K685" t="s">
        <v>350</v>
      </c>
      <c r="L685" t="s">
        <v>1372</v>
      </c>
      <c r="M685" t="s">
        <v>1373</v>
      </c>
      <c r="N685" t="s">
        <v>1409</v>
      </c>
      <c r="O685" t="s">
        <v>1410</v>
      </c>
      <c r="P685">
        <v>0.9</v>
      </c>
      <c r="Q685" t="s">
        <v>29</v>
      </c>
      <c r="R685" t="s">
        <v>157</v>
      </c>
      <c r="S685" t="s">
        <v>6937</v>
      </c>
    </row>
    <row r="686" spans="1:19" x14ac:dyDescent="0.25">
      <c r="A686">
        <v>2012</v>
      </c>
      <c r="B686">
        <v>17116</v>
      </c>
      <c r="C686" t="s">
        <v>1765</v>
      </c>
      <c r="D686" t="s">
        <v>1766</v>
      </c>
      <c r="E686">
        <v>211113</v>
      </c>
      <c r="F686" t="s">
        <v>786</v>
      </c>
      <c r="G686" t="s">
        <v>426</v>
      </c>
      <c r="H686" t="s">
        <v>85</v>
      </c>
      <c r="I686" t="s">
        <v>1421</v>
      </c>
      <c r="J686" t="s">
        <v>1422</v>
      </c>
      <c r="K686" t="s">
        <v>1423</v>
      </c>
      <c r="L686" t="s">
        <v>1372</v>
      </c>
      <c r="M686" t="s">
        <v>1373</v>
      </c>
      <c r="N686" t="s">
        <v>1374</v>
      </c>
      <c r="O686" t="s">
        <v>1375</v>
      </c>
      <c r="P686">
        <v>0.74399999999999999</v>
      </c>
      <c r="Q686" t="s">
        <v>29</v>
      </c>
      <c r="R686" t="s">
        <v>430</v>
      </c>
      <c r="S686" t="s">
        <v>6937</v>
      </c>
    </row>
    <row r="687" spans="1:19" x14ac:dyDescent="0.25">
      <c r="A687">
        <v>2016</v>
      </c>
      <c r="B687">
        <v>10228</v>
      </c>
      <c r="C687" t="s">
        <v>125</v>
      </c>
      <c r="D687" t="s">
        <v>1222</v>
      </c>
      <c r="E687">
        <v>412110</v>
      </c>
      <c r="F687" t="s">
        <v>127</v>
      </c>
      <c r="G687" t="s">
        <v>128</v>
      </c>
      <c r="H687" t="s">
        <v>243</v>
      </c>
      <c r="I687" t="s">
        <v>1251</v>
      </c>
      <c r="J687" t="s">
        <v>1252</v>
      </c>
      <c r="K687" t="s">
        <v>1253</v>
      </c>
      <c r="L687" t="s">
        <v>1372</v>
      </c>
      <c r="M687" t="s">
        <v>1373</v>
      </c>
      <c r="N687" t="s">
        <v>1409</v>
      </c>
      <c r="O687" t="s">
        <v>1410</v>
      </c>
      <c r="P687">
        <v>2.9999999999999997E-4</v>
      </c>
      <c r="Q687" t="s">
        <v>40</v>
      </c>
      <c r="R687" t="s">
        <v>430</v>
      </c>
      <c r="S687" t="s">
        <v>6937</v>
      </c>
    </row>
    <row r="688" spans="1:19" x14ac:dyDescent="0.25">
      <c r="A688">
        <v>2019</v>
      </c>
      <c r="B688">
        <v>423</v>
      </c>
      <c r="C688" t="s">
        <v>1767</v>
      </c>
      <c r="D688" t="s">
        <v>1768</v>
      </c>
      <c r="E688">
        <v>324190</v>
      </c>
      <c r="F688" t="s">
        <v>666</v>
      </c>
      <c r="G688" t="s">
        <v>667</v>
      </c>
      <c r="H688" t="s">
        <v>21</v>
      </c>
      <c r="I688" t="s">
        <v>1421</v>
      </c>
      <c r="J688" t="s">
        <v>1422</v>
      </c>
      <c r="K688" t="s">
        <v>1423</v>
      </c>
      <c r="L688" t="s">
        <v>1372</v>
      </c>
      <c r="M688" t="s">
        <v>1373</v>
      </c>
      <c r="N688" t="s">
        <v>1374</v>
      </c>
      <c r="O688" t="s">
        <v>1375</v>
      </c>
      <c r="P688">
        <v>7.6899999999999996E-2</v>
      </c>
      <c r="Q688" t="s">
        <v>29</v>
      </c>
      <c r="R688" t="s">
        <v>430</v>
      </c>
      <c r="S688" t="s">
        <v>6937</v>
      </c>
    </row>
    <row r="689" spans="1:19" x14ac:dyDescent="0.25">
      <c r="A689">
        <v>2007</v>
      </c>
      <c r="B689">
        <v>7273</v>
      </c>
      <c r="C689" t="s">
        <v>1769</v>
      </c>
      <c r="D689" t="s">
        <v>1770</v>
      </c>
      <c r="E689">
        <v>311814</v>
      </c>
      <c r="F689" t="s">
        <v>1771</v>
      </c>
      <c r="G689" t="s">
        <v>1772</v>
      </c>
      <c r="H689" t="s">
        <v>21</v>
      </c>
      <c r="I689" t="s">
        <v>1457</v>
      </c>
      <c r="J689" t="s">
        <v>1458</v>
      </c>
      <c r="K689" t="s">
        <v>1459</v>
      </c>
      <c r="L689" t="s">
        <v>1372</v>
      </c>
      <c r="M689" t="s">
        <v>1373</v>
      </c>
      <c r="N689" t="s">
        <v>1374</v>
      </c>
      <c r="O689" t="s">
        <v>1375</v>
      </c>
      <c r="P689">
        <v>41.14</v>
      </c>
      <c r="Q689" t="s">
        <v>29</v>
      </c>
      <c r="R689" t="s">
        <v>430</v>
      </c>
      <c r="S689" t="s">
        <v>6937</v>
      </c>
    </row>
    <row r="690" spans="1:19" x14ac:dyDescent="0.25">
      <c r="A690">
        <v>2018</v>
      </c>
      <c r="B690">
        <v>29897</v>
      </c>
      <c r="C690" t="s">
        <v>1773</v>
      </c>
      <c r="D690" t="s">
        <v>1774</v>
      </c>
      <c r="E690">
        <v>212220</v>
      </c>
      <c r="F690" t="s">
        <v>1619</v>
      </c>
      <c r="G690" t="s">
        <v>1620</v>
      </c>
      <c r="H690" t="s">
        <v>21</v>
      </c>
      <c r="I690" t="s">
        <v>35</v>
      </c>
      <c r="J690" t="s">
        <v>36</v>
      </c>
      <c r="K690" t="s">
        <v>37</v>
      </c>
      <c r="L690" t="s">
        <v>1372</v>
      </c>
      <c r="M690" t="s">
        <v>1373</v>
      </c>
      <c r="N690" t="s">
        <v>1374</v>
      </c>
      <c r="O690" t="s">
        <v>1375</v>
      </c>
      <c r="P690">
        <v>1.68</v>
      </c>
      <c r="Q690" t="s">
        <v>40</v>
      </c>
      <c r="R690" t="s">
        <v>430</v>
      </c>
      <c r="S690" t="s">
        <v>6937</v>
      </c>
    </row>
    <row r="691" spans="1:19" x14ac:dyDescent="0.25">
      <c r="A691">
        <v>2012</v>
      </c>
      <c r="B691">
        <v>3899</v>
      </c>
      <c r="C691" t="s">
        <v>1775</v>
      </c>
      <c r="D691" t="s">
        <v>1776</v>
      </c>
      <c r="E691">
        <v>324190</v>
      </c>
      <c r="F691" t="s">
        <v>666</v>
      </c>
      <c r="G691" t="s">
        <v>667</v>
      </c>
      <c r="H691" t="s">
        <v>21</v>
      </c>
      <c r="I691" t="s">
        <v>1441</v>
      </c>
      <c r="J691" t="s">
        <v>1442</v>
      </c>
      <c r="K691" t="s">
        <v>1443</v>
      </c>
      <c r="L691" t="s">
        <v>1372</v>
      </c>
      <c r="M691" t="s">
        <v>1373</v>
      </c>
      <c r="N691" t="s">
        <v>1374</v>
      </c>
      <c r="O691" t="s">
        <v>1375</v>
      </c>
      <c r="P691">
        <v>64.905199999999994</v>
      </c>
      <c r="Q691" t="s">
        <v>29</v>
      </c>
      <c r="R691" t="s">
        <v>430</v>
      </c>
      <c r="S691" t="s">
        <v>6937</v>
      </c>
    </row>
    <row r="692" spans="1:19" x14ac:dyDescent="0.25">
      <c r="A692">
        <v>2006</v>
      </c>
      <c r="B692">
        <v>15512</v>
      </c>
      <c r="C692" t="s">
        <v>1777</v>
      </c>
      <c r="D692" t="s">
        <v>1778</v>
      </c>
      <c r="E692">
        <v>211113</v>
      </c>
      <c r="F692" t="s">
        <v>425</v>
      </c>
      <c r="G692" t="s">
        <v>426</v>
      </c>
      <c r="H692" t="s">
        <v>85</v>
      </c>
      <c r="I692" t="s">
        <v>1369</v>
      </c>
      <c r="J692" t="s">
        <v>1370</v>
      </c>
      <c r="K692" t="s">
        <v>1371</v>
      </c>
      <c r="L692" t="s">
        <v>1372</v>
      </c>
      <c r="M692" t="s">
        <v>1373</v>
      </c>
      <c r="N692" t="s">
        <v>1374</v>
      </c>
      <c r="O692" t="s">
        <v>1375</v>
      </c>
      <c r="P692">
        <v>3.44</v>
      </c>
      <c r="Q692" t="s">
        <v>29</v>
      </c>
      <c r="R692" t="s">
        <v>430</v>
      </c>
      <c r="S692" t="s">
        <v>6937</v>
      </c>
    </row>
    <row r="693" spans="1:19" x14ac:dyDescent="0.25">
      <c r="A693">
        <v>2018</v>
      </c>
      <c r="B693">
        <v>23386</v>
      </c>
      <c r="C693" t="s">
        <v>1779</v>
      </c>
      <c r="D693" t="s">
        <v>1780</v>
      </c>
      <c r="E693">
        <v>211110</v>
      </c>
      <c r="F693" t="s">
        <v>233</v>
      </c>
      <c r="G693" t="s">
        <v>234</v>
      </c>
      <c r="H693" t="s">
        <v>85</v>
      </c>
      <c r="I693" t="s">
        <v>1413</v>
      </c>
      <c r="J693" t="s">
        <v>1414</v>
      </c>
      <c r="K693" t="s">
        <v>1415</v>
      </c>
      <c r="L693" t="s">
        <v>1372</v>
      </c>
      <c r="M693" t="s">
        <v>1373</v>
      </c>
      <c r="N693" t="s">
        <v>1374</v>
      </c>
      <c r="O693" t="s">
        <v>1375</v>
      </c>
      <c r="P693">
        <v>0</v>
      </c>
      <c r="Q693" t="s">
        <v>29</v>
      </c>
      <c r="R693" t="s">
        <v>30</v>
      </c>
      <c r="S693" t="s">
        <v>6937</v>
      </c>
    </row>
    <row r="694" spans="1:19" x14ac:dyDescent="0.25">
      <c r="A694">
        <v>2005</v>
      </c>
      <c r="B694">
        <v>10163</v>
      </c>
      <c r="C694" t="s">
        <v>1781</v>
      </c>
      <c r="D694" t="s">
        <v>1782</v>
      </c>
      <c r="E694">
        <v>221320</v>
      </c>
      <c r="F694" t="s">
        <v>390</v>
      </c>
      <c r="G694" t="s">
        <v>147</v>
      </c>
      <c r="H694" t="s">
        <v>21</v>
      </c>
      <c r="I694" t="s">
        <v>402</v>
      </c>
      <c r="J694" t="s">
        <v>403</v>
      </c>
      <c r="K694" t="s">
        <v>404</v>
      </c>
      <c r="L694" t="s">
        <v>1378</v>
      </c>
      <c r="M694" t="s">
        <v>1379</v>
      </c>
      <c r="N694" t="s">
        <v>1380</v>
      </c>
      <c r="O694" t="s">
        <v>1381</v>
      </c>
      <c r="P694">
        <v>123.748</v>
      </c>
      <c r="Q694" t="s">
        <v>29</v>
      </c>
      <c r="R694" t="s">
        <v>124</v>
      </c>
      <c r="S694" t="s">
        <v>6937</v>
      </c>
    </row>
    <row r="695" spans="1:19" x14ac:dyDescent="0.25">
      <c r="A695">
        <v>2015</v>
      </c>
      <c r="B695">
        <v>7434</v>
      </c>
      <c r="C695" t="s">
        <v>1783</v>
      </c>
      <c r="D695" t="s">
        <v>1784</v>
      </c>
      <c r="E695">
        <v>541990</v>
      </c>
      <c r="F695" t="s">
        <v>1785</v>
      </c>
      <c r="G695" t="s">
        <v>1786</v>
      </c>
      <c r="H695" t="s">
        <v>54</v>
      </c>
      <c r="I695" t="s">
        <v>1369</v>
      </c>
      <c r="J695" t="s">
        <v>1370</v>
      </c>
      <c r="K695" t="s">
        <v>1371</v>
      </c>
      <c r="L695" t="s">
        <v>1372</v>
      </c>
      <c r="M695" t="s">
        <v>1373</v>
      </c>
      <c r="N695" t="s">
        <v>1409</v>
      </c>
      <c r="O695" t="s">
        <v>1410</v>
      </c>
      <c r="P695">
        <v>5.9999999999999995E-4</v>
      </c>
      <c r="Q695" t="s">
        <v>29</v>
      </c>
      <c r="R695" t="s">
        <v>430</v>
      </c>
      <c r="S695" t="s">
        <v>6937</v>
      </c>
    </row>
    <row r="696" spans="1:19" x14ac:dyDescent="0.25">
      <c r="A696">
        <v>2008</v>
      </c>
      <c r="B696">
        <v>7733</v>
      </c>
      <c r="C696" t="s">
        <v>1787</v>
      </c>
      <c r="D696" t="s">
        <v>1788</v>
      </c>
      <c r="E696">
        <v>486210</v>
      </c>
      <c r="F696" t="s">
        <v>1789</v>
      </c>
      <c r="G696" t="s">
        <v>1329</v>
      </c>
      <c r="H696" t="s">
        <v>69</v>
      </c>
      <c r="I696" t="s">
        <v>1441</v>
      </c>
      <c r="J696" t="s">
        <v>1442</v>
      </c>
      <c r="K696" t="s">
        <v>1443</v>
      </c>
      <c r="L696" t="s">
        <v>1372</v>
      </c>
      <c r="M696" t="s">
        <v>1373</v>
      </c>
      <c r="N696" t="s">
        <v>1374</v>
      </c>
      <c r="O696" t="s">
        <v>1375</v>
      </c>
      <c r="P696">
        <v>34.17</v>
      </c>
      <c r="Q696" t="s">
        <v>29</v>
      </c>
      <c r="R696" t="s">
        <v>430</v>
      </c>
      <c r="S696" t="s">
        <v>6937</v>
      </c>
    </row>
    <row r="697" spans="1:19" x14ac:dyDescent="0.25">
      <c r="A697">
        <v>2012</v>
      </c>
      <c r="B697">
        <v>26199</v>
      </c>
      <c r="C697" t="s">
        <v>1779</v>
      </c>
      <c r="D697" t="s">
        <v>1790</v>
      </c>
      <c r="E697">
        <v>211113</v>
      </c>
      <c r="F697" t="s">
        <v>786</v>
      </c>
      <c r="G697" t="s">
        <v>426</v>
      </c>
      <c r="H697" t="s">
        <v>85</v>
      </c>
      <c r="I697" t="s">
        <v>1441</v>
      </c>
      <c r="J697" t="s">
        <v>1442</v>
      </c>
      <c r="K697" t="s">
        <v>1443</v>
      </c>
      <c r="L697" t="s">
        <v>1372</v>
      </c>
      <c r="M697" t="s">
        <v>1373</v>
      </c>
      <c r="N697" t="s">
        <v>1520</v>
      </c>
      <c r="O697" t="s">
        <v>1521</v>
      </c>
      <c r="P697">
        <v>23.7151</v>
      </c>
      <c r="Q697" t="s">
        <v>29</v>
      </c>
      <c r="R697" t="s">
        <v>30</v>
      </c>
      <c r="S697" t="s">
        <v>6937</v>
      </c>
    </row>
    <row r="698" spans="1:19" x14ac:dyDescent="0.25">
      <c r="A698">
        <v>2016</v>
      </c>
      <c r="B698">
        <v>20213</v>
      </c>
      <c r="C698" t="s">
        <v>1791</v>
      </c>
      <c r="D698" t="s">
        <v>1792</v>
      </c>
      <c r="E698">
        <v>211113</v>
      </c>
      <c r="F698" t="s">
        <v>786</v>
      </c>
      <c r="G698" t="s">
        <v>426</v>
      </c>
      <c r="H698" t="s">
        <v>69</v>
      </c>
      <c r="I698" t="s">
        <v>1421</v>
      </c>
      <c r="J698" t="s">
        <v>1422</v>
      </c>
      <c r="K698" t="s">
        <v>1423</v>
      </c>
      <c r="L698" t="s">
        <v>1372</v>
      </c>
      <c r="M698" t="s">
        <v>1373</v>
      </c>
      <c r="N698" t="s">
        <v>1374</v>
      </c>
      <c r="O698" t="s">
        <v>1375</v>
      </c>
      <c r="P698">
        <v>0.435</v>
      </c>
      <c r="Q698" t="s">
        <v>29</v>
      </c>
      <c r="R698" t="s">
        <v>430</v>
      </c>
      <c r="S698" t="s">
        <v>6937</v>
      </c>
    </row>
    <row r="699" spans="1:19" x14ac:dyDescent="0.25">
      <c r="A699">
        <v>2020</v>
      </c>
      <c r="B699">
        <v>8060</v>
      </c>
      <c r="C699" t="s">
        <v>1043</v>
      </c>
      <c r="D699" t="s">
        <v>1793</v>
      </c>
      <c r="E699">
        <v>211110</v>
      </c>
      <c r="F699" t="s">
        <v>233</v>
      </c>
      <c r="G699" t="s">
        <v>234</v>
      </c>
      <c r="H699" t="s">
        <v>1625</v>
      </c>
      <c r="I699" t="s">
        <v>1457</v>
      </c>
      <c r="J699" t="s">
        <v>1458</v>
      </c>
      <c r="K699" t="s">
        <v>1459</v>
      </c>
      <c r="L699" t="s">
        <v>1372</v>
      </c>
      <c r="M699" t="s">
        <v>1373</v>
      </c>
      <c r="N699" t="s">
        <v>1409</v>
      </c>
      <c r="O699" t="s">
        <v>1410</v>
      </c>
      <c r="P699">
        <v>345.93200000000002</v>
      </c>
      <c r="Q699" t="s">
        <v>29</v>
      </c>
      <c r="R699" t="s">
        <v>430</v>
      </c>
      <c r="S699" t="s">
        <v>6937</v>
      </c>
    </row>
    <row r="700" spans="1:19" x14ac:dyDescent="0.25">
      <c r="A700">
        <v>2002</v>
      </c>
      <c r="B700">
        <v>280</v>
      </c>
      <c r="C700" t="s">
        <v>1794</v>
      </c>
      <c r="D700" t="s">
        <v>1795</v>
      </c>
      <c r="E700">
        <v>325110</v>
      </c>
      <c r="F700" t="s">
        <v>1194</v>
      </c>
      <c r="G700" t="s">
        <v>445</v>
      </c>
      <c r="H700" t="s">
        <v>85</v>
      </c>
      <c r="I700" t="s">
        <v>525</v>
      </c>
      <c r="J700" t="s">
        <v>526</v>
      </c>
      <c r="K700" t="s">
        <v>527</v>
      </c>
      <c r="L700" t="s">
        <v>1378</v>
      </c>
      <c r="M700" t="s">
        <v>1379</v>
      </c>
      <c r="N700" t="s">
        <v>1380</v>
      </c>
      <c r="O700" t="s">
        <v>1381</v>
      </c>
      <c r="P700">
        <v>0.66700000000000004</v>
      </c>
      <c r="Q700" t="s">
        <v>29</v>
      </c>
      <c r="R700" t="s">
        <v>442</v>
      </c>
      <c r="S700" t="s">
        <v>6937</v>
      </c>
    </row>
    <row r="701" spans="1:19" x14ac:dyDescent="0.25">
      <c r="A701">
        <v>2012</v>
      </c>
      <c r="B701">
        <v>19550</v>
      </c>
      <c r="C701" t="s">
        <v>1796</v>
      </c>
      <c r="D701" t="s">
        <v>1797</v>
      </c>
      <c r="E701">
        <v>211113</v>
      </c>
      <c r="F701" t="s">
        <v>786</v>
      </c>
      <c r="G701" t="s">
        <v>426</v>
      </c>
      <c r="H701" t="s">
        <v>85</v>
      </c>
      <c r="I701" t="s">
        <v>1533</v>
      </c>
      <c r="J701" t="s">
        <v>1534</v>
      </c>
      <c r="K701" t="s">
        <v>1535</v>
      </c>
      <c r="L701" t="s">
        <v>1372</v>
      </c>
      <c r="M701" t="s">
        <v>1373</v>
      </c>
      <c r="N701" t="s">
        <v>1374</v>
      </c>
      <c r="O701" t="s">
        <v>1375</v>
      </c>
      <c r="P701">
        <v>123.877</v>
      </c>
      <c r="Q701" t="s">
        <v>29</v>
      </c>
      <c r="R701" t="s">
        <v>430</v>
      </c>
      <c r="S701" t="s">
        <v>6937</v>
      </c>
    </row>
    <row r="702" spans="1:19" x14ac:dyDescent="0.25">
      <c r="A702">
        <v>2006</v>
      </c>
      <c r="B702">
        <v>120</v>
      </c>
      <c r="C702" t="s">
        <v>883</v>
      </c>
      <c r="D702" t="s">
        <v>1798</v>
      </c>
      <c r="E702">
        <v>325210</v>
      </c>
      <c r="F702" t="s">
        <v>1752</v>
      </c>
      <c r="G702" t="s">
        <v>415</v>
      </c>
      <c r="H702" t="s">
        <v>21</v>
      </c>
      <c r="I702" t="s">
        <v>80</v>
      </c>
      <c r="J702" t="s">
        <v>81</v>
      </c>
      <c r="K702" t="s">
        <v>82</v>
      </c>
      <c r="L702" t="s">
        <v>1361</v>
      </c>
      <c r="M702" t="s">
        <v>1362</v>
      </c>
      <c r="N702" t="s">
        <v>1363</v>
      </c>
      <c r="O702" t="s">
        <v>1364</v>
      </c>
      <c r="P702">
        <v>0.16900000000000001</v>
      </c>
      <c r="Q702" t="s">
        <v>29</v>
      </c>
      <c r="R702" t="s">
        <v>430</v>
      </c>
      <c r="S702" t="s">
        <v>6937</v>
      </c>
    </row>
    <row r="703" spans="1:19" x14ac:dyDescent="0.25">
      <c r="A703">
        <v>2014</v>
      </c>
      <c r="B703">
        <v>3994</v>
      </c>
      <c r="C703" t="s">
        <v>1015</v>
      </c>
      <c r="D703" t="s">
        <v>1799</v>
      </c>
      <c r="E703">
        <v>221112</v>
      </c>
      <c r="F703" t="s">
        <v>499</v>
      </c>
      <c r="G703" t="s">
        <v>135</v>
      </c>
      <c r="H703" t="s">
        <v>483</v>
      </c>
      <c r="I703" t="s">
        <v>337</v>
      </c>
      <c r="J703" t="s">
        <v>338</v>
      </c>
      <c r="K703" t="s">
        <v>339</v>
      </c>
      <c r="L703" t="s">
        <v>1372</v>
      </c>
      <c r="M703" t="s">
        <v>1373</v>
      </c>
      <c r="N703" t="s">
        <v>1374</v>
      </c>
      <c r="O703" t="s">
        <v>1375</v>
      </c>
      <c r="P703">
        <v>42.591999999999999</v>
      </c>
      <c r="Q703" t="s">
        <v>29</v>
      </c>
      <c r="R703" t="s">
        <v>30</v>
      </c>
      <c r="S703" t="s">
        <v>6937</v>
      </c>
    </row>
    <row r="704" spans="1:19" x14ac:dyDescent="0.25">
      <c r="A704">
        <v>2015</v>
      </c>
      <c r="B704">
        <v>10175</v>
      </c>
      <c r="C704" t="s">
        <v>1800</v>
      </c>
      <c r="D704" t="s">
        <v>1801</v>
      </c>
      <c r="E704">
        <v>418390</v>
      </c>
      <c r="F704" t="s">
        <v>1802</v>
      </c>
      <c r="G704" t="s">
        <v>1803</v>
      </c>
      <c r="H704" t="s">
        <v>21</v>
      </c>
      <c r="I704" t="s">
        <v>1487</v>
      </c>
      <c r="J704" t="s">
        <v>1488</v>
      </c>
      <c r="K704" t="s">
        <v>1489</v>
      </c>
      <c r="L704" t="s">
        <v>1372</v>
      </c>
      <c r="M704" t="s">
        <v>1373</v>
      </c>
      <c r="N704" t="s">
        <v>1390</v>
      </c>
      <c r="O704" t="s">
        <v>1391</v>
      </c>
      <c r="P704">
        <v>11.893000000000001</v>
      </c>
      <c r="Q704" t="s">
        <v>29</v>
      </c>
      <c r="R704" t="s">
        <v>430</v>
      </c>
      <c r="S704" t="s">
        <v>6937</v>
      </c>
    </row>
    <row r="705" spans="1:19" x14ac:dyDescent="0.25">
      <c r="A705">
        <v>2018</v>
      </c>
      <c r="B705">
        <v>15401</v>
      </c>
      <c r="C705" t="s">
        <v>1027</v>
      </c>
      <c r="D705" t="s">
        <v>1804</v>
      </c>
      <c r="E705">
        <v>211110</v>
      </c>
      <c r="F705" t="s">
        <v>233</v>
      </c>
      <c r="G705" t="s">
        <v>234</v>
      </c>
      <c r="H705" t="s">
        <v>243</v>
      </c>
      <c r="I705" t="s">
        <v>1413</v>
      </c>
      <c r="J705" t="s">
        <v>1414</v>
      </c>
      <c r="K705" t="s">
        <v>1415</v>
      </c>
      <c r="L705" t="s">
        <v>1372</v>
      </c>
      <c r="M705" t="s">
        <v>1373</v>
      </c>
      <c r="N705" t="s">
        <v>1374</v>
      </c>
      <c r="O705" t="s">
        <v>1375</v>
      </c>
      <c r="P705">
        <v>0</v>
      </c>
      <c r="Q705" t="s">
        <v>29</v>
      </c>
      <c r="R705" t="s">
        <v>30</v>
      </c>
      <c r="S705" t="s">
        <v>6937</v>
      </c>
    </row>
    <row r="706" spans="1:19" x14ac:dyDescent="0.25">
      <c r="A706">
        <v>2013</v>
      </c>
      <c r="B706">
        <v>11012</v>
      </c>
      <c r="C706" t="s">
        <v>1805</v>
      </c>
      <c r="D706" t="s">
        <v>1806</v>
      </c>
      <c r="E706">
        <v>493130</v>
      </c>
      <c r="F706" t="s">
        <v>1807</v>
      </c>
      <c r="G706" t="s">
        <v>1808</v>
      </c>
      <c r="H706" t="s">
        <v>79</v>
      </c>
      <c r="I706" t="s">
        <v>1369</v>
      </c>
      <c r="J706" t="s">
        <v>1370</v>
      </c>
      <c r="K706" t="s">
        <v>1371</v>
      </c>
      <c r="L706" t="s">
        <v>1372</v>
      </c>
      <c r="M706" t="s">
        <v>1373</v>
      </c>
      <c r="N706" t="s">
        <v>1374</v>
      </c>
      <c r="O706" t="s">
        <v>1375</v>
      </c>
      <c r="P706">
        <v>0.27200000000000002</v>
      </c>
      <c r="Q706" t="s">
        <v>29</v>
      </c>
      <c r="R706" t="s">
        <v>430</v>
      </c>
      <c r="S706" t="s">
        <v>6937</v>
      </c>
    </row>
    <row r="707" spans="1:19" x14ac:dyDescent="0.25">
      <c r="A707">
        <v>2003</v>
      </c>
      <c r="B707">
        <v>7705</v>
      </c>
      <c r="C707" t="s">
        <v>1809</v>
      </c>
      <c r="D707" t="s">
        <v>1810</v>
      </c>
      <c r="E707">
        <v>321111</v>
      </c>
      <c r="F707" t="s">
        <v>1474</v>
      </c>
      <c r="G707" t="s">
        <v>1368</v>
      </c>
      <c r="H707" t="s">
        <v>69</v>
      </c>
      <c r="I707" t="s">
        <v>628</v>
      </c>
      <c r="J707" t="s">
        <v>629</v>
      </c>
      <c r="K707" t="s">
        <v>630</v>
      </c>
      <c r="L707" t="s">
        <v>1372</v>
      </c>
      <c r="M707" t="s">
        <v>1373</v>
      </c>
      <c r="N707" t="s">
        <v>1374</v>
      </c>
      <c r="O707" t="s">
        <v>1375</v>
      </c>
      <c r="P707">
        <v>0</v>
      </c>
      <c r="Q707" t="s">
        <v>631</v>
      </c>
      <c r="R707" t="s">
        <v>430</v>
      </c>
      <c r="S707" t="s">
        <v>6937</v>
      </c>
    </row>
    <row r="708" spans="1:19" x14ac:dyDescent="0.25">
      <c r="A708">
        <v>2012</v>
      </c>
      <c r="B708">
        <v>8742</v>
      </c>
      <c r="C708" t="s">
        <v>1811</v>
      </c>
      <c r="D708" t="s">
        <v>1811</v>
      </c>
      <c r="E708">
        <v>325410</v>
      </c>
      <c r="F708" t="s">
        <v>1208</v>
      </c>
      <c r="G708" t="s">
        <v>219</v>
      </c>
      <c r="H708" t="s">
        <v>79</v>
      </c>
      <c r="I708" t="s">
        <v>504</v>
      </c>
      <c r="J708" t="s">
        <v>505</v>
      </c>
      <c r="K708" t="s">
        <v>506</v>
      </c>
      <c r="L708" t="s">
        <v>1394</v>
      </c>
      <c r="M708" t="s">
        <v>1395</v>
      </c>
      <c r="N708" t="s">
        <v>1402</v>
      </c>
      <c r="O708" t="s">
        <v>1403</v>
      </c>
      <c r="P708">
        <v>50.194000000000003</v>
      </c>
      <c r="Q708" t="s">
        <v>29</v>
      </c>
      <c r="R708" t="s">
        <v>50</v>
      </c>
      <c r="S708" t="s">
        <v>6937</v>
      </c>
    </row>
    <row r="709" spans="1:19" x14ac:dyDescent="0.25">
      <c r="A709">
        <v>2015</v>
      </c>
      <c r="B709">
        <v>8638</v>
      </c>
      <c r="C709" t="s">
        <v>1812</v>
      </c>
      <c r="D709" t="s">
        <v>1813</v>
      </c>
      <c r="E709">
        <v>622111</v>
      </c>
      <c r="F709" t="s">
        <v>1814</v>
      </c>
      <c r="G709" t="s">
        <v>1815</v>
      </c>
      <c r="H709" t="s">
        <v>79</v>
      </c>
      <c r="I709" t="s">
        <v>1413</v>
      </c>
      <c r="J709" t="s">
        <v>1414</v>
      </c>
      <c r="K709" t="s">
        <v>1415</v>
      </c>
      <c r="L709" t="s">
        <v>1372</v>
      </c>
      <c r="M709" t="s">
        <v>1373</v>
      </c>
      <c r="N709" t="s">
        <v>1374</v>
      </c>
      <c r="O709" t="s">
        <v>1375</v>
      </c>
      <c r="P709">
        <v>6.4399999999999999E-2</v>
      </c>
      <c r="Q709" t="s">
        <v>29</v>
      </c>
      <c r="R709" t="s">
        <v>430</v>
      </c>
      <c r="S709" t="s">
        <v>6937</v>
      </c>
    </row>
    <row r="710" spans="1:19" x14ac:dyDescent="0.25">
      <c r="A710">
        <v>2017</v>
      </c>
      <c r="B710">
        <v>29040</v>
      </c>
      <c r="C710" t="s">
        <v>1816</v>
      </c>
      <c r="D710" t="s">
        <v>1817</v>
      </c>
      <c r="E710">
        <v>212314</v>
      </c>
      <c r="F710" t="s">
        <v>1818</v>
      </c>
      <c r="G710" t="s">
        <v>1819</v>
      </c>
      <c r="H710" t="s">
        <v>69</v>
      </c>
      <c r="I710" t="s">
        <v>1487</v>
      </c>
      <c r="J710" t="s">
        <v>1488</v>
      </c>
      <c r="K710" t="s">
        <v>1489</v>
      </c>
      <c r="L710" t="s">
        <v>1372</v>
      </c>
      <c r="M710" t="s">
        <v>1373</v>
      </c>
      <c r="N710" t="s">
        <v>1409</v>
      </c>
      <c r="O710" t="s">
        <v>1410</v>
      </c>
      <c r="P710">
        <v>1.8640000000000001</v>
      </c>
      <c r="Q710" t="s">
        <v>29</v>
      </c>
      <c r="R710" t="s">
        <v>430</v>
      </c>
      <c r="S710" t="s">
        <v>6937</v>
      </c>
    </row>
    <row r="711" spans="1:19" x14ac:dyDescent="0.25">
      <c r="A711">
        <v>2006</v>
      </c>
      <c r="B711">
        <v>2788</v>
      </c>
      <c r="C711" t="s">
        <v>1820</v>
      </c>
      <c r="D711" t="s">
        <v>1821</v>
      </c>
      <c r="E711">
        <v>331313</v>
      </c>
      <c r="F711" t="s">
        <v>1131</v>
      </c>
      <c r="G711" t="s">
        <v>1132</v>
      </c>
      <c r="H711" t="s">
        <v>69</v>
      </c>
      <c r="I711" t="s">
        <v>367</v>
      </c>
      <c r="J711" t="s">
        <v>368</v>
      </c>
      <c r="K711" t="s">
        <v>369</v>
      </c>
      <c r="L711" t="s">
        <v>1372</v>
      </c>
      <c r="M711" t="s">
        <v>1373</v>
      </c>
      <c r="N711" t="s">
        <v>1520</v>
      </c>
      <c r="O711" t="s">
        <v>1521</v>
      </c>
      <c r="P711">
        <v>2986.1619999999998</v>
      </c>
      <c r="Q711" t="s">
        <v>40</v>
      </c>
      <c r="R711" t="s">
        <v>124</v>
      </c>
      <c r="S711" t="s">
        <v>6937</v>
      </c>
    </row>
    <row r="712" spans="1:19" x14ac:dyDescent="0.25">
      <c r="A712">
        <v>2017</v>
      </c>
      <c r="B712">
        <v>20182</v>
      </c>
      <c r="C712" t="s">
        <v>1822</v>
      </c>
      <c r="D712" t="s">
        <v>1823</v>
      </c>
      <c r="E712">
        <v>332710</v>
      </c>
      <c r="F712" t="s">
        <v>556</v>
      </c>
      <c r="G712" t="s">
        <v>557</v>
      </c>
      <c r="H712" t="s">
        <v>69</v>
      </c>
      <c r="I712" t="s">
        <v>35</v>
      </c>
      <c r="J712" t="s">
        <v>36</v>
      </c>
      <c r="K712" t="s">
        <v>37</v>
      </c>
      <c r="L712" t="s">
        <v>1372</v>
      </c>
      <c r="M712" t="s">
        <v>1373</v>
      </c>
      <c r="N712" t="s">
        <v>1374</v>
      </c>
      <c r="O712" t="s">
        <v>1375</v>
      </c>
      <c r="P712">
        <v>1.7999999999999999E-2</v>
      </c>
      <c r="Q712" t="s">
        <v>40</v>
      </c>
      <c r="R712" t="s">
        <v>430</v>
      </c>
      <c r="S712" t="s">
        <v>6937</v>
      </c>
    </row>
    <row r="713" spans="1:19" x14ac:dyDescent="0.25">
      <c r="A713">
        <v>2001</v>
      </c>
      <c r="B713">
        <v>781</v>
      </c>
      <c r="C713" t="s">
        <v>1824</v>
      </c>
      <c r="D713" t="s">
        <v>1825</v>
      </c>
      <c r="E713">
        <v>339990</v>
      </c>
      <c r="F713" t="s">
        <v>871</v>
      </c>
      <c r="G713" t="s">
        <v>872</v>
      </c>
      <c r="H713" t="s">
        <v>79</v>
      </c>
      <c r="I713" t="s">
        <v>22</v>
      </c>
      <c r="J713" t="s">
        <v>23</v>
      </c>
      <c r="K713" t="s">
        <v>24</v>
      </c>
      <c r="L713" t="s">
        <v>1361</v>
      </c>
      <c r="M713" t="s">
        <v>1362</v>
      </c>
      <c r="N713" t="s">
        <v>1363</v>
      </c>
      <c r="O713" t="s">
        <v>1364</v>
      </c>
      <c r="P713">
        <v>0.1</v>
      </c>
      <c r="Q713" t="s">
        <v>29</v>
      </c>
      <c r="R713" t="s">
        <v>50</v>
      </c>
      <c r="S713" t="s">
        <v>6937</v>
      </c>
    </row>
    <row r="714" spans="1:19" x14ac:dyDescent="0.25">
      <c r="A714">
        <v>2010</v>
      </c>
      <c r="B714">
        <v>2216</v>
      </c>
      <c r="C714" t="s">
        <v>1826</v>
      </c>
      <c r="D714" t="s">
        <v>1827</v>
      </c>
      <c r="E714">
        <v>325610</v>
      </c>
      <c r="F714" t="s">
        <v>612</v>
      </c>
      <c r="G714" t="s">
        <v>613</v>
      </c>
      <c r="H714" t="s">
        <v>21</v>
      </c>
      <c r="I714" t="s">
        <v>1421</v>
      </c>
      <c r="J714" t="s">
        <v>1422</v>
      </c>
      <c r="K714" t="s">
        <v>1423</v>
      </c>
      <c r="L714" t="s">
        <v>1372</v>
      </c>
      <c r="M714" t="s">
        <v>1373</v>
      </c>
      <c r="N714" t="s">
        <v>1409</v>
      </c>
      <c r="O714" t="s">
        <v>1410</v>
      </c>
      <c r="P714">
        <v>6.3360000000000003</v>
      </c>
      <c r="Q714" t="s">
        <v>29</v>
      </c>
      <c r="R714" t="s">
        <v>30</v>
      </c>
      <c r="S714" t="s">
        <v>6937</v>
      </c>
    </row>
    <row r="715" spans="1:19" x14ac:dyDescent="0.25">
      <c r="A715">
        <v>2006</v>
      </c>
      <c r="B715">
        <v>7622</v>
      </c>
      <c r="C715" t="s">
        <v>1828</v>
      </c>
      <c r="D715" t="s">
        <v>1829</v>
      </c>
      <c r="E715">
        <v>212315</v>
      </c>
      <c r="F715" t="s">
        <v>1830</v>
      </c>
      <c r="G715" t="s">
        <v>1831</v>
      </c>
      <c r="H715" t="s">
        <v>21</v>
      </c>
      <c r="I715" t="s">
        <v>1487</v>
      </c>
      <c r="J715" t="s">
        <v>1488</v>
      </c>
      <c r="K715" t="s">
        <v>1489</v>
      </c>
      <c r="L715" t="s">
        <v>1372</v>
      </c>
      <c r="M715" t="s">
        <v>1373</v>
      </c>
      <c r="N715" t="s">
        <v>1374</v>
      </c>
      <c r="O715" t="s">
        <v>1375</v>
      </c>
      <c r="P715">
        <v>0.85299999999999998</v>
      </c>
      <c r="Q715" t="s">
        <v>29</v>
      </c>
      <c r="R715" t="s">
        <v>430</v>
      </c>
      <c r="S715" t="s">
        <v>6937</v>
      </c>
    </row>
    <row r="716" spans="1:19" x14ac:dyDescent="0.25">
      <c r="A716">
        <v>2004</v>
      </c>
      <c r="B716">
        <v>6670</v>
      </c>
      <c r="C716" t="s">
        <v>1623</v>
      </c>
      <c r="D716" t="s">
        <v>976</v>
      </c>
      <c r="E716">
        <v>412110</v>
      </c>
      <c r="F716" t="s">
        <v>346</v>
      </c>
      <c r="G716" t="s">
        <v>347</v>
      </c>
      <c r="H716" t="s">
        <v>79</v>
      </c>
      <c r="I716" t="s">
        <v>427</v>
      </c>
      <c r="J716" t="s">
        <v>428</v>
      </c>
      <c r="K716" t="s">
        <v>429</v>
      </c>
      <c r="L716" t="s">
        <v>1372</v>
      </c>
      <c r="M716" t="s">
        <v>1373</v>
      </c>
      <c r="N716" t="s">
        <v>1409</v>
      </c>
      <c r="O716" t="s">
        <v>1410</v>
      </c>
      <c r="P716">
        <v>1E-3</v>
      </c>
      <c r="Q716" t="s">
        <v>29</v>
      </c>
      <c r="R716" t="s">
        <v>430</v>
      </c>
      <c r="S716" t="s">
        <v>6937</v>
      </c>
    </row>
    <row r="717" spans="1:19" x14ac:dyDescent="0.25">
      <c r="A717">
        <v>2007</v>
      </c>
      <c r="B717">
        <v>2740</v>
      </c>
      <c r="C717" t="s">
        <v>1832</v>
      </c>
      <c r="D717" t="s">
        <v>1833</v>
      </c>
      <c r="E717">
        <v>331110</v>
      </c>
      <c r="F717" t="s">
        <v>335</v>
      </c>
      <c r="G717" t="s">
        <v>336</v>
      </c>
      <c r="H717" t="s">
        <v>243</v>
      </c>
      <c r="I717" t="s">
        <v>1421</v>
      </c>
      <c r="J717" t="s">
        <v>1422</v>
      </c>
      <c r="K717" t="s">
        <v>1423</v>
      </c>
      <c r="L717" t="s">
        <v>1372</v>
      </c>
      <c r="M717" t="s">
        <v>1373</v>
      </c>
      <c r="N717" t="s">
        <v>1390</v>
      </c>
      <c r="O717" t="s">
        <v>1391</v>
      </c>
      <c r="P717">
        <v>0.02</v>
      </c>
      <c r="Q717" t="s">
        <v>29</v>
      </c>
      <c r="R717" t="s">
        <v>430</v>
      </c>
      <c r="S717" t="s">
        <v>6937</v>
      </c>
    </row>
    <row r="718" spans="1:19" x14ac:dyDescent="0.25">
      <c r="A718">
        <v>2004</v>
      </c>
      <c r="B718">
        <v>5015</v>
      </c>
      <c r="C718" t="s">
        <v>1834</v>
      </c>
      <c r="D718" t="s">
        <v>1835</v>
      </c>
      <c r="E718">
        <v>562210</v>
      </c>
      <c r="F718" t="s">
        <v>52</v>
      </c>
      <c r="G718" t="s">
        <v>53</v>
      </c>
      <c r="H718" t="s">
        <v>1012</v>
      </c>
      <c r="I718" t="s">
        <v>628</v>
      </c>
      <c r="J718" t="s">
        <v>629</v>
      </c>
      <c r="K718" t="s">
        <v>630</v>
      </c>
      <c r="L718" t="s">
        <v>1372</v>
      </c>
      <c r="M718" t="s">
        <v>1373</v>
      </c>
      <c r="N718" t="s">
        <v>1374</v>
      </c>
      <c r="O718" t="s">
        <v>1375</v>
      </c>
      <c r="P718">
        <v>0.56899999999999995</v>
      </c>
      <c r="Q718" t="s">
        <v>631</v>
      </c>
      <c r="R718" t="s">
        <v>124</v>
      </c>
      <c r="S718" t="s">
        <v>6937</v>
      </c>
    </row>
    <row r="719" spans="1:19" x14ac:dyDescent="0.25">
      <c r="A719">
        <v>2004</v>
      </c>
      <c r="B719">
        <v>4045</v>
      </c>
      <c r="C719" t="s">
        <v>1836</v>
      </c>
      <c r="D719" t="s">
        <v>1837</v>
      </c>
      <c r="E719">
        <v>331222</v>
      </c>
      <c r="F719" t="s">
        <v>946</v>
      </c>
      <c r="G719" t="s">
        <v>287</v>
      </c>
      <c r="H719" t="s">
        <v>21</v>
      </c>
      <c r="I719" t="s">
        <v>504</v>
      </c>
      <c r="J719" t="s">
        <v>505</v>
      </c>
      <c r="K719" t="s">
        <v>506</v>
      </c>
      <c r="L719" t="s">
        <v>1372</v>
      </c>
      <c r="M719" t="s">
        <v>1373</v>
      </c>
      <c r="N719" t="s">
        <v>1374</v>
      </c>
      <c r="O719" t="s">
        <v>1375</v>
      </c>
      <c r="P719">
        <v>5.8000000000000003E-2</v>
      </c>
      <c r="Q719" t="s">
        <v>29</v>
      </c>
      <c r="R719" t="s">
        <v>124</v>
      </c>
      <c r="S719" t="s">
        <v>6937</v>
      </c>
    </row>
    <row r="720" spans="1:19" x14ac:dyDescent="0.25">
      <c r="A720">
        <v>2019</v>
      </c>
      <c r="B720">
        <v>16739</v>
      </c>
      <c r="C720" t="s">
        <v>1838</v>
      </c>
      <c r="D720" t="s">
        <v>1839</v>
      </c>
      <c r="E720">
        <v>211110</v>
      </c>
      <c r="F720" t="s">
        <v>233</v>
      </c>
      <c r="G720" t="s">
        <v>234</v>
      </c>
      <c r="H720" t="s">
        <v>85</v>
      </c>
      <c r="I720" t="s">
        <v>1457</v>
      </c>
      <c r="J720" t="s">
        <v>1458</v>
      </c>
      <c r="K720" t="s">
        <v>1459</v>
      </c>
      <c r="L720" t="s">
        <v>1372</v>
      </c>
      <c r="M720" t="s">
        <v>1373</v>
      </c>
      <c r="N720" t="s">
        <v>1374</v>
      </c>
      <c r="O720" t="s">
        <v>1375</v>
      </c>
      <c r="P720">
        <v>6.4850000000000003</v>
      </c>
      <c r="Q720" t="s">
        <v>29</v>
      </c>
      <c r="R720" t="s">
        <v>430</v>
      </c>
      <c r="S720" t="s">
        <v>6937</v>
      </c>
    </row>
    <row r="721" spans="1:19" x14ac:dyDescent="0.25">
      <c r="A721">
        <v>2019</v>
      </c>
      <c r="B721">
        <v>4896</v>
      </c>
      <c r="C721" t="s">
        <v>1840</v>
      </c>
      <c r="D721" t="s">
        <v>1841</v>
      </c>
      <c r="E721">
        <v>311224</v>
      </c>
      <c r="F721" t="s">
        <v>1842</v>
      </c>
      <c r="G721" t="s">
        <v>1843</v>
      </c>
      <c r="H721" t="s">
        <v>54</v>
      </c>
      <c r="I721" t="s">
        <v>1457</v>
      </c>
      <c r="J721" t="s">
        <v>1458</v>
      </c>
      <c r="K721" t="s">
        <v>1459</v>
      </c>
      <c r="L721" t="s">
        <v>1372</v>
      </c>
      <c r="M721" t="s">
        <v>1373</v>
      </c>
      <c r="N721" t="s">
        <v>1409</v>
      </c>
      <c r="O721" t="s">
        <v>1410</v>
      </c>
      <c r="P721">
        <v>177.32</v>
      </c>
      <c r="Q721" t="s">
        <v>29</v>
      </c>
      <c r="R721" t="s">
        <v>30</v>
      </c>
      <c r="S721" t="s">
        <v>6937</v>
      </c>
    </row>
    <row r="722" spans="1:19" x14ac:dyDescent="0.25">
      <c r="A722">
        <v>2023</v>
      </c>
      <c r="B722">
        <v>2478</v>
      </c>
      <c r="C722" t="s">
        <v>1210</v>
      </c>
      <c r="D722" t="s">
        <v>1669</v>
      </c>
      <c r="E722">
        <v>321114</v>
      </c>
      <c r="F722" t="s">
        <v>1212</v>
      </c>
      <c r="G722" t="s">
        <v>366</v>
      </c>
      <c r="H722" t="s">
        <v>79</v>
      </c>
      <c r="I722" t="s">
        <v>461</v>
      </c>
      <c r="J722" t="s">
        <v>462</v>
      </c>
      <c r="K722" t="s">
        <v>463</v>
      </c>
      <c r="L722" t="s">
        <v>1372</v>
      </c>
      <c r="M722" t="s">
        <v>1373</v>
      </c>
      <c r="N722" t="s">
        <v>1409</v>
      </c>
      <c r="O722" t="s">
        <v>1410</v>
      </c>
      <c r="P722">
        <v>4.8799999999999999E-4</v>
      </c>
      <c r="Q722" t="s">
        <v>40</v>
      </c>
      <c r="R722" t="s">
        <v>430</v>
      </c>
      <c r="S722" t="s">
        <v>6937</v>
      </c>
    </row>
    <row r="723" spans="1:19" x14ac:dyDescent="0.25">
      <c r="A723">
        <v>2021</v>
      </c>
      <c r="B723">
        <v>18528</v>
      </c>
      <c r="C723" t="s">
        <v>1027</v>
      </c>
      <c r="D723" t="s">
        <v>1844</v>
      </c>
      <c r="E723">
        <v>211110</v>
      </c>
      <c r="F723" t="s">
        <v>233</v>
      </c>
      <c r="G723" t="s">
        <v>234</v>
      </c>
      <c r="H723" t="s">
        <v>85</v>
      </c>
      <c r="I723" t="s">
        <v>1533</v>
      </c>
      <c r="J723" t="s">
        <v>1534</v>
      </c>
      <c r="K723" t="s">
        <v>1535</v>
      </c>
      <c r="L723" t="s">
        <v>1372</v>
      </c>
      <c r="M723" t="s">
        <v>1373</v>
      </c>
      <c r="N723" t="s">
        <v>1374</v>
      </c>
      <c r="O723" t="s">
        <v>1375</v>
      </c>
      <c r="P723">
        <v>249.36084</v>
      </c>
      <c r="Q723" t="s">
        <v>29</v>
      </c>
      <c r="R723" t="s">
        <v>430</v>
      </c>
      <c r="S723" t="s">
        <v>6937</v>
      </c>
    </row>
    <row r="724" spans="1:19" x14ac:dyDescent="0.25">
      <c r="A724">
        <v>2011</v>
      </c>
      <c r="B724">
        <v>4181</v>
      </c>
      <c r="C724" t="s">
        <v>1845</v>
      </c>
      <c r="D724" t="s">
        <v>1846</v>
      </c>
      <c r="E724">
        <v>311119</v>
      </c>
      <c r="F724" t="s">
        <v>1847</v>
      </c>
      <c r="G724" t="s">
        <v>1848</v>
      </c>
      <c r="H724" t="s">
        <v>21</v>
      </c>
      <c r="I724" t="s">
        <v>1487</v>
      </c>
      <c r="J724" t="s">
        <v>1488</v>
      </c>
      <c r="K724" t="s">
        <v>1489</v>
      </c>
      <c r="L724" t="s">
        <v>1372</v>
      </c>
      <c r="M724" t="s">
        <v>1373</v>
      </c>
      <c r="N724" t="s">
        <v>1399</v>
      </c>
      <c r="O724" t="s">
        <v>1400</v>
      </c>
      <c r="P724">
        <v>18.283000000000001</v>
      </c>
      <c r="Q724" t="s">
        <v>29</v>
      </c>
      <c r="R724" t="s">
        <v>430</v>
      </c>
      <c r="S724" t="s">
        <v>6937</v>
      </c>
    </row>
    <row r="725" spans="1:19" x14ac:dyDescent="0.25">
      <c r="A725">
        <v>2002</v>
      </c>
      <c r="B725">
        <v>4904</v>
      </c>
      <c r="C725" t="s">
        <v>1849</v>
      </c>
      <c r="D725" t="s">
        <v>1850</v>
      </c>
      <c r="E725">
        <v>221119</v>
      </c>
      <c r="F725" t="s">
        <v>1851</v>
      </c>
      <c r="G725" t="s">
        <v>323</v>
      </c>
      <c r="H725" t="s">
        <v>21</v>
      </c>
      <c r="I725" t="s">
        <v>1487</v>
      </c>
      <c r="J725" t="s">
        <v>1488</v>
      </c>
      <c r="K725" t="s">
        <v>1489</v>
      </c>
      <c r="L725" t="s">
        <v>1372</v>
      </c>
      <c r="M725" t="s">
        <v>1373</v>
      </c>
      <c r="N725" t="s">
        <v>1374</v>
      </c>
      <c r="O725" t="s">
        <v>1375</v>
      </c>
      <c r="P725">
        <v>20.399999999999999</v>
      </c>
      <c r="Q725" t="s">
        <v>29</v>
      </c>
      <c r="R725" t="s">
        <v>430</v>
      </c>
      <c r="S725" t="s">
        <v>6937</v>
      </c>
    </row>
    <row r="726" spans="1:19" x14ac:dyDescent="0.25">
      <c r="A726">
        <v>2023</v>
      </c>
      <c r="B726">
        <v>21454</v>
      </c>
      <c r="C726" t="s">
        <v>1838</v>
      </c>
      <c r="D726" t="s">
        <v>1852</v>
      </c>
      <c r="E726">
        <v>211110</v>
      </c>
      <c r="F726" t="s">
        <v>233</v>
      </c>
      <c r="G726" t="s">
        <v>234</v>
      </c>
      <c r="H726" t="s">
        <v>85</v>
      </c>
      <c r="I726" t="s">
        <v>1369</v>
      </c>
      <c r="J726" t="s">
        <v>1370</v>
      </c>
      <c r="K726" t="s">
        <v>1371</v>
      </c>
      <c r="L726" t="s">
        <v>1372</v>
      </c>
      <c r="M726" t="s">
        <v>1373</v>
      </c>
      <c r="N726" t="s">
        <v>1374</v>
      </c>
      <c r="O726" t="s">
        <v>1375</v>
      </c>
      <c r="P726">
        <v>5.8369999999999998E-2</v>
      </c>
      <c r="Q726" t="s">
        <v>29</v>
      </c>
      <c r="R726" t="s">
        <v>430</v>
      </c>
      <c r="S726" t="s">
        <v>6937</v>
      </c>
    </row>
    <row r="727" spans="1:19" x14ac:dyDescent="0.25">
      <c r="A727">
        <v>2020</v>
      </c>
      <c r="B727">
        <v>8502</v>
      </c>
      <c r="C727" t="s">
        <v>1621</v>
      </c>
      <c r="D727" t="s">
        <v>1853</v>
      </c>
      <c r="E727">
        <v>321111</v>
      </c>
      <c r="F727" t="s">
        <v>1367</v>
      </c>
      <c r="G727" t="s">
        <v>1368</v>
      </c>
      <c r="H727" t="s">
        <v>79</v>
      </c>
      <c r="I727" t="s">
        <v>1457</v>
      </c>
      <c r="J727" t="s">
        <v>1458</v>
      </c>
      <c r="K727" t="s">
        <v>1459</v>
      </c>
      <c r="L727" t="s">
        <v>1372</v>
      </c>
      <c r="M727" t="s">
        <v>1373</v>
      </c>
      <c r="N727" t="s">
        <v>1520</v>
      </c>
      <c r="O727" t="s">
        <v>1521</v>
      </c>
      <c r="P727">
        <v>35.420999999999999</v>
      </c>
      <c r="Q727" t="s">
        <v>29</v>
      </c>
      <c r="R727" t="s">
        <v>430</v>
      </c>
      <c r="S727" t="s">
        <v>6937</v>
      </c>
    </row>
    <row r="728" spans="1:19" x14ac:dyDescent="0.25">
      <c r="A728">
        <v>2006</v>
      </c>
      <c r="B728">
        <v>2386</v>
      </c>
      <c r="C728" t="s">
        <v>1854</v>
      </c>
      <c r="D728" t="s">
        <v>1855</v>
      </c>
      <c r="E728">
        <v>326150</v>
      </c>
      <c r="F728" t="s">
        <v>640</v>
      </c>
      <c r="G728" t="s">
        <v>641</v>
      </c>
      <c r="H728" t="s">
        <v>21</v>
      </c>
      <c r="I728" t="s">
        <v>1856</v>
      </c>
      <c r="J728" t="s">
        <v>1857</v>
      </c>
      <c r="K728" t="s">
        <v>1858</v>
      </c>
      <c r="L728" t="s">
        <v>1394</v>
      </c>
      <c r="M728" t="s">
        <v>1395</v>
      </c>
      <c r="N728" t="s">
        <v>1402</v>
      </c>
      <c r="O728" t="s">
        <v>1403</v>
      </c>
      <c r="P728">
        <v>0</v>
      </c>
      <c r="Q728" t="s">
        <v>29</v>
      </c>
      <c r="R728" t="s">
        <v>157</v>
      </c>
      <c r="S728" t="s">
        <v>6937</v>
      </c>
    </row>
    <row r="729" spans="1:19" x14ac:dyDescent="0.25">
      <c r="A729">
        <v>2007</v>
      </c>
      <c r="B729">
        <v>5739</v>
      </c>
      <c r="C729" t="s">
        <v>1859</v>
      </c>
      <c r="D729" t="s">
        <v>1860</v>
      </c>
      <c r="E729">
        <v>325190</v>
      </c>
      <c r="F729" t="s">
        <v>832</v>
      </c>
      <c r="G729" t="s">
        <v>601</v>
      </c>
      <c r="H729" t="s">
        <v>21</v>
      </c>
      <c r="I729" t="s">
        <v>1457</v>
      </c>
      <c r="J729" t="s">
        <v>1458</v>
      </c>
      <c r="K729" t="s">
        <v>1459</v>
      </c>
      <c r="L729" t="s">
        <v>1372</v>
      </c>
      <c r="M729" t="s">
        <v>1373</v>
      </c>
      <c r="N729" t="s">
        <v>1399</v>
      </c>
      <c r="O729" t="s">
        <v>1400</v>
      </c>
      <c r="P729">
        <v>187.584</v>
      </c>
      <c r="Q729" t="s">
        <v>29</v>
      </c>
      <c r="R729" t="s">
        <v>430</v>
      </c>
      <c r="S729" t="s">
        <v>6937</v>
      </c>
    </row>
    <row r="730" spans="1:19" x14ac:dyDescent="0.25">
      <c r="A730">
        <v>2000</v>
      </c>
      <c r="B730">
        <v>5029</v>
      </c>
      <c r="C730" t="s">
        <v>1861</v>
      </c>
      <c r="D730" t="s">
        <v>1862</v>
      </c>
      <c r="E730">
        <v>562210</v>
      </c>
      <c r="F730" t="s">
        <v>52</v>
      </c>
      <c r="G730" t="s">
        <v>53</v>
      </c>
      <c r="H730" t="s">
        <v>1625</v>
      </c>
      <c r="I730" t="s">
        <v>628</v>
      </c>
      <c r="J730" t="s">
        <v>629</v>
      </c>
      <c r="K730" t="s">
        <v>630</v>
      </c>
      <c r="L730" t="s">
        <v>1372</v>
      </c>
      <c r="M730" t="s">
        <v>1373</v>
      </c>
      <c r="N730" t="s">
        <v>1374</v>
      </c>
      <c r="O730" t="s">
        <v>1375</v>
      </c>
      <c r="P730">
        <v>1.837</v>
      </c>
      <c r="Q730" t="s">
        <v>631</v>
      </c>
      <c r="R730" t="s">
        <v>204</v>
      </c>
      <c r="S730" t="s">
        <v>6937</v>
      </c>
    </row>
    <row r="731" spans="1:19" x14ac:dyDescent="0.25">
      <c r="A731">
        <v>2022</v>
      </c>
      <c r="B731">
        <v>18533</v>
      </c>
      <c r="C731" t="s">
        <v>1027</v>
      </c>
      <c r="D731" t="s">
        <v>1863</v>
      </c>
      <c r="E731">
        <v>211110</v>
      </c>
      <c r="F731" t="s">
        <v>233</v>
      </c>
      <c r="G731" t="s">
        <v>234</v>
      </c>
      <c r="H731" t="s">
        <v>243</v>
      </c>
      <c r="I731" t="s">
        <v>1533</v>
      </c>
      <c r="J731" t="s">
        <v>1534</v>
      </c>
      <c r="K731" t="s">
        <v>1535</v>
      </c>
      <c r="L731" t="s">
        <v>1372</v>
      </c>
      <c r="M731" t="s">
        <v>1373</v>
      </c>
      <c r="N731" t="s">
        <v>1374</v>
      </c>
      <c r="O731" t="s">
        <v>1375</v>
      </c>
      <c r="P731">
        <v>0.33657999999999999</v>
      </c>
      <c r="Q731" t="s">
        <v>29</v>
      </c>
      <c r="R731" t="s">
        <v>430</v>
      </c>
      <c r="S731" t="s">
        <v>6937</v>
      </c>
    </row>
    <row r="732" spans="1:19" x14ac:dyDescent="0.25">
      <c r="A732">
        <v>2019</v>
      </c>
      <c r="B732">
        <v>1492</v>
      </c>
      <c r="C732" t="s">
        <v>1864</v>
      </c>
      <c r="D732" t="s">
        <v>727</v>
      </c>
      <c r="E732">
        <v>325189</v>
      </c>
      <c r="F732" t="s">
        <v>1660</v>
      </c>
      <c r="G732" t="s">
        <v>1291</v>
      </c>
      <c r="H732" t="s">
        <v>79</v>
      </c>
      <c r="I732" t="s">
        <v>427</v>
      </c>
      <c r="J732" t="s">
        <v>428</v>
      </c>
      <c r="K732" t="s">
        <v>429</v>
      </c>
      <c r="L732" t="s">
        <v>1372</v>
      </c>
      <c r="M732" t="s">
        <v>1373</v>
      </c>
      <c r="N732" t="s">
        <v>1520</v>
      </c>
      <c r="O732" t="s">
        <v>1521</v>
      </c>
      <c r="P732">
        <v>1.3999999999999999E-4</v>
      </c>
      <c r="Q732" t="s">
        <v>29</v>
      </c>
      <c r="R732" t="s">
        <v>30</v>
      </c>
      <c r="S732" t="s">
        <v>6937</v>
      </c>
    </row>
    <row r="733" spans="1:19" x14ac:dyDescent="0.25">
      <c r="A733">
        <v>2020</v>
      </c>
      <c r="B733">
        <v>6862</v>
      </c>
      <c r="C733" t="s">
        <v>1865</v>
      </c>
      <c r="D733" t="s">
        <v>1866</v>
      </c>
      <c r="E733">
        <v>486110</v>
      </c>
      <c r="F733" t="s">
        <v>1616</v>
      </c>
      <c r="G733" t="s">
        <v>541</v>
      </c>
      <c r="H733" t="s">
        <v>69</v>
      </c>
      <c r="I733" t="s">
        <v>1421</v>
      </c>
      <c r="J733" t="s">
        <v>1422</v>
      </c>
      <c r="K733" t="s">
        <v>1423</v>
      </c>
      <c r="L733" t="s">
        <v>1372</v>
      </c>
      <c r="M733" t="s">
        <v>1373</v>
      </c>
      <c r="N733" t="s">
        <v>1374</v>
      </c>
      <c r="O733" t="s">
        <v>1375</v>
      </c>
      <c r="P733">
        <v>14.414199999999999</v>
      </c>
      <c r="Q733" t="s">
        <v>29</v>
      </c>
      <c r="R733" t="s">
        <v>430</v>
      </c>
      <c r="S733" t="s">
        <v>6937</v>
      </c>
    </row>
    <row r="734" spans="1:19" x14ac:dyDescent="0.25">
      <c r="A734">
        <v>2016</v>
      </c>
      <c r="B734">
        <v>7619</v>
      </c>
      <c r="C734" t="s">
        <v>1867</v>
      </c>
      <c r="D734" t="s">
        <v>1868</v>
      </c>
      <c r="E734">
        <v>212315</v>
      </c>
      <c r="F734" t="s">
        <v>1869</v>
      </c>
      <c r="G734" t="s">
        <v>1831</v>
      </c>
      <c r="H734" t="s">
        <v>21</v>
      </c>
      <c r="I734" t="s">
        <v>1369</v>
      </c>
      <c r="J734" t="s">
        <v>1370</v>
      </c>
      <c r="K734" t="s">
        <v>1371</v>
      </c>
      <c r="L734" t="s">
        <v>1372</v>
      </c>
      <c r="M734" t="s">
        <v>1373</v>
      </c>
      <c r="N734" t="s">
        <v>1409</v>
      </c>
      <c r="O734" t="s">
        <v>1410</v>
      </c>
      <c r="P734">
        <v>20.973700000000001</v>
      </c>
      <c r="Q734" t="s">
        <v>29</v>
      </c>
      <c r="R734" t="s">
        <v>430</v>
      </c>
      <c r="S734" t="s">
        <v>6937</v>
      </c>
    </row>
    <row r="735" spans="1:19" x14ac:dyDescent="0.25">
      <c r="A735">
        <v>1995</v>
      </c>
      <c r="B735">
        <v>656</v>
      </c>
      <c r="C735" t="s">
        <v>1870</v>
      </c>
      <c r="E735">
        <v>325210</v>
      </c>
      <c r="F735" t="s">
        <v>1752</v>
      </c>
      <c r="G735" t="s">
        <v>415</v>
      </c>
      <c r="H735" t="s">
        <v>21</v>
      </c>
      <c r="I735" t="s">
        <v>648</v>
      </c>
      <c r="J735" t="s">
        <v>649</v>
      </c>
      <c r="K735" t="s">
        <v>650</v>
      </c>
      <c r="L735" t="s">
        <v>1378</v>
      </c>
      <c r="M735" t="s">
        <v>1379</v>
      </c>
      <c r="N735" t="s">
        <v>1380</v>
      </c>
      <c r="O735" t="s">
        <v>1381</v>
      </c>
      <c r="P735">
        <v>0</v>
      </c>
      <c r="Q735" t="s">
        <v>29</v>
      </c>
      <c r="R735" t="s">
        <v>442</v>
      </c>
      <c r="S735" t="s">
        <v>6937</v>
      </c>
    </row>
    <row r="736" spans="1:19" x14ac:dyDescent="0.25">
      <c r="A736">
        <v>2005</v>
      </c>
      <c r="B736">
        <v>6548</v>
      </c>
      <c r="C736" t="s">
        <v>1564</v>
      </c>
      <c r="D736" t="s">
        <v>1871</v>
      </c>
      <c r="E736">
        <v>324190</v>
      </c>
      <c r="F736" t="s">
        <v>702</v>
      </c>
      <c r="G736" t="s">
        <v>667</v>
      </c>
      <c r="H736" t="s">
        <v>243</v>
      </c>
      <c r="I736" t="s">
        <v>86</v>
      </c>
      <c r="J736" t="s">
        <v>87</v>
      </c>
      <c r="K736" t="s">
        <v>88</v>
      </c>
      <c r="L736" t="s">
        <v>1394</v>
      </c>
      <c r="M736" t="s">
        <v>1395</v>
      </c>
      <c r="N736" t="s">
        <v>1402</v>
      </c>
      <c r="O736" t="s">
        <v>1403</v>
      </c>
      <c r="P736">
        <v>0</v>
      </c>
      <c r="Q736" t="s">
        <v>29</v>
      </c>
      <c r="R736" t="s">
        <v>30</v>
      </c>
      <c r="S736" t="s">
        <v>6937</v>
      </c>
    </row>
    <row r="737" spans="1:19" x14ac:dyDescent="0.25">
      <c r="A737">
        <v>1999</v>
      </c>
      <c r="B737">
        <v>494</v>
      </c>
      <c r="C737" t="s">
        <v>1872</v>
      </c>
      <c r="D737" t="s">
        <v>1873</v>
      </c>
      <c r="E737">
        <v>325190</v>
      </c>
      <c r="F737" t="s">
        <v>832</v>
      </c>
      <c r="G737" t="s">
        <v>601</v>
      </c>
      <c r="H737" t="s">
        <v>21</v>
      </c>
      <c r="I737" t="s">
        <v>504</v>
      </c>
      <c r="J737" t="s">
        <v>505</v>
      </c>
      <c r="K737" t="s">
        <v>506</v>
      </c>
      <c r="L737" t="s">
        <v>1378</v>
      </c>
      <c r="M737" t="s">
        <v>1379</v>
      </c>
      <c r="N737" t="s">
        <v>1380</v>
      </c>
      <c r="O737" t="s">
        <v>1381</v>
      </c>
      <c r="P737">
        <v>0.90500000000000003</v>
      </c>
      <c r="Q737" t="s">
        <v>29</v>
      </c>
      <c r="R737" t="s">
        <v>442</v>
      </c>
      <c r="S737" t="s">
        <v>6937</v>
      </c>
    </row>
    <row r="738" spans="1:19" x14ac:dyDescent="0.25">
      <c r="A738">
        <v>2018</v>
      </c>
      <c r="B738">
        <v>286</v>
      </c>
      <c r="C738" t="s">
        <v>1874</v>
      </c>
      <c r="D738" t="s">
        <v>1106</v>
      </c>
      <c r="E738">
        <v>325510</v>
      </c>
      <c r="F738" t="s">
        <v>111</v>
      </c>
      <c r="G738" t="s">
        <v>112</v>
      </c>
      <c r="H738" t="s">
        <v>21</v>
      </c>
      <c r="I738" t="s">
        <v>923</v>
      </c>
      <c r="J738" t="s">
        <v>924</v>
      </c>
      <c r="K738" t="s">
        <v>924</v>
      </c>
      <c r="L738" t="s">
        <v>1372</v>
      </c>
      <c r="M738" t="s">
        <v>1373</v>
      </c>
      <c r="N738" t="s">
        <v>1399</v>
      </c>
      <c r="O738" t="s">
        <v>1400</v>
      </c>
      <c r="P738">
        <v>0</v>
      </c>
      <c r="Q738" t="s">
        <v>29</v>
      </c>
      <c r="R738" t="s">
        <v>430</v>
      </c>
      <c r="S738" t="s">
        <v>6937</v>
      </c>
    </row>
    <row r="739" spans="1:19" x14ac:dyDescent="0.25">
      <c r="A739">
        <v>2017</v>
      </c>
      <c r="B739">
        <v>4778</v>
      </c>
      <c r="C739" t="s">
        <v>1404</v>
      </c>
      <c r="D739" t="s">
        <v>1404</v>
      </c>
      <c r="E739">
        <v>331313</v>
      </c>
      <c r="F739" t="s">
        <v>1405</v>
      </c>
      <c r="G739" t="s">
        <v>1132</v>
      </c>
      <c r="H739" t="s">
        <v>79</v>
      </c>
      <c r="I739" t="s">
        <v>1875</v>
      </c>
      <c r="J739" t="s">
        <v>1876</v>
      </c>
      <c r="K739" t="s">
        <v>1877</v>
      </c>
      <c r="L739" t="s">
        <v>1372</v>
      </c>
      <c r="M739" t="s">
        <v>1373</v>
      </c>
      <c r="N739" t="s">
        <v>1409</v>
      </c>
      <c r="O739" t="s">
        <v>1410</v>
      </c>
      <c r="P739">
        <v>121.83199999999999</v>
      </c>
      <c r="Q739" t="s">
        <v>29</v>
      </c>
      <c r="R739" t="s">
        <v>124</v>
      </c>
      <c r="S739" t="s">
        <v>6937</v>
      </c>
    </row>
    <row r="740" spans="1:19" x14ac:dyDescent="0.25">
      <c r="A740">
        <v>2023</v>
      </c>
      <c r="B740">
        <v>10228</v>
      </c>
      <c r="C740" t="s">
        <v>125</v>
      </c>
      <c r="D740" t="s">
        <v>1222</v>
      </c>
      <c r="E740">
        <v>412110</v>
      </c>
      <c r="F740" t="s">
        <v>589</v>
      </c>
      <c r="G740" t="s">
        <v>590</v>
      </c>
      <c r="H740" t="s">
        <v>243</v>
      </c>
      <c r="I740" t="s">
        <v>1878</v>
      </c>
      <c r="J740" t="s">
        <v>1879</v>
      </c>
      <c r="K740" t="s">
        <v>1880</v>
      </c>
      <c r="L740" t="s">
        <v>1372</v>
      </c>
      <c r="M740" t="s">
        <v>1373</v>
      </c>
      <c r="N740" t="s">
        <v>1399</v>
      </c>
      <c r="O740" t="s">
        <v>1400</v>
      </c>
      <c r="P740">
        <v>4.1999999999999998E-5</v>
      </c>
      <c r="Q740" t="s">
        <v>40</v>
      </c>
      <c r="R740" t="s">
        <v>430</v>
      </c>
      <c r="S740" t="s">
        <v>6937</v>
      </c>
    </row>
    <row r="741" spans="1:19" x14ac:dyDescent="0.25">
      <c r="A741">
        <v>2011</v>
      </c>
      <c r="B741">
        <v>3807</v>
      </c>
      <c r="C741" t="s">
        <v>1881</v>
      </c>
      <c r="D741" t="s">
        <v>1882</v>
      </c>
      <c r="E741">
        <v>325313</v>
      </c>
      <c r="F741" t="s">
        <v>1585</v>
      </c>
      <c r="G741" t="s">
        <v>1055</v>
      </c>
      <c r="H741" t="s">
        <v>21</v>
      </c>
      <c r="I741" t="s">
        <v>1883</v>
      </c>
      <c r="J741" t="s">
        <v>1884</v>
      </c>
      <c r="K741" t="s">
        <v>1885</v>
      </c>
      <c r="L741" t="s">
        <v>1372</v>
      </c>
      <c r="M741" t="s">
        <v>1373</v>
      </c>
      <c r="N741" t="s">
        <v>1409</v>
      </c>
      <c r="O741" t="s">
        <v>1410</v>
      </c>
      <c r="P741">
        <v>0.5</v>
      </c>
      <c r="Q741" t="s">
        <v>29</v>
      </c>
      <c r="R741" t="s">
        <v>30</v>
      </c>
      <c r="S741" t="s">
        <v>6937</v>
      </c>
    </row>
    <row r="742" spans="1:19" x14ac:dyDescent="0.25">
      <c r="A742">
        <v>2012</v>
      </c>
      <c r="B742">
        <v>19175</v>
      </c>
      <c r="C742" t="s">
        <v>1886</v>
      </c>
      <c r="D742" t="s">
        <v>1887</v>
      </c>
      <c r="E742">
        <v>339990</v>
      </c>
      <c r="F742" t="s">
        <v>1179</v>
      </c>
      <c r="G742" t="s">
        <v>872</v>
      </c>
      <c r="H742" t="s">
        <v>85</v>
      </c>
      <c r="I742" t="s">
        <v>117</v>
      </c>
      <c r="J742" t="s">
        <v>118</v>
      </c>
      <c r="K742" t="s">
        <v>119</v>
      </c>
      <c r="L742" t="s">
        <v>1372</v>
      </c>
      <c r="M742" t="s">
        <v>1373</v>
      </c>
      <c r="N742" t="s">
        <v>1374</v>
      </c>
      <c r="O742" t="s">
        <v>1375</v>
      </c>
      <c r="P742">
        <v>2.5999999999999999E-2</v>
      </c>
      <c r="Q742" t="s">
        <v>29</v>
      </c>
      <c r="R742" t="s">
        <v>30</v>
      </c>
      <c r="S742" t="s">
        <v>6937</v>
      </c>
    </row>
    <row r="743" spans="1:19" x14ac:dyDescent="0.25">
      <c r="A743">
        <v>2017</v>
      </c>
      <c r="B743">
        <v>1154</v>
      </c>
      <c r="C743" t="s">
        <v>431</v>
      </c>
      <c r="D743" t="s">
        <v>432</v>
      </c>
      <c r="E743">
        <v>418410</v>
      </c>
      <c r="F743" t="s">
        <v>433</v>
      </c>
      <c r="G743" t="s">
        <v>434</v>
      </c>
      <c r="H743" t="s">
        <v>21</v>
      </c>
      <c r="I743" t="s">
        <v>86</v>
      </c>
      <c r="J743" t="s">
        <v>87</v>
      </c>
      <c r="K743" t="s">
        <v>88</v>
      </c>
      <c r="L743" t="s">
        <v>1372</v>
      </c>
      <c r="M743" t="s">
        <v>1373</v>
      </c>
      <c r="N743" t="s">
        <v>1399</v>
      </c>
      <c r="O743" t="s">
        <v>1400</v>
      </c>
      <c r="P743">
        <v>2.1000000000000001E-2</v>
      </c>
      <c r="Q743" t="s">
        <v>29</v>
      </c>
      <c r="R743" t="s">
        <v>30</v>
      </c>
      <c r="S743" t="s">
        <v>6937</v>
      </c>
    </row>
    <row r="744" spans="1:19" x14ac:dyDescent="0.25">
      <c r="A744">
        <v>2022</v>
      </c>
      <c r="B744">
        <v>27933</v>
      </c>
      <c r="C744" t="s">
        <v>1791</v>
      </c>
      <c r="D744" t="s">
        <v>1888</v>
      </c>
      <c r="E744">
        <v>211110</v>
      </c>
      <c r="F744" t="s">
        <v>233</v>
      </c>
      <c r="G744" t="s">
        <v>234</v>
      </c>
      <c r="H744" t="s">
        <v>243</v>
      </c>
      <c r="I744" t="s">
        <v>1457</v>
      </c>
      <c r="J744" t="s">
        <v>1680</v>
      </c>
      <c r="K744" t="s">
        <v>1681</v>
      </c>
      <c r="L744" t="s">
        <v>1372</v>
      </c>
      <c r="M744" t="s">
        <v>1373</v>
      </c>
      <c r="N744" t="s">
        <v>1409</v>
      </c>
      <c r="O744" t="s">
        <v>1410</v>
      </c>
      <c r="P744">
        <v>3.8303199999999999</v>
      </c>
      <c r="Q744" t="s">
        <v>29</v>
      </c>
      <c r="R744" t="s">
        <v>30</v>
      </c>
      <c r="S744" t="s">
        <v>6937</v>
      </c>
    </row>
    <row r="745" spans="1:19" x14ac:dyDescent="0.25">
      <c r="A745">
        <v>2004</v>
      </c>
      <c r="B745">
        <v>6642</v>
      </c>
      <c r="C745" t="s">
        <v>1889</v>
      </c>
      <c r="D745" t="s">
        <v>1890</v>
      </c>
      <c r="E745">
        <v>311119</v>
      </c>
      <c r="F745" t="s">
        <v>1847</v>
      </c>
      <c r="G745" t="s">
        <v>1848</v>
      </c>
      <c r="H745" t="s">
        <v>54</v>
      </c>
      <c r="I745" t="s">
        <v>1421</v>
      </c>
      <c r="J745" t="s">
        <v>1422</v>
      </c>
      <c r="K745" t="s">
        <v>1423</v>
      </c>
      <c r="L745" t="s">
        <v>1372</v>
      </c>
      <c r="M745" t="s">
        <v>1373</v>
      </c>
      <c r="N745" t="s">
        <v>1520</v>
      </c>
      <c r="O745" t="s">
        <v>1521</v>
      </c>
      <c r="P745">
        <v>0.442</v>
      </c>
      <c r="Q745" t="s">
        <v>29</v>
      </c>
      <c r="R745" t="s">
        <v>30</v>
      </c>
      <c r="S745" t="s">
        <v>6937</v>
      </c>
    </row>
    <row r="746" spans="1:19" x14ac:dyDescent="0.25">
      <c r="A746">
        <v>2003</v>
      </c>
      <c r="B746">
        <v>2815</v>
      </c>
      <c r="C746" t="s">
        <v>1891</v>
      </c>
      <c r="D746" t="s">
        <v>1892</v>
      </c>
      <c r="E746">
        <v>331410</v>
      </c>
      <c r="F746" t="s">
        <v>1453</v>
      </c>
      <c r="G746" t="s">
        <v>1235</v>
      </c>
      <c r="H746" t="s">
        <v>21</v>
      </c>
      <c r="I746" t="s">
        <v>1421</v>
      </c>
      <c r="J746" t="s">
        <v>1422</v>
      </c>
      <c r="K746" t="s">
        <v>1423</v>
      </c>
      <c r="L746" t="s">
        <v>1372</v>
      </c>
      <c r="M746" t="s">
        <v>1373</v>
      </c>
      <c r="N746" t="s">
        <v>1409</v>
      </c>
      <c r="O746" t="s">
        <v>1410</v>
      </c>
      <c r="P746">
        <v>177.233</v>
      </c>
      <c r="Q746" t="s">
        <v>29</v>
      </c>
      <c r="R746" t="s">
        <v>430</v>
      </c>
      <c r="S746" t="s">
        <v>6937</v>
      </c>
    </row>
    <row r="747" spans="1:19" x14ac:dyDescent="0.25">
      <c r="A747">
        <v>2017</v>
      </c>
      <c r="B747">
        <v>5345</v>
      </c>
      <c r="C747" t="s">
        <v>1718</v>
      </c>
      <c r="D747" t="s">
        <v>1893</v>
      </c>
      <c r="E747">
        <v>211110</v>
      </c>
      <c r="F747" t="s">
        <v>233</v>
      </c>
      <c r="G747" t="s">
        <v>234</v>
      </c>
      <c r="H747" t="s">
        <v>85</v>
      </c>
      <c r="I747" t="s">
        <v>1421</v>
      </c>
      <c r="J747" t="s">
        <v>1422</v>
      </c>
      <c r="K747" t="s">
        <v>1423</v>
      </c>
      <c r="L747" t="s">
        <v>1372</v>
      </c>
      <c r="M747" t="s">
        <v>1373</v>
      </c>
      <c r="N747" t="s">
        <v>1374</v>
      </c>
      <c r="O747" t="s">
        <v>1375</v>
      </c>
      <c r="P747">
        <v>0.875</v>
      </c>
      <c r="Q747" t="s">
        <v>29</v>
      </c>
      <c r="R747" t="s">
        <v>430</v>
      </c>
      <c r="S747" t="s">
        <v>6937</v>
      </c>
    </row>
    <row r="748" spans="1:19" x14ac:dyDescent="0.25">
      <c r="A748">
        <v>1999</v>
      </c>
      <c r="B748">
        <v>1492</v>
      </c>
      <c r="C748" t="s">
        <v>1894</v>
      </c>
      <c r="D748" t="s">
        <v>1895</v>
      </c>
      <c r="E748">
        <v>325189</v>
      </c>
      <c r="F748" t="s">
        <v>1290</v>
      </c>
      <c r="G748" t="s">
        <v>1291</v>
      </c>
      <c r="H748" t="s">
        <v>79</v>
      </c>
      <c r="I748" t="s">
        <v>427</v>
      </c>
      <c r="J748" t="s">
        <v>428</v>
      </c>
      <c r="K748" t="s">
        <v>429</v>
      </c>
      <c r="L748" t="s">
        <v>1372</v>
      </c>
      <c r="M748" t="s">
        <v>1373</v>
      </c>
      <c r="N748" t="s">
        <v>1409</v>
      </c>
      <c r="O748" t="s">
        <v>1410</v>
      </c>
      <c r="P748">
        <v>6.024</v>
      </c>
      <c r="Q748" t="s">
        <v>29</v>
      </c>
      <c r="R748" t="s">
        <v>30</v>
      </c>
      <c r="S748" t="s">
        <v>6937</v>
      </c>
    </row>
    <row r="749" spans="1:19" x14ac:dyDescent="0.25">
      <c r="A749">
        <v>2009</v>
      </c>
      <c r="B749">
        <v>3599</v>
      </c>
      <c r="C749" t="s">
        <v>1896</v>
      </c>
      <c r="D749" t="s">
        <v>1896</v>
      </c>
      <c r="E749">
        <v>325999</v>
      </c>
      <c r="F749" t="s">
        <v>396</v>
      </c>
      <c r="G749" t="s">
        <v>397</v>
      </c>
      <c r="H749" t="s">
        <v>21</v>
      </c>
      <c r="I749" t="s">
        <v>55</v>
      </c>
      <c r="J749" t="s">
        <v>56</v>
      </c>
      <c r="K749" t="s">
        <v>57</v>
      </c>
      <c r="L749" t="s">
        <v>1372</v>
      </c>
      <c r="M749" t="s">
        <v>1373</v>
      </c>
      <c r="N749" t="s">
        <v>1399</v>
      </c>
      <c r="O749" t="s">
        <v>1400</v>
      </c>
      <c r="P749">
        <v>2.7010000000000001</v>
      </c>
      <c r="Q749" t="s">
        <v>29</v>
      </c>
      <c r="R749" t="s">
        <v>430</v>
      </c>
      <c r="S749" t="s">
        <v>6937</v>
      </c>
    </row>
    <row r="750" spans="1:19" x14ac:dyDescent="0.25">
      <c r="A750">
        <v>2018</v>
      </c>
      <c r="B750">
        <v>6887</v>
      </c>
      <c r="C750" t="s">
        <v>1897</v>
      </c>
      <c r="D750" t="s">
        <v>1898</v>
      </c>
      <c r="E750">
        <v>326140</v>
      </c>
      <c r="F750" t="s">
        <v>1899</v>
      </c>
      <c r="G750" t="s">
        <v>1900</v>
      </c>
      <c r="H750" t="s">
        <v>85</v>
      </c>
      <c r="I750" t="s">
        <v>1457</v>
      </c>
      <c r="J750" t="s">
        <v>1458</v>
      </c>
      <c r="K750" t="s">
        <v>1459</v>
      </c>
      <c r="L750" t="s">
        <v>1372</v>
      </c>
      <c r="M750" t="s">
        <v>1373</v>
      </c>
      <c r="N750" t="s">
        <v>1399</v>
      </c>
      <c r="O750" t="s">
        <v>1400</v>
      </c>
      <c r="P750">
        <v>98.617000000000004</v>
      </c>
      <c r="Q750" t="s">
        <v>29</v>
      </c>
      <c r="R750" t="s">
        <v>50</v>
      </c>
      <c r="S750" t="s">
        <v>6937</v>
      </c>
    </row>
    <row r="751" spans="1:19" x14ac:dyDescent="0.25">
      <c r="A751">
        <v>2007</v>
      </c>
      <c r="B751">
        <v>6905</v>
      </c>
      <c r="C751" t="s">
        <v>1901</v>
      </c>
      <c r="D751" t="s">
        <v>1902</v>
      </c>
      <c r="E751">
        <v>486110</v>
      </c>
      <c r="F751" t="s">
        <v>540</v>
      </c>
      <c r="G751" t="s">
        <v>541</v>
      </c>
      <c r="H751" t="s">
        <v>54</v>
      </c>
      <c r="I751" t="s">
        <v>1549</v>
      </c>
      <c r="J751" t="s">
        <v>1550</v>
      </c>
      <c r="K751" t="s">
        <v>1551</v>
      </c>
      <c r="L751" t="s">
        <v>1372</v>
      </c>
      <c r="M751" t="s">
        <v>1373</v>
      </c>
      <c r="N751" t="s">
        <v>1399</v>
      </c>
      <c r="O751" t="s">
        <v>1400</v>
      </c>
      <c r="P751">
        <v>8.0000000000000002E-3</v>
      </c>
      <c r="Q751" t="s">
        <v>29</v>
      </c>
      <c r="R751" t="s">
        <v>30</v>
      </c>
      <c r="S751" t="s">
        <v>6937</v>
      </c>
    </row>
    <row r="752" spans="1:19" x14ac:dyDescent="0.25">
      <c r="A752">
        <v>2015</v>
      </c>
      <c r="B752">
        <v>10216</v>
      </c>
      <c r="C752" t="s">
        <v>125</v>
      </c>
      <c r="D752" t="s">
        <v>1903</v>
      </c>
      <c r="E752">
        <v>412110</v>
      </c>
      <c r="F752" t="s">
        <v>127</v>
      </c>
      <c r="G752" t="s">
        <v>128</v>
      </c>
      <c r="H752" t="s">
        <v>1625</v>
      </c>
      <c r="I752" t="s">
        <v>70</v>
      </c>
      <c r="J752" t="s">
        <v>71</v>
      </c>
      <c r="K752" t="s">
        <v>72</v>
      </c>
      <c r="L752" t="s">
        <v>1361</v>
      </c>
      <c r="M752" t="s">
        <v>1362</v>
      </c>
      <c r="N752" t="s">
        <v>1363</v>
      </c>
      <c r="O752" t="s">
        <v>1364</v>
      </c>
      <c r="P752">
        <v>0.222</v>
      </c>
      <c r="Q752" t="s">
        <v>29</v>
      </c>
      <c r="R752" t="s">
        <v>430</v>
      </c>
      <c r="S752" t="s">
        <v>6937</v>
      </c>
    </row>
    <row r="753" spans="1:19" x14ac:dyDescent="0.25">
      <c r="A753">
        <v>2011</v>
      </c>
      <c r="B753">
        <v>16793</v>
      </c>
      <c r="C753" t="s">
        <v>1904</v>
      </c>
      <c r="D753" t="s">
        <v>1905</v>
      </c>
      <c r="E753">
        <v>211113</v>
      </c>
      <c r="F753" t="s">
        <v>425</v>
      </c>
      <c r="G753" t="s">
        <v>426</v>
      </c>
      <c r="H753" t="s">
        <v>85</v>
      </c>
      <c r="I753" t="s">
        <v>1533</v>
      </c>
      <c r="J753" t="s">
        <v>1534</v>
      </c>
      <c r="K753" t="s">
        <v>1535</v>
      </c>
      <c r="L753" t="s">
        <v>1372</v>
      </c>
      <c r="M753" t="s">
        <v>1373</v>
      </c>
      <c r="N753" t="s">
        <v>1374</v>
      </c>
      <c r="O753" t="s">
        <v>1375</v>
      </c>
      <c r="P753">
        <v>65.251999999999995</v>
      </c>
      <c r="Q753" t="s">
        <v>29</v>
      </c>
      <c r="R753" t="s">
        <v>157</v>
      </c>
      <c r="S753" t="s">
        <v>6937</v>
      </c>
    </row>
    <row r="754" spans="1:19" x14ac:dyDescent="0.25">
      <c r="A754">
        <v>2006</v>
      </c>
      <c r="B754">
        <v>4157</v>
      </c>
      <c r="C754" t="s">
        <v>1906</v>
      </c>
      <c r="D754" t="s">
        <v>1907</v>
      </c>
      <c r="E754">
        <v>211113</v>
      </c>
      <c r="F754" t="s">
        <v>425</v>
      </c>
      <c r="G754" t="s">
        <v>426</v>
      </c>
      <c r="H754" t="s">
        <v>243</v>
      </c>
      <c r="I754" t="s">
        <v>1413</v>
      </c>
      <c r="J754" t="s">
        <v>1414</v>
      </c>
      <c r="K754" t="s">
        <v>1415</v>
      </c>
      <c r="L754" t="s">
        <v>1372</v>
      </c>
      <c r="M754" t="s">
        <v>1373</v>
      </c>
      <c r="N754" t="s">
        <v>1374</v>
      </c>
      <c r="O754" t="s">
        <v>1375</v>
      </c>
      <c r="P754">
        <v>4090.73</v>
      </c>
      <c r="Q754" t="s">
        <v>29</v>
      </c>
      <c r="R754" t="s">
        <v>30</v>
      </c>
      <c r="S754" t="s">
        <v>6937</v>
      </c>
    </row>
    <row r="755" spans="1:19" x14ac:dyDescent="0.25">
      <c r="A755">
        <v>2006</v>
      </c>
      <c r="B755">
        <v>7302</v>
      </c>
      <c r="C755" t="s">
        <v>1908</v>
      </c>
      <c r="D755" t="s">
        <v>1908</v>
      </c>
      <c r="E755">
        <v>327330</v>
      </c>
      <c r="F755" t="s">
        <v>1909</v>
      </c>
      <c r="G755" t="s">
        <v>711</v>
      </c>
      <c r="H755" t="s">
        <v>21</v>
      </c>
      <c r="I755" t="s">
        <v>1369</v>
      </c>
      <c r="J755" t="s">
        <v>1370</v>
      </c>
      <c r="K755" t="s">
        <v>1371</v>
      </c>
      <c r="L755" t="s">
        <v>1372</v>
      </c>
      <c r="M755" t="s">
        <v>1373</v>
      </c>
      <c r="N755" t="s">
        <v>1374</v>
      </c>
      <c r="O755" t="s">
        <v>1375</v>
      </c>
      <c r="P755">
        <v>61.863999999999997</v>
      </c>
      <c r="Q755" t="s">
        <v>29</v>
      </c>
      <c r="R755" t="s">
        <v>430</v>
      </c>
      <c r="S755" t="s">
        <v>6937</v>
      </c>
    </row>
    <row r="756" spans="1:19" x14ac:dyDescent="0.25">
      <c r="A756">
        <v>2008</v>
      </c>
      <c r="B756">
        <v>18153</v>
      </c>
      <c r="C756" t="s">
        <v>1910</v>
      </c>
      <c r="D756" t="s">
        <v>1911</v>
      </c>
      <c r="E756">
        <v>211113</v>
      </c>
      <c r="F756" t="s">
        <v>425</v>
      </c>
      <c r="G756" t="s">
        <v>426</v>
      </c>
      <c r="H756" t="s">
        <v>85</v>
      </c>
      <c r="I756" t="s">
        <v>1421</v>
      </c>
      <c r="J756" t="s">
        <v>1422</v>
      </c>
      <c r="K756" t="s">
        <v>1423</v>
      </c>
      <c r="L756" t="s">
        <v>1372</v>
      </c>
      <c r="M756" t="s">
        <v>1373</v>
      </c>
      <c r="N756" t="s">
        <v>1374</v>
      </c>
      <c r="O756" t="s">
        <v>1375</v>
      </c>
      <c r="P756">
        <v>0.46600000000000003</v>
      </c>
      <c r="Q756" t="s">
        <v>29</v>
      </c>
      <c r="R756" t="s">
        <v>430</v>
      </c>
      <c r="S756" t="s">
        <v>6937</v>
      </c>
    </row>
    <row r="757" spans="1:19" x14ac:dyDescent="0.25">
      <c r="A757">
        <v>2011</v>
      </c>
      <c r="B757">
        <v>6438</v>
      </c>
      <c r="C757" t="s">
        <v>1912</v>
      </c>
      <c r="D757" t="s">
        <v>1913</v>
      </c>
      <c r="E757">
        <v>311119</v>
      </c>
      <c r="F757" t="s">
        <v>1847</v>
      </c>
      <c r="G757" t="s">
        <v>1848</v>
      </c>
      <c r="H757" t="s">
        <v>79</v>
      </c>
      <c r="I757" t="s">
        <v>97</v>
      </c>
      <c r="J757" t="s">
        <v>98</v>
      </c>
      <c r="K757" t="s">
        <v>99</v>
      </c>
      <c r="L757" t="s">
        <v>1372</v>
      </c>
      <c r="M757" t="s">
        <v>1373</v>
      </c>
      <c r="N757" t="s">
        <v>1399</v>
      </c>
      <c r="O757" t="s">
        <v>1400</v>
      </c>
      <c r="P757">
        <v>2.8E-3</v>
      </c>
      <c r="Q757" t="s">
        <v>29</v>
      </c>
      <c r="R757" t="s">
        <v>50</v>
      </c>
      <c r="S757" t="s">
        <v>6937</v>
      </c>
    </row>
    <row r="758" spans="1:19" x14ac:dyDescent="0.25">
      <c r="A758">
        <v>2007</v>
      </c>
      <c r="B758">
        <v>8083</v>
      </c>
      <c r="C758" t="s">
        <v>1914</v>
      </c>
      <c r="D758" t="s">
        <v>1915</v>
      </c>
      <c r="E758">
        <v>212231</v>
      </c>
      <c r="F758" t="s">
        <v>1916</v>
      </c>
      <c r="G758" t="s">
        <v>1917</v>
      </c>
      <c r="H758" t="s">
        <v>661</v>
      </c>
      <c r="I758" t="s">
        <v>1487</v>
      </c>
      <c r="J758" t="s">
        <v>1488</v>
      </c>
      <c r="K758" t="s">
        <v>1489</v>
      </c>
      <c r="L758" t="s">
        <v>1372</v>
      </c>
      <c r="M758" t="s">
        <v>1373</v>
      </c>
      <c r="N758" t="s">
        <v>1399</v>
      </c>
      <c r="O758" t="s">
        <v>1400</v>
      </c>
      <c r="P758">
        <v>9.0999999999999998E-2</v>
      </c>
      <c r="Q758" t="s">
        <v>29</v>
      </c>
      <c r="R758" t="s">
        <v>430</v>
      </c>
      <c r="S758" t="s">
        <v>6937</v>
      </c>
    </row>
    <row r="759" spans="1:19" x14ac:dyDescent="0.25">
      <c r="A759">
        <v>2022</v>
      </c>
      <c r="B759">
        <v>2852</v>
      </c>
      <c r="C759" t="s">
        <v>1918</v>
      </c>
      <c r="D759" t="s">
        <v>1919</v>
      </c>
      <c r="E759">
        <v>325920</v>
      </c>
      <c r="F759" t="s">
        <v>854</v>
      </c>
      <c r="G759" t="s">
        <v>855</v>
      </c>
      <c r="H759" t="s">
        <v>79</v>
      </c>
      <c r="I759" t="s">
        <v>877</v>
      </c>
      <c r="J759" t="s">
        <v>878</v>
      </c>
      <c r="K759" t="s">
        <v>879</v>
      </c>
      <c r="L759" t="s">
        <v>1372</v>
      </c>
      <c r="M759" t="s">
        <v>1373</v>
      </c>
      <c r="N759" t="s">
        <v>1409</v>
      </c>
      <c r="O759" t="s">
        <v>1410</v>
      </c>
      <c r="P759">
        <v>0</v>
      </c>
      <c r="Q759" t="s">
        <v>880</v>
      </c>
      <c r="R759" t="s">
        <v>430</v>
      </c>
      <c r="S759" t="s">
        <v>6937</v>
      </c>
    </row>
    <row r="760" spans="1:19" x14ac:dyDescent="0.25">
      <c r="A760">
        <v>2003</v>
      </c>
      <c r="B760">
        <v>2001</v>
      </c>
      <c r="C760" t="s">
        <v>1920</v>
      </c>
      <c r="D760" t="s">
        <v>1921</v>
      </c>
      <c r="E760">
        <v>322122</v>
      </c>
      <c r="F760" t="s">
        <v>1556</v>
      </c>
      <c r="G760" t="s">
        <v>1062</v>
      </c>
      <c r="H760" t="s">
        <v>79</v>
      </c>
      <c r="I760" t="s">
        <v>504</v>
      </c>
      <c r="J760" t="s">
        <v>505</v>
      </c>
      <c r="K760" t="s">
        <v>506</v>
      </c>
      <c r="L760" t="s">
        <v>1378</v>
      </c>
      <c r="M760" t="s">
        <v>1379</v>
      </c>
      <c r="N760" t="s">
        <v>1380</v>
      </c>
      <c r="O760" t="s">
        <v>1381</v>
      </c>
      <c r="P760">
        <v>22.155999999999999</v>
      </c>
      <c r="Q760" t="s">
        <v>29</v>
      </c>
      <c r="R760" t="s">
        <v>124</v>
      </c>
      <c r="S760" t="s">
        <v>6937</v>
      </c>
    </row>
    <row r="761" spans="1:19" x14ac:dyDescent="0.25">
      <c r="A761">
        <v>2003</v>
      </c>
      <c r="B761">
        <v>7888</v>
      </c>
      <c r="C761" t="s">
        <v>1922</v>
      </c>
      <c r="D761" t="s">
        <v>1923</v>
      </c>
      <c r="E761">
        <v>327320</v>
      </c>
      <c r="F761" t="s">
        <v>1924</v>
      </c>
      <c r="G761" t="s">
        <v>1925</v>
      </c>
      <c r="H761" t="s">
        <v>69</v>
      </c>
      <c r="I761" t="s">
        <v>1369</v>
      </c>
      <c r="J761" t="s">
        <v>1370</v>
      </c>
      <c r="K761" t="s">
        <v>1371</v>
      </c>
      <c r="L761" t="s">
        <v>1372</v>
      </c>
      <c r="M761" t="s">
        <v>1373</v>
      </c>
      <c r="N761" t="s">
        <v>1399</v>
      </c>
      <c r="O761" t="s">
        <v>1400</v>
      </c>
      <c r="P761">
        <v>0.64200000000000002</v>
      </c>
      <c r="Q761" t="s">
        <v>29</v>
      </c>
      <c r="R761" t="s">
        <v>430</v>
      </c>
      <c r="S761" t="s">
        <v>6937</v>
      </c>
    </row>
    <row r="762" spans="1:19" x14ac:dyDescent="0.25">
      <c r="A762">
        <v>2002</v>
      </c>
      <c r="B762">
        <v>5989</v>
      </c>
      <c r="C762" t="s">
        <v>1926</v>
      </c>
      <c r="D762" t="s">
        <v>1927</v>
      </c>
      <c r="E762">
        <v>562210</v>
      </c>
      <c r="F762" t="s">
        <v>52</v>
      </c>
      <c r="G762" t="s">
        <v>53</v>
      </c>
      <c r="H762" t="s">
        <v>21</v>
      </c>
      <c r="I762" t="s">
        <v>1487</v>
      </c>
      <c r="J762" t="s">
        <v>1488</v>
      </c>
      <c r="K762" t="s">
        <v>1489</v>
      </c>
      <c r="L762" t="s">
        <v>1372</v>
      </c>
      <c r="M762" t="s">
        <v>1373</v>
      </c>
      <c r="N762" t="s">
        <v>1399</v>
      </c>
      <c r="O762" t="s">
        <v>1400</v>
      </c>
      <c r="P762">
        <v>42.3</v>
      </c>
      <c r="Q762" t="s">
        <v>29</v>
      </c>
      <c r="R762" t="s">
        <v>430</v>
      </c>
      <c r="S762" t="s">
        <v>6937</v>
      </c>
    </row>
    <row r="763" spans="1:19" x14ac:dyDescent="0.25">
      <c r="A763">
        <v>2018</v>
      </c>
      <c r="B763">
        <v>27741</v>
      </c>
      <c r="C763" t="s">
        <v>1928</v>
      </c>
      <c r="D763" t="s">
        <v>1929</v>
      </c>
      <c r="E763">
        <v>211110</v>
      </c>
      <c r="F763" t="s">
        <v>233</v>
      </c>
      <c r="G763" t="s">
        <v>234</v>
      </c>
      <c r="H763" t="s">
        <v>85</v>
      </c>
      <c r="I763" t="s">
        <v>1369</v>
      </c>
      <c r="J763" t="s">
        <v>1370</v>
      </c>
      <c r="K763" t="s">
        <v>1371</v>
      </c>
      <c r="L763" t="s">
        <v>1372</v>
      </c>
      <c r="M763" t="s">
        <v>1373</v>
      </c>
      <c r="N763" t="s">
        <v>1374</v>
      </c>
      <c r="O763" t="s">
        <v>1375</v>
      </c>
      <c r="P763">
        <v>1.17</v>
      </c>
      <c r="Q763" t="s">
        <v>29</v>
      </c>
      <c r="R763" t="s">
        <v>430</v>
      </c>
      <c r="S763" t="s">
        <v>6937</v>
      </c>
    </row>
    <row r="764" spans="1:19" x14ac:dyDescent="0.25">
      <c r="A764">
        <v>2016</v>
      </c>
      <c r="B764">
        <v>6536</v>
      </c>
      <c r="C764" t="s">
        <v>65</v>
      </c>
      <c r="D764" t="s">
        <v>1930</v>
      </c>
      <c r="E764">
        <v>562210</v>
      </c>
      <c r="F764" t="s">
        <v>84</v>
      </c>
      <c r="G764" t="s">
        <v>53</v>
      </c>
      <c r="H764" t="s">
        <v>85</v>
      </c>
      <c r="I764" t="s">
        <v>1487</v>
      </c>
      <c r="J764" t="s">
        <v>1488</v>
      </c>
      <c r="K764" t="s">
        <v>1489</v>
      </c>
      <c r="L764" t="s">
        <v>1372</v>
      </c>
      <c r="M764" t="s">
        <v>1373</v>
      </c>
      <c r="N764" t="s">
        <v>1390</v>
      </c>
      <c r="O764" t="s">
        <v>1391</v>
      </c>
      <c r="P764">
        <v>54.844999999999999</v>
      </c>
      <c r="Q764" t="s">
        <v>29</v>
      </c>
      <c r="R764" t="s">
        <v>50</v>
      </c>
      <c r="S764" t="s">
        <v>6937</v>
      </c>
    </row>
    <row r="765" spans="1:19" x14ac:dyDescent="0.25">
      <c r="A765">
        <v>2015</v>
      </c>
      <c r="B765">
        <v>8606</v>
      </c>
      <c r="C765" t="s">
        <v>1931</v>
      </c>
      <c r="D765" t="s">
        <v>1932</v>
      </c>
      <c r="E765">
        <v>221112</v>
      </c>
      <c r="F765" t="s">
        <v>499</v>
      </c>
      <c r="G765" t="s">
        <v>135</v>
      </c>
      <c r="H765" t="s">
        <v>79</v>
      </c>
      <c r="I765" t="s">
        <v>1421</v>
      </c>
      <c r="J765" t="s">
        <v>1422</v>
      </c>
      <c r="K765" t="s">
        <v>1423</v>
      </c>
      <c r="L765" t="s">
        <v>1372</v>
      </c>
      <c r="M765" t="s">
        <v>1373</v>
      </c>
      <c r="N765" t="s">
        <v>1374</v>
      </c>
      <c r="O765" t="s">
        <v>1375</v>
      </c>
      <c r="P765">
        <v>0.49</v>
      </c>
      <c r="Q765" t="s">
        <v>29</v>
      </c>
      <c r="R765" t="s">
        <v>430</v>
      </c>
      <c r="S765" t="s">
        <v>6937</v>
      </c>
    </row>
    <row r="766" spans="1:19" x14ac:dyDescent="0.25">
      <c r="A766">
        <v>2008</v>
      </c>
      <c r="B766">
        <v>4169</v>
      </c>
      <c r="C766" t="s">
        <v>1933</v>
      </c>
      <c r="D766" t="s">
        <v>1934</v>
      </c>
      <c r="E766">
        <v>331110</v>
      </c>
      <c r="F766" t="s">
        <v>335</v>
      </c>
      <c r="G766" t="s">
        <v>336</v>
      </c>
      <c r="H766" t="s">
        <v>21</v>
      </c>
      <c r="I766" t="s">
        <v>1369</v>
      </c>
      <c r="J766" t="s">
        <v>1370</v>
      </c>
      <c r="K766" t="s">
        <v>1371</v>
      </c>
      <c r="L766" t="s">
        <v>1372</v>
      </c>
      <c r="M766" t="s">
        <v>1373</v>
      </c>
      <c r="N766" t="s">
        <v>1390</v>
      </c>
      <c r="O766" t="s">
        <v>1391</v>
      </c>
      <c r="P766">
        <v>1.248</v>
      </c>
      <c r="Q766" t="s">
        <v>29</v>
      </c>
      <c r="R766" t="s">
        <v>30</v>
      </c>
      <c r="S766" t="s">
        <v>6937</v>
      </c>
    </row>
    <row r="767" spans="1:19" x14ac:dyDescent="0.25">
      <c r="A767">
        <v>2019</v>
      </c>
      <c r="B767">
        <v>25224</v>
      </c>
      <c r="C767" t="s">
        <v>1935</v>
      </c>
      <c r="D767" t="s">
        <v>1936</v>
      </c>
      <c r="E767">
        <v>211110</v>
      </c>
      <c r="F767" t="s">
        <v>233</v>
      </c>
      <c r="G767" t="s">
        <v>234</v>
      </c>
      <c r="H767" t="s">
        <v>85</v>
      </c>
      <c r="I767" t="s">
        <v>1457</v>
      </c>
      <c r="J767" t="s">
        <v>1458</v>
      </c>
      <c r="K767" t="s">
        <v>1459</v>
      </c>
      <c r="L767" t="s">
        <v>1372</v>
      </c>
      <c r="M767" t="s">
        <v>1373</v>
      </c>
      <c r="N767" t="s">
        <v>1399</v>
      </c>
      <c r="O767" t="s">
        <v>1400</v>
      </c>
      <c r="P767">
        <v>35.706000000000003</v>
      </c>
      <c r="Q767" t="s">
        <v>29</v>
      </c>
      <c r="R767" t="s">
        <v>30</v>
      </c>
      <c r="S767" t="s">
        <v>6937</v>
      </c>
    </row>
    <row r="768" spans="1:19" x14ac:dyDescent="0.25">
      <c r="A768">
        <v>2023</v>
      </c>
      <c r="B768">
        <v>4150</v>
      </c>
      <c r="C768" t="s">
        <v>1937</v>
      </c>
      <c r="D768" t="s">
        <v>1686</v>
      </c>
      <c r="E768">
        <v>211110</v>
      </c>
      <c r="F768" t="s">
        <v>233</v>
      </c>
      <c r="G768" t="s">
        <v>234</v>
      </c>
      <c r="H768" t="s">
        <v>85</v>
      </c>
      <c r="I768" t="s">
        <v>1457</v>
      </c>
      <c r="J768" t="s">
        <v>1680</v>
      </c>
      <c r="K768" t="s">
        <v>1681</v>
      </c>
      <c r="L768" t="s">
        <v>1372</v>
      </c>
      <c r="M768" t="s">
        <v>1373</v>
      </c>
      <c r="N768" t="s">
        <v>1374</v>
      </c>
      <c r="O768" t="s">
        <v>1375</v>
      </c>
      <c r="P768">
        <v>39.068899999999999</v>
      </c>
      <c r="Q768" t="s">
        <v>29</v>
      </c>
      <c r="R768" t="s">
        <v>157</v>
      </c>
      <c r="S768" t="s">
        <v>6937</v>
      </c>
    </row>
    <row r="769" spans="1:19" x14ac:dyDescent="0.25">
      <c r="A769">
        <v>2017</v>
      </c>
      <c r="B769">
        <v>27335</v>
      </c>
      <c r="C769" t="s">
        <v>1938</v>
      </c>
      <c r="D769" t="s">
        <v>1939</v>
      </c>
      <c r="E769">
        <v>211110</v>
      </c>
      <c r="F769" t="s">
        <v>233</v>
      </c>
      <c r="G769" t="s">
        <v>234</v>
      </c>
      <c r="H769" t="s">
        <v>243</v>
      </c>
      <c r="I769" t="s">
        <v>1369</v>
      </c>
      <c r="J769" t="s">
        <v>1370</v>
      </c>
      <c r="K769" t="s">
        <v>1371</v>
      </c>
      <c r="L769" t="s">
        <v>1372</v>
      </c>
      <c r="M769" t="s">
        <v>1373</v>
      </c>
      <c r="N769" t="s">
        <v>1374</v>
      </c>
      <c r="O769" t="s">
        <v>1375</v>
      </c>
      <c r="P769">
        <v>2.1440000000000001</v>
      </c>
      <c r="Q769" t="s">
        <v>29</v>
      </c>
      <c r="R769" t="s">
        <v>430</v>
      </c>
      <c r="S769" t="s">
        <v>6937</v>
      </c>
    </row>
    <row r="770" spans="1:19" x14ac:dyDescent="0.25">
      <c r="A770">
        <v>2009</v>
      </c>
      <c r="B770">
        <v>23762</v>
      </c>
      <c r="C770" t="s">
        <v>1940</v>
      </c>
      <c r="D770" t="s">
        <v>1941</v>
      </c>
      <c r="E770">
        <v>211113</v>
      </c>
      <c r="F770" t="s">
        <v>425</v>
      </c>
      <c r="G770" t="s">
        <v>426</v>
      </c>
      <c r="H770" t="s">
        <v>85</v>
      </c>
      <c r="I770" t="s">
        <v>1533</v>
      </c>
      <c r="J770" t="s">
        <v>1534</v>
      </c>
      <c r="K770" t="s">
        <v>1535</v>
      </c>
      <c r="L770" t="s">
        <v>1372</v>
      </c>
      <c r="M770" t="s">
        <v>1373</v>
      </c>
      <c r="N770" t="s">
        <v>1374</v>
      </c>
      <c r="O770" t="s">
        <v>1375</v>
      </c>
      <c r="P770">
        <v>24.341000000000001</v>
      </c>
      <c r="Q770" t="s">
        <v>29</v>
      </c>
      <c r="R770" t="s">
        <v>430</v>
      </c>
      <c r="S770" t="s">
        <v>6937</v>
      </c>
    </row>
    <row r="771" spans="1:19" x14ac:dyDescent="0.25">
      <c r="A771">
        <v>2022</v>
      </c>
      <c r="B771">
        <v>30745</v>
      </c>
      <c r="C771" t="s">
        <v>1942</v>
      </c>
      <c r="D771" t="s">
        <v>1943</v>
      </c>
      <c r="E771">
        <v>212220</v>
      </c>
      <c r="F771" t="s">
        <v>1619</v>
      </c>
      <c r="G771" t="s">
        <v>1620</v>
      </c>
      <c r="H771" t="s">
        <v>483</v>
      </c>
      <c r="I771" t="s">
        <v>35</v>
      </c>
      <c r="J771" t="s">
        <v>36</v>
      </c>
      <c r="K771" t="s">
        <v>37</v>
      </c>
      <c r="L771" t="s">
        <v>1372</v>
      </c>
      <c r="M771" t="s">
        <v>1373</v>
      </c>
      <c r="N771" t="s">
        <v>1409</v>
      </c>
      <c r="O771" t="s">
        <v>1410</v>
      </c>
      <c r="P771">
        <v>0.16663600000000001</v>
      </c>
      <c r="Q771" t="s">
        <v>40</v>
      </c>
      <c r="R771" t="s">
        <v>430</v>
      </c>
      <c r="S771" t="s">
        <v>6937</v>
      </c>
    </row>
    <row r="772" spans="1:19" x14ac:dyDescent="0.25">
      <c r="A772">
        <v>2011</v>
      </c>
      <c r="B772">
        <v>19242</v>
      </c>
      <c r="C772" t="s">
        <v>1757</v>
      </c>
      <c r="D772" t="s">
        <v>1944</v>
      </c>
      <c r="E772">
        <v>212315</v>
      </c>
      <c r="F772" t="s">
        <v>1830</v>
      </c>
      <c r="G772" t="s">
        <v>1831</v>
      </c>
      <c r="H772" t="s">
        <v>69</v>
      </c>
      <c r="I772" t="s">
        <v>1369</v>
      </c>
      <c r="J772" t="s">
        <v>1370</v>
      </c>
      <c r="K772" t="s">
        <v>1371</v>
      </c>
      <c r="L772" t="s">
        <v>1372</v>
      </c>
      <c r="M772" t="s">
        <v>1373</v>
      </c>
      <c r="N772" t="s">
        <v>1409</v>
      </c>
      <c r="O772" t="s">
        <v>1410</v>
      </c>
      <c r="P772">
        <v>35.569299999999998</v>
      </c>
      <c r="Q772" t="s">
        <v>29</v>
      </c>
      <c r="R772" t="s">
        <v>430</v>
      </c>
      <c r="S772" t="s">
        <v>6937</v>
      </c>
    </row>
    <row r="773" spans="1:19" x14ac:dyDescent="0.25">
      <c r="A773">
        <v>2023</v>
      </c>
      <c r="B773">
        <v>3928</v>
      </c>
      <c r="C773" t="s">
        <v>227</v>
      </c>
      <c r="D773" t="s">
        <v>228</v>
      </c>
      <c r="E773">
        <v>324110</v>
      </c>
      <c r="F773" t="s">
        <v>196</v>
      </c>
      <c r="G773" t="s">
        <v>96</v>
      </c>
      <c r="H773" t="s">
        <v>79</v>
      </c>
      <c r="I773" t="s">
        <v>1406</v>
      </c>
      <c r="J773" t="s">
        <v>1407</v>
      </c>
      <c r="K773" t="s">
        <v>1408</v>
      </c>
      <c r="L773" t="s">
        <v>1372</v>
      </c>
      <c r="M773" t="s">
        <v>1373</v>
      </c>
      <c r="N773" t="s">
        <v>1374</v>
      </c>
      <c r="O773" t="s">
        <v>1375</v>
      </c>
      <c r="P773">
        <v>0.109</v>
      </c>
      <c r="Q773" t="s">
        <v>29</v>
      </c>
      <c r="R773" t="s">
        <v>124</v>
      </c>
      <c r="S773" t="s">
        <v>6937</v>
      </c>
    </row>
    <row r="774" spans="1:19" x14ac:dyDescent="0.25">
      <c r="A774">
        <v>1993</v>
      </c>
      <c r="B774">
        <v>2475</v>
      </c>
      <c r="C774" t="s">
        <v>1945</v>
      </c>
      <c r="D774" t="s">
        <v>1946</v>
      </c>
      <c r="E774">
        <v>325181</v>
      </c>
      <c r="F774" t="s">
        <v>1947</v>
      </c>
      <c r="G774" t="s">
        <v>729</v>
      </c>
      <c r="H774" t="s">
        <v>79</v>
      </c>
      <c r="I774" t="s">
        <v>1948</v>
      </c>
      <c r="J774" t="s">
        <v>1949</v>
      </c>
      <c r="K774" t="s">
        <v>1950</v>
      </c>
      <c r="L774" t="s">
        <v>1372</v>
      </c>
      <c r="M774" t="s">
        <v>1373</v>
      </c>
      <c r="N774" t="s">
        <v>1374</v>
      </c>
      <c r="O774" t="s">
        <v>1375</v>
      </c>
      <c r="P774">
        <v>2.19</v>
      </c>
      <c r="Q774" t="s">
        <v>29</v>
      </c>
      <c r="R774" t="s">
        <v>442</v>
      </c>
      <c r="S774" t="s">
        <v>6937</v>
      </c>
    </row>
    <row r="775" spans="1:19" x14ac:dyDescent="0.25">
      <c r="A775">
        <v>2013</v>
      </c>
      <c r="B775">
        <v>8028</v>
      </c>
      <c r="C775" t="s">
        <v>1951</v>
      </c>
      <c r="D775" t="s">
        <v>1952</v>
      </c>
      <c r="E775">
        <v>212395</v>
      </c>
      <c r="F775" t="s">
        <v>1953</v>
      </c>
      <c r="G775" t="s">
        <v>1954</v>
      </c>
      <c r="H775" t="s">
        <v>483</v>
      </c>
      <c r="I775" t="s">
        <v>1441</v>
      </c>
      <c r="J775" t="s">
        <v>1442</v>
      </c>
      <c r="K775" t="s">
        <v>1443</v>
      </c>
      <c r="L775" t="s">
        <v>1372</v>
      </c>
      <c r="M775" t="s">
        <v>1373</v>
      </c>
      <c r="N775" t="s">
        <v>1520</v>
      </c>
      <c r="O775" t="s">
        <v>1521</v>
      </c>
      <c r="P775">
        <v>14.423</v>
      </c>
      <c r="Q775" t="s">
        <v>29</v>
      </c>
      <c r="R775" t="s">
        <v>30</v>
      </c>
      <c r="S775" t="s">
        <v>6937</v>
      </c>
    </row>
    <row r="776" spans="1:19" x14ac:dyDescent="0.25">
      <c r="A776">
        <v>2009</v>
      </c>
      <c r="B776">
        <v>3962</v>
      </c>
      <c r="C776" t="s">
        <v>1955</v>
      </c>
      <c r="D776" t="s">
        <v>1956</v>
      </c>
      <c r="E776">
        <v>324110</v>
      </c>
      <c r="F776" t="s">
        <v>95</v>
      </c>
      <c r="G776" t="s">
        <v>96</v>
      </c>
      <c r="H776" t="s">
        <v>21</v>
      </c>
      <c r="I776" t="s">
        <v>1050</v>
      </c>
      <c r="J776" t="s">
        <v>1051</v>
      </c>
      <c r="K776" t="s">
        <v>1052</v>
      </c>
      <c r="L776" t="s">
        <v>1372</v>
      </c>
      <c r="M776" t="s">
        <v>1373</v>
      </c>
      <c r="N776" t="s">
        <v>1374</v>
      </c>
      <c r="O776" t="s">
        <v>1375</v>
      </c>
      <c r="P776">
        <v>7.2999999999999995E-2</v>
      </c>
      <c r="Q776" t="s">
        <v>40</v>
      </c>
      <c r="R776" t="s">
        <v>430</v>
      </c>
      <c r="S776" t="s">
        <v>6937</v>
      </c>
    </row>
    <row r="777" spans="1:19" x14ac:dyDescent="0.25">
      <c r="A777">
        <v>2021</v>
      </c>
      <c r="B777">
        <v>6552</v>
      </c>
      <c r="C777" t="s">
        <v>1957</v>
      </c>
      <c r="D777" t="s">
        <v>1958</v>
      </c>
      <c r="E777">
        <v>311119</v>
      </c>
      <c r="F777" t="s">
        <v>1959</v>
      </c>
      <c r="G777" t="s">
        <v>1960</v>
      </c>
      <c r="H777" t="s">
        <v>54</v>
      </c>
      <c r="I777" t="s">
        <v>1369</v>
      </c>
      <c r="J777" t="s">
        <v>1370</v>
      </c>
      <c r="K777" t="s">
        <v>1371</v>
      </c>
      <c r="L777" t="s">
        <v>1372</v>
      </c>
      <c r="M777" t="s">
        <v>1373</v>
      </c>
      <c r="N777" t="s">
        <v>1409</v>
      </c>
      <c r="O777" t="s">
        <v>1410</v>
      </c>
      <c r="P777">
        <v>3.2465999999999999</v>
      </c>
      <c r="Q777" t="s">
        <v>29</v>
      </c>
      <c r="R777" t="s">
        <v>30</v>
      </c>
      <c r="S777" t="s">
        <v>6937</v>
      </c>
    </row>
    <row r="778" spans="1:19" x14ac:dyDescent="0.25">
      <c r="A778">
        <v>1999</v>
      </c>
      <c r="B778">
        <v>2120</v>
      </c>
      <c r="C778" t="s">
        <v>1961</v>
      </c>
      <c r="D778" t="s">
        <v>1962</v>
      </c>
      <c r="E778">
        <v>211113</v>
      </c>
      <c r="F778" t="s">
        <v>425</v>
      </c>
      <c r="G778" t="s">
        <v>426</v>
      </c>
      <c r="H778" t="s">
        <v>85</v>
      </c>
      <c r="I778" t="s">
        <v>923</v>
      </c>
      <c r="J778" t="s">
        <v>924</v>
      </c>
      <c r="K778" t="s">
        <v>924</v>
      </c>
      <c r="L778" t="s">
        <v>1372</v>
      </c>
      <c r="M778" t="s">
        <v>1373</v>
      </c>
      <c r="N778" t="s">
        <v>1409</v>
      </c>
      <c r="O778" t="s">
        <v>1410</v>
      </c>
      <c r="P778">
        <v>4.3999999999999997E-2</v>
      </c>
      <c r="Q778" t="s">
        <v>29</v>
      </c>
      <c r="R778" t="s">
        <v>204</v>
      </c>
      <c r="S778" t="s">
        <v>6937</v>
      </c>
    </row>
    <row r="779" spans="1:19" x14ac:dyDescent="0.25">
      <c r="A779">
        <v>1998</v>
      </c>
      <c r="B779">
        <v>3713</v>
      </c>
      <c r="C779" t="s">
        <v>334</v>
      </c>
      <c r="E779">
        <v>331110</v>
      </c>
      <c r="F779" t="s">
        <v>335</v>
      </c>
      <c r="G779" t="s">
        <v>336</v>
      </c>
      <c r="H779" t="s">
        <v>21</v>
      </c>
      <c r="I779" t="s">
        <v>35</v>
      </c>
      <c r="J779" t="s">
        <v>36</v>
      </c>
      <c r="K779" t="s">
        <v>37</v>
      </c>
      <c r="L779" t="s">
        <v>1372</v>
      </c>
      <c r="M779" t="s">
        <v>1373</v>
      </c>
      <c r="N779" t="s">
        <v>1409</v>
      </c>
      <c r="O779" t="s">
        <v>1410</v>
      </c>
      <c r="P779">
        <v>0.33</v>
      </c>
      <c r="Q779" t="s">
        <v>29</v>
      </c>
      <c r="R779" t="s">
        <v>30</v>
      </c>
      <c r="S779" t="s">
        <v>6937</v>
      </c>
    </row>
    <row r="780" spans="1:19" x14ac:dyDescent="0.25">
      <c r="A780">
        <v>2020</v>
      </c>
      <c r="B780">
        <v>30943</v>
      </c>
      <c r="C780" t="s">
        <v>1963</v>
      </c>
      <c r="D780" t="s">
        <v>1964</v>
      </c>
      <c r="E780">
        <v>311814</v>
      </c>
      <c r="F780" t="s">
        <v>1965</v>
      </c>
      <c r="G780" t="s">
        <v>1772</v>
      </c>
      <c r="H780" t="s">
        <v>21</v>
      </c>
      <c r="I780" t="s">
        <v>1421</v>
      </c>
      <c r="J780" t="s">
        <v>1422</v>
      </c>
      <c r="K780" t="s">
        <v>1423</v>
      </c>
      <c r="L780" t="s">
        <v>1372</v>
      </c>
      <c r="M780" t="s">
        <v>1373</v>
      </c>
      <c r="N780" t="s">
        <v>1374</v>
      </c>
      <c r="O780" t="s">
        <v>1375</v>
      </c>
      <c r="P780">
        <v>5.6499999999999996E-3</v>
      </c>
      <c r="Q780" t="s">
        <v>29</v>
      </c>
      <c r="R780" t="s">
        <v>430</v>
      </c>
      <c r="S780" t="s">
        <v>6937</v>
      </c>
    </row>
    <row r="781" spans="1:19" x14ac:dyDescent="0.25">
      <c r="A781">
        <v>2022</v>
      </c>
      <c r="B781">
        <v>22587</v>
      </c>
      <c r="C781" t="s">
        <v>1800</v>
      </c>
      <c r="D781" t="s">
        <v>1966</v>
      </c>
      <c r="E781">
        <v>418390</v>
      </c>
      <c r="F781" t="s">
        <v>1802</v>
      </c>
      <c r="G781" t="s">
        <v>1803</v>
      </c>
      <c r="H781" t="s">
        <v>243</v>
      </c>
      <c r="I781" t="s">
        <v>1487</v>
      </c>
      <c r="J781" t="s">
        <v>1488</v>
      </c>
      <c r="K781" t="s">
        <v>1489</v>
      </c>
      <c r="L781" t="s">
        <v>1372</v>
      </c>
      <c r="M781" t="s">
        <v>1373</v>
      </c>
      <c r="N781" t="s">
        <v>1409</v>
      </c>
      <c r="O781" t="s">
        <v>1410</v>
      </c>
      <c r="P781">
        <v>29.678000000000001</v>
      </c>
      <c r="Q781" t="s">
        <v>29</v>
      </c>
      <c r="R781" t="s">
        <v>30</v>
      </c>
      <c r="S781" t="s">
        <v>6937</v>
      </c>
    </row>
    <row r="782" spans="1:19" x14ac:dyDescent="0.25">
      <c r="A782">
        <v>2004</v>
      </c>
      <c r="B782">
        <v>7228</v>
      </c>
      <c r="C782" t="s">
        <v>1967</v>
      </c>
      <c r="D782" t="s">
        <v>1968</v>
      </c>
      <c r="E782">
        <v>221112</v>
      </c>
      <c r="F782" t="s">
        <v>134</v>
      </c>
      <c r="G782" t="s">
        <v>135</v>
      </c>
      <c r="H782" t="s">
        <v>21</v>
      </c>
      <c r="I782" t="s">
        <v>1421</v>
      </c>
      <c r="J782" t="s">
        <v>1422</v>
      </c>
      <c r="K782" t="s">
        <v>1423</v>
      </c>
      <c r="L782" t="s">
        <v>1372</v>
      </c>
      <c r="M782" t="s">
        <v>1373</v>
      </c>
      <c r="N782" t="s">
        <v>1374</v>
      </c>
      <c r="O782" t="s">
        <v>1375</v>
      </c>
      <c r="P782">
        <v>0.58599999999999997</v>
      </c>
      <c r="Q782" t="s">
        <v>29</v>
      </c>
      <c r="R782" t="s">
        <v>430</v>
      </c>
      <c r="S782" t="s">
        <v>6937</v>
      </c>
    </row>
    <row r="783" spans="1:19" x14ac:dyDescent="0.25">
      <c r="A783">
        <v>2013</v>
      </c>
      <c r="B783">
        <v>15180</v>
      </c>
      <c r="C783" t="s">
        <v>231</v>
      </c>
      <c r="D783" t="s">
        <v>1969</v>
      </c>
      <c r="E783">
        <v>211113</v>
      </c>
      <c r="F783" t="s">
        <v>786</v>
      </c>
      <c r="G783" t="s">
        <v>426</v>
      </c>
      <c r="H783" t="s">
        <v>85</v>
      </c>
      <c r="I783" t="s">
        <v>1533</v>
      </c>
      <c r="J783" t="s">
        <v>1534</v>
      </c>
      <c r="K783" t="s">
        <v>1535</v>
      </c>
      <c r="L783" t="s">
        <v>1372</v>
      </c>
      <c r="M783" t="s">
        <v>1373</v>
      </c>
      <c r="N783" t="s">
        <v>1374</v>
      </c>
      <c r="O783" t="s">
        <v>1375</v>
      </c>
      <c r="P783">
        <v>68.259</v>
      </c>
      <c r="Q783" t="s">
        <v>29</v>
      </c>
      <c r="R783" t="s">
        <v>430</v>
      </c>
      <c r="S783" t="s">
        <v>6937</v>
      </c>
    </row>
    <row r="784" spans="1:19" x14ac:dyDescent="0.25">
      <c r="A784">
        <v>2000</v>
      </c>
      <c r="B784">
        <v>5650</v>
      </c>
      <c r="C784" t="s">
        <v>1970</v>
      </c>
      <c r="D784" t="s">
        <v>1971</v>
      </c>
      <c r="E784">
        <v>323119</v>
      </c>
      <c r="F784" t="s">
        <v>919</v>
      </c>
      <c r="G784" t="s">
        <v>920</v>
      </c>
      <c r="H784" t="s">
        <v>21</v>
      </c>
      <c r="I784" t="s">
        <v>264</v>
      </c>
      <c r="J784" t="s">
        <v>265</v>
      </c>
      <c r="K784" t="s">
        <v>266</v>
      </c>
      <c r="L784" t="s">
        <v>1372</v>
      </c>
      <c r="M784" t="s">
        <v>1373</v>
      </c>
      <c r="N784" t="s">
        <v>1374</v>
      </c>
      <c r="O784" t="s">
        <v>1375</v>
      </c>
      <c r="P784">
        <v>0.05</v>
      </c>
      <c r="Q784" t="s">
        <v>29</v>
      </c>
      <c r="R784" t="s">
        <v>30</v>
      </c>
      <c r="S784" t="s">
        <v>6937</v>
      </c>
    </row>
    <row r="785" spans="1:19" x14ac:dyDescent="0.25">
      <c r="A785">
        <v>2020</v>
      </c>
      <c r="B785">
        <v>7659</v>
      </c>
      <c r="C785" t="s">
        <v>1972</v>
      </c>
      <c r="D785" t="s">
        <v>1973</v>
      </c>
      <c r="E785">
        <v>411120</v>
      </c>
      <c r="F785" t="s">
        <v>1974</v>
      </c>
      <c r="G785" t="s">
        <v>1975</v>
      </c>
      <c r="H785" t="s">
        <v>21</v>
      </c>
      <c r="I785" t="s">
        <v>1369</v>
      </c>
      <c r="J785" t="s">
        <v>1370</v>
      </c>
      <c r="K785" t="s">
        <v>1371</v>
      </c>
      <c r="L785" t="s">
        <v>1372</v>
      </c>
      <c r="M785" t="s">
        <v>1373</v>
      </c>
      <c r="N785" t="s">
        <v>1399</v>
      </c>
      <c r="O785" t="s">
        <v>1400</v>
      </c>
      <c r="P785">
        <v>3.6219999999999999</v>
      </c>
      <c r="Q785" t="s">
        <v>29</v>
      </c>
      <c r="R785" t="s">
        <v>430</v>
      </c>
      <c r="S785" t="s">
        <v>6937</v>
      </c>
    </row>
    <row r="786" spans="1:19" x14ac:dyDescent="0.25">
      <c r="A786">
        <v>2014</v>
      </c>
      <c r="B786">
        <v>3897</v>
      </c>
      <c r="C786" t="s">
        <v>1250</v>
      </c>
      <c r="D786" t="s">
        <v>275</v>
      </c>
      <c r="E786">
        <v>324110</v>
      </c>
      <c r="F786" t="s">
        <v>196</v>
      </c>
      <c r="G786" t="s">
        <v>96</v>
      </c>
      <c r="H786" t="s">
        <v>79</v>
      </c>
      <c r="I786" t="s">
        <v>324</v>
      </c>
      <c r="J786" t="s">
        <v>325</v>
      </c>
      <c r="K786" t="s">
        <v>326</v>
      </c>
      <c r="L786" t="s">
        <v>1378</v>
      </c>
      <c r="M786" t="s">
        <v>1379</v>
      </c>
      <c r="N786" t="s">
        <v>1380</v>
      </c>
      <c r="O786" t="s">
        <v>1381</v>
      </c>
      <c r="P786">
        <v>24.94</v>
      </c>
      <c r="Q786" t="s">
        <v>40</v>
      </c>
      <c r="R786" t="s">
        <v>30</v>
      </c>
      <c r="S786" t="s">
        <v>6937</v>
      </c>
    </row>
    <row r="787" spans="1:19" x14ac:dyDescent="0.25">
      <c r="A787">
        <v>2022</v>
      </c>
      <c r="B787">
        <v>30720</v>
      </c>
      <c r="C787" t="s">
        <v>1976</v>
      </c>
      <c r="D787" t="s">
        <v>1977</v>
      </c>
      <c r="E787">
        <v>211110</v>
      </c>
      <c r="F787" t="s">
        <v>233</v>
      </c>
      <c r="G787" t="s">
        <v>234</v>
      </c>
      <c r="H787" t="s">
        <v>243</v>
      </c>
      <c r="I787" t="s">
        <v>1457</v>
      </c>
      <c r="J787" t="s">
        <v>1680</v>
      </c>
      <c r="K787" t="s">
        <v>1681</v>
      </c>
      <c r="L787" t="s">
        <v>1372</v>
      </c>
      <c r="M787" t="s">
        <v>1373</v>
      </c>
      <c r="N787" t="s">
        <v>1399</v>
      </c>
      <c r="O787" t="s">
        <v>1400</v>
      </c>
      <c r="P787">
        <v>20.661000000000001</v>
      </c>
      <c r="Q787" t="s">
        <v>29</v>
      </c>
      <c r="R787" t="s">
        <v>430</v>
      </c>
      <c r="S787" t="s">
        <v>6937</v>
      </c>
    </row>
    <row r="788" spans="1:19" x14ac:dyDescent="0.25">
      <c r="A788">
        <v>2006</v>
      </c>
      <c r="B788">
        <v>1941</v>
      </c>
      <c r="C788" t="s">
        <v>1978</v>
      </c>
      <c r="D788" t="s">
        <v>1979</v>
      </c>
      <c r="E788">
        <v>212220</v>
      </c>
      <c r="F788" t="s">
        <v>1980</v>
      </c>
      <c r="G788" t="s">
        <v>1620</v>
      </c>
      <c r="H788" t="s">
        <v>21</v>
      </c>
      <c r="I788" t="s">
        <v>86</v>
      </c>
      <c r="J788" t="s">
        <v>87</v>
      </c>
      <c r="K788" t="s">
        <v>88</v>
      </c>
      <c r="L788" t="s">
        <v>1372</v>
      </c>
      <c r="M788" t="s">
        <v>1373</v>
      </c>
      <c r="N788" t="s">
        <v>1409</v>
      </c>
      <c r="O788" t="s">
        <v>1410</v>
      </c>
      <c r="P788">
        <v>0.1</v>
      </c>
      <c r="Q788" t="s">
        <v>29</v>
      </c>
      <c r="R788" t="s">
        <v>30</v>
      </c>
      <c r="S788" t="s">
        <v>6937</v>
      </c>
    </row>
    <row r="789" spans="1:19" x14ac:dyDescent="0.25">
      <c r="A789">
        <v>2010</v>
      </c>
      <c r="B789">
        <v>10019</v>
      </c>
      <c r="C789" t="s">
        <v>1981</v>
      </c>
      <c r="D789" t="s">
        <v>1982</v>
      </c>
      <c r="E789">
        <v>212323</v>
      </c>
      <c r="F789" t="s">
        <v>1497</v>
      </c>
      <c r="G789" t="s">
        <v>1498</v>
      </c>
      <c r="H789" t="s">
        <v>21</v>
      </c>
      <c r="I789" t="s">
        <v>1487</v>
      </c>
      <c r="J789" t="s">
        <v>1488</v>
      </c>
      <c r="K789" t="s">
        <v>1489</v>
      </c>
      <c r="L789" t="s">
        <v>1372</v>
      </c>
      <c r="M789" t="s">
        <v>1373</v>
      </c>
      <c r="N789" t="s">
        <v>1390</v>
      </c>
      <c r="O789" t="s">
        <v>1391</v>
      </c>
      <c r="P789">
        <v>137.477</v>
      </c>
      <c r="Q789" t="s">
        <v>29</v>
      </c>
      <c r="R789" t="s">
        <v>430</v>
      </c>
      <c r="S789" t="s">
        <v>6937</v>
      </c>
    </row>
    <row r="790" spans="1:19" x14ac:dyDescent="0.25">
      <c r="A790">
        <v>2008</v>
      </c>
      <c r="B790">
        <v>17813</v>
      </c>
      <c r="C790" t="s">
        <v>1569</v>
      </c>
      <c r="D790" t="s">
        <v>1983</v>
      </c>
      <c r="E790">
        <v>211113</v>
      </c>
      <c r="F790" t="s">
        <v>425</v>
      </c>
      <c r="G790" t="s">
        <v>426</v>
      </c>
      <c r="H790" t="s">
        <v>243</v>
      </c>
      <c r="I790" t="s">
        <v>1369</v>
      </c>
      <c r="J790" t="s">
        <v>1370</v>
      </c>
      <c r="K790" t="s">
        <v>1371</v>
      </c>
      <c r="L790" t="s">
        <v>1372</v>
      </c>
      <c r="M790" t="s">
        <v>1373</v>
      </c>
      <c r="N790" t="s">
        <v>1374</v>
      </c>
      <c r="O790" t="s">
        <v>1375</v>
      </c>
      <c r="P790">
        <v>1.6160000000000001</v>
      </c>
      <c r="Q790" t="s">
        <v>29</v>
      </c>
      <c r="R790" t="s">
        <v>430</v>
      </c>
      <c r="S790" t="s">
        <v>6937</v>
      </c>
    </row>
    <row r="791" spans="1:19" x14ac:dyDescent="0.25">
      <c r="A791">
        <v>2004</v>
      </c>
      <c r="B791">
        <v>10198</v>
      </c>
      <c r="C791" t="s">
        <v>1984</v>
      </c>
      <c r="D791" t="s">
        <v>1985</v>
      </c>
      <c r="E791">
        <v>212315</v>
      </c>
      <c r="F791" t="s">
        <v>1830</v>
      </c>
      <c r="G791" t="s">
        <v>1831</v>
      </c>
      <c r="H791" t="s">
        <v>21</v>
      </c>
      <c r="I791" t="s">
        <v>1421</v>
      </c>
      <c r="J791" t="s">
        <v>1422</v>
      </c>
      <c r="K791" t="s">
        <v>1423</v>
      </c>
      <c r="L791" t="s">
        <v>1372</v>
      </c>
      <c r="M791" t="s">
        <v>1373</v>
      </c>
      <c r="N791" t="s">
        <v>1374</v>
      </c>
      <c r="O791" t="s">
        <v>1375</v>
      </c>
      <c r="P791">
        <v>1.655</v>
      </c>
      <c r="Q791" t="s">
        <v>29</v>
      </c>
      <c r="R791" t="s">
        <v>157</v>
      </c>
      <c r="S791" t="s">
        <v>6937</v>
      </c>
    </row>
    <row r="792" spans="1:19" x14ac:dyDescent="0.25">
      <c r="A792">
        <v>2014</v>
      </c>
      <c r="B792">
        <v>2173</v>
      </c>
      <c r="C792" t="s">
        <v>1986</v>
      </c>
      <c r="D792" t="s">
        <v>1987</v>
      </c>
      <c r="E792">
        <v>322122</v>
      </c>
      <c r="F792" t="s">
        <v>1061</v>
      </c>
      <c r="G792" t="s">
        <v>1062</v>
      </c>
      <c r="H792" t="s">
        <v>21</v>
      </c>
      <c r="I792" t="s">
        <v>504</v>
      </c>
      <c r="J792" t="s">
        <v>505</v>
      </c>
      <c r="K792" t="s">
        <v>506</v>
      </c>
      <c r="L792" t="s">
        <v>1378</v>
      </c>
      <c r="M792" t="s">
        <v>1379</v>
      </c>
      <c r="N792" t="s">
        <v>1380</v>
      </c>
      <c r="O792" t="s">
        <v>1381</v>
      </c>
      <c r="P792">
        <v>1.4330000000000001</v>
      </c>
      <c r="Q792" t="s">
        <v>29</v>
      </c>
      <c r="R792" t="s">
        <v>124</v>
      </c>
      <c r="S792" t="s">
        <v>6937</v>
      </c>
    </row>
    <row r="793" spans="1:19" x14ac:dyDescent="0.25">
      <c r="A793">
        <v>2000</v>
      </c>
      <c r="B793">
        <v>3292</v>
      </c>
      <c r="C793" t="s">
        <v>1988</v>
      </c>
      <c r="D793" t="s">
        <v>1989</v>
      </c>
      <c r="E793">
        <v>322130</v>
      </c>
      <c r="F793" t="s">
        <v>1645</v>
      </c>
      <c r="G793" t="s">
        <v>1646</v>
      </c>
      <c r="H793" t="s">
        <v>79</v>
      </c>
      <c r="I793" t="s">
        <v>86</v>
      </c>
      <c r="J793" t="s">
        <v>87</v>
      </c>
      <c r="K793" t="s">
        <v>88</v>
      </c>
      <c r="L793" t="s">
        <v>1372</v>
      </c>
      <c r="M793" t="s">
        <v>1373</v>
      </c>
      <c r="N793" t="s">
        <v>1374</v>
      </c>
      <c r="O793" t="s">
        <v>1375</v>
      </c>
      <c r="P793">
        <v>12.9</v>
      </c>
      <c r="Q793" t="s">
        <v>29</v>
      </c>
      <c r="R793" t="s">
        <v>204</v>
      </c>
      <c r="S793" t="s">
        <v>6937</v>
      </c>
    </row>
    <row r="794" spans="1:19" x14ac:dyDescent="0.25">
      <c r="A794">
        <v>2022</v>
      </c>
      <c r="B794">
        <v>33007</v>
      </c>
      <c r="C794" t="s">
        <v>1990</v>
      </c>
      <c r="D794" t="s">
        <v>1991</v>
      </c>
      <c r="E794">
        <v>211110</v>
      </c>
      <c r="F794" t="s">
        <v>233</v>
      </c>
      <c r="G794" t="s">
        <v>234</v>
      </c>
      <c r="H794" t="s">
        <v>85</v>
      </c>
      <c r="I794" t="s">
        <v>1457</v>
      </c>
      <c r="J794" t="s">
        <v>1680</v>
      </c>
      <c r="K794" t="s">
        <v>1681</v>
      </c>
      <c r="L794" t="s">
        <v>1372</v>
      </c>
      <c r="M794" t="s">
        <v>1373</v>
      </c>
      <c r="N794" t="s">
        <v>1374</v>
      </c>
      <c r="O794" t="s">
        <v>1375</v>
      </c>
      <c r="P794">
        <v>1.4092</v>
      </c>
      <c r="Q794" t="s">
        <v>29</v>
      </c>
      <c r="R794" t="s">
        <v>430</v>
      </c>
      <c r="S794" t="s">
        <v>6937</v>
      </c>
    </row>
    <row r="795" spans="1:19" x14ac:dyDescent="0.25">
      <c r="A795">
        <v>2007</v>
      </c>
      <c r="B795">
        <v>1147</v>
      </c>
      <c r="C795" t="s">
        <v>1992</v>
      </c>
      <c r="D795" t="s">
        <v>1993</v>
      </c>
      <c r="E795">
        <v>212291</v>
      </c>
      <c r="F795" t="s">
        <v>1994</v>
      </c>
      <c r="G795" t="s">
        <v>242</v>
      </c>
      <c r="H795" t="s">
        <v>243</v>
      </c>
      <c r="I795" t="s">
        <v>1421</v>
      </c>
      <c r="J795" t="s">
        <v>1422</v>
      </c>
      <c r="K795" t="s">
        <v>1423</v>
      </c>
      <c r="L795" t="s">
        <v>1372</v>
      </c>
      <c r="M795" t="s">
        <v>1373</v>
      </c>
      <c r="N795" t="s">
        <v>1390</v>
      </c>
      <c r="O795" t="s">
        <v>1391</v>
      </c>
      <c r="P795">
        <v>13.997</v>
      </c>
      <c r="Q795" t="s">
        <v>29</v>
      </c>
      <c r="R795" t="s">
        <v>430</v>
      </c>
      <c r="S795" t="s">
        <v>6937</v>
      </c>
    </row>
    <row r="796" spans="1:19" x14ac:dyDescent="0.25">
      <c r="A796">
        <v>2011</v>
      </c>
      <c r="B796">
        <v>16304</v>
      </c>
      <c r="C796" t="s">
        <v>1995</v>
      </c>
      <c r="D796" t="s">
        <v>1996</v>
      </c>
      <c r="E796">
        <v>211113</v>
      </c>
      <c r="F796" t="s">
        <v>425</v>
      </c>
      <c r="G796" t="s">
        <v>426</v>
      </c>
      <c r="H796" t="s">
        <v>85</v>
      </c>
      <c r="I796" t="s">
        <v>1533</v>
      </c>
      <c r="J796" t="s">
        <v>1534</v>
      </c>
      <c r="K796" t="s">
        <v>1535</v>
      </c>
      <c r="L796" t="s">
        <v>1372</v>
      </c>
      <c r="M796" t="s">
        <v>1373</v>
      </c>
      <c r="N796" t="s">
        <v>1374</v>
      </c>
      <c r="O796" t="s">
        <v>1375</v>
      </c>
      <c r="P796">
        <v>22.324999999999999</v>
      </c>
      <c r="Q796" t="s">
        <v>29</v>
      </c>
      <c r="R796" t="s">
        <v>430</v>
      </c>
      <c r="S796" t="s">
        <v>6937</v>
      </c>
    </row>
    <row r="797" spans="1:19" x14ac:dyDescent="0.25">
      <c r="A797">
        <v>2014</v>
      </c>
      <c r="B797">
        <v>28159</v>
      </c>
      <c r="C797" t="s">
        <v>1997</v>
      </c>
      <c r="D797" t="s">
        <v>1998</v>
      </c>
      <c r="E797">
        <v>211113</v>
      </c>
      <c r="F797" t="s">
        <v>786</v>
      </c>
      <c r="G797" t="s">
        <v>426</v>
      </c>
      <c r="H797" t="s">
        <v>85</v>
      </c>
      <c r="I797" t="s">
        <v>1441</v>
      </c>
      <c r="J797" t="s">
        <v>1442</v>
      </c>
      <c r="K797" t="s">
        <v>1443</v>
      </c>
      <c r="L797" t="s">
        <v>1372</v>
      </c>
      <c r="M797" t="s">
        <v>1373</v>
      </c>
      <c r="N797" t="s">
        <v>1374</v>
      </c>
      <c r="O797" t="s">
        <v>1375</v>
      </c>
      <c r="P797">
        <v>21.498999999999999</v>
      </c>
      <c r="Q797" t="s">
        <v>29</v>
      </c>
      <c r="R797" t="s">
        <v>430</v>
      </c>
      <c r="S797" t="s">
        <v>6937</v>
      </c>
    </row>
    <row r="798" spans="1:19" x14ac:dyDescent="0.25">
      <c r="A798">
        <v>2013</v>
      </c>
      <c r="B798">
        <v>26545</v>
      </c>
      <c r="C798" t="s">
        <v>1999</v>
      </c>
      <c r="D798" t="s">
        <v>2000</v>
      </c>
      <c r="E798">
        <v>211113</v>
      </c>
      <c r="F798" t="s">
        <v>786</v>
      </c>
      <c r="G798" t="s">
        <v>426</v>
      </c>
      <c r="H798" t="s">
        <v>243</v>
      </c>
      <c r="I798" t="s">
        <v>1369</v>
      </c>
      <c r="J798" t="s">
        <v>1370</v>
      </c>
      <c r="K798" t="s">
        <v>1371</v>
      </c>
      <c r="L798" t="s">
        <v>1372</v>
      </c>
      <c r="M798" t="s">
        <v>1373</v>
      </c>
      <c r="N798" t="s">
        <v>1374</v>
      </c>
      <c r="O798" t="s">
        <v>1375</v>
      </c>
      <c r="P798">
        <v>10.916</v>
      </c>
      <c r="Q798" t="s">
        <v>29</v>
      </c>
      <c r="R798" t="s">
        <v>430</v>
      </c>
      <c r="S798" t="s">
        <v>6937</v>
      </c>
    </row>
    <row r="799" spans="1:19" x14ac:dyDescent="0.25">
      <c r="A799">
        <v>2015</v>
      </c>
      <c r="B799">
        <v>11514</v>
      </c>
      <c r="C799" t="s">
        <v>2001</v>
      </c>
      <c r="D799" t="s">
        <v>2002</v>
      </c>
      <c r="E799">
        <v>212232</v>
      </c>
      <c r="F799" t="s">
        <v>2003</v>
      </c>
      <c r="G799" t="s">
        <v>2004</v>
      </c>
      <c r="H799" t="s">
        <v>21</v>
      </c>
      <c r="I799" t="s">
        <v>184</v>
      </c>
      <c r="J799" t="s">
        <v>185</v>
      </c>
      <c r="K799" t="s">
        <v>186</v>
      </c>
      <c r="L799" t="s">
        <v>1372</v>
      </c>
      <c r="M799" t="s">
        <v>1373</v>
      </c>
      <c r="N799" t="s">
        <v>1374</v>
      </c>
      <c r="O799" t="s">
        <v>1375</v>
      </c>
      <c r="P799">
        <v>1E-4</v>
      </c>
      <c r="Q799" t="s">
        <v>29</v>
      </c>
      <c r="R799" t="s">
        <v>50</v>
      </c>
      <c r="S799" t="s">
        <v>6937</v>
      </c>
    </row>
    <row r="800" spans="1:19" x14ac:dyDescent="0.25">
      <c r="A800">
        <v>2023</v>
      </c>
      <c r="B800">
        <v>4097</v>
      </c>
      <c r="C800" t="s">
        <v>2005</v>
      </c>
      <c r="D800" t="s">
        <v>2006</v>
      </c>
      <c r="E800">
        <v>325189</v>
      </c>
      <c r="F800" t="s">
        <v>1660</v>
      </c>
      <c r="G800" t="s">
        <v>1291</v>
      </c>
      <c r="H800" t="s">
        <v>54</v>
      </c>
      <c r="I800" t="s">
        <v>1708</v>
      </c>
      <c r="J800" t="s">
        <v>1709</v>
      </c>
      <c r="K800" t="s">
        <v>1710</v>
      </c>
      <c r="L800" t="s">
        <v>1372</v>
      </c>
      <c r="M800" t="s">
        <v>1373</v>
      </c>
      <c r="N800" t="s">
        <v>1409</v>
      </c>
      <c r="O800" t="s">
        <v>1410</v>
      </c>
      <c r="P800">
        <v>0.372</v>
      </c>
      <c r="Q800" t="s">
        <v>29</v>
      </c>
      <c r="R800" t="s">
        <v>430</v>
      </c>
      <c r="S800" t="s">
        <v>6937</v>
      </c>
    </row>
    <row r="801" spans="1:19" x14ac:dyDescent="0.25">
      <c r="A801">
        <v>2007</v>
      </c>
      <c r="B801">
        <v>15014</v>
      </c>
      <c r="C801" t="s">
        <v>2007</v>
      </c>
      <c r="D801" t="s">
        <v>2008</v>
      </c>
      <c r="E801">
        <v>324121</v>
      </c>
      <c r="F801" t="s">
        <v>2009</v>
      </c>
      <c r="G801" t="s">
        <v>1541</v>
      </c>
      <c r="H801" t="s">
        <v>69</v>
      </c>
      <c r="I801" t="s">
        <v>1369</v>
      </c>
      <c r="J801" t="s">
        <v>1370</v>
      </c>
      <c r="K801" t="s">
        <v>1371</v>
      </c>
      <c r="L801" t="s">
        <v>1372</v>
      </c>
      <c r="M801" t="s">
        <v>1373</v>
      </c>
      <c r="N801" t="s">
        <v>1374</v>
      </c>
      <c r="O801" t="s">
        <v>1375</v>
      </c>
      <c r="P801">
        <v>1.4E-2</v>
      </c>
      <c r="Q801" t="s">
        <v>29</v>
      </c>
      <c r="R801" t="s">
        <v>430</v>
      </c>
      <c r="S801" t="s">
        <v>6937</v>
      </c>
    </row>
    <row r="802" spans="1:19" x14ac:dyDescent="0.25">
      <c r="A802">
        <v>2003</v>
      </c>
      <c r="B802">
        <v>4905</v>
      </c>
      <c r="C802" t="s">
        <v>2010</v>
      </c>
      <c r="D802" t="s">
        <v>933</v>
      </c>
      <c r="E802">
        <v>335920</v>
      </c>
      <c r="F802" t="s">
        <v>566</v>
      </c>
      <c r="G802" t="s">
        <v>567</v>
      </c>
      <c r="H802" t="s">
        <v>79</v>
      </c>
      <c r="I802" t="s">
        <v>152</v>
      </c>
      <c r="J802" t="s">
        <v>153</v>
      </c>
      <c r="K802" t="s">
        <v>154</v>
      </c>
      <c r="L802" t="s">
        <v>1361</v>
      </c>
      <c r="M802" t="s">
        <v>1362</v>
      </c>
      <c r="N802" t="s">
        <v>1363</v>
      </c>
      <c r="O802" t="s">
        <v>1364</v>
      </c>
      <c r="P802">
        <v>1E-3</v>
      </c>
      <c r="Q802" t="s">
        <v>29</v>
      </c>
      <c r="R802" t="s">
        <v>30</v>
      </c>
      <c r="S802" t="s">
        <v>6937</v>
      </c>
    </row>
    <row r="803" spans="1:19" x14ac:dyDescent="0.25">
      <c r="A803">
        <v>2014</v>
      </c>
      <c r="B803">
        <v>5474</v>
      </c>
      <c r="C803" t="s">
        <v>2011</v>
      </c>
      <c r="D803" t="s">
        <v>2012</v>
      </c>
      <c r="E803">
        <v>327310</v>
      </c>
      <c r="F803" t="s">
        <v>1388</v>
      </c>
      <c r="G803" t="s">
        <v>1389</v>
      </c>
      <c r="H803" t="s">
        <v>79</v>
      </c>
      <c r="I803" t="s">
        <v>324</v>
      </c>
      <c r="J803" t="s">
        <v>325</v>
      </c>
      <c r="K803" t="s">
        <v>326</v>
      </c>
      <c r="L803" t="s">
        <v>1378</v>
      </c>
      <c r="M803" t="s">
        <v>1379</v>
      </c>
      <c r="N803" t="s">
        <v>1380</v>
      </c>
      <c r="O803" t="s">
        <v>1381</v>
      </c>
      <c r="P803">
        <v>3.5999999999999999E-3</v>
      </c>
      <c r="Q803" t="s">
        <v>40</v>
      </c>
      <c r="R803" t="s">
        <v>124</v>
      </c>
      <c r="S803" t="s">
        <v>6937</v>
      </c>
    </row>
    <row r="804" spans="1:19" x14ac:dyDescent="0.25">
      <c r="A804">
        <v>2007</v>
      </c>
      <c r="B804">
        <v>3807</v>
      </c>
      <c r="C804" t="s">
        <v>2013</v>
      </c>
      <c r="D804" t="s">
        <v>2014</v>
      </c>
      <c r="E804">
        <v>325313</v>
      </c>
      <c r="F804" t="s">
        <v>1585</v>
      </c>
      <c r="G804" t="s">
        <v>1055</v>
      </c>
      <c r="H804" t="s">
        <v>21</v>
      </c>
      <c r="I804" t="s">
        <v>504</v>
      </c>
      <c r="J804" t="s">
        <v>505</v>
      </c>
      <c r="K804" t="s">
        <v>506</v>
      </c>
      <c r="L804" t="s">
        <v>1372</v>
      </c>
      <c r="M804" t="s">
        <v>1373</v>
      </c>
      <c r="N804" t="s">
        <v>1374</v>
      </c>
      <c r="O804" t="s">
        <v>1375</v>
      </c>
      <c r="P804">
        <v>914.86</v>
      </c>
      <c r="Q804" t="s">
        <v>29</v>
      </c>
      <c r="R804" t="s">
        <v>124</v>
      </c>
      <c r="S804" t="s">
        <v>6937</v>
      </c>
    </row>
    <row r="805" spans="1:19" x14ac:dyDescent="0.25">
      <c r="A805">
        <v>2013</v>
      </c>
      <c r="B805">
        <v>2334</v>
      </c>
      <c r="C805" t="s">
        <v>2015</v>
      </c>
      <c r="D805" t="s">
        <v>2016</v>
      </c>
      <c r="E805">
        <v>418410</v>
      </c>
      <c r="F805" t="s">
        <v>433</v>
      </c>
      <c r="G805" t="s">
        <v>434</v>
      </c>
      <c r="H805" t="s">
        <v>79</v>
      </c>
      <c r="I805" t="s">
        <v>70</v>
      </c>
      <c r="J805" t="s">
        <v>71</v>
      </c>
      <c r="K805" t="s">
        <v>72</v>
      </c>
      <c r="L805" t="s">
        <v>1361</v>
      </c>
      <c r="M805" t="s">
        <v>1362</v>
      </c>
      <c r="N805" t="s">
        <v>1363</v>
      </c>
      <c r="O805" t="s">
        <v>1364</v>
      </c>
      <c r="P805">
        <v>0.19400000000000001</v>
      </c>
      <c r="Q805" t="s">
        <v>29</v>
      </c>
      <c r="R805" t="s">
        <v>30</v>
      </c>
      <c r="S805" t="s">
        <v>6937</v>
      </c>
    </row>
    <row r="806" spans="1:19" x14ac:dyDescent="0.25">
      <c r="A806">
        <v>2010</v>
      </c>
      <c r="B806">
        <v>19410</v>
      </c>
      <c r="C806" t="s">
        <v>1027</v>
      </c>
      <c r="D806" t="s">
        <v>2017</v>
      </c>
      <c r="E806">
        <v>211113</v>
      </c>
      <c r="F806" t="s">
        <v>425</v>
      </c>
      <c r="G806" t="s">
        <v>426</v>
      </c>
      <c r="H806" t="s">
        <v>85</v>
      </c>
      <c r="I806" t="s">
        <v>1369</v>
      </c>
      <c r="J806" t="s">
        <v>1370</v>
      </c>
      <c r="K806" t="s">
        <v>1371</v>
      </c>
      <c r="L806" t="s">
        <v>1372</v>
      </c>
      <c r="M806" t="s">
        <v>1373</v>
      </c>
      <c r="N806" t="s">
        <v>1374</v>
      </c>
      <c r="O806" t="s">
        <v>1375</v>
      </c>
      <c r="P806">
        <v>0.60399999999999998</v>
      </c>
      <c r="Q806" t="s">
        <v>29</v>
      </c>
      <c r="R806" t="s">
        <v>430</v>
      </c>
      <c r="S806" t="s">
        <v>6937</v>
      </c>
    </row>
    <row r="807" spans="1:19" x14ac:dyDescent="0.25">
      <c r="A807">
        <v>2007</v>
      </c>
      <c r="B807">
        <v>7710</v>
      </c>
      <c r="C807" t="s">
        <v>2018</v>
      </c>
      <c r="D807" t="s">
        <v>2019</v>
      </c>
      <c r="E807">
        <v>321111</v>
      </c>
      <c r="F807" t="s">
        <v>1474</v>
      </c>
      <c r="G807" t="s">
        <v>1368</v>
      </c>
      <c r="H807" t="s">
        <v>69</v>
      </c>
      <c r="I807" t="s">
        <v>1441</v>
      </c>
      <c r="J807" t="s">
        <v>1442</v>
      </c>
      <c r="K807" t="s">
        <v>1443</v>
      </c>
      <c r="L807" t="s">
        <v>1372</v>
      </c>
      <c r="M807" t="s">
        <v>1373</v>
      </c>
      <c r="N807" t="s">
        <v>1374</v>
      </c>
      <c r="O807" t="s">
        <v>1375</v>
      </c>
      <c r="P807">
        <v>7804.27</v>
      </c>
      <c r="Q807" t="s">
        <v>29</v>
      </c>
      <c r="R807" t="s">
        <v>430</v>
      </c>
      <c r="S807" t="s">
        <v>6937</v>
      </c>
    </row>
    <row r="808" spans="1:19" x14ac:dyDescent="0.25">
      <c r="A808">
        <v>2005</v>
      </c>
      <c r="B808">
        <v>4</v>
      </c>
      <c r="C808" t="s">
        <v>2020</v>
      </c>
      <c r="D808" t="s">
        <v>2021</v>
      </c>
      <c r="E808">
        <v>322122</v>
      </c>
      <c r="F808" t="s">
        <v>1556</v>
      </c>
      <c r="G808" t="s">
        <v>1062</v>
      </c>
      <c r="H808" t="s">
        <v>54</v>
      </c>
      <c r="I808" t="s">
        <v>136</v>
      </c>
      <c r="J808" t="s">
        <v>137</v>
      </c>
      <c r="K808" t="s">
        <v>138</v>
      </c>
      <c r="L808" t="s">
        <v>1378</v>
      </c>
      <c r="M808" t="s">
        <v>1379</v>
      </c>
      <c r="N808" t="s">
        <v>1380</v>
      </c>
      <c r="O808" t="s">
        <v>1381</v>
      </c>
      <c r="P808">
        <v>3.07</v>
      </c>
      <c r="Q808" t="s">
        <v>29</v>
      </c>
      <c r="R808" t="s">
        <v>124</v>
      </c>
      <c r="S808" t="s">
        <v>6937</v>
      </c>
    </row>
    <row r="809" spans="1:19" x14ac:dyDescent="0.25">
      <c r="A809">
        <v>2018</v>
      </c>
      <c r="B809">
        <v>15716</v>
      </c>
      <c r="C809" t="s">
        <v>1027</v>
      </c>
      <c r="D809" t="s">
        <v>2022</v>
      </c>
      <c r="E809">
        <v>211110</v>
      </c>
      <c r="F809" t="s">
        <v>233</v>
      </c>
      <c r="G809" t="s">
        <v>234</v>
      </c>
      <c r="H809" t="s">
        <v>69</v>
      </c>
      <c r="I809" t="s">
        <v>1487</v>
      </c>
      <c r="J809" t="s">
        <v>1488</v>
      </c>
      <c r="K809" t="s">
        <v>1489</v>
      </c>
      <c r="L809" t="s">
        <v>1372</v>
      </c>
      <c r="M809" t="s">
        <v>1373</v>
      </c>
      <c r="N809" t="s">
        <v>1374</v>
      </c>
      <c r="O809" t="s">
        <v>1375</v>
      </c>
      <c r="P809">
        <v>0.128</v>
      </c>
      <c r="Q809" t="s">
        <v>29</v>
      </c>
      <c r="R809" t="s">
        <v>430</v>
      </c>
      <c r="S809" t="s">
        <v>6937</v>
      </c>
    </row>
    <row r="810" spans="1:19" x14ac:dyDescent="0.25">
      <c r="A810">
        <v>2014</v>
      </c>
      <c r="B810">
        <v>28717</v>
      </c>
      <c r="C810" t="s">
        <v>2023</v>
      </c>
      <c r="D810" t="s">
        <v>2024</v>
      </c>
      <c r="E810">
        <v>211113</v>
      </c>
      <c r="F810" t="s">
        <v>786</v>
      </c>
      <c r="G810" t="s">
        <v>426</v>
      </c>
      <c r="H810" t="s">
        <v>69</v>
      </c>
      <c r="I810" t="s">
        <v>1441</v>
      </c>
      <c r="J810" t="s">
        <v>1442</v>
      </c>
      <c r="K810" t="s">
        <v>1443</v>
      </c>
      <c r="L810" t="s">
        <v>1372</v>
      </c>
      <c r="M810" t="s">
        <v>1373</v>
      </c>
      <c r="N810" t="s">
        <v>1374</v>
      </c>
      <c r="O810" t="s">
        <v>1375</v>
      </c>
      <c r="P810">
        <v>44.871000000000002</v>
      </c>
      <c r="Q810" t="s">
        <v>29</v>
      </c>
      <c r="R810" t="s">
        <v>430</v>
      </c>
      <c r="S810" t="s">
        <v>6937</v>
      </c>
    </row>
    <row r="811" spans="1:19" x14ac:dyDescent="0.25">
      <c r="A811">
        <v>2015</v>
      </c>
      <c r="B811">
        <v>4743</v>
      </c>
      <c r="C811" t="s">
        <v>1446</v>
      </c>
      <c r="D811" t="s">
        <v>1447</v>
      </c>
      <c r="E811">
        <v>221320</v>
      </c>
      <c r="F811" t="s">
        <v>146</v>
      </c>
      <c r="G811" t="s">
        <v>147</v>
      </c>
      <c r="H811" t="s">
        <v>21</v>
      </c>
      <c r="I811" t="s">
        <v>106</v>
      </c>
      <c r="J811" t="s">
        <v>107</v>
      </c>
      <c r="K811" t="s">
        <v>108</v>
      </c>
      <c r="L811" t="s">
        <v>1372</v>
      </c>
      <c r="M811" t="s">
        <v>1373</v>
      </c>
      <c r="N811" t="s">
        <v>1374</v>
      </c>
      <c r="O811" t="s">
        <v>1375</v>
      </c>
      <c r="P811">
        <v>4.6260000000000003</v>
      </c>
      <c r="Q811" t="s">
        <v>40</v>
      </c>
      <c r="R811" t="s">
        <v>124</v>
      </c>
      <c r="S811" t="s">
        <v>6937</v>
      </c>
    </row>
    <row r="812" spans="1:19" x14ac:dyDescent="0.25">
      <c r="A812">
        <v>2020</v>
      </c>
      <c r="B812">
        <v>28320</v>
      </c>
      <c r="C812" t="s">
        <v>1027</v>
      </c>
      <c r="D812" t="s">
        <v>2025</v>
      </c>
      <c r="E812">
        <v>211110</v>
      </c>
      <c r="F812" t="s">
        <v>233</v>
      </c>
      <c r="G812" t="s">
        <v>234</v>
      </c>
      <c r="H812" t="s">
        <v>85</v>
      </c>
      <c r="I812" t="s">
        <v>1487</v>
      </c>
      <c r="J812" t="s">
        <v>1488</v>
      </c>
      <c r="K812" t="s">
        <v>1489</v>
      </c>
      <c r="L812" t="s">
        <v>1372</v>
      </c>
      <c r="M812" t="s">
        <v>1373</v>
      </c>
      <c r="N812" t="s">
        <v>1374</v>
      </c>
      <c r="O812" t="s">
        <v>1375</v>
      </c>
      <c r="P812">
        <v>0.41</v>
      </c>
      <c r="Q812" t="s">
        <v>29</v>
      </c>
      <c r="R812" t="s">
        <v>430</v>
      </c>
      <c r="S812" t="s">
        <v>6937</v>
      </c>
    </row>
    <row r="813" spans="1:19" x14ac:dyDescent="0.25">
      <c r="A813">
        <v>2003</v>
      </c>
      <c r="B813">
        <v>16656</v>
      </c>
      <c r="C813" t="s">
        <v>1439</v>
      </c>
      <c r="D813" t="s">
        <v>2026</v>
      </c>
      <c r="E813">
        <v>211113</v>
      </c>
      <c r="F813" t="s">
        <v>425</v>
      </c>
      <c r="G813" t="s">
        <v>426</v>
      </c>
      <c r="H813" t="s">
        <v>85</v>
      </c>
      <c r="I813" t="s">
        <v>1421</v>
      </c>
      <c r="J813" t="s">
        <v>1422</v>
      </c>
      <c r="K813" t="s">
        <v>1423</v>
      </c>
      <c r="L813" t="s">
        <v>1372</v>
      </c>
      <c r="M813" t="s">
        <v>1373</v>
      </c>
      <c r="N813" t="s">
        <v>1374</v>
      </c>
      <c r="O813" t="s">
        <v>1375</v>
      </c>
      <c r="P813">
        <v>1.21</v>
      </c>
      <c r="Q813" t="s">
        <v>29</v>
      </c>
      <c r="R813" t="s">
        <v>430</v>
      </c>
      <c r="S813" t="s">
        <v>6937</v>
      </c>
    </row>
    <row r="814" spans="1:19" x14ac:dyDescent="0.25">
      <c r="A814">
        <v>2014</v>
      </c>
      <c r="B814">
        <v>27853</v>
      </c>
      <c r="C814" t="s">
        <v>2027</v>
      </c>
      <c r="D814" t="s">
        <v>2028</v>
      </c>
      <c r="E814">
        <v>331313</v>
      </c>
      <c r="F814" t="s">
        <v>1405</v>
      </c>
      <c r="G814" t="s">
        <v>1132</v>
      </c>
      <c r="H814" t="s">
        <v>79</v>
      </c>
      <c r="I814" t="s">
        <v>1413</v>
      </c>
      <c r="J814" t="s">
        <v>1414</v>
      </c>
      <c r="K814" t="s">
        <v>1415</v>
      </c>
      <c r="L814" t="s">
        <v>1372</v>
      </c>
      <c r="M814" t="s">
        <v>1373</v>
      </c>
      <c r="N814" t="s">
        <v>1374</v>
      </c>
      <c r="O814" t="s">
        <v>1375</v>
      </c>
      <c r="P814">
        <v>716.99199999999996</v>
      </c>
      <c r="Q814" t="s">
        <v>29</v>
      </c>
      <c r="R814" t="s">
        <v>50</v>
      </c>
      <c r="S814" t="s">
        <v>6937</v>
      </c>
    </row>
    <row r="815" spans="1:19" x14ac:dyDescent="0.25">
      <c r="A815">
        <v>2023</v>
      </c>
      <c r="B815">
        <v>28540</v>
      </c>
      <c r="C815" t="s">
        <v>2029</v>
      </c>
      <c r="D815" t="s">
        <v>2030</v>
      </c>
      <c r="E815">
        <v>321211</v>
      </c>
      <c r="F815" t="s">
        <v>2031</v>
      </c>
      <c r="G815" t="s">
        <v>2032</v>
      </c>
      <c r="H815" t="s">
        <v>79</v>
      </c>
      <c r="I815" t="s">
        <v>1421</v>
      </c>
      <c r="J815" t="s">
        <v>1422</v>
      </c>
      <c r="K815" t="s">
        <v>1423</v>
      </c>
      <c r="L815" t="s">
        <v>1372</v>
      </c>
      <c r="M815" t="s">
        <v>1373</v>
      </c>
      <c r="N815" t="s">
        <v>1374</v>
      </c>
      <c r="O815" t="s">
        <v>1375</v>
      </c>
      <c r="P815">
        <v>0.15</v>
      </c>
      <c r="Q815" t="s">
        <v>29</v>
      </c>
      <c r="R815" t="s">
        <v>430</v>
      </c>
      <c r="S815" t="s">
        <v>6937</v>
      </c>
    </row>
    <row r="816" spans="1:19" x14ac:dyDescent="0.25">
      <c r="A816">
        <v>2018</v>
      </c>
      <c r="B816">
        <v>5366</v>
      </c>
      <c r="C816" t="s">
        <v>2033</v>
      </c>
      <c r="D816" t="s">
        <v>2034</v>
      </c>
      <c r="E816">
        <v>321111</v>
      </c>
      <c r="F816" t="s">
        <v>1367</v>
      </c>
      <c r="G816" t="s">
        <v>1368</v>
      </c>
      <c r="H816" t="s">
        <v>85</v>
      </c>
      <c r="I816" t="s">
        <v>1441</v>
      </c>
      <c r="J816" t="s">
        <v>1442</v>
      </c>
      <c r="K816" t="s">
        <v>1443</v>
      </c>
      <c r="L816" t="s">
        <v>1372</v>
      </c>
      <c r="M816" t="s">
        <v>1373</v>
      </c>
      <c r="N816" t="s">
        <v>1374</v>
      </c>
      <c r="O816" t="s">
        <v>1375</v>
      </c>
      <c r="P816">
        <v>247.8</v>
      </c>
      <c r="Q816" t="s">
        <v>29</v>
      </c>
      <c r="R816" t="s">
        <v>430</v>
      </c>
      <c r="S816" t="s">
        <v>6937</v>
      </c>
    </row>
    <row r="817" spans="1:19" x14ac:dyDescent="0.25">
      <c r="A817">
        <v>2012</v>
      </c>
      <c r="B817">
        <v>3927</v>
      </c>
      <c r="C817" t="s">
        <v>2035</v>
      </c>
      <c r="D817" t="s">
        <v>2036</v>
      </c>
      <c r="E817">
        <v>336390</v>
      </c>
      <c r="F817" t="s">
        <v>182</v>
      </c>
      <c r="G817" t="s">
        <v>61</v>
      </c>
      <c r="H817" t="s">
        <v>21</v>
      </c>
      <c r="I817" t="s">
        <v>177</v>
      </c>
      <c r="J817" t="s">
        <v>178</v>
      </c>
      <c r="K817" t="s">
        <v>179</v>
      </c>
      <c r="L817" t="s">
        <v>1372</v>
      </c>
      <c r="M817" t="s">
        <v>1373</v>
      </c>
      <c r="N817" t="s">
        <v>1374</v>
      </c>
      <c r="O817" t="s">
        <v>1375</v>
      </c>
      <c r="P817">
        <v>4.1000000000000002E-2</v>
      </c>
      <c r="Q817" t="s">
        <v>29</v>
      </c>
      <c r="R817" t="s">
        <v>30</v>
      </c>
      <c r="S817" t="s">
        <v>6937</v>
      </c>
    </row>
    <row r="818" spans="1:19" x14ac:dyDescent="0.25">
      <c r="A818">
        <v>2016</v>
      </c>
      <c r="B818">
        <v>28047</v>
      </c>
      <c r="C818" t="s">
        <v>1779</v>
      </c>
      <c r="D818" t="s">
        <v>2037</v>
      </c>
      <c r="E818">
        <v>211113</v>
      </c>
      <c r="F818" t="s">
        <v>786</v>
      </c>
      <c r="G818" t="s">
        <v>426</v>
      </c>
      <c r="H818" t="s">
        <v>85</v>
      </c>
      <c r="I818" t="s">
        <v>1369</v>
      </c>
      <c r="J818" t="s">
        <v>1370</v>
      </c>
      <c r="K818" t="s">
        <v>1371</v>
      </c>
      <c r="L818" t="s">
        <v>1372</v>
      </c>
      <c r="M818" t="s">
        <v>1373</v>
      </c>
      <c r="N818" t="s">
        <v>1374</v>
      </c>
      <c r="O818" t="s">
        <v>1375</v>
      </c>
      <c r="P818">
        <v>1.1758999999999999</v>
      </c>
      <c r="Q818" t="s">
        <v>29</v>
      </c>
      <c r="R818" t="s">
        <v>30</v>
      </c>
      <c r="S818" t="s">
        <v>6937</v>
      </c>
    </row>
    <row r="819" spans="1:19" x14ac:dyDescent="0.25">
      <c r="A819">
        <v>2019</v>
      </c>
      <c r="B819">
        <v>28716</v>
      </c>
      <c r="C819" t="s">
        <v>1027</v>
      </c>
      <c r="D819" t="s">
        <v>2038</v>
      </c>
      <c r="E819">
        <v>211110</v>
      </c>
      <c r="F819" t="s">
        <v>233</v>
      </c>
      <c r="G819" t="s">
        <v>234</v>
      </c>
      <c r="H819" t="s">
        <v>85</v>
      </c>
      <c r="I819" t="s">
        <v>1487</v>
      </c>
      <c r="J819" t="s">
        <v>1488</v>
      </c>
      <c r="K819" t="s">
        <v>1489</v>
      </c>
      <c r="L819" t="s">
        <v>1372</v>
      </c>
      <c r="M819" t="s">
        <v>1373</v>
      </c>
      <c r="N819" t="s">
        <v>1374</v>
      </c>
      <c r="O819" t="s">
        <v>1375</v>
      </c>
      <c r="P819">
        <v>0.35299999999999998</v>
      </c>
      <c r="Q819" t="s">
        <v>29</v>
      </c>
      <c r="R819" t="s">
        <v>430</v>
      </c>
      <c r="S819" t="s">
        <v>6937</v>
      </c>
    </row>
    <row r="820" spans="1:19" x14ac:dyDescent="0.25">
      <c r="A820">
        <v>2012</v>
      </c>
      <c r="B820">
        <v>15437</v>
      </c>
      <c r="C820" t="s">
        <v>2039</v>
      </c>
      <c r="D820" t="s">
        <v>2040</v>
      </c>
      <c r="E820">
        <v>221210</v>
      </c>
      <c r="F820" t="s">
        <v>2041</v>
      </c>
      <c r="G820" t="s">
        <v>2042</v>
      </c>
      <c r="H820" t="s">
        <v>85</v>
      </c>
      <c r="I820" t="s">
        <v>1457</v>
      </c>
      <c r="J820" t="s">
        <v>1458</v>
      </c>
      <c r="K820" t="s">
        <v>1459</v>
      </c>
      <c r="L820" t="s">
        <v>1372</v>
      </c>
      <c r="M820" t="s">
        <v>1373</v>
      </c>
      <c r="N820" t="s">
        <v>1374</v>
      </c>
      <c r="O820" t="s">
        <v>1375</v>
      </c>
      <c r="P820">
        <v>7.548</v>
      </c>
      <c r="Q820" t="s">
        <v>29</v>
      </c>
      <c r="R820" t="s">
        <v>430</v>
      </c>
      <c r="S820" t="s">
        <v>6937</v>
      </c>
    </row>
    <row r="821" spans="1:19" x14ac:dyDescent="0.25">
      <c r="A821">
        <v>2022</v>
      </c>
      <c r="B821">
        <v>18480</v>
      </c>
      <c r="C821" t="s">
        <v>2043</v>
      </c>
      <c r="D821" t="s">
        <v>2044</v>
      </c>
      <c r="E821">
        <v>211110</v>
      </c>
      <c r="F821" t="s">
        <v>233</v>
      </c>
      <c r="G821" t="s">
        <v>234</v>
      </c>
      <c r="H821" t="s">
        <v>85</v>
      </c>
      <c r="I821" t="s">
        <v>1457</v>
      </c>
      <c r="J821" t="s">
        <v>1680</v>
      </c>
      <c r="K821" t="s">
        <v>1681</v>
      </c>
      <c r="L821" t="s">
        <v>1372</v>
      </c>
      <c r="M821" t="s">
        <v>1373</v>
      </c>
      <c r="N821" t="s">
        <v>1374</v>
      </c>
      <c r="O821" t="s">
        <v>1375</v>
      </c>
      <c r="P821">
        <v>0.31330000000000002</v>
      </c>
      <c r="Q821" t="s">
        <v>29</v>
      </c>
      <c r="R821" t="s">
        <v>430</v>
      </c>
      <c r="S821" t="s">
        <v>6937</v>
      </c>
    </row>
    <row r="822" spans="1:19" x14ac:dyDescent="0.25">
      <c r="A822">
        <v>2021</v>
      </c>
      <c r="B822">
        <v>5513</v>
      </c>
      <c r="C822" t="s">
        <v>2045</v>
      </c>
      <c r="D822" t="s">
        <v>2046</v>
      </c>
      <c r="E822">
        <v>321211</v>
      </c>
      <c r="F822" t="s">
        <v>2031</v>
      </c>
      <c r="G822" t="s">
        <v>2032</v>
      </c>
      <c r="H822" t="s">
        <v>79</v>
      </c>
      <c r="I822" t="s">
        <v>1421</v>
      </c>
      <c r="J822" t="s">
        <v>1422</v>
      </c>
      <c r="K822" t="s">
        <v>1423</v>
      </c>
      <c r="L822" t="s">
        <v>1372</v>
      </c>
      <c r="M822" t="s">
        <v>1373</v>
      </c>
      <c r="N822" t="s">
        <v>1409</v>
      </c>
      <c r="O822" t="s">
        <v>1410</v>
      </c>
      <c r="P822">
        <v>0.74</v>
      </c>
      <c r="Q822" t="s">
        <v>29</v>
      </c>
      <c r="R822" t="s">
        <v>157</v>
      </c>
      <c r="S822" t="s">
        <v>6937</v>
      </c>
    </row>
    <row r="823" spans="1:19" x14ac:dyDescent="0.25">
      <c r="A823">
        <v>2003</v>
      </c>
      <c r="B823">
        <v>1162</v>
      </c>
      <c r="C823" t="s">
        <v>2047</v>
      </c>
      <c r="D823" t="s">
        <v>1315</v>
      </c>
      <c r="E823">
        <v>325110</v>
      </c>
      <c r="F823" t="s">
        <v>1194</v>
      </c>
      <c r="G823" t="s">
        <v>445</v>
      </c>
      <c r="H823" t="s">
        <v>85</v>
      </c>
      <c r="I823" t="s">
        <v>2048</v>
      </c>
      <c r="J823" t="s">
        <v>2049</v>
      </c>
      <c r="K823" t="s">
        <v>2050</v>
      </c>
      <c r="L823" t="s">
        <v>1372</v>
      </c>
      <c r="M823" t="s">
        <v>1373</v>
      </c>
      <c r="N823" t="s">
        <v>1402</v>
      </c>
      <c r="O823" t="s">
        <v>1403</v>
      </c>
      <c r="P823">
        <v>3.0000000000000001E-3</v>
      </c>
      <c r="Q823" t="s">
        <v>29</v>
      </c>
      <c r="R823" t="s">
        <v>30</v>
      </c>
      <c r="S823" t="s">
        <v>6937</v>
      </c>
    </row>
    <row r="824" spans="1:19" x14ac:dyDescent="0.25">
      <c r="A824">
        <v>2020</v>
      </c>
      <c r="B824">
        <v>27944</v>
      </c>
      <c r="C824" t="s">
        <v>1651</v>
      </c>
      <c r="D824" t="s">
        <v>2051</v>
      </c>
      <c r="E824">
        <v>211110</v>
      </c>
      <c r="F824" t="s">
        <v>233</v>
      </c>
      <c r="G824" t="s">
        <v>234</v>
      </c>
      <c r="H824" t="s">
        <v>85</v>
      </c>
      <c r="I824" t="s">
        <v>1369</v>
      </c>
      <c r="J824" t="s">
        <v>1370</v>
      </c>
      <c r="K824" t="s">
        <v>1371</v>
      </c>
      <c r="L824" t="s">
        <v>1372</v>
      </c>
      <c r="M824" t="s">
        <v>1373</v>
      </c>
      <c r="N824" t="s">
        <v>1374</v>
      </c>
      <c r="O824" t="s">
        <v>1375</v>
      </c>
      <c r="P824">
        <v>0.114</v>
      </c>
      <c r="Q824" t="s">
        <v>29</v>
      </c>
      <c r="R824" t="s">
        <v>430</v>
      </c>
      <c r="S824" t="s">
        <v>6937</v>
      </c>
    </row>
    <row r="825" spans="1:19" x14ac:dyDescent="0.25">
      <c r="A825">
        <v>2012</v>
      </c>
      <c r="B825">
        <v>10215</v>
      </c>
      <c r="C825" t="s">
        <v>125</v>
      </c>
      <c r="D825" t="s">
        <v>1161</v>
      </c>
      <c r="E825">
        <v>412110</v>
      </c>
      <c r="F825" t="s">
        <v>127</v>
      </c>
      <c r="G825" t="s">
        <v>128</v>
      </c>
      <c r="H825" t="s">
        <v>85</v>
      </c>
      <c r="I825" t="s">
        <v>446</v>
      </c>
      <c r="J825" t="s">
        <v>447</v>
      </c>
      <c r="K825" t="s">
        <v>448</v>
      </c>
      <c r="L825" t="s">
        <v>1372</v>
      </c>
      <c r="M825" t="s">
        <v>1373</v>
      </c>
      <c r="N825" t="s">
        <v>1399</v>
      </c>
      <c r="O825" t="s">
        <v>1400</v>
      </c>
      <c r="P825">
        <v>2.0999999999999999E-3</v>
      </c>
      <c r="Q825" t="s">
        <v>40</v>
      </c>
      <c r="R825" t="s">
        <v>430</v>
      </c>
      <c r="S825" t="s">
        <v>6937</v>
      </c>
    </row>
    <row r="826" spans="1:19" x14ac:dyDescent="0.25">
      <c r="A826">
        <v>2001</v>
      </c>
      <c r="B826">
        <v>1785</v>
      </c>
      <c r="C826" t="s">
        <v>413</v>
      </c>
      <c r="D826" t="s">
        <v>2052</v>
      </c>
      <c r="E826">
        <v>325110</v>
      </c>
      <c r="F826" t="s">
        <v>1194</v>
      </c>
      <c r="G826" t="s">
        <v>445</v>
      </c>
      <c r="H826" t="s">
        <v>21</v>
      </c>
      <c r="I826" t="s">
        <v>106</v>
      </c>
      <c r="J826" t="s">
        <v>107</v>
      </c>
      <c r="K826" t="s">
        <v>108</v>
      </c>
      <c r="L826" t="s">
        <v>1372</v>
      </c>
      <c r="M826" t="s">
        <v>1373</v>
      </c>
      <c r="N826" t="s">
        <v>1374</v>
      </c>
      <c r="O826" t="s">
        <v>1375</v>
      </c>
      <c r="P826">
        <v>0.32</v>
      </c>
      <c r="Q826" t="s">
        <v>40</v>
      </c>
      <c r="R826" t="s">
        <v>204</v>
      </c>
      <c r="S826" t="s">
        <v>6937</v>
      </c>
    </row>
    <row r="827" spans="1:19" x14ac:dyDescent="0.25">
      <c r="A827">
        <v>2009</v>
      </c>
      <c r="B827">
        <v>2567</v>
      </c>
      <c r="C827" t="s">
        <v>2053</v>
      </c>
      <c r="D827" t="s">
        <v>2054</v>
      </c>
      <c r="E827">
        <v>326150</v>
      </c>
      <c r="F827" t="s">
        <v>640</v>
      </c>
      <c r="G827" t="s">
        <v>641</v>
      </c>
      <c r="H827" t="s">
        <v>21</v>
      </c>
      <c r="I827" t="s">
        <v>1580</v>
      </c>
      <c r="J827" t="s">
        <v>1581</v>
      </c>
      <c r="K827" t="s">
        <v>1582</v>
      </c>
      <c r="L827" t="s">
        <v>1372</v>
      </c>
      <c r="M827" t="s">
        <v>1373</v>
      </c>
      <c r="N827" t="s">
        <v>1520</v>
      </c>
      <c r="O827" t="s">
        <v>1521</v>
      </c>
      <c r="P827">
        <v>3.1E-2</v>
      </c>
      <c r="Q827" t="s">
        <v>29</v>
      </c>
      <c r="R827" t="s">
        <v>50</v>
      </c>
      <c r="S827" t="s">
        <v>6937</v>
      </c>
    </row>
    <row r="828" spans="1:19" x14ac:dyDescent="0.25">
      <c r="A828">
        <v>2003</v>
      </c>
      <c r="B828">
        <v>10399</v>
      </c>
      <c r="C828" t="s">
        <v>2055</v>
      </c>
      <c r="D828" t="s">
        <v>2056</v>
      </c>
      <c r="E828">
        <v>562210</v>
      </c>
      <c r="F828" t="s">
        <v>52</v>
      </c>
      <c r="G828" t="s">
        <v>53</v>
      </c>
      <c r="H828" t="s">
        <v>21</v>
      </c>
      <c r="I828" t="s">
        <v>1369</v>
      </c>
      <c r="J828" t="s">
        <v>1370</v>
      </c>
      <c r="K828" t="s">
        <v>1371</v>
      </c>
      <c r="L828" t="s">
        <v>1372</v>
      </c>
      <c r="M828" t="s">
        <v>1373</v>
      </c>
      <c r="N828" t="s">
        <v>1374</v>
      </c>
      <c r="O828" t="s">
        <v>1375</v>
      </c>
      <c r="P828">
        <v>2.1000000000000001E-2</v>
      </c>
      <c r="Q828" t="s">
        <v>29</v>
      </c>
      <c r="R828" t="s">
        <v>430</v>
      </c>
      <c r="S828" t="s">
        <v>6937</v>
      </c>
    </row>
    <row r="829" spans="1:19" x14ac:dyDescent="0.25">
      <c r="A829">
        <v>2014</v>
      </c>
      <c r="B829">
        <v>6671</v>
      </c>
      <c r="C829" t="s">
        <v>2057</v>
      </c>
      <c r="D829" t="s">
        <v>2058</v>
      </c>
      <c r="E829">
        <v>212114</v>
      </c>
      <c r="F829" t="s">
        <v>2059</v>
      </c>
      <c r="G829" t="s">
        <v>2060</v>
      </c>
      <c r="H829" t="s">
        <v>69</v>
      </c>
      <c r="I829" t="s">
        <v>1487</v>
      </c>
      <c r="J829" t="s">
        <v>1488</v>
      </c>
      <c r="K829" t="s">
        <v>1489</v>
      </c>
      <c r="L829" t="s">
        <v>1372</v>
      </c>
      <c r="M829" t="s">
        <v>1373</v>
      </c>
      <c r="N829" t="s">
        <v>1390</v>
      </c>
      <c r="O829" t="s">
        <v>1391</v>
      </c>
      <c r="P829">
        <v>2752.05</v>
      </c>
      <c r="Q829" t="s">
        <v>29</v>
      </c>
      <c r="R829" t="s">
        <v>430</v>
      </c>
      <c r="S829" t="s">
        <v>6937</v>
      </c>
    </row>
    <row r="830" spans="1:19" x14ac:dyDescent="0.25">
      <c r="A830">
        <v>2022</v>
      </c>
      <c r="B830">
        <v>2855</v>
      </c>
      <c r="C830" t="s">
        <v>726</v>
      </c>
      <c r="D830" t="s">
        <v>727</v>
      </c>
      <c r="E830">
        <v>325181</v>
      </c>
      <c r="F830" t="s">
        <v>728</v>
      </c>
      <c r="G830" t="s">
        <v>729</v>
      </c>
      <c r="H830" t="s">
        <v>79</v>
      </c>
      <c r="I830" t="s">
        <v>1487</v>
      </c>
      <c r="J830" t="s">
        <v>1488</v>
      </c>
      <c r="K830" t="s">
        <v>1489</v>
      </c>
      <c r="L830" t="s">
        <v>1372</v>
      </c>
      <c r="M830" t="s">
        <v>1373</v>
      </c>
      <c r="N830" t="s">
        <v>1374</v>
      </c>
      <c r="O830" t="s">
        <v>1375</v>
      </c>
      <c r="P830">
        <v>4.9349999999999996</v>
      </c>
      <c r="Q830" t="s">
        <v>29</v>
      </c>
      <c r="R830" t="s">
        <v>430</v>
      </c>
      <c r="S830" t="s">
        <v>6937</v>
      </c>
    </row>
    <row r="831" spans="1:19" x14ac:dyDescent="0.25">
      <c r="A831">
        <v>2014</v>
      </c>
      <c r="B831">
        <v>2233</v>
      </c>
      <c r="C831" t="s">
        <v>2061</v>
      </c>
      <c r="D831" t="s">
        <v>2062</v>
      </c>
      <c r="E831">
        <v>325313</v>
      </c>
      <c r="F831" t="s">
        <v>1054</v>
      </c>
      <c r="G831" t="s">
        <v>1055</v>
      </c>
      <c r="H831" t="s">
        <v>21</v>
      </c>
      <c r="I831" t="s">
        <v>62</v>
      </c>
      <c r="J831" t="s">
        <v>63</v>
      </c>
      <c r="K831" t="s">
        <v>64</v>
      </c>
      <c r="L831" t="s">
        <v>1372</v>
      </c>
      <c r="M831" t="s">
        <v>1373</v>
      </c>
      <c r="N831" t="s">
        <v>1374</v>
      </c>
      <c r="O831" t="s">
        <v>1375</v>
      </c>
      <c r="P831">
        <v>3.2000000000000002E-3</v>
      </c>
      <c r="Q831" t="s">
        <v>29</v>
      </c>
      <c r="R831" t="s">
        <v>430</v>
      </c>
      <c r="S831" t="s">
        <v>6937</v>
      </c>
    </row>
    <row r="832" spans="1:19" x14ac:dyDescent="0.25">
      <c r="A832">
        <v>2009</v>
      </c>
      <c r="B832">
        <v>4808</v>
      </c>
      <c r="C832" t="s">
        <v>1129</v>
      </c>
      <c r="D832" t="s">
        <v>2063</v>
      </c>
      <c r="E832">
        <v>331313</v>
      </c>
      <c r="F832" t="s">
        <v>1131</v>
      </c>
      <c r="G832" t="s">
        <v>1132</v>
      </c>
      <c r="H832" t="s">
        <v>79</v>
      </c>
      <c r="I832" t="s">
        <v>1406</v>
      </c>
      <c r="J832" t="s">
        <v>1407</v>
      </c>
      <c r="K832" t="s">
        <v>1408</v>
      </c>
      <c r="L832" t="s">
        <v>1372</v>
      </c>
      <c r="M832" t="s">
        <v>1373</v>
      </c>
      <c r="N832" t="s">
        <v>1409</v>
      </c>
      <c r="O832" t="s">
        <v>1410</v>
      </c>
      <c r="P832">
        <v>0.36</v>
      </c>
      <c r="Q832" t="s">
        <v>29</v>
      </c>
      <c r="R832" t="s">
        <v>430</v>
      </c>
      <c r="S832" t="s">
        <v>6937</v>
      </c>
    </row>
    <row r="833" spans="1:19" x14ac:dyDescent="0.25">
      <c r="A833">
        <v>2021</v>
      </c>
      <c r="B833">
        <v>6924</v>
      </c>
      <c r="C833" t="s">
        <v>2064</v>
      </c>
      <c r="D833" t="s">
        <v>1222</v>
      </c>
      <c r="E833">
        <v>486110</v>
      </c>
      <c r="F833" t="s">
        <v>1616</v>
      </c>
      <c r="G833" t="s">
        <v>541</v>
      </c>
      <c r="H833" t="s">
        <v>243</v>
      </c>
      <c r="I833" t="s">
        <v>491</v>
      </c>
      <c r="J833" t="s">
        <v>492</v>
      </c>
      <c r="K833" t="s">
        <v>492</v>
      </c>
      <c r="L833" t="s">
        <v>1372</v>
      </c>
      <c r="M833" t="s">
        <v>1373</v>
      </c>
      <c r="N833" t="s">
        <v>1520</v>
      </c>
      <c r="O833" t="s">
        <v>1521</v>
      </c>
      <c r="P833">
        <v>7.22E-2</v>
      </c>
      <c r="Q833" t="s">
        <v>29</v>
      </c>
      <c r="R833" t="s">
        <v>30</v>
      </c>
      <c r="S833" t="s">
        <v>6937</v>
      </c>
    </row>
    <row r="834" spans="1:19" x14ac:dyDescent="0.25">
      <c r="A834">
        <v>2019</v>
      </c>
      <c r="B834">
        <v>21075</v>
      </c>
      <c r="C834" t="s">
        <v>2065</v>
      </c>
      <c r="D834" t="s">
        <v>2066</v>
      </c>
      <c r="E834">
        <v>237310</v>
      </c>
      <c r="F834" t="s">
        <v>2067</v>
      </c>
      <c r="G834" t="s">
        <v>2068</v>
      </c>
      <c r="H834" t="s">
        <v>85</v>
      </c>
      <c r="I834" t="s">
        <v>1441</v>
      </c>
      <c r="J834" t="s">
        <v>1442</v>
      </c>
      <c r="K834" t="s">
        <v>1443</v>
      </c>
      <c r="L834" t="s">
        <v>1372</v>
      </c>
      <c r="M834" t="s">
        <v>1373</v>
      </c>
      <c r="N834" t="s">
        <v>1399</v>
      </c>
      <c r="O834" t="s">
        <v>1400</v>
      </c>
      <c r="P834">
        <v>8.9999999999999993E-3</v>
      </c>
      <c r="Q834" t="s">
        <v>29</v>
      </c>
      <c r="R834" t="s">
        <v>430</v>
      </c>
      <c r="S834" t="s">
        <v>6937</v>
      </c>
    </row>
    <row r="835" spans="1:19" x14ac:dyDescent="0.25">
      <c r="A835">
        <v>2004</v>
      </c>
      <c r="B835">
        <v>7861</v>
      </c>
      <c r="C835" t="s">
        <v>2069</v>
      </c>
      <c r="D835" t="s">
        <v>2070</v>
      </c>
      <c r="E835">
        <v>321212</v>
      </c>
      <c r="F835" t="s">
        <v>2071</v>
      </c>
      <c r="G835" t="s">
        <v>1693</v>
      </c>
      <c r="H835" t="s">
        <v>69</v>
      </c>
      <c r="I835" t="s">
        <v>1413</v>
      </c>
      <c r="J835" t="s">
        <v>1414</v>
      </c>
      <c r="K835" t="s">
        <v>1415</v>
      </c>
      <c r="L835" t="s">
        <v>1372</v>
      </c>
      <c r="M835" t="s">
        <v>1373</v>
      </c>
      <c r="N835" t="s">
        <v>1374</v>
      </c>
      <c r="O835" t="s">
        <v>1375</v>
      </c>
      <c r="P835">
        <v>0.97799999999999998</v>
      </c>
      <c r="Q835" t="s">
        <v>29</v>
      </c>
      <c r="R835" t="s">
        <v>430</v>
      </c>
      <c r="S835" t="s">
        <v>6937</v>
      </c>
    </row>
    <row r="836" spans="1:19" x14ac:dyDescent="0.25">
      <c r="A836">
        <v>2008</v>
      </c>
      <c r="B836">
        <v>3928</v>
      </c>
      <c r="C836" t="s">
        <v>1444</v>
      </c>
      <c r="D836" t="s">
        <v>1445</v>
      </c>
      <c r="E836">
        <v>324110</v>
      </c>
      <c r="F836" t="s">
        <v>95</v>
      </c>
      <c r="G836" t="s">
        <v>96</v>
      </c>
      <c r="H836" t="s">
        <v>79</v>
      </c>
      <c r="I836" t="s">
        <v>1421</v>
      </c>
      <c r="J836" t="s">
        <v>1422</v>
      </c>
      <c r="K836" t="s">
        <v>1423</v>
      </c>
      <c r="L836" t="s">
        <v>1372</v>
      </c>
      <c r="M836" t="s">
        <v>1373</v>
      </c>
      <c r="N836" t="s">
        <v>1409</v>
      </c>
      <c r="O836" t="s">
        <v>1410</v>
      </c>
      <c r="P836">
        <v>4.8899999999999997</v>
      </c>
      <c r="Q836" t="s">
        <v>29</v>
      </c>
      <c r="R836" t="s">
        <v>124</v>
      </c>
      <c r="S836" t="s">
        <v>6937</v>
      </c>
    </row>
    <row r="837" spans="1:19" x14ac:dyDescent="0.25">
      <c r="A837">
        <v>2002</v>
      </c>
      <c r="B837">
        <v>3653</v>
      </c>
      <c r="C837" t="s">
        <v>2072</v>
      </c>
      <c r="D837" t="s">
        <v>2073</v>
      </c>
      <c r="E837">
        <v>332619</v>
      </c>
      <c r="F837" t="s">
        <v>689</v>
      </c>
      <c r="G837" t="s">
        <v>690</v>
      </c>
      <c r="H837" t="s">
        <v>79</v>
      </c>
      <c r="I837" t="s">
        <v>337</v>
      </c>
      <c r="J837" t="s">
        <v>338</v>
      </c>
      <c r="K837" t="s">
        <v>339</v>
      </c>
      <c r="L837" t="s">
        <v>1372</v>
      </c>
      <c r="M837" t="s">
        <v>1373</v>
      </c>
      <c r="N837" t="s">
        <v>1374</v>
      </c>
      <c r="O837" t="s">
        <v>1375</v>
      </c>
      <c r="P837">
        <v>1.2E-2</v>
      </c>
      <c r="Q837" t="s">
        <v>29</v>
      </c>
      <c r="R837" t="s">
        <v>442</v>
      </c>
      <c r="S837" t="s">
        <v>6937</v>
      </c>
    </row>
    <row r="838" spans="1:19" x14ac:dyDescent="0.25">
      <c r="A838">
        <v>2016</v>
      </c>
      <c r="B838">
        <v>27914</v>
      </c>
      <c r="C838" t="s">
        <v>2074</v>
      </c>
      <c r="D838" t="s">
        <v>2075</v>
      </c>
      <c r="E838">
        <v>562210</v>
      </c>
      <c r="F838" t="s">
        <v>84</v>
      </c>
      <c r="G838" t="s">
        <v>53</v>
      </c>
      <c r="H838" t="s">
        <v>69</v>
      </c>
      <c r="I838" t="s">
        <v>1369</v>
      </c>
      <c r="J838" t="s">
        <v>1370</v>
      </c>
      <c r="K838" t="s">
        <v>1371</v>
      </c>
      <c r="L838" t="s">
        <v>1372</v>
      </c>
      <c r="M838" t="s">
        <v>1373</v>
      </c>
      <c r="N838" t="s">
        <v>1390</v>
      </c>
      <c r="O838" t="s">
        <v>1391</v>
      </c>
      <c r="P838">
        <v>60.64</v>
      </c>
      <c r="Q838" t="s">
        <v>29</v>
      </c>
      <c r="R838" t="s">
        <v>430</v>
      </c>
      <c r="S838" t="s">
        <v>6937</v>
      </c>
    </row>
    <row r="839" spans="1:19" x14ac:dyDescent="0.25">
      <c r="A839">
        <v>1996</v>
      </c>
      <c r="B839">
        <v>3385</v>
      </c>
      <c r="C839" t="s">
        <v>2076</v>
      </c>
      <c r="D839" t="s">
        <v>2077</v>
      </c>
      <c r="E839">
        <v>212233</v>
      </c>
      <c r="F839" t="s">
        <v>440</v>
      </c>
      <c r="G839" t="s">
        <v>441</v>
      </c>
      <c r="H839" t="s">
        <v>79</v>
      </c>
      <c r="I839" t="s">
        <v>152</v>
      </c>
      <c r="J839" t="s">
        <v>153</v>
      </c>
      <c r="K839" t="s">
        <v>154</v>
      </c>
      <c r="L839" t="s">
        <v>1378</v>
      </c>
      <c r="M839" t="s">
        <v>1379</v>
      </c>
      <c r="N839" t="s">
        <v>1380</v>
      </c>
      <c r="O839" t="s">
        <v>1381</v>
      </c>
      <c r="P839">
        <v>0.70499999999999996</v>
      </c>
      <c r="Q839" t="s">
        <v>29</v>
      </c>
      <c r="R839" t="s">
        <v>442</v>
      </c>
      <c r="S839" t="s">
        <v>6937</v>
      </c>
    </row>
    <row r="840" spans="1:19" x14ac:dyDescent="0.25">
      <c r="A840">
        <v>2022</v>
      </c>
      <c r="B840">
        <v>1779</v>
      </c>
      <c r="C840" t="s">
        <v>1600</v>
      </c>
      <c r="D840" t="s">
        <v>2078</v>
      </c>
      <c r="E840">
        <v>325110</v>
      </c>
      <c r="F840" t="s">
        <v>444</v>
      </c>
      <c r="G840" t="s">
        <v>445</v>
      </c>
      <c r="H840" t="s">
        <v>85</v>
      </c>
      <c r="I840" t="s">
        <v>2079</v>
      </c>
      <c r="J840" t="s">
        <v>2080</v>
      </c>
      <c r="K840" t="s">
        <v>2081</v>
      </c>
      <c r="L840" t="s">
        <v>1372</v>
      </c>
      <c r="M840" t="s">
        <v>1373</v>
      </c>
      <c r="N840" t="s">
        <v>1409</v>
      </c>
      <c r="O840" t="s">
        <v>1410</v>
      </c>
      <c r="P840">
        <v>1.0152000000000001</v>
      </c>
      <c r="Q840" t="s">
        <v>29</v>
      </c>
      <c r="R840" t="s">
        <v>430</v>
      </c>
      <c r="S840" t="s">
        <v>6937</v>
      </c>
    </row>
    <row r="841" spans="1:19" x14ac:dyDescent="0.25">
      <c r="A841">
        <v>2008</v>
      </c>
      <c r="B841">
        <v>5236</v>
      </c>
      <c r="C841" t="s">
        <v>2082</v>
      </c>
      <c r="D841" t="s">
        <v>2083</v>
      </c>
      <c r="E841">
        <v>212392</v>
      </c>
      <c r="F841" t="s">
        <v>2084</v>
      </c>
      <c r="G841" t="s">
        <v>2085</v>
      </c>
      <c r="H841" t="s">
        <v>379</v>
      </c>
      <c r="I841" t="s">
        <v>1421</v>
      </c>
      <c r="J841" t="s">
        <v>1422</v>
      </c>
      <c r="K841" t="s">
        <v>1423</v>
      </c>
      <c r="L841" t="s">
        <v>1372</v>
      </c>
      <c r="M841" t="s">
        <v>1373</v>
      </c>
      <c r="N841" t="s">
        <v>1390</v>
      </c>
      <c r="O841" t="s">
        <v>1391</v>
      </c>
      <c r="P841">
        <v>13.75</v>
      </c>
      <c r="Q841" t="s">
        <v>29</v>
      </c>
      <c r="R841" t="s">
        <v>30</v>
      </c>
      <c r="S841" t="s">
        <v>6937</v>
      </c>
    </row>
    <row r="842" spans="1:19" x14ac:dyDescent="0.25">
      <c r="A842">
        <v>2022</v>
      </c>
      <c r="B842">
        <v>1748</v>
      </c>
      <c r="C842" t="s">
        <v>2086</v>
      </c>
      <c r="D842" t="s">
        <v>2087</v>
      </c>
      <c r="E842">
        <v>321217</v>
      </c>
      <c r="F842" t="s">
        <v>150</v>
      </c>
      <c r="G842" t="s">
        <v>151</v>
      </c>
      <c r="H842" t="s">
        <v>79</v>
      </c>
      <c r="I842" t="s">
        <v>1487</v>
      </c>
      <c r="J842" t="s">
        <v>1488</v>
      </c>
      <c r="K842" t="s">
        <v>1489</v>
      </c>
      <c r="L842" t="s">
        <v>1372</v>
      </c>
      <c r="M842" t="s">
        <v>1373</v>
      </c>
      <c r="N842" t="s">
        <v>1390</v>
      </c>
      <c r="O842" t="s">
        <v>1391</v>
      </c>
      <c r="P842">
        <v>10.40254</v>
      </c>
      <c r="Q842" t="s">
        <v>29</v>
      </c>
      <c r="R842" t="s">
        <v>430</v>
      </c>
      <c r="S842" t="s">
        <v>6937</v>
      </c>
    </row>
    <row r="843" spans="1:19" x14ac:dyDescent="0.25">
      <c r="A843">
        <v>2002</v>
      </c>
      <c r="B843">
        <v>5169</v>
      </c>
      <c r="C843" t="s">
        <v>2018</v>
      </c>
      <c r="D843" t="s">
        <v>2088</v>
      </c>
      <c r="E843">
        <v>321111</v>
      </c>
      <c r="F843" t="s">
        <v>1474</v>
      </c>
      <c r="G843" t="s">
        <v>1368</v>
      </c>
      <c r="H843" t="s">
        <v>69</v>
      </c>
      <c r="I843" t="s">
        <v>1441</v>
      </c>
      <c r="J843" t="s">
        <v>1442</v>
      </c>
      <c r="K843" t="s">
        <v>1443</v>
      </c>
      <c r="L843" t="s">
        <v>1372</v>
      </c>
      <c r="M843" t="s">
        <v>1373</v>
      </c>
      <c r="N843" t="s">
        <v>1374</v>
      </c>
      <c r="O843" t="s">
        <v>1375</v>
      </c>
      <c r="P843">
        <v>0</v>
      </c>
      <c r="Q843" t="s">
        <v>29</v>
      </c>
      <c r="R843" t="s">
        <v>204</v>
      </c>
      <c r="S843" t="s">
        <v>6937</v>
      </c>
    </row>
    <row r="844" spans="1:19" x14ac:dyDescent="0.25">
      <c r="A844">
        <v>2023</v>
      </c>
      <c r="B844">
        <v>18453</v>
      </c>
      <c r="C844" t="s">
        <v>1027</v>
      </c>
      <c r="D844" t="s">
        <v>2089</v>
      </c>
      <c r="E844">
        <v>211110</v>
      </c>
      <c r="F844" t="s">
        <v>233</v>
      </c>
      <c r="G844" t="s">
        <v>234</v>
      </c>
      <c r="H844" t="s">
        <v>243</v>
      </c>
      <c r="I844" t="s">
        <v>1457</v>
      </c>
      <c r="J844" t="s">
        <v>1680</v>
      </c>
      <c r="K844" t="s">
        <v>1681</v>
      </c>
      <c r="L844" t="s">
        <v>1372</v>
      </c>
      <c r="M844" t="s">
        <v>1373</v>
      </c>
      <c r="N844" t="s">
        <v>1374</v>
      </c>
      <c r="O844" t="s">
        <v>1375</v>
      </c>
      <c r="P844">
        <v>0.12661</v>
      </c>
      <c r="Q844" t="s">
        <v>29</v>
      </c>
      <c r="R844" t="s">
        <v>430</v>
      </c>
      <c r="S844" t="s">
        <v>6937</v>
      </c>
    </row>
    <row r="845" spans="1:19" x14ac:dyDescent="0.25">
      <c r="A845">
        <v>2012</v>
      </c>
      <c r="B845">
        <v>8060</v>
      </c>
      <c r="C845" t="s">
        <v>1043</v>
      </c>
      <c r="D845" t="s">
        <v>1793</v>
      </c>
      <c r="E845">
        <v>211113</v>
      </c>
      <c r="F845" t="s">
        <v>786</v>
      </c>
      <c r="G845" t="s">
        <v>426</v>
      </c>
      <c r="H845" t="s">
        <v>1625</v>
      </c>
      <c r="I845" t="s">
        <v>1457</v>
      </c>
      <c r="J845" t="s">
        <v>1458</v>
      </c>
      <c r="K845" t="s">
        <v>1459</v>
      </c>
      <c r="L845" t="s">
        <v>1372</v>
      </c>
      <c r="M845" t="s">
        <v>1373</v>
      </c>
      <c r="N845" t="s">
        <v>1399</v>
      </c>
      <c r="O845" t="s">
        <v>1400</v>
      </c>
      <c r="P845">
        <v>18.82</v>
      </c>
      <c r="Q845" t="s">
        <v>29</v>
      </c>
      <c r="R845" t="s">
        <v>157</v>
      </c>
      <c r="S845" t="s">
        <v>6937</v>
      </c>
    </row>
    <row r="846" spans="1:19" x14ac:dyDescent="0.25">
      <c r="A846">
        <v>2006</v>
      </c>
      <c r="B846">
        <v>3707</v>
      </c>
      <c r="C846" t="s">
        <v>125</v>
      </c>
      <c r="D846" t="s">
        <v>2090</v>
      </c>
      <c r="E846">
        <v>324110</v>
      </c>
      <c r="F846" t="s">
        <v>95</v>
      </c>
      <c r="G846" t="s">
        <v>96</v>
      </c>
      <c r="H846" t="s">
        <v>85</v>
      </c>
      <c r="I846" t="s">
        <v>703</v>
      </c>
      <c r="J846" t="s">
        <v>1127</v>
      </c>
      <c r="K846" t="s">
        <v>1128</v>
      </c>
      <c r="L846" t="s">
        <v>1372</v>
      </c>
      <c r="M846" t="s">
        <v>1373</v>
      </c>
      <c r="N846" t="s">
        <v>1399</v>
      </c>
      <c r="O846" t="s">
        <v>1400</v>
      </c>
      <c r="P846">
        <v>1E-3</v>
      </c>
      <c r="Q846" t="s">
        <v>29</v>
      </c>
      <c r="R846" t="s">
        <v>157</v>
      </c>
      <c r="S846" t="s">
        <v>6937</v>
      </c>
    </row>
    <row r="847" spans="1:19" x14ac:dyDescent="0.25">
      <c r="A847">
        <v>1995</v>
      </c>
      <c r="B847">
        <v>793</v>
      </c>
      <c r="C847" t="s">
        <v>1578</v>
      </c>
      <c r="D847" t="s">
        <v>1579</v>
      </c>
      <c r="E847">
        <v>325999</v>
      </c>
      <c r="F847" t="s">
        <v>396</v>
      </c>
      <c r="G847" t="s">
        <v>397</v>
      </c>
      <c r="H847" t="s">
        <v>69</v>
      </c>
      <c r="I847" t="s">
        <v>1123</v>
      </c>
      <c r="J847" t="s">
        <v>1124</v>
      </c>
      <c r="K847" t="s">
        <v>1125</v>
      </c>
      <c r="L847" t="s">
        <v>1361</v>
      </c>
      <c r="M847" t="s">
        <v>1362</v>
      </c>
      <c r="N847" t="s">
        <v>1363</v>
      </c>
      <c r="O847" t="s">
        <v>1364</v>
      </c>
      <c r="P847">
        <v>0.1</v>
      </c>
      <c r="Q847" t="s">
        <v>29</v>
      </c>
      <c r="R847" t="s">
        <v>30</v>
      </c>
      <c r="S847" t="s">
        <v>6937</v>
      </c>
    </row>
    <row r="848" spans="1:19" x14ac:dyDescent="0.25">
      <c r="A848">
        <v>2023</v>
      </c>
      <c r="B848">
        <v>800</v>
      </c>
      <c r="C848" t="s">
        <v>1310</v>
      </c>
      <c r="D848" t="s">
        <v>1311</v>
      </c>
      <c r="E848">
        <v>325190</v>
      </c>
      <c r="F848" t="s">
        <v>600</v>
      </c>
      <c r="G848" t="s">
        <v>601</v>
      </c>
      <c r="H848" t="s">
        <v>21</v>
      </c>
      <c r="I848" t="s">
        <v>271</v>
      </c>
      <c r="J848" t="s">
        <v>272</v>
      </c>
      <c r="K848" t="s">
        <v>273</v>
      </c>
      <c r="L848" t="s">
        <v>1372</v>
      </c>
      <c r="M848" t="s">
        <v>1373</v>
      </c>
      <c r="N848" t="s">
        <v>1374</v>
      </c>
      <c r="O848" t="s">
        <v>1375</v>
      </c>
      <c r="P848">
        <v>0.37630000000000002</v>
      </c>
      <c r="Q848" t="s">
        <v>29</v>
      </c>
      <c r="R848" t="s">
        <v>30</v>
      </c>
      <c r="S848" t="s">
        <v>6937</v>
      </c>
    </row>
    <row r="849" spans="1:19" x14ac:dyDescent="0.25">
      <c r="A849">
        <v>2011</v>
      </c>
      <c r="B849">
        <v>3707</v>
      </c>
      <c r="C849" t="s">
        <v>194</v>
      </c>
      <c r="D849" t="s">
        <v>195</v>
      </c>
      <c r="E849">
        <v>324110</v>
      </c>
      <c r="F849" t="s">
        <v>95</v>
      </c>
      <c r="G849" t="s">
        <v>96</v>
      </c>
      <c r="H849" t="s">
        <v>85</v>
      </c>
      <c r="I849" t="s">
        <v>469</v>
      </c>
      <c r="J849" t="s">
        <v>470</v>
      </c>
      <c r="K849" t="s">
        <v>471</v>
      </c>
      <c r="L849" t="s">
        <v>1372</v>
      </c>
      <c r="M849" t="s">
        <v>1373</v>
      </c>
      <c r="N849" t="s">
        <v>1399</v>
      </c>
      <c r="O849" t="s">
        <v>1400</v>
      </c>
      <c r="P849">
        <v>0.03</v>
      </c>
      <c r="Q849" t="s">
        <v>40</v>
      </c>
      <c r="R849" t="s">
        <v>157</v>
      </c>
      <c r="S849" t="s">
        <v>6937</v>
      </c>
    </row>
    <row r="850" spans="1:19" x14ac:dyDescent="0.25">
      <c r="A850">
        <v>2014</v>
      </c>
      <c r="B850">
        <v>11479</v>
      </c>
      <c r="C850" t="s">
        <v>2091</v>
      </c>
      <c r="D850" t="s">
        <v>2092</v>
      </c>
      <c r="E850">
        <v>327320</v>
      </c>
      <c r="F850" t="s">
        <v>2093</v>
      </c>
      <c r="G850" t="s">
        <v>1925</v>
      </c>
      <c r="H850" t="s">
        <v>21</v>
      </c>
      <c r="I850" t="s">
        <v>1369</v>
      </c>
      <c r="J850" t="s">
        <v>1370</v>
      </c>
      <c r="K850" t="s">
        <v>1371</v>
      </c>
      <c r="L850" t="s">
        <v>1372</v>
      </c>
      <c r="M850" t="s">
        <v>1373</v>
      </c>
      <c r="N850" t="s">
        <v>1409</v>
      </c>
      <c r="O850" t="s">
        <v>1410</v>
      </c>
      <c r="P850">
        <v>1.4646999999999999</v>
      </c>
      <c r="Q850" t="s">
        <v>29</v>
      </c>
      <c r="R850" t="s">
        <v>430</v>
      </c>
      <c r="S850" t="s">
        <v>6937</v>
      </c>
    </row>
    <row r="851" spans="1:19" x14ac:dyDescent="0.25">
      <c r="A851">
        <v>2019</v>
      </c>
      <c r="B851">
        <v>23177</v>
      </c>
      <c r="C851" t="s">
        <v>2094</v>
      </c>
      <c r="D851" t="s">
        <v>2095</v>
      </c>
      <c r="E851">
        <v>493110</v>
      </c>
      <c r="F851" t="s">
        <v>1483</v>
      </c>
      <c r="G851" t="s">
        <v>1484</v>
      </c>
      <c r="H851" t="s">
        <v>54</v>
      </c>
      <c r="I851" t="s">
        <v>1421</v>
      </c>
      <c r="J851" t="s">
        <v>1422</v>
      </c>
      <c r="K851" t="s">
        <v>1423</v>
      </c>
      <c r="L851" t="s">
        <v>1372</v>
      </c>
      <c r="M851" t="s">
        <v>1373</v>
      </c>
      <c r="N851" t="s">
        <v>1374</v>
      </c>
      <c r="O851" t="s">
        <v>1375</v>
      </c>
      <c r="P851">
        <v>2.3E-3</v>
      </c>
      <c r="Q851" t="s">
        <v>29</v>
      </c>
      <c r="R851" t="s">
        <v>430</v>
      </c>
      <c r="S851" t="s">
        <v>6937</v>
      </c>
    </row>
    <row r="852" spans="1:19" x14ac:dyDescent="0.25">
      <c r="A852">
        <v>2022</v>
      </c>
      <c r="B852">
        <v>10201</v>
      </c>
      <c r="C852" t="s">
        <v>2096</v>
      </c>
      <c r="D852" t="s">
        <v>2097</v>
      </c>
      <c r="E852">
        <v>212232</v>
      </c>
      <c r="F852" t="s">
        <v>2003</v>
      </c>
      <c r="G852" t="s">
        <v>2004</v>
      </c>
      <c r="H852" t="s">
        <v>21</v>
      </c>
      <c r="I852" t="s">
        <v>184</v>
      </c>
      <c r="J852" t="s">
        <v>185</v>
      </c>
      <c r="K852" t="s">
        <v>186</v>
      </c>
      <c r="L852" t="s">
        <v>1372</v>
      </c>
      <c r="M852" t="s">
        <v>1373</v>
      </c>
      <c r="N852" t="s">
        <v>1374</v>
      </c>
      <c r="O852" t="s">
        <v>1375</v>
      </c>
      <c r="P852">
        <v>4.9800000000000004</v>
      </c>
      <c r="Q852" t="s">
        <v>40</v>
      </c>
      <c r="R852" t="s">
        <v>30</v>
      </c>
      <c r="S852" t="s">
        <v>6937</v>
      </c>
    </row>
    <row r="853" spans="1:19" x14ac:dyDescent="0.25">
      <c r="A853">
        <v>2012</v>
      </c>
      <c r="B853">
        <v>21255</v>
      </c>
      <c r="C853" t="s">
        <v>1995</v>
      </c>
      <c r="D853" t="s">
        <v>2098</v>
      </c>
      <c r="E853">
        <v>211113</v>
      </c>
      <c r="F853" t="s">
        <v>786</v>
      </c>
      <c r="G853" t="s">
        <v>426</v>
      </c>
      <c r="H853" t="s">
        <v>69</v>
      </c>
      <c r="I853" t="s">
        <v>1441</v>
      </c>
      <c r="J853" t="s">
        <v>1442</v>
      </c>
      <c r="K853" t="s">
        <v>1443</v>
      </c>
      <c r="L853" t="s">
        <v>1372</v>
      </c>
      <c r="M853" t="s">
        <v>1373</v>
      </c>
      <c r="N853" t="s">
        <v>1374</v>
      </c>
      <c r="O853" t="s">
        <v>1375</v>
      </c>
      <c r="P853">
        <v>42.347000000000001</v>
      </c>
      <c r="Q853" t="s">
        <v>29</v>
      </c>
      <c r="R853" t="s">
        <v>430</v>
      </c>
      <c r="S853" t="s">
        <v>6937</v>
      </c>
    </row>
    <row r="854" spans="1:19" x14ac:dyDescent="0.25">
      <c r="A854">
        <v>2009</v>
      </c>
      <c r="B854">
        <v>1148</v>
      </c>
      <c r="C854" t="s">
        <v>1992</v>
      </c>
      <c r="D854" t="s">
        <v>2099</v>
      </c>
      <c r="E854">
        <v>212291</v>
      </c>
      <c r="F854" t="s">
        <v>1994</v>
      </c>
      <c r="G854" t="s">
        <v>242</v>
      </c>
      <c r="H854" t="s">
        <v>243</v>
      </c>
      <c r="I854" t="s">
        <v>525</v>
      </c>
      <c r="J854" t="s">
        <v>526</v>
      </c>
      <c r="K854" t="s">
        <v>527</v>
      </c>
      <c r="L854" t="s">
        <v>1378</v>
      </c>
      <c r="M854" t="s">
        <v>1379</v>
      </c>
      <c r="N854" t="s">
        <v>1380</v>
      </c>
      <c r="O854" t="s">
        <v>1381</v>
      </c>
      <c r="P854">
        <v>4.8000000000000001E-2</v>
      </c>
      <c r="Q854" t="s">
        <v>29</v>
      </c>
      <c r="R854" t="s">
        <v>124</v>
      </c>
      <c r="S854" t="s">
        <v>6937</v>
      </c>
    </row>
    <row r="855" spans="1:19" x14ac:dyDescent="0.25">
      <c r="A855">
        <v>2019</v>
      </c>
      <c r="B855">
        <v>4743</v>
      </c>
      <c r="C855" t="s">
        <v>1446</v>
      </c>
      <c r="D855" t="s">
        <v>1447</v>
      </c>
      <c r="E855">
        <v>221320</v>
      </c>
      <c r="F855" t="s">
        <v>146</v>
      </c>
      <c r="G855" t="s">
        <v>147</v>
      </c>
      <c r="H855" t="s">
        <v>21</v>
      </c>
      <c r="I855" t="s">
        <v>106</v>
      </c>
      <c r="J855" t="s">
        <v>107</v>
      </c>
      <c r="K855" t="s">
        <v>108</v>
      </c>
      <c r="L855" t="s">
        <v>1372</v>
      </c>
      <c r="M855" t="s">
        <v>1373</v>
      </c>
      <c r="N855" t="s">
        <v>1374</v>
      </c>
      <c r="O855" t="s">
        <v>1375</v>
      </c>
      <c r="P855">
        <v>5.1050000000000004</v>
      </c>
      <c r="Q855" t="s">
        <v>40</v>
      </c>
      <c r="R855" t="s">
        <v>124</v>
      </c>
      <c r="S855" t="s">
        <v>6937</v>
      </c>
    </row>
    <row r="856" spans="1:19" x14ac:dyDescent="0.25">
      <c r="A856">
        <v>2018</v>
      </c>
      <c r="B856">
        <v>28456</v>
      </c>
      <c r="C856" t="s">
        <v>2100</v>
      </c>
      <c r="D856" t="s">
        <v>2101</v>
      </c>
      <c r="E856">
        <v>212210</v>
      </c>
      <c r="F856" t="s">
        <v>888</v>
      </c>
      <c r="G856" t="s">
        <v>889</v>
      </c>
      <c r="H856" t="s">
        <v>2102</v>
      </c>
      <c r="I856" t="s">
        <v>324</v>
      </c>
      <c r="J856" t="s">
        <v>325</v>
      </c>
      <c r="K856" t="s">
        <v>326</v>
      </c>
      <c r="L856" t="s">
        <v>1372</v>
      </c>
      <c r="M856" t="s">
        <v>1373</v>
      </c>
      <c r="N856" t="s">
        <v>1374</v>
      </c>
      <c r="O856" t="s">
        <v>1375</v>
      </c>
      <c r="P856">
        <v>8.3500000000000005E-2</v>
      </c>
      <c r="Q856" t="s">
        <v>40</v>
      </c>
      <c r="R856" t="s">
        <v>430</v>
      </c>
      <c r="S856" t="s">
        <v>6937</v>
      </c>
    </row>
    <row r="857" spans="1:19" x14ac:dyDescent="0.25">
      <c r="A857">
        <v>2006</v>
      </c>
      <c r="B857">
        <v>17268</v>
      </c>
      <c r="C857" t="s">
        <v>2103</v>
      </c>
      <c r="D857" t="s">
        <v>2104</v>
      </c>
      <c r="E857">
        <v>211113</v>
      </c>
      <c r="F857" t="s">
        <v>425</v>
      </c>
      <c r="G857" t="s">
        <v>426</v>
      </c>
      <c r="H857" t="s">
        <v>85</v>
      </c>
      <c r="I857" t="s">
        <v>1421</v>
      </c>
      <c r="J857" t="s">
        <v>1422</v>
      </c>
      <c r="K857" t="s">
        <v>1423</v>
      </c>
      <c r="L857" t="s">
        <v>1372</v>
      </c>
      <c r="M857" t="s">
        <v>1373</v>
      </c>
      <c r="N857" t="s">
        <v>1374</v>
      </c>
      <c r="O857" t="s">
        <v>1375</v>
      </c>
      <c r="P857">
        <v>1.1519999999999999</v>
      </c>
      <c r="Q857" t="s">
        <v>29</v>
      </c>
      <c r="R857" t="s">
        <v>430</v>
      </c>
      <c r="S857" t="s">
        <v>6937</v>
      </c>
    </row>
    <row r="858" spans="1:19" x14ac:dyDescent="0.25">
      <c r="A858">
        <v>2006</v>
      </c>
      <c r="B858">
        <v>6767</v>
      </c>
      <c r="C858" t="s">
        <v>2105</v>
      </c>
      <c r="D858" t="s">
        <v>2106</v>
      </c>
      <c r="E858">
        <v>486210</v>
      </c>
      <c r="F858" t="s">
        <v>1789</v>
      </c>
      <c r="G858" t="s">
        <v>1329</v>
      </c>
      <c r="H858" t="s">
        <v>21</v>
      </c>
      <c r="I858" t="s">
        <v>1533</v>
      </c>
      <c r="J858" t="s">
        <v>1534</v>
      </c>
      <c r="K858" t="s">
        <v>1535</v>
      </c>
      <c r="L858" t="s">
        <v>1372</v>
      </c>
      <c r="M858" t="s">
        <v>1373</v>
      </c>
      <c r="N858" t="s">
        <v>1374</v>
      </c>
      <c r="O858" t="s">
        <v>1375</v>
      </c>
      <c r="P858">
        <v>77.923000000000002</v>
      </c>
      <c r="Q858" t="s">
        <v>29</v>
      </c>
      <c r="R858" t="s">
        <v>430</v>
      </c>
      <c r="S858" t="s">
        <v>6937</v>
      </c>
    </row>
    <row r="859" spans="1:19" x14ac:dyDescent="0.25">
      <c r="A859">
        <v>2022</v>
      </c>
      <c r="B859">
        <v>7626</v>
      </c>
      <c r="C859" t="s">
        <v>2107</v>
      </c>
      <c r="D859" t="s">
        <v>2108</v>
      </c>
      <c r="E859">
        <v>212315</v>
      </c>
      <c r="F859" t="s">
        <v>1869</v>
      </c>
      <c r="G859" t="s">
        <v>1831</v>
      </c>
      <c r="H859" t="s">
        <v>21</v>
      </c>
      <c r="I859" t="s">
        <v>1421</v>
      </c>
      <c r="J859" t="s">
        <v>1422</v>
      </c>
      <c r="K859" t="s">
        <v>1423</v>
      </c>
      <c r="L859" t="s">
        <v>1372</v>
      </c>
      <c r="M859" t="s">
        <v>1373</v>
      </c>
      <c r="N859" t="s">
        <v>1374</v>
      </c>
      <c r="O859" t="s">
        <v>1375</v>
      </c>
      <c r="P859">
        <v>0.487315</v>
      </c>
      <c r="Q859" t="s">
        <v>29</v>
      </c>
      <c r="R859" t="s">
        <v>2109</v>
      </c>
      <c r="S859" t="s">
        <v>6937</v>
      </c>
    </row>
    <row r="860" spans="1:19" x14ac:dyDescent="0.25">
      <c r="A860">
        <v>2020</v>
      </c>
      <c r="B860">
        <v>8698</v>
      </c>
      <c r="C860" t="s">
        <v>2110</v>
      </c>
      <c r="D860" t="s">
        <v>2111</v>
      </c>
      <c r="E860">
        <v>913910</v>
      </c>
      <c r="F860" t="s">
        <v>2112</v>
      </c>
      <c r="G860" t="s">
        <v>2113</v>
      </c>
      <c r="H860" t="s">
        <v>79</v>
      </c>
      <c r="I860" t="s">
        <v>504</v>
      </c>
      <c r="J860" t="s">
        <v>505</v>
      </c>
      <c r="K860" t="s">
        <v>506</v>
      </c>
      <c r="L860" t="s">
        <v>1378</v>
      </c>
      <c r="M860" t="s">
        <v>1379</v>
      </c>
      <c r="N860" t="s">
        <v>1380</v>
      </c>
      <c r="O860" t="s">
        <v>1381</v>
      </c>
      <c r="P860">
        <v>8.07</v>
      </c>
      <c r="Q860" t="s">
        <v>29</v>
      </c>
      <c r="R860" t="s">
        <v>30</v>
      </c>
      <c r="S860" t="s">
        <v>6937</v>
      </c>
    </row>
    <row r="861" spans="1:19" x14ac:dyDescent="0.25">
      <c r="A861">
        <v>2014</v>
      </c>
      <c r="B861">
        <v>22991</v>
      </c>
      <c r="C861" t="s">
        <v>1800</v>
      </c>
      <c r="D861" t="s">
        <v>2114</v>
      </c>
      <c r="E861">
        <v>418390</v>
      </c>
      <c r="F861" t="s">
        <v>1802</v>
      </c>
      <c r="G861" t="s">
        <v>1803</v>
      </c>
      <c r="H861" t="s">
        <v>243</v>
      </c>
      <c r="I861" t="s">
        <v>1487</v>
      </c>
      <c r="J861" t="s">
        <v>1488</v>
      </c>
      <c r="K861" t="s">
        <v>1489</v>
      </c>
      <c r="L861" t="s">
        <v>1372</v>
      </c>
      <c r="M861" t="s">
        <v>1373</v>
      </c>
      <c r="N861" t="s">
        <v>1374</v>
      </c>
      <c r="O861" t="s">
        <v>1375</v>
      </c>
      <c r="P861">
        <v>2E-3</v>
      </c>
      <c r="Q861" t="s">
        <v>29</v>
      </c>
      <c r="R861" t="s">
        <v>430</v>
      </c>
      <c r="S861" t="s">
        <v>6937</v>
      </c>
    </row>
    <row r="862" spans="1:19" x14ac:dyDescent="0.25">
      <c r="A862">
        <v>2018</v>
      </c>
      <c r="B862">
        <v>28898</v>
      </c>
      <c r="C862" t="s">
        <v>1027</v>
      </c>
      <c r="D862" t="s">
        <v>2115</v>
      </c>
      <c r="E862">
        <v>211110</v>
      </c>
      <c r="F862" t="s">
        <v>233</v>
      </c>
      <c r="G862" t="s">
        <v>234</v>
      </c>
      <c r="H862" t="s">
        <v>85</v>
      </c>
      <c r="I862" t="s">
        <v>1533</v>
      </c>
      <c r="J862" t="s">
        <v>1534</v>
      </c>
      <c r="K862" t="s">
        <v>1535</v>
      </c>
      <c r="L862" t="s">
        <v>1372</v>
      </c>
      <c r="M862" t="s">
        <v>1373</v>
      </c>
      <c r="N862" t="s">
        <v>1374</v>
      </c>
      <c r="O862" t="s">
        <v>1375</v>
      </c>
      <c r="P862">
        <v>35.329000000000001</v>
      </c>
      <c r="Q862" t="s">
        <v>29</v>
      </c>
      <c r="R862" t="s">
        <v>430</v>
      </c>
      <c r="S862" t="s">
        <v>6937</v>
      </c>
    </row>
    <row r="863" spans="1:19" x14ac:dyDescent="0.25">
      <c r="A863">
        <v>2018</v>
      </c>
      <c r="B863">
        <v>21799</v>
      </c>
      <c r="C863" t="s">
        <v>2116</v>
      </c>
      <c r="D863" t="s">
        <v>2117</v>
      </c>
      <c r="E863">
        <v>418410</v>
      </c>
      <c r="F863" t="s">
        <v>433</v>
      </c>
      <c r="G863" t="s">
        <v>434</v>
      </c>
      <c r="H863" t="s">
        <v>85</v>
      </c>
      <c r="I863" t="s">
        <v>55</v>
      </c>
      <c r="J863" t="s">
        <v>56</v>
      </c>
      <c r="K863" t="s">
        <v>57</v>
      </c>
      <c r="L863" t="s">
        <v>1372</v>
      </c>
      <c r="M863" t="s">
        <v>1373</v>
      </c>
      <c r="N863" t="s">
        <v>1399</v>
      </c>
      <c r="O863" t="s">
        <v>1400</v>
      </c>
      <c r="P863">
        <v>2.0880000000000001</v>
      </c>
      <c r="Q863" t="s">
        <v>29</v>
      </c>
      <c r="R863" t="s">
        <v>30</v>
      </c>
      <c r="S863" t="s">
        <v>6937</v>
      </c>
    </row>
    <row r="864" spans="1:19" x14ac:dyDescent="0.25">
      <c r="A864">
        <v>2005</v>
      </c>
      <c r="B864">
        <v>15789</v>
      </c>
      <c r="C864" t="s">
        <v>2118</v>
      </c>
      <c r="D864" t="s">
        <v>2119</v>
      </c>
      <c r="E864">
        <v>211113</v>
      </c>
      <c r="F864" t="s">
        <v>425</v>
      </c>
      <c r="G864" t="s">
        <v>426</v>
      </c>
      <c r="H864" t="s">
        <v>85</v>
      </c>
      <c r="I864" t="s">
        <v>1421</v>
      </c>
      <c r="J864" t="s">
        <v>1422</v>
      </c>
      <c r="K864" t="s">
        <v>1423</v>
      </c>
      <c r="L864" t="s">
        <v>1372</v>
      </c>
      <c r="M864" t="s">
        <v>1373</v>
      </c>
      <c r="N864" t="s">
        <v>1374</v>
      </c>
      <c r="O864" t="s">
        <v>1375</v>
      </c>
      <c r="P864">
        <v>0.45900000000000002</v>
      </c>
      <c r="Q864" t="s">
        <v>29</v>
      </c>
      <c r="R864" t="s">
        <v>430</v>
      </c>
      <c r="S864" t="s">
        <v>6937</v>
      </c>
    </row>
    <row r="865" spans="1:19" x14ac:dyDescent="0.25">
      <c r="A865">
        <v>1998</v>
      </c>
      <c r="B865">
        <v>4751</v>
      </c>
      <c r="C865" t="s">
        <v>2120</v>
      </c>
      <c r="D865" t="s">
        <v>2121</v>
      </c>
      <c r="E865">
        <v>337213</v>
      </c>
      <c r="F865" t="s">
        <v>269</v>
      </c>
      <c r="G865" t="s">
        <v>270</v>
      </c>
      <c r="H865" t="s">
        <v>21</v>
      </c>
      <c r="I865" t="s">
        <v>520</v>
      </c>
      <c r="J865" t="s">
        <v>521</v>
      </c>
      <c r="K865" t="s">
        <v>522</v>
      </c>
      <c r="L865" t="s">
        <v>1372</v>
      </c>
      <c r="M865" t="s">
        <v>1373</v>
      </c>
      <c r="N865" t="s">
        <v>1374</v>
      </c>
      <c r="O865" t="s">
        <v>1375</v>
      </c>
      <c r="P865">
        <v>14.981</v>
      </c>
      <c r="Q865" t="s">
        <v>29</v>
      </c>
      <c r="R865" t="s">
        <v>30</v>
      </c>
      <c r="S865" t="s">
        <v>6937</v>
      </c>
    </row>
    <row r="866" spans="1:19" x14ac:dyDescent="0.25">
      <c r="A866">
        <v>2001</v>
      </c>
      <c r="B866">
        <v>3897</v>
      </c>
      <c r="C866" t="s">
        <v>634</v>
      </c>
      <c r="D866" t="s">
        <v>275</v>
      </c>
      <c r="E866">
        <v>324110</v>
      </c>
      <c r="F866" t="s">
        <v>95</v>
      </c>
      <c r="G866" t="s">
        <v>96</v>
      </c>
      <c r="H866" t="s">
        <v>79</v>
      </c>
      <c r="I866" t="s">
        <v>847</v>
      </c>
      <c r="J866" t="s">
        <v>848</v>
      </c>
      <c r="K866" t="s">
        <v>849</v>
      </c>
      <c r="L866" t="s">
        <v>1394</v>
      </c>
      <c r="M866" t="s">
        <v>1395</v>
      </c>
      <c r="N866" t="s">
        <v>1402</v>
      </c>
      <c r="O866" t="s">
        <v>1403</v>
      </c>
      <c r="P866">
        <v>1.0999999999999999E-2</v>
      </c>
      <c r="Q866" t="s">
        <v>40</v>
      </c>
      <c r="R866" t="s">
        <v>30</v>
      </c>
      <c r="S866" t="s">
        <v>6937</v>
      </c>
    </row>
    <row r="867" spans="1:19" x14ac:dyDescent="0.25">
      <c r="A867">
        <v>2002</v>
      </c>
      <c r="B867">
        <v>1885</v>
      </c>
      <c r="C867" t="s">
        <v>2122</v>
      </c>
      <c r="E867">
        <v>212396</v>
      </c>
      <c r="F867" t="s">
        <v>2123</v>
      </c>
      <c r="G867" t="s">
        <v>1420</v>
      </c>
      <c r="H867" t="s">
        <v>243</v>
      </c>
      <c r="I867" t="s">
        <v>1369</v>
      </c>
      <c r="J867" t="s">
        <v>1370</v>
      </c>
      <c r="K867" t="s">
        <v>1371</v>
      </c>
      <c r="L867" t="s">
        <v>1372</v>
      </c>
      <c r="M867" t="s">
        <v>1373</v>
      </c>
      <c r="N867" t="s">
        <v>1409</v>
      </c>
      <c r="O867" t="s">
        <v>1410</v>
      </c>
      <c r="P867">
        <v>36</v>
      </c>
      <c r="Q867" t="s">
        <v>29</v>
      </c>
      <c r="R867" t="s">
        <v>204</v>
      </c>
      <c r="S867" t="s">
        <v>6937</v>
      </c>
    </row>
    <row r="868" spans="1:19" x14ac:dyDescent="0.25">
      <c r="A868">
        <v>2019</v>
      </c>
      <c r="B868">
        <v>21416</v>
      </c>
      <c r="C868" t="s">
        <v>1112</v>
      </c>
      <c r="D868" t="s">
        <v>2124</v>
      </c>
      <c r="E868">
        <v>211110</v>
      </c>
      <c r="F868" t="s">
        <v>233</v>
      </c>
      <c r="G868" t="s">
        <v>234</v>
      </c>
      <c r="H868" t="s">
        <v>69</v>
      </c>
      <c r="I868" t="s">
        <v>1457</v>
      </c>
      <c r="J868" t="s">
        <v>1458</v>
      </c>
      <c r="K868" t="s">
        <v>1459</v>
      </c>
      <c r="L868" t="s">
        <v>1372</v>
      </c>
      <c r="M868" t="s">
        <v>1373</v>
      </c>
      <c r="N868" t="s">
        <v>1409</v>
      </c>
      <c r="O868" t="s">
        <v>1410</v>
      </c>
      <c r="P868">
        <v>7.0000000000000001E-3</v>
      </c>
      <c r="Q868" t="s">
        <v>29</v>
      </c>
      <c r="R868" t="s">
        <v>50</v>
      </c>
      <c r="S868" t="s">
        <v>6937</v>
      </c>
    </row>
    <row r="869" spans="1:19" x14ac:dyDescent="0.25">
      <c r="A869">
        <v>2015</v>
      </c>
      <c r="B869">
        <v>10211</v>
      </c>
      <c r="C869" t="s">
        <v>125</v>
      </c>
      <c r="D869" t="s">
        <v>2125</v>
      </c>
      <c r="E869">
        <v>412110</v>
      </c>
      <c r="F869" t="s">
        <v>127</v>
      </c>
      <c r="G869" t="s">
        <v>128</v>
      </c>
      <c r="H869" t="s">
        <v>69</v>
      </c>
      <c r="I869" t="s">
        <v>1457</v>
      </c>
      <c r="J869" t="s">
        <v>1458</v>
      </c>
      <c r="K869" t="s">
        <v>1459</v>
      </c>
      <c r="L869" t="s">
        <v>1372</v>
      </c>
      <c r="M869" t="s">
        <v>1373</v>
      </c>
      <c r="N869" t="s">
        <v>1399</v>
      </c>
      <c r="O869" t="s">
        <v>1400</v>
      </c>
      <c r="P869">
        <v>158.97130000000001</v>
      </c>
      <c r="Q869" t="s">
        <v>29</v>
      </c>
      <c r="R869" t="s">
        <v>430</v>
      </c>
      <c r="S869" t="s">
        <v>6937</v>
      </c>
    </row>
    <row r="870" spans="1:19" x14ac:dyDescent="0.25">
      <c r="A870">
        <v>2004</v>
      </c>
      <c r="B870">
        <v>17489</v>
      </c>
      <c r="C870" t="s">
        <v>2126</v>
      </c>
      <c r="D870" t="s">
        <v>2127</v>
      </c>
      <c r="E870">
        <v>213118</v>
      </c>
      <c r="F870" t="s">
        <v>1336</v>
      </c>
      <c r="G870" t="s">
        <v>1337</v>
      </c>
      <c r="H870" t="s">
        <v>85</v>
      </c>
      <c r="I870" t="s">
        <v>1441</v>
      </c>
      <c r="J870" t="s">
        <v>1442</v>
      </c>
      <c r="K870" t="s">
        <v>1443</v>
      </c>
      <c r="L870" t="s">
        <v>1372</v>
      </c>
      <c r="M870" t="s">
        <v>1373</v>
      </c>
      <c r="N870" t="s">
        <v>1374</v>
      </c>
      <c r="O870" t="s">
        <v>1375</v>
      </c>
      <c r="P870">
        <v>40.691000000000003</v>
      </c>
      <c r="Q870" t="s">
        <v>29</v>
      </c>
      <c r="R870" t="s">
        <v>430</v>
      </c>
      <c r="S870" t="s">
        <v>6937</v>
      </c>
    </row>
    <row r="871" spans="1:19" x14ac:dyDescent="0.25">
      <c r="A871">
        <v>2003</v>
      </c>
      <c r="B871">
        <v>577</v>
      </c>
      <c r="C871" t="s">
        <v>2128</v>
      </c>
      <c r="E871">
        <v>325410</v>
      </c>
      <c r="F871" t="s">
        <v>218</v>
      </c>
      <c r="G871" t="s">
        <v>219</v>
      </c>
      <c r="H871" t="s">
        <v>21</v>
      </c>
      <c r="I871" t="s">
        <v>80</v>
      </c>
      <c r="J871" t="s">
        <v>81</v>
      </c>
      <c r="K871" t="s">
        <v>82</v>
      </c>
      <c r="L871" t="s">
        <v>1372</v>
      </c>
      <c r="M871" t="s">
        <v>1373</v>
      </c>
      <c r="N871" t="s">
        <v>1409</v>
      </c>
      <c r="O871" t="s">
        <v>1410</v>
      </c>
      <c r="P871">
        <v>2.9</v>
      </c>
      <c r="Q871" t="s">
        <v>29</v>
      </c>
      <c r="R871" t="s">
        <v>124</v>
      </c>
      <c r="S871" t="s">
        <v>6937</v>
      </c>
    </row>
    <row r="872" spans="1:19" x14ac:dyDescent="0.25">
      <c r="A872">
        <v>2023</v>
      </c>
      <c r="B872">
        <v>32269</v>
      </c>
      <c r="C872" t="s">
        <v>489</v>
      </c>
      <c r="D872" t="s">
        <v>2129</v>
      </c>
      <c r="E872">
        <v>211110</v>
      </c>
      <c r="F872" t="s">
        <v>233</v>
      </c>
      <c r="G872" t="s">
        <v>234</v>
      </c>
      <c r="H872" t="s">
        <v>85</v>
      </c>
      <c r="I872" t="s">
        <v>1533</v>
      </c>
      <c r="J872" t="s">
        <v>1534</v>
      </c>
      <c r="K872" t="s">
        <v>1535</v>
      </c>
      <c r="L872" t="s">
        <v>1372</v>
      </c>
      <c r="M872" t="s">
        <v>1373</v>
      </c>
      <c r="N872" t="s">
        <v>1374</v>
      </c>
      <c r="O872" t="s">
        <v>1375</v>
      </c>
      <c r="P872">
        <v>12.53229</v>
      </c>
      <c r="Q872" t="s">
        <v>29</v>
      </c>
      <c r="R872" t="s">
        <v>430</v>
      </c>
      <c r="S872" t="s">
        <v>6937</v>
      </c>
    </row>
    <row r="873" spans="1:19" x14ac:dyDescent="0.25">
      <c r="A873">
        <v>2007</v>
      </c>
      <c r="B873">
        <v>3713</v>
      </c>
      <c r="C873" t="s">
        <v>2130</v>
      </c>
      <c r="D873" t="s">
        <v>524</v>
      </c>
      <c r="E873">
        <v>331110</v>
      </c>
      <c r="F873" t="s">
        <v>335</v>
      </c>
      <c r="G873" t="s">
        <v>336</v>
      </c>
      <c r="H873" t="s">
        <v>21</v>
      </c>
      <c r="I873" t="s">
        <v>1457</v>
      </c>
      <c r="J873" t="s">
        <v>1458</v>
      </c>
      <c r="K873" t="s">
        <v>1459</v>
      </c>
      <c r="L873" t="s">
        <v>1372</v>
      </c>
      <c r="M873" t="s">
        <v>1373</v>
      </c>
      <c r="N873" t="s">
        <v>1409</v>
      </c>
      <c r="O873" t="s">
        <v>1410</v>
      </c>
      <c r="P873">
        <v>129.66</v>
      </c>
      <c r="Q873" t="s">
        <v>29</v>
      </c>
      <c r="R873" t="s">
        <v>430</v>
      </c>
      <c r="S873" t="s">
        <v>6937</v>
      </c>
    </row>
    <row r="874" spans="1:19" x14ac:dyDescent="0.25">
      <c r="A874">
        <v>2018</v>
      </c>
      <c r="B874">
        <v>15909</v>
      </c>
      <c r="C874" t="s">
        <v>1027</v>
      </c>
      <c r="D874" t="s">
        <v>2131</v>
      </c>
      <c r="E874">
        <v>211110</v>
      </c>
      <c r="F874" t="s">
        <v>233</v>
      </c>
      <c r="G874" t="s">
        <v>234</v>
      </c>
      <c r="H874" t="s">
        <v>85</v>
      </c>
      <c r="I874" t="s">
        <v>1369</v>
      </c>
      <c r="J874" t="s">
        <v>1370</v>
      </c>
      <c r="K874" t="s">
        <v>1371</v>
      </c>
      <c r="L874" t="s">
        <v>1372</v>
      </c>
      <c r="M874" t="s">
        <v>1373</v>
      </c>
      <c r="N874" t="s">
        <v>1374</v>
      </c>
      <c r="O874" t="s">
        <v>1375</v>
      </c>
      <c r="P874">
        <v>1.403</v>
      </c>
      <c r="Q874" t="s">
        <v>29</v>
      </c>
      <c r="R874" t="s">
        <v>430</v>
      </c>
      <c r="S874" t="s">
        <v>6937</v>
      </c>
    </row>
    <row r="875" spans="1:19" x14ac:dyDescent="0.25">
      <c r="A875">
        <v>2017</v>
      </c>
      <c r="B875">
        <v>6332</v>
      </c>
      <c r="C875" t="s">
        <v>2132</v>
      </c>
      <c r="D875" t="s">
        <v>2133</v>
      </c>
      <c r="E875">
        <v>321215</v>
      </c>
      <c r="F875" t="s">
        <v>2134</v>
      </c>
      <c r="G875" t="s">
        <v>2135</v>
      </c>
      <c r="H875" t="s">
        <v>79</v>
      </c>
      <c r="I875" t="s">
        <v>1369</v>
      </c>
      <c r="J875" t="s">
        <v>1370</v>
      </c>
      <c r="K875" t="s">
        <v>1371</v>
      </c>
      <c r="L875" t="s">
        <v>1372</v>
      </c>
      <c r="M875" t="s">
        <v>1373</v>
      </c>
      <c r="N875" t="s">
        <v>1390</v>
      </c>
      <c r="O875" t="s">
        <v>1391</v>
      </c>
      <c r="P875">
        <v>5.2039999999999997</v>
      </c>
      <c r="Q875" t="s">
        <v>29</v>
      </c>
      <c r="R875" t="s">
        <v>430</v>
      </c>
      <c r="S875" t="s">
        <v>6937</v>
      </c>
    </row>
    <row r="876" spans="1:19" x14ac:dyDescent="0.25">
      <c r="A876">
        <v>1998</v>
      </c>
      <c r="B876">
        <v>1779</v>
      </c>
      <c r="C876" t="s">
        <v>1600</v>
      </c>
      <c r="D876" t="s">
        <v>2136</v>
      </c>
      <c r="E876">
        <v>325110</v>
      </c>
      <c r="F876" t="s">
        <v>1194</v>
      </c>
      <c r="G876" t="s">
        <v>445</v>
      </c>
      <c r="H876" t="s">
        <v>85</v>
      </c>
      <c r="I876" t="s">
        <v>844</v>
      </c>
      <c r="J876" t="s">
        <v>845</v>
      </c>
      <c r="K876" t="s">
        <v>846</v>
      </c>
      <c r="L876" t="s">
        <v>1372</v>
      </c>
      <c r="M876" t="s">
        <v>1373</v>
      </c>
      <c r="N876" t="s">
        <v>1409</v>
      </c>
      <c r="O876" t="s">
        <v>1410</v>
      </c>
      <c r="P876">
        <v>0.40300000000000002</v>
      </c>
      <c r="Q876" t="s">
        <v>29</v>
      </c>
      <c r="R876" t="s">
        <v>30</v>
      </c>
      <c r="S876" t="s">
        <v>6937</v>
      </c>
    </row>
    <row r="877" spans="1:19" x14ac:dyDescent="0.25">
      <c r="A877">
        <v>2023</v>
      </c>
      <c r="B877">
        <v>4743</v>
      </c>
      <c r="C877" t="s">
        <v>1446</v>
      </c>
      <c r="D877" t="s">
        <v>1447</v>
      </c>
      <c r="E877">
        <v>221320</v>
      </c>
      <c r="F877" t="s">
        <v>146</v>
      </c>
      <c r="G877" t="s">
        <v>147</v>
      </c>
      <c r="H877" t="s">
        <v>21</v>
      </c>
      <c r="I877" t="s">
        <v>504</v>
      </c>
      <c r="J877" t="s">
        <v>505</v>
      </c>
      <c r="K877" t="s">
        <v>506</v>
      </c>
      <c r="L877" t="s">
        <v>1378</v>
      </c>
      <c r="M877" t="s">
        <v>1379</v>
      </c>
      <c r="N877" t="s">
        <v>1402</v>
      </c>
      <c r="O877" t="s">
        <v>1403</v>
      </c>
      <c r="P877">
        <v>13.141</v>
      </c>
      <c r="Q877" t="s">
        <v>29</v>
      </c>
      <c r="R877" t="s">
        <v>124</v>
      </c>
      <c r="S877" t="s">
        <v>6937</v>
      </c>
    </row>
    <row r="878" spans="1:19" x14ac:dyDescent="0.25">
      <c r="A878">
        <v>2020</v>
      </c>
      <c r="B878">
        <v>11606</v>
      </c>
      <c r="C878" t="s">
        <v>2137</v>
      </c>
      <c r="D878" t="s">
        <v>2138</v>
      </c>
      <c r="E878">
        <v>334410</v>
      </c>
      <c r="F878" t="s">
        <v>2139</v>
      </c>
      <c r="G878" t="s">
        <v>605</v>
      </c>
      <c r="H878" t="s">
        <v>21</v>
      </c>
      <c r="I878" t="s">
        <v>35</v>
      </c>
      <c r="J878" t="s">
        <v>36</v>
      </c>
      <c r="K878" t="s">
        <v>37</v>
      </c>
      <c r="L878" t="s">
        <v>1372</v>
      </c>
      <c r="M878" t="s">
        <v>1373</v>
      </c>
      <c r="N878" t="s">
        <v>1374</v>
      </c>
      <c r="O878" t="s">
        <v>1375</v>
      </c>
      <c r="P878">
        <v>0.08</v>
      </c>
      <c r="Q878" t="s">
        <v>40</v>
      </c>
      <c r="R878" t="s">
        <v>30</v>
      </c>
      <c r="S878" t="s">
        <v>6937</v>
      </c>
    </row>
    <row r="879" spans="1:19" x14ac:dyDescent="0.25">
      <c r="A879">
        <v>2023</v>
      </c>
      <c r="B879">
        <v>22905</v>
      </c>
      <c r="C879" t="s">
        <v>1027</v>
      </c>
      <c r="D879" t="s">
        <v>2140</v>
      </c>
      <c r="E879">
        <v>211110</v>
      </c>
      <c r="F879" t="s">
        <v>233</v>
      </c>
      <c r="G879" t="s">
        <v>234</v>
      </c>
      <c r="H879" t="s">
        <v>85</v>
      </c>
      <c r="I879" t="s">
        <v>1413</v>
      </c>
      <c r="J879" t="s">
        <v>1414</v>
      </c>
      <c r="K879" t="s">
        <v>1415</v>
      </c>
      <c r="L879" t="s">
        <v>1372</v>
      </c>
      <c r="M879" t="s">
        <v>1373</v>
      </c>
      <c r="N879" t="s">
        <v>1374</v>
      </c>
      <c r="O879" t="s">
        <v>1375</v>
      </c>
      <c r="P879">
        <v>0</v>
      </c>
      <c r="Q879" t="s">
        <v>29</v>
      </c>
      <c r="S879" t="s">
        <v>6937</v>
      </c>
    </row>
    <row r="880" spans="1:19" x14ac:dyDescent="0.25">
      <c r="A880">
        <v>2018</v>
      </c>
      <c r="B880">
        <v>30812</v>
      </c>
      <c r="C880" t="s">
        <v>2141</v>
      </c>
      <c r="D880" t="s">
        <v>2142</v>
      </c>
      <c r="E880">
        <v>211110</v>
      </c>
      <c r="F880" t="s">
        <v>233</v>
      </c>
      <c r="G880" t="s">
        <v>234</v>
      </c>
      <c r="H880" t="s">
        <v>85</v>
      </c>
      <c r="I880" t="s">
        <v>1441</v>
      </c>
      <c r="J880" t="s">
        <v>1442</v>
      </c>
      <c r="K880" t="s">
        <v>1443</v>
      </c>
      <c r="L880" t="s">
        <v>1372</v>
      </c>
      <c r="M880" t="s">
        <v>1373</v>
      </c>
      <c r="N880" t="s">
        <v>1374</v>
      </c>
      <c r="O880" t="s">
        <v>1375</v>
      </c>
      <c r="P880">
        <v>19.072099999999999</v>
      </c>
      <c r="Q880" t="s">
        <v>29</v>
      </c>
      <c r="R880" t="s">
        <v>430</v>
      </c>
      <c r="S880" t="s">
        <v>6937</v>
      </c>
    </row>
    <row r="881" spans="1:19" x14ac:dyDescent="0.25">
      <c r="A881">
        <v>2017</v>
      </c>
      <c r="B881">
        <v>17870</v>
      </c>
      <c r="C881" t="s">
        <v>2143</v>
      </c>
      <c r="D881" t="s">
        <v>2144</v>
      </c>
      <c r="E881">
        <v>211110</v>
      </c>
      <c r="F881" t="s">
        <v>233</v>
      </c>
      <c r="G881" t="s">
        <v>234</v>
      </c>
      <c r="H881" t="s">
        <v>69</v>
      </c>
      <c r="I881" t="s">
        <v>1441</v>
      </c>
      <c r="J881" t="s">
        <v>1442</v>
      </c>
      <c r="K881" t="s">
        <v>1443</v>
      </c>
      <c r="L881" t="s">
        <v>1372</v>
      </c>
      <c r="M881" t="s">
        <v>1373</v>
      </c>
      <c r="N881" t="s">
        <v>1374</v>
      </c>
      <c r="O881" t="s">
        <v>1375</v>
      </c>
      <c r="P881">
        <v>37.639000000000003</v>
      </c>
      <c r="Q881" t="s">
        <v>29</v>
      </c>
      <c r="R881" t="s">
        <v>430</v>
      </c>
      <c r="S881" t="s">
        <v>6937</v>
      </c>
    </row>
    <row r="882" spans="1:19" x14ac:dyDescent="0.25">
      <c r="A882">
        <v>2017</v>
      </c>
      <c r="B882">
        <v>210</v>
      </c>
      <c r="C882" t="s">
        <v>1760</v>
      </c>
      <c r="D882" t="s">
        <v>352</v>
      </c>
      <c r="E882">
        <v>418410</v>
      </c>
      <c r="F882" t="s">
        <v>433</v>
      </c>
      <c r="G882" t="s">
        <v>434</v>
      </c>
      <c r="H882" t="s">
        <v>21</v>
      </c>
      <c r="I882" t="s">
        <v>80</v>
      </c>
      <c r="J882" t="s">
        <v>81</v>
      </c>
      <c r="K882" t="s">
        <v>82</v>
      </c>
      <c r="L882" t="s">
        <v>1361</v>
      </c>
      <c r="M882" t="s">
        <v>1362</v>
      </c>
      <c r="N882" t="s">
        <v>1363</v>
      </c>
      <c r="O882" t="s">
        <v>1364</v>
      </c>
      <c r="P882">
        <v>0.21</v>
      </c>
      <c r="Q882" t="s">
        <v>29</v>
      </c>
      <c r="R882" t="s">
        <v>30</v>
      </c>
      <c r="S882" t="s">
        <v>6937</v>
      </c>
    </row>
    <row r="883" spans="1:19" x14ac:dyDescent="0.25">
      <c r="A883">
        <v>2005</v>
      </c>
      <c r="B883">
        <v>5927</v>
      </c>
      <c r="C883" t="s">
        <v>2145</v>
      </c>
      <c r="D883" t="s">
        <v>1232</v>
      </c>
      <c r="E883">
        <v>332999</v>
      </c>
      <c r="F883" t="s">
        <v>309</v>
      </c>
      <c r="G883" t="s">
        <v>304</v>
      </c>
      <c r="H883" t="s">
        <v>21</v>
      </c>
      <c r="I883" t="s">
        <v>337</v>
      </c>
      <c r="J883" t="s">
        <v>338</v>
      </c>
      <c r="K883" t="s">
        <v>339</v>
      </c>
      <c r="L883" t="s">
        <v>1372</v>
      </c>
      <c r="M883" t="s">
        <v>1373</v>
      </c>
      <c r="N883" t="s">
        <v>1399</v>
      </c>
      <c r="O883" t="s">
        <v>1400</v>
      </c>
      <c r="P883">
        <v>3.0000000000000001E-3</v>
      </c>
      <c r="Q883" t="s">
        <v>29</v>
      </c>
      <c r="R883" t="s">
        <v>157</v>
      </c>
      <c r="S883" t="s">
        <v>6937</v>
      </c>
    </row>
    <row r="884" spans="1:19" x14ac:dyDescent="0.25">
      <c r="A884">
        <v>2010</v>
      </c>
      <c r="B884">
        <v>30723</v>
      </c>
      <c r="C884" t="s">
        <v>2146</v>
      </c>
      <c r="D884" t="s">
        <v>2147</v>
      </c>
      <c r="E884">
        <v>211113</v>
      </c>
      <c r="F884" t="s">
        <v>425</v>
      </c>
      <c r="G884" t="s">
        <v>426</v>
      </c>
      <c r="H884" t="s">
        <v>243</v>
      </c>
      <c r="I884" t="s">
        <v>1441</v>
      </c>
      <c r="J884" t="s">
        <v>1442</v>
      </c>
      <c r="K884" t="s">
        <v>1443</v>
      </c>
      <c r="L884" t="s">
        <v>1372</v>
      </c>
      <c r="M884" t="s">
        <v>1373</v>
      </c>
      <c r="N884" t="s">
        <v>1374</v>
      </c>
      <c r="O884" t="s">
        <v>1375</v>
      </c>
      <c r="P884">
        <v>52.067999999999998</v>
      </c>
      <c r="Q884" t="s">
        <v>29</v>
      </c>
      <c r="R884" t="s">
        <v>430</v>
      </c>
      <c r="S884" t="s">
        <v>6937</v>
      </c>
    </row>
    <row r="885" spans="1:19" x14ac:dyDescent="0.25">
      <c r="A885">
        <v>2022</v>
      </c>
      <c r="B885">
        <v>16763</v>
      </c>
      <c r="C885" t="s">
        <v>2148</v>
      </c>
      <c r="D885" t="s">
        <v>2149</v>
      </c>
      <c r="E885">
        <v>211110</v>
      </c>
      <c r="F885" t="s">
        <v>233</v>
      </c>
      <c r="G885" t="s">
        <v>234</v>
      </c>
      <c r="H885" t="s">
        <v>85</v>
      </c>
      <c r="I885" t="s">
        <v>1533</v>
      </c>
      <c r="J885" t="s">
        <v>1534</v>
      </c>
      <c r="K885" t="s">
        <v>1535</v>
      </c>
      <c r="L885" t="s">
        <v>1372</v>
      </c>
      <c r="M885" t="s">
        <v>1373</v>
      </c>
      <c r="N885" t="s">
        <v>1374</v>
      </c>
      <c r="O885" t="s">
        <v>1375</v>
      </c>
      <c r="P885">
        <v>11.714119999999999</v>
      </c>
      <c r="Q885" t="s">
        <v>29</v>
      </c>
      <c r="R885" t="s">
        <v>430</v>
      </c>
      <c r="S885" t="s">
        <v>6937</v>
      </c>
    </row>
    <row r="886" spans="1:19" x14ac:dyDescent="0.25">
      <c r="A886">
        <v>2005</v>
      </c>
      <c r="B886">
        <v>1039</v>
      </c>
      <c r="C886" t="s">
        <v>2150</v>
      </c>
      <c r="D886" t="s">
        <v>2151</v>
      </c>
      <c r="E886">
        <v>221112</v>
      </c>
      <c r="F886" t="s">
        <v>134</v>
      </c>
      <c r="G886" t="s">
        <v>135</v>
      </c>
      <c r="H886" t="s">
        <v>85</v>
      </c>
      <c r="I886" t="s">
        <v>1369</v>
      </c>
      <c r="J886" t="s">
        <v>1370</v>
      </c>
      <c r="K886" t="s">
        <v>1371</v>
      </c>
      <c r="L886" t="s">
        <v>1372</v>
      </c>
      <c r="M886" t="s">
        <v>1373</v>
      </c>
      <c r="N886" t="s">
        <v>1374</v>
      </c>
      <c r="O886" t="s">
        <v>1375</v>
      </c>
      <c r="P886">
        <v>94.65</v>
      </c>
      <c r="Q886" t="s">
        <v>29</v>
      </c>
      <c r="R886" t="s">
        <v>30</v>
      </c>
      <c r="S886" t="s">
        <v>6937</v>
      </c>
    </row>
    <row r="887" spans="1:19" x14ac:dyDescent="0.25">
      <c r="A887">
        <v>2002</v>
      </c>
      <c r="B887">
        <v>3790</v>
      </c>
      <c r="C887" t="s">
        <v>276</v>
      </c>
      <c r="E887">
        <v>336110</v>
      </c>
      <c r="F887" t="s">
        <v>377</v>
      </c>
      <c r="G887" t="s">
        <v>44</v>
      </c>
      <c r="H887" t="s">
        <v>21</v>
      </c>
      <c r="I887" t="s">
        <v>1369</v>
      </c>
      <c r="J887" t="s">
        <v>1370</v>
      </c>
      <c r="K887" t="s">
        <v>1371</v>
      </c>
      <c r="L887" t="s">
        <v>1372</v>
      </c>
      <c r="M887" t="s">
        <v>1373</v>
      </c>
      <c r="N887" t="s">
        <v>1374</v>
      </c>
      <c r="O887" t="s">
        <v>1375</v>
      </c>
      <c r="P887">
        <v>2.87</v>
      </c>
      <c r="Q887" t="s">
        <v>29</v>
      </c>
      <c r="R887" t="s">
        <v>30</v>
      </c>
      <c r="S887" t="s">
        <v>6937</v>
      </c>
    </row>
    <row r="888" spans="1:19" x14ac:dyDescent="0.25">
      <c r="A888">
        <v>2022</v>
      </c>
      <c r="B888">
        <v>16410</v>
      </c>
      <c r="C888" t="s">
        <v>1027</v>
      </c>
      <c r="D888" t="s">
        <v>2152</v>
      </c>
      <c r="E888">
        <v>211110</v>
      </c>
      <c r="F888" t="s">
        <v>233</v>
      </c>
      <c r="G888" t="s">
        <v>234</v>
      </c>
      <c r="H888" t="s">
        <v>69</v>
      </c>
      <c r="I888" t="s">
        <v>1421</v>
      </c>
      <c r="J888" t="s">
        <v>1422</v>
      </c>
      <c r="K888" t="s">
        <v>1423</v>
      </c>
      <c r="L888" t="s">
        <v>1372</v>
      </c>
      <c r="M888" t="s">
        <v>1373</v>
      </c>
      <c r="N888" t="s">
        <v>1374</v>
      </c>
      <c r="O888" t="s">
        <v>1375</v>
      </c>
      <c r="P888">
        <v>0.19464000000000001</v>
      </c>
      <c r="Q888" t="s">
        <v>29</v>
      </c>
      <c r="R888" t="s">
        <v>430</v>
      </c>
      <c r="S888" t="s">
        <v>6937</v>
      </c>
    </row>
    <row r="889" spans="1:19" x14ac:dyDescent="0.25">
      <c r="A889">
        <v>2008</v>
      </c>
      <c r="B889">
        <v>2984</v>
      </c>
      <c r="C889" t="s">
        <v>2153</v>
      </c>
      <c r="D889" t="s">
        <v>2154</v>
      </c>
      <c r="E889">
        <v>331110</v>
      </c>
      <c r="F889" t="s">
        <v>335</v>
      </c>
      <c r="G889" t="s">
        <v>336</v>
      </c>
      <c r="H889" t="s">
        <v>21</v>
      </c>
      <c r="I889" t="s">
        <v>811</v>
      </c>
      <c r="J889" t="s">
        <v>812</v>
      </c>
      <c r="K889" t="s">
        <v>813</v>
      </c>
      <c r="L889" t="s">
        <v>1372</v>
      </c>
      <c r="M889" t="s">
        <v>1373</v>
      </c>
      <c r="N889" t="s">
        <v>1374</v>
      </c>
      <c r="O889" t="s">
        <v>1375</v>
      </c>
      <c r="P889">
        <v>8.0000000000000002E-3</v>
      </c>
      <c r="Q889" t="s">
        <v>40</v>
      </c>
      <c r="R889" t="s">
        <v>157</v>
      </c>
      <c r="S889" t="s">
        <v>6937</v>
      </c>
    </row>
    <row r="890" spans="1:19" x14ac:dyDescent="0.25">
      <c r="A890">
        <v>2019</v>
      </c>
      <c r="B890">
        <v>7920</v>
      </c>
      <c r="C890" t="s">
        <v>2155</v>
      </c>
      <c r="D890" t="s">
        <v>2156</v>
      </c>
      <c r="E890">
        <v>321111</v>
      </c>
      <c r="F890" t="s">
        <v>1367</v>
      </c>
      <c r="G890" t="s">
        <v>1368</v>
      </c>
      <c r="H890" t="s">
        <v>69</v>
      </c>
      <c r="I890" t="s">
        <v>1487</v>
      </c>
      <c r="J890" t="s">
        <v>1488</v>
      </c>
      <c r="K890" t="s">
        <v>1489</v>
      </c>
      <c r="L890" t="s">
        <v>1372</v>
      </c>
      <c r="M890" t="s">
        <v>1373</v>
      </c>
      <c r="N890" t="s">
        <v>1374</v>
      </c>
      <c r="O890" t="s">
        <v>1375</v>
      </c>
      <c r="P890">
        <v>90.67</v>
      </c>
      <c r="Q890" t="s">
        <v>29</v>
      </c>
      <c r="R890" t="s">
        <v>430</v>
      </c>
      <c r="S890" t="s">
        <v>6937</v>
      </c>
    </row>
    <row r="891" spans="1:19" x14ac:dyDescent="0.25">
      <c r="A891">
        <v>2015</v>
      </c>
      <c r="B891">
        <v>1236</v>
      </c>
      <c r="C891" t="s">
        <v>1109</v>
      </c>
      <c r="D891" t="s">
        <v>2157</v>
      </c>
      <c r="E891">
        <v>331410</v>
      </c>
      <c r="F891" t="s">
        <v>1234</v>
      </c>
      <c r="G891" t="s">
        <v>1235</v>
      </c>
      <c r="H891" t="s">
        <v>21</v>
      </c>
      <c r="I891" t="s">
        <v>62</v>
      </c>
      <c r="J891" t="s">
        <v>63</v>
      </c>
      <c r="K891" t="s">
        <v>64</v>
      </c>
      <c r="L891" t="s">
        <v>1372</v>
      </c>
      <c r="M891" t="s">
        <v>1373</v>
      </c>
      <c r="N891" t="s">
        <v>1374</v>
      </c>
      <c r="O891" t="s">
        <v>1375</v>
      </c>
      <c r="P891">
        <v>9.1130999999999993</v>
      </c>
      <c r="Q891" t="s">
        <v>29</v>
      </c>
      <c r="R891" t="s">
        <v>50</v>
      </c>
      <c r="S891" t="s">
        <v>6937</v>
      </c>
    </row>
    <row r="892" spans="1:19" x14ac:dyDescent="0.25">
      <c r="A892">
        <v>2011</v>
      </c>
      <c r="B892">
        <v>25072</v>
      </c>
      <c r="C892" t="s">
        <v>1043</v>
      </c>
      <c r="D892" t="s">
        <v>2158</v>
      </c>
      <c r="E892">
        <v>211113</v>
      </c>
      <c r="F892" t="s">
        <v>425</v>
      </c>
      <c r="G892" t="s">
        <v>426</v>
      </c>
      <c r="H892" t="s">
        <v>243</v>
      </c>
      <c r="I892" t="s">
        <v>1369</v>
      </c>
      <c r="J892" t="s">
        <v>1370</v>
      </c>
      <c r="K892" t="s">
        <v>1371</v>
      </c>
      <c r="L892" t="s">
        <v>1372</v>
      </c>
      <c r="M892" t="s">
        <v>1373</v>
      </c>
      <c r="N892" t="s">
        <v>1374</v>
      </c>
      <c r="O892" t="s">
        <v>1375</v>
      </c>
      <c r="P892">
        <v>1.94</v>
      </c>
      <c r="Q892" t="s">
        <v>29</v>
      </c>
      <c r="R892" t="s">
        <v>430</v>
      </c>
      <c r="S892" t="s">
        <v>6937</v>
      </c>
    </row>
    <row r="893" spans="1:19" x14ac:dyDescent="0.25">
      <c r="A893">
        <v>2023</v>
      </c>
      <c r="B893">
        <v>929</v>
      </c>
      <c r="C893" t="s">
        <v>1621</v>
      </c>
      <c r="D893" t="s">
        <v>2159</v>
      </c>
      <c r="E893">
        <v>322122</v>
      </c>
      <c r="F893" t="s">
        <v>1061</v>
      </c>
      <c r="G893" t="s">
        <v>1062</v>
      </c>
      <c r="H893" t="s">
        <v>79</v>
      </c>
      <c r="I893" t="s">
        <v>778</v>
      </c>
      <c r="J893" t="s">
        <v>779</v>
      </c>
      <c r="K893" t="s">
        <v>780</v>
      </c>
      <c r="L893" t="s">
        <v>1372</v>
      </c>
      <c r="M893" t="s">
        <v>1373</v>
      </c>
      <c r="N893" t="s">
        <v>1374</v>
      </c>
      <c r="O893" t="s">
        <v>1375</v>
      </c>
      <c r="P893">
        <v>1.0999999999999999E-2</v>
      </c>
      <c r="Q893" t="s">
        <v>29</v>
      </c>
      <c r="R893" t="s">
        <v>124</v>
      </c>
      <c r="S893" t="s">
        <v>6937</v>
      </c>
    </row>
    <row r="894" spans="1:19" x14ac:dyDescent="0.25">
      <c r="A894">
        <v>2012</v>
      </c>
      <c r="B894">
        <v>2537</v>
      </c>
      <c r="C894" t="s">
        <v>370</v>
      </c>
      <c r="D894" t="s">
        <v>2160</v>
      </c>
      <c r="E894">
        <v>562210</v>
      </c>
      <c r="F894" t="s">
        <v>84</v>
      </c>
      <c r="G894" t="s">
        <v>53</v>
      </c>
      <c r="H894" t="s">
        <v>21</v>
      </c>
      <c r="I894" t="s">
        <v>2161</v>
      </c>
      <c r="J894" t="s">
        <v>2162</v>
      </c>
      <c r="K894" t="s">
        <v>2163</v>
      </c>
      <c r="L894" t="s">
        <v>1372</v>
      </c>
      <c r="M894" t="s">
        <v>1373</v>
      </c>
      <c r="N894" t="s">
        <v>1374</v>
      </c>
      <c r="O894" t="s">
        <v>1375</v>
      </c>
      <c r="P894">
        <v>1.01E-2</v>
      </c>
      <c r="Q894" t="s">
        <v>29</v>
      </c>
      <c r="R894" t="s">
        <v>30</v>
      </c>
      <c r="S894" t="s">
        <v>6937</v>
      </c>
    </row>
    <row r="895" spans="1:19" x14ac:dyDescent="0.25">
      <c r="A895">
        <v>2013</v>
      </c>
      <c r="B895">
        <v>4896</v>
      </c>
      <c r="C895" t="s">
        <v>1805</v>
      </c>
      <c r="D895" t="s">
        <v>1841</v>
      </c>
      <c r="E895">
        <v>311224</v>
      </c>
      <c r="F895" t="s">
        <v>1842</v>
      </c>
      <c r="G895" t="s">
        <v>1843</v>
      </c>
      <c r="H895" t="s">
        <v>54</v>
      </c>
      <c r="I895" t="s">
        <v>1457</v>
      </c>
      <c r="J895" t="s">
        <v>1458</v>
      </c>
      <c r="K895" t="s">
        <v>1459</v>
      </c>
      <c r="L895" t="s">
        <v>1372</v>
      </c>
      <c r="M895" t="s">
        <v>1373</v>
      </c>
      <c r="N895" t="s">
        <v>1409</v>
      </c>
      <c r="O895" t="s">
        <v>1410</v>
      </c>
      <c r="P895">
        <v>43.780999999999999</v>
      </c>
      <c r="Q895" t="s">
        <v>29</v>
      </c>
      <c r="R895" t="s">
        <v>50</v>
      </c>
      <c r="S895" t="s">
        <v>6937</v>
      </c>
    </row>
    <row r="896" spans="1:19" x14ac:dyDescent="0.25">
      <c r="A896">
        <v>2005</v>
      </c>
      <c r="B896">
        <v>16069</v>
      </c>
      <c r="C896" t="s">
        <v>2164</v>
      </c>
      <c r="D896" t="s">
        <v>2165</v>
      </c>
      <c r="E896">
        <v>211113</v>
      </c>
      <c r="F896" t="s">
        <v>425</v>
      </c>
      <c r="G896" t="s">
        <v>426</v>
      </c>
      <c r="H896" t="s">
        <v>69</v>
      </c>
      <c r="I896" t="s">
        <v>1441</v>
      </c>
      <c r="J896" t="s">
        <v>1442</v>
      </c>
      <c r="K896" t="s">
        <v>1443</v>
      </c>
      <c r="L896" t="s">
        <v>1372</v>
      </c>
      <c r="M896" t="s">
        <v>1373</v>
      </c>
      <c r="N896" t="s">
        <v>1374</v>
      </c>
      <c r="O896" t="s">
        <v>1375</v>
      </c>
      <c r="P896">
        <v>22.472000000000001</v>
      </c>
      <c r="Q896" t="s">
        <v>29</v>
      </c>
      <c r="R896" t="s">
        <v>430</v>
      </c>
      <c r="S896" t="s">
        <v>6937</v>
      </c>
    </row>
    <row r="897" spans="1:19" x14ac:dyDescent="0.25">
      <c r="A897">
        <v>2008</v>
      </c>
      <c r="B897">
        <v>1383</v>
      </c>
      <c r="C897" t="s">
        <v>2166</v>
      </c>
      <c r="D897" t="s">
        <v>2167</v>
      </c>
      <c r="E897">
        <v>322112</v>
      </c>
      <c r="F897" t="s">
        <v>620</v>
      </c>
      <c r="G897" t="s">
        <v>621</v>
      </c>
      <c r="H897" t="s">
        <v>69</v>
      </c>
      <c r="I897" t="s">
        <v>324</v>
      </c>
      <c r="J897" t="s">
        <v>325</v>
      </c>
      <c r="K897" t="s">
        <v>326</v>
      </c>
      <c r="L897" t="s">
        <v>1378</v>
      </c>
      <c r="M897" t="s">
        <v>1379</v>
      </c>
      <c r="N897" t="s">
        <v>1380</v>
      </c>
      <c r="O897" t="s">
        <v>1381</v>
      </c>
      <c r="P897">
        <v>6.0250000000000004</v>
      </c>
      <c r="Q897" t="s">
        <v>40</v>
      </c>
      <c r="R897" t="s">
        <v>430</v>
      </c>
      <c r="S897" t="s">
        <v>6937</v>
      </c>
    </row>
    <row r="898" spans="1:19" x14ac:dyDescent="0.25">
      <c r="A898">
        <v>2001</v>
      </c>
      <c r="B898">
        <v>5569</v>
      </c>
      <c r="C898" t="s">
        <v>2168</v>
      </c>
      <c r="D898" t="s">
        <v>2169</v>
      </c>
      <c r="E898">
        <v>327990</v>
      </c>
      <c r="F898" t="s">
        <v>2170</v>
      </c>
      <c r="G898" t="s">
        <v>2171</v>
      </c>
      <c r="H898" t="s">
        <v>79</v>
      </c>
      <c r="I898" t="s">
        <v>543</v>
      </c>
      <c r="J898" t="s">
        <v>544</v>
      </c>
      <c r="K898" t="s">
        <v>545</v>
      </c>
      <c r="L898" t="s">
        <v>1372</v>
      </c>
      <c r="M898" t="s">
        <v>1373</v>
      </c>
      <c r="N898" t="s">
        <v>1374</v>
      </c>
      <c r="O898" t="s">
        <v>1375</v>
      </c>
      <c r="P898">
        <v>24.34</v>
      </c>
      <c r="Q898" t="s">
        <v>40</v>
      </c>
      <c r="R898" t="s">
        <v>442</v>
      </c>
      <c r="S898" t="s">
        <v>6937</v>
      </c>
    </row>
    <row r="899" spans="1:19" x14ac:dyDescent="0.25">
      <c r="A899">
        <v>2003</v>
      </c>
      <c r="B899">
        <v>10155</v>
      </c>
      <c r="C899" t="s">
        <v>2172</v>
      </c>
      <c r="E899">
        <v>326122</v>
      </c>
      <c r="F899" t="s">
        <v>2173</v>
      </c>
      <c r="G899" t="s">
        <v>2174</v>
      </c>
      <c r="H899" t="s">
        <v>21</v>
      </c>
      <c r="I899" t="s">
        <v>1413</v>
      </c>
      <c r="J899" t="s">
        <v>1414</v>
      </c>
      <c r="K899" t="s">
        <v>1415</v>
      </c>
      <c r="L899" t="s">
        <v>1372</v>
      </c>
      <c r="M899" t="s">
        <v>1373</v>
      </c>
      <c r="N899" t="s">
        <v>1520</v>
      </c>
      <c r="O899" t="s">
        <v>1521</v>
      </c>
      <c r="P899">
        <v>5.0999999999999997E-2</v>
      </c>
      <c r="Q899" t="s">
        <v>29</v>
      </c>
      <c r="R899" t="s">
        <v>30</v>
      </c>
      <c r="S899" t="s">
        <v>6937</v>
      </c>
    </row>
    <row r="900" spans="1:19" x14ac:dyDescent="0.25">
      <c r="A900">
        <v>2011</v>
      </c>
      <c r="B900">
        <v>16309</v>
      </c>
      <c r="C900" t="s">
        <v>1995</v>
      </c>
      <c r="D900" t="s">
        <v>2175</v>
      </c>
      <c r="E900">
        <v>211113</v>
      </c>
      <c r="F900" t="s">
        <v>425</v>
      </c>
      <c r="G900" t="s">
        <v>426</v>
      </c>
      <c r="H900" t="s">
        <v>85</v>
      </c>
      <c r="I900" t="s">
        <v>1533</v>
      </c>
      <c r="J900" t="s">
        <v>1534</v>
      </c>
      <c r="K900" t="s">
        <v>1535</v>
      </c>
      <c r="L900" t="s">
        <v>1372</v>
      </c>
      <c r="M900" t="s">
        <v>1373</v>
      </c>
      <c r="N900" t="s">
        <v>1374</v>
      </c>
      <c r="O900" t="s">
        <v>1375</v>
      </c>
      <c r="P900">
        <v>73.361000000000004</v>
      </c>
      <c r="Q900" t="s">
        <v>29</v>
      </c>
      <c r="R900" t="s">
        <v>430</v>
      </c>
      <c r="S900" t="s">
        <v>6937</v>
      </c>
    </row>
    <row r="901" spans="1:19" x14ac:dyDescent="0.25">
      <c r="A901">
        <v>2022</v>
      </c>
      <c r="B901">
        <v>23810</v>
      </c>
      <c r="C901" t="s">
        <v>2176</v>
      </c>
      <c r="D901" t="s">
        <v>2177</v>
      </c>
      <c r="E901">
        <v>211110</v>
      </c>
      <c r="F901" t="s">
        <v>233</v>
      </c>
      <c r="G901" t="s">
        <v>234</v>
      </c>
      <c r="H901" t="s">
        <v>85</v>
      </c>
      <c r="I901" t="s">
        <v>1413</v>
      </c>
      <c r="J901" t="s">
        <v>1414</v>
      </c>
      <c r="K901" t="s">
        <v>1415</v>
      </c>
      <c r="L901" t="s">
        <v>1372</v>
      </c>
      <c r="M901" t="s">
        <v>1373</v>
      </c>
      <c r="N901" t="s">
        <v>1374</v>
      </c>
      <c r="O901" t="s">
        <v>1375</v>
      </c>
      <c r="P901">
        <v>0</v>
      </c>
      <c r="Q901" t="s">
        <v>29</v>
      </c>
      <c r="S901" t="s">
        <v>6937</v>
      </c>
    </row>
    <row r="902" spans="1:19" x14ac:dyDescent="0.25">
      <c r="A902">
        <v>2018</v>
      </c>
      <c r="B902">
        <v>3751</v>
      </c>
      <c r="C902" t="s">
        <v>1485</v>
      </c>
      <c r="D902" t="s">
        <v>2178</v>
      </c>
      <c r="E902">
        <v>211110</v>
      </c>
      <c r="F902" t="s">
        <v>233</v>
      </c>
      <c r="G902" t="s">
        <v>234</v>
      </c>
      <c r="H902" t="s">
        <v>85</v>
      </c>
      <c r="I902" t="s">
        <v>70</v>
      </c>
      <c r="J902" t="s">
        <v>71</v>
      </c>
      <c r="K902" t="s">
        <v>72</v>
      </c>
      <c r="L902" t="s">
        <v>1361</v>
      </c>
      <c r="M902" t="s">
        <v>1362</v>
      </c>
      <c r="N902" t="s">
        <v>1363</v>
      </c>
      <c r="O902" t="s">
        <v>1364</v>
      </c>
      <c r="P902">
        <v>0.1075</v>
      </c>
      <c r="Q902" t="s">
        <v>29</v>
      </c>
      <c r="R902" t="s">
        <v>430</v>
      </c>
      <c r="S902" t="s">
        <v>6937</v>
      </c>
    </row>
    <row r="903" spans="1:19" x14ac:dyDescent="0.25">
      <c r="A903">
        <v>2005</v>
      </c>
      <c r="B903">
        <v>11224</v>
      </c>
      <c r="C903" t="s">
        <v>2179</v>
      </c>
      <c r="D903" t="s">
        <v>2180</v>
      </c>
      <c r="E903">
        <v>327320</v>
      </c>
      <c r="F903" t="s">
        <v>1924</v>
      </c>
      <c r="G903" t="s">
        <v>1925</v>
      </c>
      <c r="H903" t="s">
        <v>21</v>
      </c>
      <c r="I903" t="s">
        <v>1369</v>
      </c>
      <c r="J903" t="s">
        <v>1370</v>
      </c>
      <c r="K903" t="s">
        <v>1371</v>
      </c>
      <c r="L903" t="s">
        <v>1372</v>
      </c>
      <c r="M903" t="s">
        <v>1373</v>
      </c>
      <c r="N903" t="s">
        <v>1409</v>
      </c>
      <c r="O903" t="s">
        <v>1410</v>
      </c>
      <c r="P903">
        <v>0.876</v>
      </c>
      <c r="Q903" t="s">
        <v>29</v>
      </c>
      <c r="R903" t="s">
        <v>430</v>
      </c>
      <c r="S903" t="s">
        <v>6937</v>
      </c>
    </row>
    <row r="904" spans="1:19" x14ac:dyDescent="0.25">
      <c r="A904">
        <v>2008</v>
      </c>
      <c r="B904">
        <v>18113</v>
      </c>
      <c r="C904" t="s">
        <v>1940</v>
      </c>
      <c r="D904" t="s">
        <v>2181</v>
      </c>
      <c r="E904">
        <v>211113</v>
      </c>
      <c r="F904" t="s">
        <v>425</v>
      </c>
      <c r="G904" t="s">
        <v>426</v>
      </c>
      <c r="H904" t="s">
        <v>243</v>
      </c>
      <c r="I904" t="s">
        <v>1421</v>
      </c>
      <c r="J904" t="s">
        <v>1422</v>
      </c>
      <c r="K904" t="s">
        <v>1423</v>
      </c>
      <c r="L904" t="s">
        <v>1372</v>
      </c>
      <c r="M904" t="s">
        <v>1373</v>
      </c>
      <c r="N904" t="s">
        <v>1374</v>
      </c>
      <c r="O904" t="s">
        <v>1375</v>
      </c>
      <c r="P904">
        <v>1.5469999999999999</v>
      </c>
      <c r="Q904" t="s">
        <v>29</v>
      </c>
      <c r="R904" t="s">
        <v>430</v>
      </c>
      <c r="S904" t="s">
        <v>6937</v>
      </c>
    </row>
    <row r="905" spans="1:19" x14ac:dyDescent="0.25">
      <c r="A905">
        <v>2007</v>
      </c>
      <c r="B905">
        <v>2051</v>
      </c>
      <c r="C905" t="s">
        <v>2182</v>
      </c>
      <c r="D905" t="s">
        <v>2183</v>
      </c>
      <c r="E905">
        <v>322121</v>
      </c>
      <c r="F905" t="s">
        <v>764</v>
      </c>
      <c r="G905" t="s">
        <v>765</v>
      </c>
      <c r="H905" t="s">
        <v>54</v>
      </c>
      <c r="I905" t="s">
        <v>461</v>
      </c>
      <c r="J905" t="s">
        <v>462</v>
      </c>
      <c r="K905" t="s">
        <v>463</v>
      </c>
      <c r="L905" t="s">
        <v>1372</v>
      </c>
      <c r="M905" t="s">
        <v>1373</v>
      </c>
      <c r="N905" t="s">
        <v>1374</v>
      </c>
      <c r="O905" t="s">
        <v>1375</v>
      </c>
      <c r="P905">
        <v>3.18</v>
      </c>
      <c r="Q905" t="s">
        <v>40</v>
      </c>
      <c r="R905" t="s">
        <v>430</v>
      </c>
      <c r="S905" t="s">
        <v>6937</v>
      </c>
    </row>
    <row r="906" spans="1:19" x14ac:dyDescent="0.25">
      <c r="A906">
        <v>2016</v>
      </c>
      <c r="B906">
        <v>29384</v>
      </c>
      <c r="C906" t="s">
        <v>327</v>
      </c>
      <c r="D906" t="s">
        <v>2184</v>
      </c>
      <c r="E906">
        <v>562110</v>
      </c>
      <c r="F906" t="s">
        <v>644</v>
      </c>
      <c r="G906" t="s">
        <v>645</v>
      </c>
      <c r="H906" t="s">
        <v>85</v>
      </c>
      <c r="I906" t="s">
        <v>271</v>
      </c>
      <c r="J906" t="s">
        <v>272</v>
      </c>
      <c r="K906" t="s">
        <v>273</v>
      </c>
      <c r="L906" t="s">
        <v>1361</v>
      </c>
      <c r="M906" t="s">
        <v>1362</v>
      </c>
      <c r="N906" t="s">
        <v>1363</v>
      </c>
      <c r="O906" t="s">
        <v>1364</v>
      </c>
      <c r="P906">
        <v>2.9999999999999997E-4</v>
      </c>
      <c r="Q906" t="s">
        <v>29</v>
      </c>
      <c r="R906" t="s">
        <v>50</v>
      </c>
      <c r="S906" t="s">
        <v>6937</v>
      </c>
    </row>
    <row r="907" spans="1:19" x14ac:dyDescent="0.25">
      <c r="A907">
        <v>2007</v>
      </c>
      <c r="B907">
        <v>6379</v>
      </c>
      <c r="C907" t="s">
        <v>2185</v>
      </c>
      <c r="D907" t="s">
        <v>2186</v>
      </c>
      <c r="E907">
        <v>221320</v>
      </c>
      <c r="F907" t="s">
        <v>390</v>
      </c>
      <c r="G907" t="s">
        <v>147</v>
      </c>
      <c r="H907" t="s">
        <v>79</v>
      </c>
      <c r="I907" t="s">
        <v>97</v>
      </c>
      <c r="J907" t="s">
        <v>98</v>
      </c>
      <c r="K907" t="s">
        <v>99</v>
      </c>
      <c r="L907" t="s">
        <v>1378</v>
      </c>
      <c r="M907" t="s">
        <v>1379</v>
      </c>
      <c r="N907" t="s">
        <v>1380</v>
      </c>
      <c r="O907" t="s">
        <v>1381</v>
      </c>
      <c r="P907">
        <v>3.08</v>
      </c>
      <c r="Q907" t="s">
        <v>29</v>
      </c>
      <c r="R907" t="s">
        <v>725</v>
      </c>
      <c r="S907" t="s">
        <v>6937</v>
      </c>
    </row>
    <row r="908" spans="1:19" x14ac:dyDescent="0.25">
      <c r="A908">
        <v>2001</v>
      </c>
      <c r="B908">
        <v>5446</v>
      </c>
      <c r="C908" t="s">
        <v>2187</v>
      </c>
      <c r="E908">
        <v>325999</v>
      </c>
      <c r="F908" t="s">
        <v>396</v>
      </c>
      <c r="G908" t="s">
        <v>397</v>
      </c>
      <c r="H908" t="s">
        <v>79</v>
      </c>
      <c r="I908" t="s">
        <v>220</v>
      </c>
      <c r="J908" t="s">
        <v>221</v>
      </c>
      <c r="K908" t="s">
        <v>222</v>
      </c>
      <c r="L908" t="s">
        <v>1372</v>
      </c>
      <c r="M908" t="s">
        <v>1373</v>
      </c>
      <c r="N908" t="s">
        <v>1409</v>
      </c>
      <c r="O908" t="s">
        <v>1410</v>
      </c>
      <c r="P908">
        <v>6.6000000000000003E-2</v>
      </c>
      <c r="Q908" t="s">
        <v>29</v>
      </c>
      <c r="R908" t="s">
        <v>30</v>
      </c>
      <c r="S908" t="s">
        <v>6937</v>
      </c>
    </row>
    <row r="909" spans="1:19" x14ac:dyDescent="0.25">
      <c r="A909">
        <v>2021</v>
      </c>
      <c r="B909">
        <v>4511</v>
      </c>
      <c r="C909" t="s">
        <v>2188</v>
      </c>
      <c r="D909" t="s">
        <v>2189</v>
      </c>
      <c r="E909">
        <v>311919</v>
      </c>
      <c r="F909" t="s">
        <v>2190</v>
      </c>
      <c r="G909" t="s">
        <v>2191</v>
      </c>
      <c r="H909" t="s">
        <v>21</v>
      </c>
      <c r="I909" t="s">
        <v>1421</v>
      </c>
      <c r="J909" t="s">
        <v>1422</v>
      </c>
      <c r="K909" t="s">
        <v>1423</v>
      </c>
      <c r="L909" t="s">
        <v>1372</v>
      </c>
      <c r="M909" t="s">
        <v>1373</v>
      </c>
      <c r="N909" t="s">
        <v>1374</v>
      </c>
      <c r="O909" t="s">
        <v>1375</v>
      </c>
      <c r="P909">
        <v>10.718999999999999</v>
      </c>
      <c r="Q909" t="s">
        <v>29</v>
      </c>
      <c r="R909" t="s">
        <v>430</v>
      </c>
      <c r="S909" t="s">
        <v>6937</v>
      </c>
    </row>
    <row r="910" spans="1:19" x14ac:dyDescent="0.25">
      <c r="A910">
        <v>2007</v>
      </c>
      <c r="B910">
        <v>21637</v>
      </c>
      <c r="C910" t="s">
        <v>2192</v>
      </c>
      <c r="D910" t="s">
        <v>2193</v>
      </c>
      <c r="E910">
        <v>211113</v>
      </c>
      <c r="F910" t="s">
        <v>425</v>
      </c>
      <c r="G910" t="s">
        <v>426</v>
      </c>
      <c r="H910" t="s">
        <v>85</v>
      </c>
      <c r="I910" t="s">
        <v>1369</v>
      </c>
      <c r="J910" t="s">
        <v>1370</v>
      </c>
      <c r="K910" t="s">
        <v>1371</v>
      </c>
      <c r="L910" t="s">
        <v>1372</v>
      </c>
      <c r="M910" t="s">
        <v>1373</v>
      </c>
      <c r="N910" t="s">
        <v>1374</v>
      </c>
      <c r="O910" t="s">
        <v>1375</v>
      </c>
      <c r="P910">
        <v>0.55300000000000005</v>
      </c>
      <c r="Q910" t="s">
        <v>29</v>
      </c>
      <c r="R910" t="s">
        <v>430</v>
      </c>
      <c r="S910" t="s">
        <v>6937</v>
      </c>
    </row>
    <row r="911" spans="1:19" x14ac:dyDescent="0.25">
      <c r="A911">
        <v>2023</v>
      </c>
      <c r="B911">
        <v>25434</v>
      </c>
      <c r="C911" t="s">
        <v>2194</v>
      </c>
      <c r="D911" t="s">
        <v>2195</v>
      </c>
      <c r="E911">
        <v>212220</v>
      </c>
      <c r="F911" t="s">
        <v>1619</v>
      </c>
      <c r="G911" t="s">
        <v>1620</v>
      </c>
      <c r="H911" t="s">
        <v>69</v>
      </c>
      <c r="I911" t="s">
        <v>209</v>
      </c>
      <c r="J911" t="s">
        <v>210</v>
      </c>
      <c r="K911" t="s">
        <v>211</v>
      </c>
      <c r="L911" t="s">
        <v>1372</v>
      </c>
      <c r="M911" t="s">
        <v>1373</v>
      </c>
      <c r="N911" t="s">
        <v>1409</v>
      </c>
      <c r="O911" t="s">
        <v>1410</v>
      </c>
      <c r="P911">
        <v>4.64E-4</v>
      </c>
      <c r="Q911" t="s">
        <v>29</v>
      </c>
      <c r="R911" t="s">
        <v>124</v>
      </c>
      <c r="S911" t="s">
        <v>6937</v>
      </c>
    </row>
    <row r="912" spans="1:19" x14ac:dyDescent="0.25">
      <c r="A912">
        <v>2004</v>
      </c>
      <c r="B912">
        <v>18470</v>
      </c>
      <c r="C912" t="s">
        <v>2164</v>
      </c>
      <c r="D912" t="s">
        <v>2196</v>
      </c>
      <c r="E912">
        <v>211113</v>
      </c>
      <c r="F912" t="s">
        <v>425</v>
      </c>
      <c r="G912" t="s">
        <v>426</v>
      </c>
      <c r="H912" t="s">
        <v>85</v>
      </c>
      <c r="I912" t="s">
        <v>1369</v>
      </c>
      <c r="J912" t="s">
        <v>1370</v>
      </c>
      <c r="K912" t="s">
        <v>1371</v>
      </c>
      <c r="L912" t="s">
        <v>1372</v>
      </c>
      <c r="M912" t="s">
        <v>1373</v>
      </c>
      <c r="N912" t="s">
        <v>1374</v>
      </c>
      <c r="O912" t="s">
        <v>1375</v>
      </c>
      <c r="P912">
        <v>0.57699999999999996</v>
      </c>
      <c r="Q912" t="s">
        <v>29</v>
      </c>
      <c r="R912" t="s">
        <v>430</v>
      </c>
      <c r="S912" t="s">
        <v>6937</v>
      </c>
    </row>
    <row r="913" spans="1:19" x14ac:dyDescent="0.25">
      <c r="A913">
        <v>2018</v>
      </c>
      <c r="B913">
        <v>6226</v>
      </c>
      <c r="C913" t="s">
        <v>1365</v>
      </c>
      <c r="D913" t="s">
        <v>2197</v>
      </c>
      <c r="E913">
        <v>321111</v>
      </c>
      <c r="F913" t="s">
        <v>1367</v>
      </c>
      <c r="G913" t="s">
        <v>1368</v>
      </c>
      <c r="H913" t="s">
        <v>79</v>
      </c>
      <c r="I913" t="s">
        <v>1533</v>
      </c>
      <c r="J913" t="s">
        <v>1534</v>
      </c>
      <c r="K913" t="s">
        <v>1535</v>
      </c>
      <c r="L913" t="s">
        <v>1372</v>
      </c>
      <c r="M913" t="s">
        <v>1373</v>
      </c>
      <c r="N913" t="s">
        <v>1374</v>
      </c>
      <c r="O913" t="s">
        <v>1375</v>
      </c>
      <c r="P913">
        <v>27.8</v>
      </c>
      <c r="Q913" t="s">
        <v>29</v>
      </c>
      <c r="R913" t="s">
        <v>430</v>
      </c>
      <c r="S913" t="s">
        <v>6937</v>
      </c>
    </row>
    <row r="914" spans="1:19" x14ac:dyDescent="0.25">
      <c r="A914">
        <v>1999</v>
      </c>
      <c r="B914">
        <v>3707</v>
      </c>
      <c r="C914" t="s">
        <v>125</v>
      </c>
      <c r="D914" t="s">
        <v>808</v>
      </c>
      <c r="E914">
        <v>324110</v>
      </c>
      <c r="F914" t="s">
        <v>95</v>
      </c>
      <c r="G914" t="s">
        <v>96</v>
      </c>
      <c r="H914" t="s">
        <v>85</v>
      </c>
      <c r="I914" t="s">
        <v>271</v>
      </c>
      <c r="J914" t="s">
        <v>387</v>
      </c>
      <c r="K914" t="s">
        <v>388</v>
      </c>
      <c r="L914" t="s">
        <v>1372</v>
      </c>
      <c r="M914" t="s">
        <v>1373</v>
      </c>
      <c r="N914" t="s">
        <v>1520</v>
      </c>
      <c r="O914" t="s">
        <v>1521</v>
      </c>
      <c r="P914">
        <v>4.5999999999999999E-2</v>
      </c>
      <c r="Q914" t="s">
        <v>29</v>
      </c>
      <c r="R914" t="s">
        <v>30</v>
      </c>
      <c r="S914" t="s">
        <v>6937</v>
      </c>
    </row>
    <row r="915" spans="1:19" x14ac:dyDescent="0.25">
      <c r="A915">
        <v>2008</v>
      </c>
      <c r="B915">
        <v>764</v>
      </c>
      <c r="C915" t="s">
        <v>2198</v>
      </c>
      <c r="D915" t="s">
        <v>2199</v>
      </c>
      <c r="E915">
        <v>326140</v>
      </c>
      <c r="F915" t="s">
        <v>2200</v>
      </c>
      <c r="G915" t="s">
        <v>1900</v>
      </c>
      <c r="H915" t="s">
        <v>85</v>
      </c>
      <c r="I915" t="s">
        <v>2201</v>
      </c>
      <c r="J915" t="s">
        <v>2202</v>
      </c>
      <c r="K915" t="s">
        <v>2203</v>
      </c>
      <c r="L915" t="s">
        <v>1372</v>
      </c>
      <c r="M915" t="s">
        <v>1373</v>
      </c>
      <c r="N915" t="s">
        <v>1374</v>
      </c>
      <c r="O915" t="s">
        <v>1375</v>
      </c>
      <c r="P915">
        <v>2.0529999999999999</v>
      </c>
      <c r="Q915" t="s">
        <v>29</v>
      </c>
      <c r="R915" t="s">
        <v>30</v>
      </c>
      <c r="S915" t="s">
        <v>6937</v>
      </c>
    </row>
    <row r="916" spans="1:19" x14ac:dyDescent="0.25">
      <c r="A916">
        <v>1998</v>
      </c>
      <c r="B916">
        <v>2022</v>
      </c>
      <c r="C916" t="s">
        <v>1578</v>
      </c>
      <c r="D916" t="s">
        <v>2204</v>
      </c>
      <c r="E916">
        <v>325510</v>
      </c>
      <c r="F916" t="s">
        <v>143</v>
      </c>
      <c r="G916" t="s">
        <v>112</v>
      </c>
      <c r="H916" t="s">
        <v>21</v>
      </c>
      <c r="I916" t="s">
        <v>427</v>
      </c>
      <c r="J916" t="s">
        <v>428</v>
      </c>
      <c r="K916" t="s">
        <v>429</v>
      </c>
      <c r="L916" t="s">
        <v>1361</v>
      </c>
      <c r="M916" t="s">
        <v>1362</v>
      </c>
      <c r="N916" t="s">
        <v>1363</v>
      </c>
      <c r="O916" t="s">
        <v>1364</v>
      </c>
      <c r="P916">
        <v>3.6999999999999998E-2</v>
      </c>
      <c r="Q916" t="s">
        <v>29</v>
      </c>
      <c r="R916" t="s">
        <v>30</v>
      </c>
      <c r="S916" t="s">
        <v>6937</v>
      </c>
    </row>
    <row r="917" spans="1:19" x14ac:dyDescent="0.25">
      <c r="A917">
        <v>2009</v>
      </c>
      <c r="B917">
        <v>11765</v>
      </c>
      <c r="C917" t="s">
        <v>2205</v>
      </c>
      <c r="D917" t="s">
        <v>2206</v>
      </c>
      <c r="E917">
        <v>321911</v>
      </c>
      <c r="F917" t="s">
        <v>842</v>
      </c>
      <c r="G917" t="s">
        <v>2207</v>
      </c>
      <c r="H917" t="s">
        <v>21</v>
      </c>
      <c r="I917" t="s">
        <v>778</v>
      </c>
      <c r="J917" t="s">
        <v>779</v>
      </c>
      <c r="K917" t="s">
        <v>780</v>
      </c>
      <c r="L917" t="s">
        <v>1361</v>
      </c>
      <c r="M917" t="s">
        <v>1362</v>
      </c>
      <c r="N917" t="s">
        <v>1363</v>
      </c>
      <c r="O917" t="s">
        <v>1364</v>
      </c>
      <c r="P917">
        <v>0.21199999999999999</v>
      </c>
      <c r="Q917" t="s">
        <v>29</v>
      </c>
      <c r="R917" t="s">
        <v>30</v>
      </c>
      <c r="S917" t="s">
        <v>6937</v>
      </c>
    </row>
    <row r="918" spans="1:19" x14ac:dyDescent="0.25">
      <c r="A918">
        <v>2022</v>
      </c>
      <c r="B918">
        <v>20077</v>
      </c>
      <c r="C918" t="s">
        <v>2208</v>
      </c>
      <c r="D918" t="s">
        <v>2209</v>
      </c>
      <c r="E918">
        <v>321111</v>
      </c>
      <c r="F918" t="s">
        <v>1367</v>
      </c>
      <c r="G918" t="s">
        <v>1368</v>
      </c>
      <c r="H918" t="s">
        <v>69</v>
      </c>
      <c r="I918" t="s">
        <v>1421</v>
      </c>
      <c r="J918" t="s">
        <v>1422</v>
      </c>
      <c r="K918" t="s">
        <v>1423</v>
      </c>
      <c r="L918" t="s">
        <v>1372</v>
      </c>
      <c r="M918" t="s">
        <v>1373</v>
      </c>
      <c r="N918" t="s">
        <v>1374</v>
      </c>
      <c r="O918" t="s">
        <v>1375</v>
      </c>
      <c r="P918">
        <v>0.74580000000000002</v>
      </c>
      <c r="Q918" t="s">
        <v>29</v>
      </c>
      <c r="R918" t="s">
        <v>430</v>
      </c>
      <c r="S918" t="s">
        <v>6937</v>
      </c>
    </row>
    <row r="919" spans="1:19" x14ac:dyDescent="0.25">
      <c r="A919">
        <v>2021</v>
      </c>
      <c r="B919">
        <v>4449</v>
      </c>
      <c r="C919" t="s">
        <v>2210</v>
      </c>
      <c r="D919" t="s">
        <v>2211</v>
      </c>
      <c r="E919">
        <v>327214</v>
      </c>
      <c r="F919" t="s">
        <v>2212</v>
      </c>
      <c r="G919" t="s">
        <v>2213</v>
      </c>
      <c r="H919" t="s">
        <v>79</v>
      </c>
      <c r="I919" t="s">
        <v>500</v>
      </c>
      <c r="J919" t="s">
        <v>501</v>
      </c>
      <c r="K919" t="s">
        <v>502</v>
      </c>
      <c r="L919" t="s">
        <v>1394</v>
      </c>
      <c r="M919" t="s">
        <v>1395</v>
      </c>
      <c r="N919" t="s">
        <v>1396</v>
      </c>
      <c r="O919" t="s">
        <v>1397</v>
      </c>
      <c r="P919">
        <v>1.82</v>
      </c>
      <c r="Q919" t="s">
        <v>40</v>
      </c>
      <c r="R919" t="s">
        <v>50</v>
      </c>
      <c r="S919" t="s">
        <v>6937</v>
      </c>
    </row>
    <row r="920" spans="1:19" x14ac:dyDescent="0.25">
      <c r="A920">
        <v>2019</v>
      </c>
      <c r="B920">
        <v>2960</v>
      </c>
      <c r="C920" t="s">
        <v>507</v>
      </c>
      <c r="D920" t="s">
        <v>2214</v>
      </c>
      <c r="E920">
        <v>324110</v>
      </c>
      <c r="F920" t="s">
        <v>196</v>
      </c>
      <c r="G920" t="s">
        <v>96</v>
      </c>
      <c r="H920" t="s">
        <v>85</v>
      </c>
      <c r="I920" t="s">
        <v>1457</v>
      </c>
      <c r="J920" t="s">
        <v>1458</v>
      </c>
      <c r="K920" t="s">
        <v>1459</v>
      </c>
      <c r="L920" t="s">
        <v>1372</v>
      </c>
      <c r="M920" t="s">
        <v>1373</v>
      </c>
      <c r="N920" t="s">
        <v>1409</v>
      </c>
      <c r="O920" t="s">
        <v>1410</v>
      </c>
      <c r="P920">
        <v>59.83</v>
      </c>
      <c r="Q920" t="s">
        <v>29</v>
      </c>
      <c r="R920" t="s">
        <v>725</v>
      </c>
      <c r="S920" t="s">
        <v>6937</v>
      </c>
    </row>
    <row r="921" spans="1:19" x14ac:dyDescent="0.25">
      <c r="A921">
        <v>1995</v>
      </c>
      <c r="B921">
        <v>679</v>
      </c>
      <c r="C921" t="s">
        <v>2215</v>
      </c>
      <c r="E921">
        <v>325520</v>
      </c>
      <c r="F921" t="s">
        <v>1147</v>
      </c>
      <c r="G921" t="s">
        <v>1122</v>
      </c>
      <c r="H921" t="s">
        <v>21</v>
      </c>
      <c r="I921" t="s">
        <v>22</v>
      </c>
      <c r="J921" t="s">
        <v>23</v>
      </c>
      <c r="K921" t="s">
        <v>24</v>
      </c>
      <c r="L921" t="s">
        <v>1361</v>
      </c>
      <c r="M921" t="s">
        <v>1362</v>
      </c>
      <c r="N921" t="s">
        <v>1363</v>
      </c>
      <c r="O921" t="s">
        <v>1364</v>
      </c>
      <c r="P921">
        <v>0.7</v>
      </c>
      <c r="Q921" t="s">
        <v>29</v>
      </c>
      <c r="R921" t="s">
        <v>50</v>
      </c>
      <c r="S921" t="s">
        <v>6937</v>
      </c>
    </row>
    <row r="922" spans="1:19" x14ac:dyDescent="0.25">
      <c r="A922">
        <v>2023</v>
      </c>
      <c r="B922">
        <v>23412</v>
      </c>
      <c r="C922" t="s">
        <v>1641</v>
      </c>
      <c r="D922" t="s">
        <v>2216</v>
      </c>
      <c r="E922">
        <v>211110</v>
      </c>
      <c r="F922" t="s">
        <v>233</v>
      </c>
      <c r="G922" t="s">
        <v>234</v>
      </c>
      <c r="H922" t="s">
        <v>85</v>
      </c>
      <c r="I922" t="s">
        <v>1421</v>
      </c>
      <c r="J922" t="s">
        <v>1422</v>
      </c>
      <c r="K922" t="s">
        <v>1423</v>
      </c>
      <c r="L922" t="s">
        <v>1372</v>
      </c>
      <c r="M922" t="s">
        <v>1373</v>
      </c>
      <c r="N922" t="s">
        <v>1374</v>
      </c>
      <c r="O922" t="s">
        <v>1375</v>
      </c>
      <c r="P922">
        <v>0.11958000000000001</v>
      </c>
      <c r="Q922" t="s">
        <v>29</v>
      </c>
      <c r="R922" t="s">
        <v>430</v>
      </c>
      <c r="S922" t="s">
        <v>6937</v>
      </c>
    </row>
    <row r="923" spans="1:19" x14ac:dyDescent="0.25">
      <c r="A923">
        <v>2022</v>
      </c>
      <c r="B923">
        <v>30386</v>
      </c>
      <c r="C923" t="s">
        <v>1592</v>
      </c>
      <c r="D923" t="s">
        <v>2217</v>
      </c>
      <c r="E923">
        <v>211110</v>
      </c>
      <c r="F923" t="s">
        <v>233</v>
      </c>
      <c r="G923" t="s">
        <v>234</v>
      </c>
      <c r="H923" t="s">
        <v>85</v>
      </c>
      <c r="I923" t="s">
        <v>1369</v>
      </c>
      <c r="J923" t="s">
        <v>1370</v>
      </c>
      <c r="K923" t="s">
        <v>1371</v>
      </c>
      <c r="L923" t="s">
        <v>1372</v>
      </c>
      <c r="M923" t="s">
        <v>1373</v>
      </c>
      <c r="N923" t="s">
        <v>1374</v>
      </c>
      <c r="O923" t="s">
        <v>1375</v>
      </c>
      <c r="P923">
        <v>0.63449999999999995</v>
      </c>
      <c r="Q923" t="s">
        <v>29</v>
      </c>
      <c r="R923" t="s">
        <v>430</v>
      </c>
      <c r="S923" t="s">
        <v>6937</v>
      </c>
    </row>
    <row r="924" spans="1:19" x14ac:dyDescent="0.25">
      <c r="A924">
        <v>2010</v>
      </c>
      <c r="B924">
        <v>18241</v>
      </c>
      <c r="C924" t="s">
        <v>2218</v>
      </c>
      <c r="D924" t="s">
        <v>2219</v>
      </c>
      <c r="E924">
        <v>212392</v>
      </c>
      <c r="F924" t="s">
        <v>2084</v>
      </c>
      <c r="G924" t="s">
        <v>2085</v>
      </c>
      <c r="H924" t="s">
        <v>379</v>
      </c>
      <c r="I924" t="s">
        <v>1369</v>
      </c>
      <c r="J924" t="s">
        <v>1370</v>
      </c>
      <c r="K924" t="s">
        <v>1371</v>
      </c>
      <c r="L924" t="s">
        <v>1372</v>
      </c>
      <c r="M924" t="s">
        <v>1373</v>
      </c>
      <c r="N924" t="s">
        <v>1520</v>
      </c>
      <c r="O924" t="s">
        <v>1521</v>
      </c>
      <c r="P924">
        <v>175</v>
      </c>
      <c r="Q924" t="s">
        <v>29</v>
      </c>
      <c r="R924" t="s">
        <v>430</v>
      </c>
      <c r="S924" t="s">
        <v>6937</v>
      </c>
    </row>
    <row r="925" spans="1:19" x14ac:dyDescent="0.25">
      <c r="A925">
        <v>2011</v>
      </c>
      <c r="B925">
        <v>5375</v>
      </c>
      <c r="C925" t="s">
        <v>2220</v>
      </c>
      <c r="D925" t="s">
        <v>2221</v>
      </c>
      <c r="E925">
        <v>321111</v>
      </c>
      <c r="F925" t="s">
        <v>1474</v>
      </c>
      <c r="G925" t="s">
        <v>1368</v>
      </c>
      <c r="H925" t="s">
        <v>85</v>
      </c>
      <c r="I925" t="s">
        <v>1762</v>
      </c>
      <c r="J925" t="s">
        <v>1763</v>
      </c>
      <c r="K925" t="s">
        <v>1764</v>
      </c>
      <c r="L925" t="s">
        <v>1372</v>
      </c>
      <c r="M925" t="s">
        <v>1373</v>
      </c>
      <c r="N925" t="s">
        <v>1374</v>
      </c>
      <c r="O925" t="s">
        <v>1375</v>
      </c>
      <c r="P925">
        <v>6.2E-2</v>
      </c>
      <c r="Q925" t="s">
        <v>29</v>
      </c>
      <c r="R925" t="s">
        <v>430</v>
      </c>
      <c r="S925" t="s">
        <v>6937</v>
      </c>
    </row>
    <row r="926" spans="1:19" x14ac:dyDescent="0.25">
      <c r="A926">
        <v>2014</v>
      </c>
      <c r="B926">
        <v>6591</v>
      </c>
      <c r="C926" t="s">
        <v>1600</v>
      </c>
      <c r="D926" t="s">
        <v>1601</v>
      </c>
      <c r="E926">
        <v>221112</v>
      </c>
      <c r="F926" t="s">
        <v>499</v>
      </c>
      <c r="G926" t="s">
        <v>135</v>
      </c>
      <c r="H926" t="s">
        <v>85</v>
      </c>
      <c r="I926" t="s">
        <v>1487</v>
      </c>
      <c r="J926" t="s">
        <v>1488</v>
      </c>
      <c r="K926" t="s">
        <v>1489</v>
      </c>
      <c r="L926" t="s">
        <v>1372</v>
      </c>
      <c r="M926" t="s">
        <v>1373</v>
      </c>
      <c r="N926" t="s">
        <v>1520</v>
      </c>
      <c r="O926" t="s">
        <v>1521</v>
      </c>
      <c r="P926">
        <v>1.8660000000000001</v>
      </c>
      <c r="Q926" t="s">
        <v>29</v>
      </c>
      <c r="R926" t="s">
        <v>30</v>
      </c>
      <c r="S926" t="s">
        <v>6937</v>
      </c>
    </row>
    <row r="927" spans="1:19" x14ac:dyDescent="0.25">
      <c r="A927">
        <v>2021</v>
      </c>
      <c r="B927">
        <v>10087</v>
      </c>
      <c r="C927" t="s">
        <v>2222</v>
      </c>
      <c r="D927" t="s">
        <v>2223</v>
      </c>
      <c r="E927">
        <v>411120</v>
      </c>
      <c r="F927" t="s">
        <v>1974</v>
      </c>
      <c r="G927" t="s">
        <v>1975</v>
      </c>
      <c r="H927" t="s">
        <v>21</v>
      </c>
      <c r="I927" t="s">
        <v>1421</v>
      </c>
      <c r="J927" t="s">
        <v>1422</v>
      </c>
      <c r="K927" t="s">
        <v>1423</v>
      </c>
      <c r="L927" t="s">
        <v>1372</v>
      </c>
      <c r="M927" t="s">
        <v>1373</v>
      </c>
      <c r="N927" t="s">
        <v>1374</v>
      </c>
      <c r="O927" t="s">
        <v>1375</v>
      </c>
      <c r="P927">
        <v>8.0000000000000002E-3</v>
      </c>
      <c r="Q927" t="s">
        <v>29</v>
      </c>
      <c r="R927" t="s">
        <v>430</v>
      </c>
      <c r="S927" t="s">
        <v>6937</v>
      </c>
    </row>
    <row r="928" spans="1:19" x14ac:dyDescent="0.25">
      <c r="A928">
        <v>2021</v>
      </c>
      <c r="B928">
        <v>4324</v>
      </c>
      <c r="C928" t="s">
        <v>2224</v>
      </c>
      <c r="D928" t="s">
        <v>2225</v>
      </c>
      <c r="E928">
        <v>326191</v>
      </c>
      <c r="F928" t="s">
        <v>2226</v>
      </c>
      <c r="G928" t="s">
        <v>2227</v>
      </c>
      <c r="H928" t="s">
        <v>79</v>
      </c>
      <c r="I928" t="s">
        <v>1457</v>
      </c>
      <c r="J928" t="s">
        <v>1458</v>
      </c>
      <c r="K928" t="s">
        <v>1459</v>
      </c>
      <c r="L928" t="s">
        <v>1372</v>
      </c>
      <c r="M928" t="s">
        <v>1373</v>
      </c>
      <c r="N928" t="s">
        <v>1374</v>
      </c>
      <c r="O928" t="s">
        <v>1375</v>
      </c>
      <c r="P928">
        <v>42.22</v>
      </c>
      <c r="Q928" t="s">
        <v>29</v>
      </c>
      <c r="R928" t="s">
        <v>430</v>
      </c>
      <c r="S928" t="s">
        <v>6937</v>
      </c>
    </row>
    <row r="929" spans="1:19" x14ac:dyDescent="0.25">
      <c r="A929">
        <v>2007</v>
      </c>
      <c r="B929">
        <v>3845</v>
      </c>
      <c r="C929" t="s">
        <v>2228</v>
      </c>
      <c r="D929" t="s">
        <v>2229</v>
      </c>
      <c r="E929">
        <v>332810</v>
      </c>
      <c r="F929" t="s">
        <v>237</v>
      </c>
      <c r="G929" t="s">
        <v>238</v>
      </c>
      <c r="H929" t="s">
        <v>21</v>
      </c>
      <c r="I929" t="s">
        <v>1369</v>
      </c>
      <c r="J929" t="s">
        <v>1370</v>
      </c>
      <c r="K929" t="s">
        <v>1371</v>
      </c>
      <c r="L929" t="s">
        <v>1372</v>
      </c>
      <c r="M929" t="s">
        <v>1373</v>
      </c>
      <c r="N929" t="s">
        <v>1390</v>
      </c>
      <c r="O929" t="s">
        <v>1391</v>
      </c>
      <c r="P929">
        <v>0</v>
      </c>
      <c r="Q929" t="s">
        <v>29</v>
      </c>
      <c r="R929" t="s">
        <v>30</v>
      </c>
      <c r="S929" t="s">
        <v>6937</v>
      </c>
    </row>
    <row r="930" spans="1:19" x14ac:dyDescent="0.25">
      <c r="A930">
        <v>2005</v>
      </c>
      <c r="B930">
        <v>4378</v>
      </c>
      <c r="C930" t="s">
        <v>2230</v>
      </c>
      <c r="D930" t="s">
        <v>2231</v>
      </c>
      <c r="E930">
        <v>322299</v>
      </c>
      <c r="F930" t="s">
        <v>906</v>
      </c>
      <c r="G930" t="s">
        <v>716</v>
      </c>
      <c r="H930" t="s">
        <v>79</v>
      </c>
      <c r="I930" t="s">
        <v>648</v>
      </c>
      <c r="J930" t="s">
        <v>649</v>
      </c>
      <c r="K930" t="s">
        <v>650</v>
      </c>
      <c r="L930" t="s">
        <v>1372</v>
      </c>
      <c r="M930" t="s">
        <v>1373</v>
      </c>
      <c r="N930" t="s">
        <v>1374</v>
      </c>
      <c r="O930" t="s">
        <v>1375</v>
      </c>
      <c r="P930">
        <v>128.6</v>
      </c>
      <c r="Q930" t="s">
        <v>29</v>
      </c>
      <c r="R930" t="s">
        <v>124</v>
      </c>
      <c r="S930" t="s">
        <v>6937</v>
      </c>
    </row>
    <row r="931" spans="1:19" x14ac:dyDescent="0.25">
      <c r="A931">
        <v>2011</v>
      </c>
      <c r="B931">
        <v>4649</v>
      </c>
      <c r="C931" t="s">
        <v>2232</v>
      </c>
      <c r="D931" t="s">
        <v>352</v>
      </c>
      <c r="E931">
        <v>325910</v>
      </c>
      <c r="F931" t="s">
        <v>2233</v>
      </c>
      <c r="G931" t="s">
        <v>2234</v>
      </c>
      <c r="H931" t="s">
        <v>21</v>
      </c>
      <c r="I931" t="s">
        <v>1369</v>
      </c>
      <c r="J931" t="s">
        <v>1370</v>
      </c>
      <c r="K931" t="s">
        <v>1371</v>
      </c>
      <c r="L931" t="s">
        <v>1372</v>
      </c>
      <c r="M931" t="s">
        <v>1373</v>
      </c>
      <c r="N931" t="s">
        <v>1374</v>
      </c>
      <c r="O931" t="s">
        <v>1375</v>
      </c>
      <c r="P931">
        <v>3.2730000000000001</v>
      </c>
      <c r="Q931" t="s">
        <v>29</v>
      </c>
      <c r="R931" t="s">
        <v>30</v>
      </c>
      <c r="S931" t="s">
        <v>6937</v>
      </c>
    </row>
    <row r="932" spans="1:19" x14ac:dyDescent="0.25">
      <c r="A932">
        <v>2019</v>
      </c>
      <c r="B932">
        <v>1077</v>
      </c>
      <c r="C932" t="s">
        <v>1485</v>
      </c>
      <c r="D932" t="s">
        <v>2235</v>
      </c>
      <c r="E932">
        <v>211110</v>
      </c>
      <c r="F932" t="s">
        <v>233</v>
      </c>
      <c r="G932" t="s">
        <v>234</v>
      </c>
      <c r="H932" t="s">
        <v>85</v>
      </c>
      <c r="I932" t="s">
        <v>1487</v>
      </c>
      <c r="J932" t="s">
        <v>1488</v>
      </c>
      <c r="K932" t="s">
        <v>1489</v>
      </c>
      <c r="L932" t="s">
        <v>1372</v>
      </c>
      <c r="M932" t="s">
        <v>1373</v>
      </c>
      <c r="N932" t="s">
        <v>1374</v>
      </c>
      <c r="O932" t="s">
        <v>1375</v>
      </c>
      <c r="P932">
        <v>2.7570000000000001</v>
      </c>
      <c r="Q932" t="s">
        <v>29</v>
      </c>
      <c r="R932" t="s">
        <v>430</v>
      </c>
      <c r="S932" t="s">
        <v>6937</v>
      </c>
    </row>
    <row r="933" spans="1:19" x14ac:dyDescent="0.25">
      <c r="A933">
        <v>2019</v>
      </c>
      <c r="B933">
        <v>2122</v>
      </c>
      <c r="C933" t="s">
        <v>833</v>
      </c>
      <c r="D933" t="s">
        <v>2236</v>
      </c>
      <c r="E933">
        <v>324190</v>
      </c>
      <c r="F933" t="s">
        <v>666</v>
      </c>
      <c r="G933" t="s">
        <v>667</v>
      </c>
      <c r="H933" t="s">
        <v>21</v>
      </c>
      <c r="I933" t="s">
        <v>152</v>
      </c>
      <c r="J933" t="s">
        <v>153</v>
      </c>
      <c r="K933" t="s">
        <v>154</v>
      </c>
      <c r="L933" t="s">
        <v>1361</v>
      </c>
      <c r="M933" t="s">
        <v>1362</v>
      </c>
      <c r="N933" t="s">
        <v>1363</v>
      </c>
      <c r="O933" t="s">
        <v>1364</v>
      </c>
      <c r="P933">
        <v>0</v>
      </c>
      <c r="Q933" t="s">
        <v>29</v>
      </c>
      <c r="R933" t="s">
        <v>430</v>
      </c>
      <c r="S933" t="s">
        <v>6937</v>
      </c>
    </row>
    <row r="934" spans="1:19" x14ac:dyDescent="0.25">
      <c r="A934">
        <v>2014</v>
      </c>
      <c r="B934">
        <v>6631</v>
      </c>
      <c r="C934" t="s">
        <v>1718</v>
      </c>
      <c r="D934" t="s">
        <v>2237</v>
      </c>
      <c r="E934">
        <v>211113</v>
      </c>
      <c r="F934" t="s">
        <v>786</v>
      </c>
      <c r="G934" t="s">
        <v>426</v>
      </c>
      <c r="H934" t="s">
        <v>243</v>
      </c>
      <c r="I934" t="s">
        <v>1549</v>
      </c>
      <c r="J934" t="s">
        <v>1550</v>
      </c>
      <c r="K934" t="s">
        <v>1551</v>
      </c>
      <c r="L934" t="s">
        <v>1372</v>
      </c>
      <c r="M934" t="s">
        <v>1373</v>
      </c>
      <c r="N934" t="s">
        <v>1409</v>
      </c>
      <c r="O934" t="s">
        <v>1410</v>
      </c>
      <c r="P934">
        <v>17.841999999999999</v>
      </c>
      <c r="Q934" t="s">
        <v>29</v>
      </c>
      <c r="R934" t="s">
        <v>30</v>
      </c>
      <c r="S934" t="s">
        <v>6937</v>
      </c>
    </row>
    <row r="935" spans="1:19" x14ac:dyDescent="0.25">
      <c r="A935">
        <v>2008</v>
      </c>
      <c r="B935">
        <v>2963</v>
      </c>
      <c r="C935" t="s">
        <v>2238</v>
      </c>
      <c r="D935" t="s">
        <v>2239</v>
      </c>
      <c r="E935">
        <v>325110</v>
      </c>
      <c r="F935" t="s">
        <v>1194</v>
      </c>
      <c r="G935" t="s">
        <v>445</v>
      </c>
      <c r="H935" t="s">
        <v>85</v>
      </c>
      <c r="I935" t="s">
        <v>1421</v>
      </c>
      <c r="J935" t="s">
        <v>1422</v>
      </c>
      <c r="K935" t="s">
        <v>1423</v>
      </c>
      <c r="L935" t="s">
        <v>1372</v>
      </c>
      <c r="M935" t="s">
        <v>1373</v>
      </c>
      <c r="N935" t="s">
        <v>1374</v>
      </c>
      <c r="O935" t="s">
        <v>1375</v>
      </c>
      <c r="P935">
        <v>8.8510000000000009</v>
      </c>
      <c r="Q935" t="s">
        <v>29</v>
      </c>
      <c r="R935" t="s">
        <v>430</v>
      </c>
      <c r="S935" t="s">
        <v>6937</v>
      </c>
    </row>
    <row r="936" spans="1:19" x14ac:dyDescent="0.25">
      <c r="A936">
        <v>2017</v>
      </c>
      <c r="B936">
        <v>6647</v>
      </c>
      <c r="C936" t="s">
        <v>2240</v>
      </c>
      <c r="D936" t="s">
        <v>2241</v>
      </c>
      <c r="E936">
        <v>211142</v>
      </c>
      <c r="F936" t="s">
        <v>357</v>
      </c>
      <c r="G936" t="s">
        <v>358</v>
      </c>
      <c r="H936" t="s">
        <v>85</v>
      </c>
      <c r="I936" t="s">
        <v>70</v>
      </c>
      <c r="J936" t="s">
        <v>71</v>
      </c>
      <c r="K936" t="s">
        <v>72</v>
      </c>
      <c r="L936" t="s">
        <v>1372</v>
      </c>
      <c r="M936" t="s">
        <v>1373</v>
      </c>
      <c r="N936" t="s">
        <v>1399</v>
      </c>
      <c r="O936" t="s">
        <v>1400</v>
      </c>
      <c r="P936">
        <v>0</v>
      </c>
      <c r="Q936" t="s">
        <v>29</v>
      </c>
      <c r="R936" t="s">
        <v>30</v>
      </c>
      <c r="S936" t="s">
        <v>6937</v>
      </c>
    </row>
    <row r="937" spans="1:19" x14ac:dyDescent="0.25">
      <c r="A937">
        <v>2012</v>
      </c>
      <c r="B937">
        <v>2083</v>
      </c>
      <c r="C937" t="s">
        <v>497</v>
      </c>
      <c r="D937" t="s">
        <v>498</v>
      </c>
      <c r="E937">
        <v>221112</v>
      </c>
      <c r="F937" t="s">
        <v>499</v>
      </c>
      <c r="G937" t="s">
        <v>135</v>
      </c>
      <c r="H937" t="s">
        <v>243</v>
      </c>
      <c r="I937" t="s">
        <v>1487</v>
      </c>
      <c r="J937" t="s">
        <v>1488</v>
      </c>
      <c r="K937" t="s">
        <v>1489</v>
      </c>
      <c r="L937" t="s">
        <v>1372</v>
      </c>
      <c r="M937" t="s">
        <v>1373</v>
      </c>
      <c r="N937" t="s">
        <v>1399</v>
      </c>
      <c r="O937" t="s">
        <v>1400</v>
      </c>
      <c r="P937">
        <v>7.0000000000000007E-2</v>
      </c>
      <c r="Q937" t="s">
        <v>29</v>
      </c>
      <c r="R937" t="s">
        <v>30</v>
      </c>
      <c r="S937" t="s">
        <v>6937</v>
      </c>
    </row>
    <row r="938" spans="1:19" x14ac:dyDescent="0.25">
      <c r="A938">
        <v>2008</v>
      </c>
      <c r="B938">
        <v>6647</v>
      </c>
      <c r="C938" t="s">
        <v>2242</v>
      </c>
      <c r="D938" t="s">
        <v>2243</v>
      </c>
      <c r="E938">
        <v>211114</v>
      </c>
      <c r="F938" t="s">
        <v>835</v>
      </c>
      <c r="G938" t="s">
        <v>836</v>
      </c>
      <c r="H938" t="s">
        <v>85</v>
      </c>
      <c r="I938" t="s">
        <v>136</v>
      </c>
      <c r="J938" t="s">
        <v>137</v>
      </c>
      <c r="K938" t="s">
        <v>138</v>
      </c>
      <c r="L938" t="s">
        <v>1372</v>
      </c>
      <c r="M938" t="s">
        <v>1373</v>
      </c>
      <c r="N938" t="s">
        <v>1520</v>
      </c>
      <c r="O938" t="s">
        <v>1521</v>
      </c>
      <c r="P938">
        <v>1E-3</v>
      </c>
      <c r="Q938" t="s">
        <v>29</v>
      </c>
      <c r="R938" t="s">
        <v>430</v>
      </c>
      <c r="S938" t="s">
        <v>6937</v>
      </c>
    </row>
    <row r="939" spans="1:19" x14ac:dyDescent="0.25">
      <c r="A939">
        <v>2023</v>
      </c>
      <c r="B939">
        <v>23408</v>
      </c>
      <c r="C939" t="s">
        <v>2244</v>
      </c>
      <c r="D939" t="s">
        <v>2245</v>
      </c>
      <c r="E939">
        <v>211110</v>
      </c>
      <c r="F939" t="s">
        <v>233</v>
      </c>
      <c r="G939" t="s">
        <v>234</v>
      </c>
      <c r="H939" t="s">
        <v>85</v>
      </c>
      <c r="I939" t="s">
        <v>1533</v>
      </c>
      <c r="J939" t="s">
        <v>1534</v>
      </c>
      <c r="K939" t="s">
        <v>1535</v>
      </c>
      <c r="L939" t="s">
        <v>1372</v>
      </c>
      <c r="M939" t="s">
        <v>1373</v>
      </c>
      <c r="N939" t="s">
        <v>1374</v>
      </c>
      <c r="O939" t="s">
        <v>1375</v>
      </c>
      <c r="P939">
        <v>23.954899999999999</v>
      </c>
      <c r="Q939" t="s">
        <v>29</v>
      </c>
      <c r="R939" t="s">
        <v>430</v>
      </c>
      <c r="S939" t="s">
        <v>6937</v>
      </c>
    </row>
    <row r="940" spans="1:19" x14ac:dyDescent="0.25">
      <c r="A940">
        <v>2021</v>
      </c>
      <c r="B940">
        <v>161</v>
      </c>
      <c r="C940" t="s">
        <v>1840</v>
      </c>
      <c r="D940" t="s">
        <v>2246</v>
      </c>
      <c r="E940">
        <v>311224</v>
      </c>
      <c r="F940" t="s">
        <v>1842</v>
      </c>
      <c r="G940" t="s">
        <v>1843</v>
      </c>
      <c r="H940" t="s">
        <v>21</v>
      </c>
      <c r="I940" t="s">
        <v>1457</v>
      </c>
      <c r="J940" t="s">
        <v>1458</v>
      </c>
      <c r="K940" t="s">
        <v>1459</v>
      </c>
      <c r="L940" t="s">
        <v>1372</v>
      </c>
      <c r="M940" t="s">
        <v>1373</v>
      </c>
      <c r="N940" t="s">
        <v>1374</v>
      </c>
      <c r="O940" t="s">
        <v>1375</v>
      </c>
      <c r="P940">
        <v>72.775000000000006</v>
      </c>
      <c r="Q940" t="s">
        <v>29</v>
      </c>
      <c r="R940" t="s">
        <v>50</v>
      </c>
      <c r="S940" t="s">
        <v>6937</v>
      </c>
    </row>
    <row r="941" spans="1:19" x14ac:dyDescent="0.25">
      <c r="A941">
        <v>2008</v>
      </c>
      <c r="B941">
        <v>5871</v>
      </c>
      <c r="C941" t="s">
        <v>2247</v>
      </c>
      <c r="D941" t="s">
        <v>2248</v>
      </c>
      <c r="E941">
        <v>327310</v>
      </c>
      <c r="F941" t="s">
        <v>2249</v>
      </c>
      <c r="G941" t="s">
        <v>1389</v>
      </c>
      <c r="H941" t="s">
        <v>21</v>
      </c>
      <c r="I941" t="s">
        <v>136</v>
      </c>
      <c r="J941" t="s">
        <v>137</v>
      </c>
      <c r="K941" t="s">
        <v>138</v>
      </c>
      <c r="L941" t="s">
        <v>1372</v>
      </c>
      <c r="M941" t="s">
        <v>1373</v>
      </c>
      <c r="N941" t="s">
        <v>1374</v>
      </c>
      <c r="O941" t="s">
        <v>1375</v>
      </c>
      <c r="P941">
        <v>4.2000000000000003E-2</v>
      </c>
      <c r="Q941" t="s">
        <v>29</v>
      </c>
      <c r="R941" t="s">
        <v>124</v>
      </c>
      <c r="S941" t="s">
        <v>6937</v>
      </c>
    </row>
    <row r="942" spans="1:19" x14ac:dyDescent="0.25">
      <c r="A942">
        <v>2020</v>
      </c>
      <c r="B942">
        <v>7755</v>
      </c>
      <c r="C942" t="s">
        <v>2250</v>
      </c>
      <c r="D942" t="s">
        <v>2251</v>
      </c>
      <c r="E942">
        <v>221320</v>
      </c>
      <c r="F942" t="s">
        <v>146</v>
      </c>
      <c r="G942" t="s">
        <v>147</v>
      </c>
      <c r="H942" t="s">
        <v>69</v>
      </c>
      <c r="I942" t="s">
        <v>97</v>
      </c>
      <c r="J942" t="s">
        <v>98</v>
      </c>
      <c r="K942" t="s">
        <v>99</v>
      </c>
      <c r="L942" t="s">
        <v>1378</v>
      </c>
      <c r="M942" t="s">
        <v>1379</v>
      </c>
      <c r="N942" t="s">
        <v>1380</v>
      </c>
      <c r="O942" t="s">
        <v>1381</v>
      </c>
      <c r="P942">
        <v>121.05</v>
      </c>
      <c r="Q942" t="s">
        <v>29</v>
      </c>
      <c r="R942" t="s">
        <v>725</v>
      </c>
      <c r="S942" t="s">
        <v>6937</v>
      </c>
    </row>
    <row r="943" spans="1:19" x14ac:dyDescent="0.25">
      <c r="A943">
        <v>2020</v>
      </c>
      <c r="B943">
        <v>7838</v>
      </c>
      <c r="C943" t="s">
        <v>2057</v>
      </c>
      <c r="D943" t="s">
        <v>2252</v>
      </c>
      <c r="E943">
        <v>212114</v>
      </c>
      <c r="F943" t="s">
        <v>2059</v>
      </c>
      <c r="G943" t="s">
        <v>2060</v>
      </c>
      <c r="H943" t="s">
        <v>69</v>
      </c>
      <c r="I943" t="s">
        <v>35</v>
      </c>
      <c r="J943" t="s">
        <v>36</v>
      </c>
      <c r="K943" t="s">
        <v>37</v>
      </c>
      <c r="L943" t="s">
        <v>1378</v>
      </c>
      <c r="M943" t="s">
        <v>1379</v>
      </c>
      <c r="N943" t="s">
        <v>1380</v>
      </c>
      <c r="O943" t="s">
        <v>1381</v>
      </c>
      <c r="P943">
        <v>0.76600000000000001</v>
      </c>
      <c r="Q943" t="s">
        <v>40</v>
      </c>
      <c r="R943" t="s">
        <v>124</v>
      </c>
      <c r="S943" t="s">
        <v>6937</v>
      </c>
    </row>
    <row r="944" spans="1:19" x14ac:dyDescent="0.25">
      <c r="A944">
        <v>2007</v>
      </c>
      <c r="B944">
        <v>7010</v>
      </c>
      <c r="C944" t="s">
        <v>2253</v>
      </c>
      <c r="D944" t="s">
        <v>2254</v>
      </c>
      <c r="E944">
        <v>327320</v>
      </c>
      <c r="F944" t="s">
        <v>1924</v>
      </c>
      <c r="G944" t="s">
        <v>1925</v>
      </c>
      <c r="H944" t="s">
        <v>21</v>
      </c>
      <c r="I944" t="s">
        <v>1369</v>
      </c>
      <c r="J944" t="s">
        <v>1370</v>
      </c>
      <c r="K944" t="s">
        <v>1371</v>
      </c>
      <c r="L944" t="s">
        <v>1372</v>
      </c>
      <c r="M944" t="s">
        <v>1373</v>
      </c>
      <c r="N944" t="s">
        <v>1399</v>
      </c>
      <c r="O944" t="s">
        <v>1400</v>
      </c>
      <c r="P944">
        <v>0.32</v>
      </c>
      <c r="Q944" t="s">
        <v>29</v>
      </c>
      <c r="R944" t="s">
        <v>430</v>
      </c>
      <c r="S944" t="s">
        <v>6937</v>
      </c>
    </row>
    <row r="945" spans="1:19" x14ac:dyDescent="0.25">
      <c r="A945">
        <v>2003</v>
      </c>
      <c r="B945">
        <v>1233</v>
      </c>
      <c r="C945" t="s">
        <v>2255</v>
      </c>
      <c r="D945" t="s">
        <v>2256</v>
      </c>
      <c r="E945">
        <v>212232</v>
      </c>
      <c r="F945" t="s">
        <v>2257</v>
      </c>
      <c r="G945" t="s">
        <v>2004</v>
      </c>
      <c r="H945" t="s">
        <v>21</v>
      </c>
      <c r="I945" t="s">
        <v>337</v>
      </c>
      <c r="J945" t="s">
        <v>338</v>
      </c>
      <c r="K945" t="s">
        <v>339</v>
      </c>
      <c r="L945" t="s">
        <v>1372</v>
      </c>
      <c r="M945" t="s">
        <v>1373</v>
      </c>
      <c r="N945" t="s">
        <v>1399</v>
      </c>
      <c r="O945" t="s">
        <v>1400</v>
      </c>
      <c r="P945">
        <v>2.4E-2</v>
      </c>
      <c r="Q945" t="s">
        <v>29</v>
      </c>
      <c r="R945" t="s">
        <v>30</v>
      </c>
      <c r="S945" t="s">
        <v>6937</v>
      </c>
    </row>
    <row r="946" spans="1:19" x14ac:dyDescent="0.25">
      <c r="A946">
        <v>2018</v>
      </c>
      <c r="B946">
        <v>10238</v>
      </c>
      <c r="C946" t="s">
        <v>125</v>
      </c>
      <c r="D946" t="s">
        <v>126</v>
      </c>
      <c r="E946">
        <v>412110</v>
      </c>
      <c r="F946" t="s">
        <v>127</v>
      </c>
      <c r="G946" t="s">
        <v>128</v>
      </c>
      <c r="H946" t="s">
        <v>69</v>
      </c>
      <c r="I946" t="s">
        <v>348</v>
      </c>
      <c r="J946" t="s">
        <v>349</v>
      </c>
      <c r="K946" t="s">
        <v>350</v>
      </c>
      <c r="L946" t="s">
        <v>1361</v>
      </c>
      <c r="M946" t="s">
        <v>1362</v>
      </c>
      <c r="N946" t="s">
        <v>1363</v>
      </c>
      <c r="O946" t="s">
        <v>1364</v>
      </c>
      <c r="P946">
        <v>6.0400000000000002E-2</v>
      </c>
      <c r="Q946" t="s">
        <v>29</v>
      </c>
      <c r="R946" t="s">
        <v>430</v>
      </c>
      <c r="S946" t="s">
        <v>6937</v>
      </c>
    </row>
    <row r="947" spans="1:19" x14ac:dyDescent="0.25">
      <c r="A947">
        <v>2012</v>
      </c>
      <c r="B947">
        <v>11030</v>
      </c>
      <c r="C947" t="s">
        <v>2258</v>
      </c>
      <c r="D947" t="s">
        <v>2258</v>
      </c>
      <c r="E947">
        <v>337110</v>
      </c>
      <c r="F947" t="s">
        <v>2259</v>
      </c>
      <c r="G947" t="s">
        <v>2260</v>
      </c>
      <c r="H947" t="s">
        <v>21</v>
      </c>
      <c r="I947" t="s">
        <v>271</v>
      </c>
      <c r="J947" t="s">
        <v>272</v>
      </c>
      <c r="K947" t="s">
        <v>273</v>
      </c>
      <c r="L947" t="s">
        <v>1372</v>
      </c>
      <c r="M947" t="s">
        <v>1373</v>
      </c>
      <c r="N947" t="s">
        <v>1374</v>
      </c>
      <c r="O947" t="s">
        <v>1375</v>
      </c>
      <c r="P947">
        <v>9.65</v>
      </c>
      <c r="Q947" t="s">
        <v>29</v>
      </c>
      <c r="R947" t="s">
        <v>30</v>
      </c>
      <c r="S947" t="s">
        <v>6937</v>
      </c>
    </row>
    <row r="948" spans="1:19" x14ac:dyDescent="0.25">
      <c r="A948">
        <v>2010</v>
      </c>
      <c r="B948">
        <v>979</v>
      </c>
      <c r="C948" t="s">
        <v>2261</v>
      </c>
      <c r="D948" t="s">
        <v>2262</v>
      </c>
      <c r="E948">
        <v>322122</v>
      </c>
      <c r="F948" t="s">
        <v>1556</v>
      </c>
      <c r="G948" t="s">
        <v>1062</v>
      </c>
      <c r="H948" t="s">
        <v>79</v>
      </c>
      <c r="I948" t="s">
        <v>1421</v>
      </c>
      <c r="J948" t="s">
        <v>1422</v>
      </c>
      <c r="K948" t="s">
        <v>1423</v>
      </c>
      <c r="L948" t="s">
        <v>1372</v>
      </c>
      <c r="M948" t="s">
        <v>1373</v>
      </c>
      <c r="N948" t="s">
        <v>1374</v>
      </c>
      <c r="O948" t="s">
        <v>1375</v>
      </c>
      <c r="P948">
        <v>1.3566</v>
      </c>
      <c r="Q948" t="s">
        <v>29</v>
      </c>
      <c r="R948" t="s">
        <v>124</v>
      </c>
      <c r="S948" t="s">
        <v>6937</v>
      </c>
    </row>
    <row r="949" spans="1:19" x14ac:dyDescent="0.25">
      <c r="A949">
        <v>2018</v>
      </c>
      <c r="B949">
        <v>19600</v>
      </c>
      <c r="C949" t="s">
        <v>1027</v>
      </c>
      <c r="D949" t="s">
        <v>2263</v>
      </c>
      <c r="E949">
        <v>211110</v>
      </c>
      <c r="F949" t="s">
        <v>233</v>
      </c>
      <c r="G949" t="s">
        <v>234</v>
      </c>
      <c r="H949" t="s">
        <v>85</v>
      </c>
      <c r="I949" t="s">
        <v>1533</v>
      </c>
      <c r="J949" t="s">
        <v>1534</v>
      </c>
      <c r="K949" t="s">
        <v>1535</v>
      </c>
      <c r="L949" t="s">
        <v>1372</v>
      </c>
      <c r="M949" t="s">
        <v>1373</v>
      </c>
      <c r="N949" t="s">
        <v>1374</v>
      </c>
      <c r="O949" t="s">
        <v>1375</v>
      </c>
      <c r="P949">
        <v>41.784999999999997</v>
      </c>
      <c r="Q949" t="s">
        <v>29</v>
      </c>
      <c r="R949" t="s">
        <v>430</v>
      </c>
      <c r="S949" t="s">
        <v>6937</v>
      </c>
    </row>
    <row r="950" spans="1:19" x14ac:dyDescent="0.25">
      <c r="A950">
        <v>2006</v>
      </c>
      <c r="B950">
        <v>3283</v>
      </c>
      <c r="C950" t="s">
        <v>2264</v>
      </c>
      <c r="D950" t="s">
        <v>2265</v>
      </c>
      <c r="E950">
        <v>336390</v>
      </c>
      <c r="F950" t="s">
        <v>60</v>
      </c>
      <c r="G950" t="s">
        <v>61</v>
      </c>
      <c r="H950" t="s">
        <v>21</v>
      </c>
      <c r="I950" t="s">
        <v>1369</v>
      </c>
      <c r="J950" t="s">
        <v>1370</v>
      </c>
      <c r="K950" t="s">
        <v>1371</v>
      </c>
      <c r="L950" t="s">
        <v>1372</v>
      </c>
      <c r="M950" t="s">
        <v>1373</v>
      </c>
      <c r="N950" t="s">
        <v>1520</v>
      </c>
      <c r="O950" t="s">
        <v>1521</v>
      </c>
      <c r="P950">
        <v>1.2E-2</v>
      </c>
      <c r="Q950" t="s">
        <v>29</v>
      </c>
      <c r="R950" t="s">
        <v>430</v>
      </c>
      <c r="S950" t="s">
        <v>6937</v>
      </c>
    </row>
    <row r="951" spans="1:19" x14ac:dyDescent="0.25">
      <c r="A951">
        <v>2021</v>
      </c>
      <c r="B951">
        <v>5157</v>
      </c>
      <c r="C951" t="s">
        <v>2266</v>
      </c>
      <c r="D951" t="s">
        <v>2267</v>
      </c>
      <c r="E951">
        <v>321212</v>
      </c>
      <c r="F951" t="s">
        <v>1692</v>
      </c>
      <c r="G951" t="s">
        <v>1693</v>
      </c>
      <c r="H951" t="s">
        <v>85</v>
      </c>
      <c r="I951" t="s">
        <v>1421</v>
      </c>
      <c r="J951" t="s">
        <v>1422</v>
      </c>
      <c r="K951" t="s">
        <v>1423</v>
      </c>
      <c r="L951" t="s">
        <v>1372</v>
      </c>
      <c r="M951" t="s">
        <v>1373</v>
      </c>
      <c r="N951" t="s">
        <v>1390</v>
      </c>
      <c r="O951" t="s">
        <v>1391</v>
      </c>
      <c r="P951">
        <v>2.2242999999999999</v>
      </c>
      <c r="Q951" t="s">
        <v>29</v>
      </c>
      <c r="R951" t="s">
        <v>430</v>
      </c>
      <c r="S951" t="s">
        <v>6937</v>
      </c>
    </row>
    <row r="952" spans="1:19" x14ac:dyDescent="0.25">
      <c r="A952">
        <v>2002</v>
      </c>
      <c r="B952">
        <v>5841</v>
      </c>
      <c r="C952" t="s">
        <v>2268</v>
      </c>
      <c r="D952" t="s">
        <v>2269</v>
      </c>
      <c r="E952">
        <v>327310</v>
      </c>
      <c r="F952" t="s">
        <v>2249</v>
      </c>
      <c r="G952" t="s">
        <v>1389</v>
      </c>
      <c r="H952" t="s">
        <v>21</v>
      </c>
      <c r="I952" t="s">
        <v>197</v>
      </c>
      <c r="J952" t="s">
        <v>198</v>
      </c>
      <c r="K952" t="s">
        <v>199</v>
      </c>
      <c r="L952" t="s">
        <v>1372</v>
      </c>
      <c r="M952" t="s">
        <v>1373</v>
      </c>
      <c r="N952" t="s">
        <v>1374</v>
      </c>
      <c r="O952" t="s">
        <v>1375</v>
      </c>
      <c r="P952">
        <v>0.129</v>
      </c>
      <c r="Q952" t="s">
        <v>40</v>
      </c>
      <c r="R952" t="s">
        <v>204</v>
      </c>
      <c r="S952" t="s">
        <v>6937</v>
      </c>
    </row>
    <row r="953" spans="1:19" x14ac:dyDescent="0.25">
      <c r="A953">
        <v>2007</v>
      </c>
      <c r="B953">
        <v>17422</v>
      </c>
      <c r="C953" t="s">
        <v>2270</v>
      </c>
      <c r="D953" t="s">
        <v>2271</v>
      </c>
      <c r="E953">
        <v>211113</v>
      </c>
      <c r="F953" t="s">
        <v>425</v>
      </c>
      <c r="G953" t="s">
        <v>426</v>
      </c>
      <c r="H953" t="s">
        <v>85</v>
      </c>
      <c r="I953" t="s">
        <v>1533</v>
      </c>
      <c r="J953" t="s">
        <v>1534</v>
      </c>
      <c r="K953" t="s">
        <v>1535</v>
      </c>
      <c r="L953" t="s">
        <v>1372</v>
      </c>
      <c r="M953" t="s">
        <v>1373</v>
      </c>
      <c r="N953" t="s">
        <v>1374</v>
      </c>
      <c r="O953" t="s">
        <v>1375</v>
      </c>
      <c r="P953">
        <v>393.89800000000002</v>
      </c>
      <c r="Q953" t="s">
        <v>29</v>
      </c>
      <c r="R953" t="s">
        <v>430</v>
      </c>
      <c r="S953" t="s">
        <v>6937</v>
      </c>
    </row>
    <row r="954" spans="1:19" x14ac:dyDescent="0.25">
      <c r="A954">
        <v>2006</v>
      </c>
      <c r="B954">
        <v>2182</v>
      </c>
      <c r="C954" t="s">
        <v>2272</v>
      </c>
      <c r="D954" t="s">
        <v>2273</v>
      </c>
      <c r="E954">
        <v>327310</v>
      </c>
      <c r="F954" t="s">
        <v>2249</v>
      </c>
      <c r="G954" t="s">
        <v>1389</v>
      </c>
      <c r="H954" t="s">
        <v>21</v>
      </c>
      <c r="I954" t="s">
        <v>1457</v>
      </c>
      <c r="J954" t="s">
        <v>1458</v>
      </c>
      <c r="K954" t="s">
        <v>1459</v>
      </c>
      <c r="L954" t="s">
        <v>1372</v>
      </c>
      <c r="M954" t="s">
        <v>1373</v>
      </c>
      <c r="N954" t="s">
        <v>1399</v>
      </c>
      <c r="O954" t="s">
        <v>1400</v>
      </c>
      <c r="P954">
        <v>0</v>
      </c>
      <c r="Q954" t="s">
        <v>29</v>
      </c>
      <c r="R954" t="s">
        <v>157</v>
      </c>
      <c r="S954" t="s">
        <v>6937</v>
      </c>
    </row>
    <row r="955" spans="1:19" x14ac:dyDescent="0.25">
      <c r="A955">
        <v>2010</v>
      </c>
      <c r="B955">
        <v>1755</v>
      </c>
      <c r="C955" t="s">
        <v>1027</v>
      </c>
      <c r="D955" t="s">
        <v>2274</v>
      </c>
      <c r="E955">
        <v>211113</v>
      </c>
      <c r="F955" t="s">
        <v>425</v>
      </c>
      <c r="G955" t="s">
        <v>426</v>
      </c>
      <c r="H955" t="s">
        <v>85</v>
      </c>
      <c r="I955" t="s">
        <v>70</v>
      </c>
      <c r="J955" t="s">
        <v>71</v>
      </c>
      <c r="K955" t="s">
        <v>72</v>
      </c>
      <c r="L955" t="s">
        <v>1372</v>
      </c>
      <c r="M955" t="s">
        <v>1373</v>
      </c>
      <c r="N955" t="s">
        <v>1409</v>
      </c>
      <c r="O955" t="s">
        <v>1410</v>
      </c>
      <c r="P955">
        <v>0.442</v>
      </c>
      <c r="Q955" t="s">
        <v>29</v>
      </c>
      <c r="R955" t="s">
        <v>430</v>
      </c>
      <c r="S955" t="s">
        <v>6937</v>
      </c>
    </row>
    <row r="956" spans="1:19" x14ac:dyDescent="0.25">
      <c r="A956">
        <v>2003</v>
      </c>
      <c r="B956">
        <v>1748</v>
      </c>
      <c r="C956" t="s">
        <v>2275</v>
      </c>
      <c r="D956" t="s">
        <v>2276</v>
      </c>
      <c r="E956">
        <v>321217</v>
      </c>
      <c r="F956" t="s">
        <v>1702</v>
      </c>
      <c r="G956" t="s">
        <v>151</v>
      </c>
      <c r="H956" t="s">
        <v>79</v>
      </c>
      <c r="I956" t="s">
        <v>1533</v>
      </c>
      <c r="J956" t="s">
        <v>1534</v>
      </c>
      <c r="K956" t="s">
        <v>1535</v>
      </c>
      <c r="L956" t="s">
        <v>1372</v>
      </c>
      <c r="M956" t="s">
        <v>1373</v>
      </c>
      <c r="N956" t="s">
        <v>1374</v>
      </c>
      <c r="O956" t="s">
        <v>1375</v>
      </c>
      <c r="P956">
        <v>115.752</v>
      </c>
      <c r="Q956" t="s">
        <v>29</v>
      </c>
      <c r="R956" t="s">
        <v>124</v>
      </c>
      <c r="S956" t="s">
        <v>6937</v>
      </c>
    </row>
    <row r="957" spans="1:19" x14ac:dyDescent="0.25">
      <c r="A957">
        <v>2008</v>
      </c>
      <c r="B957">
        <v>18993</v>
      </c>
      <c r="C957" t="s">
        <v>2277</v>
      </c>
      <c r="D957" t="s">
        <v>2278</v>
      </c>
      <c r="E957">
        <v>221119</v>
      </c>
      <c r="F957" t="s">
        <v>1851</v>
      </c>
      <c r="G957" t="s">
        <v>323</v>
      </c>
      <c r="H957" t="s">
        <v>69</v>
      </c>
      <c r="I957" t="s">
        <v>1441</v>
      </c>
      <c r="J957" t="s">
        <v>1442</v>
      </c>
      <c r="K957" t="s">
        <v>1443</v>
      </c>
      <c r="L957" t="s">
        <v>1372</v>
      </c>
      <c r="M957" t="s">
        <v>1373</v>
      </c>
      <c r="N957" t="s">
        <v>1374</v>
      </c>
      <c r="O957" t="s">
        <v>1375</v>
      </c>
      <c r="P957">
        <v>41.682000000000002</v>
      </c>
      <c r="Q957" t="s">
        <v>29</v>
      </c>
      <c r="R957" t="s">
        <v>124</v>
      </c>
      <c r="S957" t="s">
        <v>6937</v>
      </c>
    </row>
    <row r="958" spans="1:19" x14ac:dyDescent="0.25">
      <c r="A958">
        <v>2017</v>
      </c>
      <c r="B958">
        <v>8596</v>
      </c>
      <c r="C958" t="s">
        <v>2279</v>
      </c>
      <c r="D958" t="s">
        <v>2279</v>
      </c>
      <c r="E958">
        <v>311614</v>
      </c>
      <c r="F958" t="s">
        <v>2280</v>
      </c>
      <c r="G958" t="s">
        <v>2281</v>
      </c>
      <c r="H958" t="s">
        <v>79</v>
      </c>
      <c r="I958" t="s">
        <v>1421</v>
      </c>
      <c r="J958" t="s">
        <v>1422</v>
      </c>
      <c r="K958" t="s">
        <v>1423</v>
      </c>
      <c r="L958" t="s">
        <v>1372</v>
      </c>
      <c r="M958" t="s">
        <v>1373</v>
      </c>
      <c r="N958" t="s">
        <v>1374</v>
      </c>
      <c r="O958" t="s">
        <v>1375</v>
      </c>
      <c r="P958">
        <v>1.99</v>
      </c>
      <c r="Q958" t="s">
        <v>29</v>
      </c>
      <c r="R958" t="s">
        <v>124</v>
      </c>
      <c r="S958" t="s">
        <v>6937</v>
      </c>
    </row>
    <row r="959" spans="1:19" x14ac:dyDescent="0.25">
      <c r="A959">
        <v>2015</v>
      </c>
      <c r="B959">
        <v>28437</v>
      </c>
      <c r="C959" t="s">
        <v>1466</v>
      </c>
      <c r="D959" t="s">
        <v>2282</v>
      </c>
      <c r="E959">
        <v>211113</v>
      </c>
      <c r="F959" t="s">
        <v>786</v>
      </c>
      <c r="G959" t="s">
        <v>426</v>
      </c>
      <c r="H959" t="s">
        <v>85</v>
      </c>
      <c r="I959" t="s">
        <v>1421</v>
      </c>
      <c r="J959" t="s">
        <v>1422</v>
      </c>
      <c r="K959" t="s">
        <v>1423</v>
      </c>
      <c r="L959" t="s">
        <v>1372</v>
      </c>
      <c r="M959" t="s">
        <v>1373</v>
      </c>
      <c r="N959" t="s">
        <v>1374</v>
      </c>
      <c r="O959" t="s">
        <v>1375</v>
      </c>
      <c r="P959">
        <v>0.36099999999999999</v>
      </c>
      <c r="Q959" t="s">
        <v>29</v>
      </c>
      <c r="R959" t="s">
        <v>430</v>
      </c>
      <c r="S959" t="s">
        <v>6937</v>
      </c>
    </row>
    <row r="960" spans="1:19" x14ac:dyDescent="0.25">
      <c r="A960">
        <v>2022</v>
      </c>
      <c r="B960">
        <v>31525</v>
      </c>
      <c r="C960" t="s">
        <v>2283</v>
      </c>
      <c r="D960" t="s">
        <v>2284</v>
      </c>
      <c r="E960">
        <v>211110</v>
      </c>
      <c r="F960" t="s">
        <v>233</v>
      </c>
      <c r="G960" t="s">
        <v>234</v>
      </c>
      <c r="H960" t="s">
        <v>85</v>
      </c>
      <c r="I960" t="s">
        <v>1487</v>
      </c>
      <c r="J960" t="s">
        <v>1488</v>
      </c>
      <c r="K960" t="s">
        <v>1489</v>
      </c>
      <c r="L960" t="s">
        <v>1372</v>
      </c>
      <c r="M960" t="s">
        <v>1373</v>
      </c>
      <c r="N960" t="s">
        <v>1374</v>
      </c>
      <c r="O960" t="s">
        <v>1375</v>
      </c>
      <c r="P960">
        <v>2.8E-3</v>
      </c>
      <c r="Q960" t="s">
        <v>29</v>
      </c>
      <c r="R960" t="s">
        <v>430</v>
      </c>
      <c r="S960" t="s">
        <v>6937</v>
      </c>
    </row>
    <row r="961" spans="1:19" x14ac:dyDescent="0.25">
      <c r="A961">
        <v>2021</v>
      </c>
      <c r="B961">
        <v>18381</v>
      </c>
      <c r="C961" t="s">
        <v>1027</v>
      </c>
      <c r="D961" t="s">
        <v>2285</v>
      </c>
      <c r="E961">
        <v>211110</v>
      </c>
      <c r="F961" t="s">
        <v>233</v>
      </c>
      <c r="G961" t="s">
        <v>234</v>
      </c>
      <c r="H961" t="s">
        <v>69</v>
      </c>
      <c r="I961" t="s">
        <v>1457</v>
      </c>
      <c r="J961" t="s">
        <v>1458</v>
      </c>
      <c r="K961" t="s">
        <v>1459</v>
      </c>
      <c r="L961" t="s">
        <v>1372</v>
      </c>
      <c r="M961" t="s">
        <v>1373</v>
      </c>
      <c r="N961" t="s">
        <v>1409</v>
      </c>
      <c r="O961" t="s">
        <v>1410</v>
      </c>
      <c r="P961">
        <v>0.40953000000000001</v>
      </c>
      <c r="Q961" t="s">
        <v>29</v>
      </c>
      <c r="R961" t="s">
        <v>30</v>
      </c>
      <c r="S961" t="s">
        <v>6937</v>
      </c>
    </row>
    <row r="962" spans="1:19" x14ac:dyDescent="0.25">
      <c r="A962">
        <v>2002</v>
      </c>
      <c r="B962">
        <v>3701</v>
      </c>
      <c r="C962" t="s">
        <v>344</v>
      </c>
      <c r="D962" t="s">
        <v>681</v>
      </c>
      <c r="E962">
        <v>324110</v>
      </c>
      <c r="F962" t="s">
        <v>95</v>
      </c>
      <c r="G962" t="s">
        <v>96</v>
      </c>
      <c r="H962" t="s">
        <v>21</v>
      </c>
      <c r="I962" t="s">
        <v>2286</v>
      </c>
      <c r="J962" t="s">
        <v>2287</v>
      </c>
      <c r="K962" t="s">
        <v>2288</v>
      </c>
      <c r="L962" t="s">
        <v>1372</v>
      </c>
      <c r="M962" t="s">
        <v>1373</v>
      </c>
      <c r="N962" t="s">
        <v>1399</v>
      </c>
      <c r="O962" t="s">
        <v>1400</v>
      </c>
      <c r="P962">
        <v>0</v>
      </c>
      <c r="Q962" t="s">
        <v>40</v>
      </c>
      <c r="R962" t="s">
        <v>204</v>
      </c>
      <c r="S962" t="s">
        <v>6937</v>
      </c>
    </row>
    <row r="963" spans="1:19" x14ac:dyDescent="0.25">
      <c r="A963">
        <v>2015</v>
      </c>
      <c r="B963">
        <v>2776</v>
      </c>
      <c r="C963" t="s">
        <v>2289</v>
      </c>
      <c r="D963" t="s">
        <v>1199</v>
      </c>
      <c r="E963">
        <v>324110</v>
      </c>
      <c r="F963" t="s">
        <v>196</v>
      </c>
      <c r="G963" t="s">
        <v>96</v>
      </c>
      <c r="H963" t="s">
        <v>69</v>
      </c>
      <c r="I963" t="s">
        <v>1515</v>
      </c>
      <c r="J963" t="s">
        <v>1516</v>
      </c>
      <c r="K963" t="s">
        <v>1517</v>
      </c>
      <c r="L963" t="s">
        <v>1372</v>
      </c>
      <c r="M963" t="s">
        <v>1373</v>
      </c>
      <c r="N963" t="s">
        <v>1409</v>
      </c>
      <c r="O963" t="s">
        <v>1410</v>
      </c>
      <c r="P963">
        <v>5.0000000000000001E-3</v>
      </c>
      <c r="Q963" t="s">
        <v>29</v>
      </c>
      <c r="R963" t="s">
        <v>30</v>
      </c>
      <c r="S963" t="s">
        <v>6937</v>
      </c>
    </row>
    <row r="964" spans="1:19" x14ac:dyDescent="0.25">
      <c r="A964">
        <v>2015</v>
      </c>
      <c r="B964">
        <v>5015</v>
      </c>
      <c r="C964" t="s">
        <v>2290</v>
      </c>
      <c r="D964" t="s">
        <v>2291</v>
      </c>
      <c r="E964">
        <v>562210</v>
      </c>
      <c r="F964" t="s">
        <v>84</v>
      </c>
      <c r="G964" t="s">
        <v>53</v>
      </c>
      <c r="H964" t="s">
        <v>1012</v>
      </c>
      <c r="I964" t="s">
        <v>86</v>
      </c>
      <c r="J964" t="s">
        <v>87</v>
      </c>
      <c r="K964" t="s">
        <v>88</v>
      </c>
      <c r="L964" t="s">
        <v>1372</v>
      </c>
      <c r="M964" t="s">
        <v>1373</v>
      </c>
      <c r="N964" t="s">
        <v>1374</v>
      </c>
      <c r="O964" t="s">
        <v>1375</v>
      </c>
      <c r="P964">
        <v>3.9119999999999999</v>
      </c>
      <c r="Q964" t="s">
        <v>29</v>
      </c>
      <c r="R964" t="s">
        <v>124</v>
      </c>
      <c r="S964" t="s">
        <v>6937</v>
      </c>
    </row>
    <row r="965" spans="1:19" x14ac:dyDescent="0.25">
      <c r="A965">
        <v>2022</v>
      </c>
      <c r="B965">
        <v>11552</v>
      </c>
      <c r="C965" t="s">
        <v>2292</v>
      </c>
      <c r="D965" t="s">
        <v>2293</v>
      </c>
      <c r="E965">
        <v>562110</v>
      </c>
      <c r="F965" t="s">
        <v>644</v>
      </c>
      <c r="G965" t="s">
        <v>645</v>
      </c>
      <c r="H965" t="s">
        <v>21</v>
      </c>
      <c r="I965" t="s">
        <v>1421</v>
      </c>
      <c r="J965" t="s">
        <v>1422</v>
      </c>
      <c r="K965" t="s">
        <v>1423</v>
      </c>
      <c r="L965" t="s">
        <v>1372</v>
      </c>
      <c r="M965" t="s">
        <v>1373</v>
      </c>
      <c r="N965" t="s">
        <v>1390</v>
      </c>
      <c r="O965" t="s">
        <v>1391</v>
      </c>
      <c r="P965">
        <v>0.06</v>
      </c>
      <c r="Q965" t="s">
        <v>29</v>
      </c>
      <c r="R965" t="s">
        <v>430</v>
      </c>
      <c r="S965" t="s">
        <v>6937</v>
      </c>
    </row>
    <row r="966" spans="1:19" x14ac:dyDescent="0.25">
      <c r="A966">
        <v>2019</v>
      </c>
      <c r="B966">
        <v>28516</v>
      </c>
      <c r="C966" t="s">
        <v>2294</v>
      </c>
      <c r="D966" t="s">
        <v>2295</v>
      </c>
      <c r="E966">
        <v>211110</v>
      </c>
      <c r="F966" t="s">
        <v>233</v>
      </c>
      <c r="G966" t="s">
        <v>234</v>
      </c>
      <c r="H966" t="s">
        <v>69</v>
      </c>
      <c r="I966" t="s">
        <v>1413</v>
      </c>
      <c r="J966" t="s">
        <v>1414</v>
      </c>
      <c r="K966" t="s">
        <v>1415</v>
      </c>
      <c r="L966" t="s">
        <v>1372</v>
      </c>
      <c r="M966" t="s">
        <v>1373</v>
      </c>
      <c r="N966" t="s">
        <v>1374</v>
      </c>
      <c r="O966" t="s">
        <v>1375</v>
      </c>
      <c r="P966">
        <v>42.866</v>
      </c>
      <c r="Q966" t="s">
        <v>29</v>
      </c>
      <c r="R966" t="s">
        <v>30</v>
      </c>
      <c r="S966" t="s">
        <v>6937</v>
      </c>
    </row>
    <row r="967" spans="1:19" x14ac:dyDescent="0.25">
      <c r="A967">
        <v>2007</v>
      </c>
      <c r="B967">
        <v>407</v>
      </c>
      <c r="C967" t="s">
        <v>2296</v>
      </c>
      <c r="D967" t="s">
        <v>2297</v>
      </c>
      <c r="E967">
        <v>211113</v>
      </c>
      <c r="F967" t="s">
        <v>425</v>
      </c>
      <c r="G967" t="s">
        <v>426</v>
      </c>
      <c r="H967" t="s">
        <v>85</v>
      </c>
      <c r="I967" t="s">
        <v>1549</v>
      </c>
      <c r="J967" t="s">
        <v>1550</v>
      </c>
      <c r="K967" t="s">
        <v>1551</v>
      </c>
      <c r="L967" t="s">
        <v>1372</v>
      </c>
      <c r="M967" t="s">
        <v>1373</v>
      </c>
      <c r="N967" t="s">
        <v>1399</v>
      </c>
      <c r="O967" t="s">
        <v>1400</v>
      </c>
      <c r="P967">
        <v>51</v>
      </c>
      <c r="Q967" t="s">
        <v>29</v>
      </c>
      <c r="R967" t="s">
        <v>30</v>
      </c>
      <c r="S967" t="s">
        <v>6937</v>
      </c>
    </row>
    <row r="968" spans="1:19" x14ac:dyDescent="0.25">
      <c r="A968">
        <v>2013</v>
      </c>
      <c r="B968">
        <v>4566</v>
      </c>
      <c r="C968" t="s">
        <v>1608</v>
      </c>
      <c r="D968" t="s">
        <v>2298</v>
      </c>
      <c r="E968">
        <v>211113</v>
      </c>
      <c r="F968" t="s">
        <v>786</v>
      </c>
      <c r="G968" t="s">
        <v>426</v>
      </c>
      <c r="H968" t="s">
        <v>85</v>
      </c>
      <c r="I968" t="s">
        <v>427</v>
      </c>
      <c r="J968" t="s">
        <v>428</v>
      </c>
      <c r="K968" t="s">
        <v>429</v>
      </c>
      <c r="L968" t="s">
        <v>1361</v>
      </c>
      <c r="M968" t="s">
        <v>1362</v>
      </c>
      <c r="N968" t="s">
        <v>1363</v>
      </c>
      <c r="O968" t="s">
        <v>1364</v>
      </c>
      <c r="P968">
        <v>0.111</v>
      </c>
      <c r="Q968" t="s">
        <v>29</v>
      </c>
      <c r="R968" t="s">
        <v>430</v>
      </c>
      <c r="S968" t="s">
        <v>6937</v>
      </c>
    </row>
    <row r="969" spans="1:19" x14ac:dyDescent="0.25">
      <c r="A969">
        <v>2001</v>
      </c>
      <c r="B969">
        <v>2984</v>
      </c>
      <c r="C969" t="s">
        <v>2299</v>
      </c>
      <c r="D969" t="s">
        <v>2300</v>
      </c>
      <c r="E969">
        <v>331110</v>
      </c>
      <c r="F969" t="s">
        <v>335</v>
      </c>
      <c r="G969" t="s">
        <v>336</v>
      </c>
      <c r="H969" t="s">
        <v>21</v>
      </c>
      <c r="I969" t="s">
        <v>628</v>
      </c>
      <c r="J969" t="s">
        <v>629</v>
      </c>
      <c r="K969" t="s">
        <v>630</v>
      </c>
      <c r="L969" t="s">
        <v>1372</v>
      </c>
      <c r="M969" t="s">
        <v>1373</v>
      </c>
      <c r="N969" t="s">
        <v>1374</v>
      </c>
      <c r="O969" t="s">
        <v>1375</v>
      </c>
      <c r="P969">
        <v>1.73</v>
      </c>
      <c r="Q969" t="s">
        <v>631</v>
      </c>
      <c r="R969" t="s">
        <v>204</v>
      </c>
      <c r="S969" t="s">
        <v>6937</v>
      </c>
    </row>
    <row r="970" spans="1:19" x14ac:dyDescent="0.25">
      <c r="A970">
        <v>2021</v>
      </c>
      <c r="B970">
        <v>32084</v>
      </c>
      <c r="C970" t="s">
        <v>2301</v>
      </c>
      <c r="D970" t="s">
        <v>2302</v>
      </c>
      <c r="E970">
        <v>211110</v>
      </c>
      <c r="F970" t="s">
        <v>233</v>
      </c>
      <c r="G970" t="s">
        <v>234</v>
      </c>
      <c r="H970" t="s">
        <v>85</v>
      </c>
      <c r="I970" t="s">
        <v>1369</v>
      </c>
      <c r="J970" t="s">
        <v>1370</v>
      </c>
      <c r="K970" t="s">
        <v>1371</v>
      </c>
      <c r="L970" t="s">
        <v>1372</v>
      </c>
      <c r="M970" t="s">
        <v>1373</v>
      </c>
      <c r="N970" t="s">
        <v>1374</v>
      </c>
      <c r="O970" t="s">
        <v>1375</v>
      </c>
      <c r="P970">
        <v>0.35799999999999998</v>
      </c>
      <c r="Q970" t="s">
        <v>29</v>
      </c>
      <c r="R970" t="s">
        <v>430</v>
      </c>
      <c r="S970" t="s">
        <v>6937</v>
      </c>
    </row>
    <row r="971" spans="1:19" x14ac:dyDescent="0.25">
      <c r="A971">
        <v>2003</v>
      </c>
      <c r="B971">
        <v>6074</v>
      </c>
      <c r="C971" t="s">
        <v>2303</v>
      </c>
      <c r="D971" t="s">
        <v>2304</v>
      </c>
      <c r="E971">
        <v>314110</v>
      </c>
      <c r="F971" t="s">
        <v>2305</v>
      </c>
      <c r="G971" t="s">
        <v>2306</v>
      </c>
      <c r="H971" t="s">
        <v>483</v>
      </c>
      <c r="I971" t="s">
        <v>1533</v>
      </c>
      <c r="J971" t="s">
        <v>1534</v>
      </c>
      <c r="K971" t="s">
        <v>1535</v>
      </c>
      <c r="L971" t="s">
        <v>1372</v>
      </c>
      <c r="M971" t="s">
        <v>1373</v>
      </c>
      <c r="N971" t="s">
        <v>1374</v>
      </c>
      <c r="O971" t="s">
        <v>1375</v>
      </c>
      <c r="P971">
        <v>19.64</v>
      </c>
      <c r="Q971" t="s">
        <v>29</v>
      </c>
      <c r="R971" t="s">
        <v>430</v>
      </c>
      <c r="S971" t="s">
        <v>6937</v>
      </c>
    </row>
    <row r="972" spans="1:19" x14ac:dyDescent="0.25">
      <c r="A972">
        <v>2010</v>
      </c>
      <c r="B972">
        <v>7051</v>
      </c>
      <c r="C972" t="s">
        <v>2307</v>
      </c>
      <c r="D972" t="s">
        <v>2308</v>
      </c>
      <c r="E972">
        <v>212220</v>
      </c>
      <c r="F972" t="s">
        <v>1980</v>
      </c>
      <c r="G972" t="s">
        <v>1620</v>
      </c>
      <c r="H972" t="s">
        <v>21</v>
      </c>
      <c r="I972" t="s">
        <v>1369</v>
      </c>
      <c r="J972" t="s">
        <v>1370</v>
      </c>
      <c r="K972" t="s">
        <v>1371</v>
      </c>
      <c r="L972" t="s">
        <v>1372</v>
      </c>
      <c r="M972" t="s">
        <v>1373</v>
      </c>
      <c r="N972" t="s">
        <v>1390</v>
      </c>
      <c r="O972" t="s">
        <v>1391</v>
      </c>
      <c r="P972">
        <v>2.0199999999999999E-2</v>
      </c>
      <c r="Q972" t="s">
        <v>29</v>
      </c>
      <c r="R972" t="s">
        <v>430</v>
      </c>
      <c r="S972" t="s">
        <v>6937</v>
      </c>
    </row>
    <row r="973" spans="1:19" x14ac:dyDescent="0.25">
      <c r="A973">
        <v>2002</v>
      </c>
      <c r="B973">
        <v>6290</v>
      </c>
      <c r="C973" t="s">
        <v>2309</v>
      </c>
      <c r="D973" t="s">
        <v>2310</v>
      </c>
      <c r="E973">
        <v>412110</v>
      </c>
      <c r="F973" t="s">
        <v>346</v>
      </c>
      <c r="G973" t="s">
        <v>347</v>
      </c>
      <c r="H973" t="s">
        <v>79</v>
      </c>
      <c r="I973" t="s">
        <v>1413</v>
      </c>
      <c r="J973" t="s">
        <v>1414</v>
      </c>
      <c r="K973" t="s">
        <v>1415</v>
      </c>
      <c r="L973" t="s">
        <v>1372</v>
      </c>
      <c r="M973" t="s">
        <v>1373</v>
      </c>
      <c r="N973" t="s">
        <v>1374</v>
      </c>
      <c r="O973" t="s">
        <v>1375</v>
      </c>
      <c r="P973">
        <v>48.35</v>
      </c>
      <c r="Q973" t="s">
        <v>29</v>
      </c>
      <c r="R973" t="s">
        <v>204</v>
      </c>
      <c r="S973" t="s">
        <v>6937</v>
      </c>
    </row>
    <row r="974" spans="1:19" x14ac:dyDescent="0.25">
      <c r="A974">
        <v>2009</v>
      </c>
      <c r="B974">
        <v>1684</v>
      </c>
      <c r="C974" t="s">
        <v>2311</v>
      </c>
      <c r="D974" t="s">
        <v>2312</v>
      </c>
      <c r="E974">
        <v>325210</v>
      </c>
      <c r="F974" t="s">
        <v>1752</v>
      </c>
      <c r="G974" t="s">
        <v>415</v>
      </c>
      <c r="H974" t="s">
        <v>21</v>
      </c>
      <c r="I974" t="s">
        <v>191</v>
      </c>
      <c r="J974" t="s">
        <v>192</v>
      </c>
      <c r="K974" t="s">
        <v>193</v>
      </c>
      <c r="L974" t="s">
        <v>1372</v>
      </c>
      <c r="M974" t="s">
        <v>1373</v>
      </c>
      <c r="N974" t="s">
        <v>1374</v>
      </c>
      <c r="O974" t="s">
        <v>1375</v>
      </c>
      <c r="P974">
        <v>0.75</v>
      </c>
      <c r="Q974" t="s">
        <v>29</v>
      </c>
      <c r="R974" t="s">
        <v>725</v>
      </c>
      <c r="S974" t="s">
        <v>6937</v>
      </c>
    </row>
    <row r="975" spans="1:19" x14ac:dyDescent="0.25">
      <c r="A975">
        <v>2019</v>
      </c>
      <c r="B975">
        <v>5158</v>
      </c>
      <c r="C975" t="s">
        <v>2313</v>
      </c>
      <c r="D975" t="s">
        <v>2314</v>
      </c>
      <c r="E975">
        <v>321111</v>
      </c>
      <c r="F975" t="s">
        <v>1367</v>
      </c>
      <c r="G975" t="s">
        <v>1368</v>
      </c>
      <c r="H975" t="s">
        <v>69</v>
      </c>
      <c r="I975" t="s">
        <v>1441</v>
      </c>
      <c r="J975" t="s">
        <v>1442</v>
      </c>
      <c r="K975" t="s">
        <v>1443</v>
      </c>
      <c r="L975" t="s">
        <v>1372</v>
      </c>
      <c r="M975" t="s">
        <v>1373</v>
      </c>
      <c r="N975" t="s">
        <v>1374</v>
      </c>
      <c r="O975" t="s">
        <v>1375</v>
      </c>
      <c r="P975">
        <v>319.52300000000002</v>
      </c>
      <c r="Q975" t="s">
        <v>29</v>
      </c>
      <c r="R975" t="s">
        <v>430</v>
      </c>
      <c r="S975" t="s">
        <v>6937</v>
      </c>
    </row>
    <row r="976" spans="1:19" x14ac:dyDescent="0.25">
      <c r="A976">
        <v>2019</v>
      </c>
      <c r="B976">
        <v>31261</v>
      </c>
      <c r="C976" t="s">
        <v>2315</v>
      </c>
      <c r="D976" t="s">
        <v>2316</v>
      </c>
      <c r="E976">
        <v>324121</v>
      </c>
      <c r="F976" t="s">
        <v>1540</v>
      </c>
      <c r="G976" t="s">
        <v>1541</v>
      </c>
      <c r="H976" t="s">
        <v>85</v>
      </c>
      <c r="I976" t="s">
        <v>1413</v>
      </c>
      <c r="J976" t="s">
        <v>1414</v>
      </c>
      <c r="K976" t="s">
        <v>1415</v>
      </c>
      <c r="L976" t="s">
        <v>1372</v>
      </c>
      <c r="M976" t="s">
        <v>1373</v>
      </c>
      <c r="N976" t="s">
        <v>1374</v>
      </c>
      <c r="O976" t="s">
        <v>1375</v>
      </c>
      <c r="P976">
        <v>5.8890000000000001E-3</v>
      </c>
      <c r="Q976" t="s">
        <v>29</v>
      </c>
      <c r="R976" t="s">
        <v>30</v>
      </c>
      <c r="S976" t="s">
        <v>6937</v>
      </c>
    </row>
    <row r="977" spans="1:19" x14ac:dyDescent="0.25">
      <c r="A977">
        <v>2022</v>
      </c>
      <c r="B977">
        <v>33456</v>
      </c>
      <c r="C977" t="s">
        <v>1791</v>
      </c>
      <c r="D977" t="s">
        <v>2317</v>
      </c>
      <c r="E977">
        <v>211110</v>
      </c>
      <c r="F977" t="s">
        <v>233</v>
      </c>
      <c r="G977" t="s">
        <v>234</v>
      </c>
      <c r="H977" t="s">
        <v>243</v>
      </c>
      <c r="I977" t="s">
        <v>1457</v>
      </c>
      <c r="J977" t="s">
        <v>1680</v>
      </c>
      <c r="K977" t="s">
        <v>1681</v>
      </c>
      <c r="L977" t="s">
        <v>1372</v>
      </c>
      <c r="M977" t="s">
        <v>1373</v>
      </c>
      <c r="N977" t="s">
        <v>1409</v>
      </c>
      <c r="O977" t="s">
        <v>1410</v>
      </c>
      <c r="P977">
        <v>9.5899999999999999E-2</v>
      </c>
      <c r="Q977" t="s">
        <v>29</v>
      </c>
      <c r="R977" t="s">
        <v>30</v>
      </c>
      <c r="S977" t="s">
        <v>6937</v>
      </c>
    </row>
    <row r="978" spans="1:19" x14ac:dyDescent="0.25">
      <c r="A978">
        <v>2005</v>
      </c>
      <c r="B978">
        <v>17327</v>
      </c>
      <c r="C978" t="s">
        <v>2318</v>
      </c>
      <c r="D978" t="s">
        <v>2319</v>
      </c>
      <c r="E978">
        <v>211113</v>
      </c>
      <c r="F978" t="s">
        <v>425</v>
      </c>
      <c r="G978" t="s">
        <v>426</v>
      </c>
      <c r="H978" t="s">
        <v>85</v>
      </c>
      <c r="I978" t="s">
        <v>1533</v>
      </c>
      <c r="J978" t="s">
        <v>1534</v>
      </c>
      <c r="K978" t="s">
        <v>1535</v>
      </c>
      <c r="L978" t="s">
        <v>1372</v>
      </c>
      <c r="M978" t="s">
        <v>1373</v>
      </c>
      <c r="N978" t="s">
        <v>1374</v>
      </c>
      <c r="O978" t="s">
        <v>1375</v>
      </c>
      <c r="P978">
        <v>158.49700000000001</v>
      </c>
      <c r="Q978" t="s">
        <v>29</v>
      </c>
      <c r="R978" t="s">
        <v>430</v>
      </c>
      <c r="S978" t="s">
        <v>6937</v>
      </c>
    </row>
    <row r="979" spans="1:19" x14ac:dyDescent="0.25">
      <c r="A979">
        <v>2021</v>
      </c>
      <c r="B979">
        <v>31267</v>
      </c>
      <c r="C979" t="s">
        <v>2320</v>
      </c>
      <c r="D979" t="s">
        <v>2321</v>
      </c>
      <c r="E979">
        <v>212323</v>
      </c>
      <c r="F979" t="s">
        <v>1568</v>
      </c>
      <c r="G979" t="s">
        <v>1498</v>
      </c>
      <c r="H979" t="s">
        <v>21</v>
      </c>
      <c r="I979" t="s">
        <v>1421</v>
      </c>
      <c r="J979" t="s">
        <v>1422</v>
      </c>
      <c r="K979" t="s">
        <v>1423</v>
      </c>
      <c r="L979" t="s">
        <v>1372</v>
      </c>
      <c r="M979" t="s">
        <v>1373</v>
      </c>
      <c r="N979" t="s">
        <v>1409</v>
      </c>
      <c r="O979" t="s">
        <v>1410</v>
      </c>
      <c r="P979">
        <v>3.9300000000000002E-2</v>
      </c>
      <c r="Q979" t="s">
        <v>29</v>
      </c>
      <c r="R979" t="s">
        <v>30</v>
      </c>
      <c r="S979" t="s">
        <v>6937</v>
      </c>
    </row>
    <row r="980" spans="1:19" x14ac:dyDescent="0.25">
      <c r="A980">
        <v>2023</v>
      </c>
      <c r="B980">
        <v>3897</v>
      </c>
      <c r="C980" t="s">
        <v>1250</v>
      </c>
      <c r="D980" t="s">
        <v>275</v>
      </c>
      <c r="E980">
        <v>324110</v>
      </c>
      <c r="F980" t="s">
        <v>196</v>
      </c>
      <c r="G980" t="s">
        <v>96</v>
      </c>
      <c r="H980" t="s">
        <v>79</v>
      </c>
      <c r="I980" t="s">
        <v>1295</v>
      </c>
      <c r="J980" t="s">
        <v>1296</v>
      </c>
      <c r="K980" t="s">
        <v>1297</v>
      </c>
      <c r="L980" t="s">
        <v>1372</v>
      </c>
      <c r="M980" t="s">
        <v>1373</v>
      </c>
      <c r="N980" t="s">
        <v>1374</v>
      </c>
      <c r="O980" t="s">
        <v>1375</v>
      </c>
      <c r="P980">
        <v>0.63966699999999999</v>
      </c>
      <c r="Q980" t="s">
        <v>29</v>
      </c>
      <c r="R980" t="s">
        <v>430</v>
      </c>
      <c r="S980" t="s">
        <v>6937</v>
      </c>
    </row>
    <row r="981" spans="1:19" x14ac:dyDescent="0.25">
      <c r="A981">
        <v>2023</v>
      </c>
      <c r="B981">
        <v>30639</v>
      </c>
      <c r="C981" t="s">
        <v>2322</v>
      </c>
      <c r="D981" t="s">
        <v>2323</v>
      </c>
      <c r="E981">
        <v>332999</v>
      </c>
      <c r="F981" t="s">
        <v>303</v>
      </c>
      <c r="G981" t="s">
        <v>304</v>
      </c>
      <c r="H981" t="s">
        <v>21</v>
      </c>
      <c r="I981" t="s">
        <v>136</v>
      </c>
      <c r="J981" t="s">
        <v>137</v>
      </c>
      <c r="K981" t="s">
        <v>138</v>
      </c>
      <c r="L981" t="s">
        <v>1372</v>
      </c>
      <c r="M981" t="s">
        <v>1373</v>
      </c>
      <c r="N981" t="s">
        <v>1374</v>
      </c>
      <c r="O981" t="s">
        <v>1375</v>
      </c>
      <c r="P981">
        <v>2.9999999999999997E-4</v>
      </c>
      <c r="Q981" t="s">
        <v>29</v>
      </c>
      <c r="R981" t="s">
        <v>430</v>
      </c>
      <c r="S981" t="s">
        <v>6937</v>
      </c>
    </row>
    <row r="982" spans="1:19" x14ac:dyDescent="0.25">
      <c r="A982">
        <v>2013</v>
      </c>
      <c r="B982">
        <v>6185</v>
      </c>
      <c r="C982" t="s">
        <v>2324</v>
      </c>
      <c r="D982" t="s">
        <v>1387</v>
      </c>
      <c r="E982">
        <v>327410</v>
      </c>
      <c r="F982" t="s">
        <v>2325</v>
      </c>
      <c r="G982" t="s">
        <v>2326</v>
      </c>
      <c r="H982" t="s">
        <v>79</v>
      </c>
      <c r="I982" t="s">
        <v>1421</v>
      </c>
      <c r="J982" t="s">
        <v>1422</v>
      </c>
      <c r="K982" t="s">
        <v>1423</v>
      </c>
      <c r="L982" t="s">
        <v>1372</v>
      </c>
      <c r="M982" t="s">
        <v>1373</v>
      </c>
      <c r="N982" t="s">
        <v>1374</v>
      </c>
      <c r="O982" t="s">
        <v>1375</v>
      </c>
      <c r="P982">
        <v>1.468</v>
      </c>
      <c r="Q982" t="s">
        <v>29</v>
      </c>
      <c r="R982" t="s">
        <v>124</v>
      </c>
      <c r="S982" t="s">
        <v>6937</v>
      </c>
    </row>
    <row r="983" spans="1:19" x14ac:dyDescent="0.25">
      <c r="A983">
        <v>2013</v>
      </c>
      <c r="B983">
        <v>5684</v>
      </c>
      <c r="C983" t="s">
        <v>1115</v>
      </c>
      <c r="D983" t="s">
        <v>2327</v>
      </c>
      <c r="E983">
        <v>212398</v>
      </c>
      <c r="F983" t="s">
        <v>2328</v>
      </c>
      <c r="G983" t="s">
        <v>2329</v>
      </c>
      <c r="H983" t="s">
        <v>21</v>
      </c>
      <c r="I983" t="s">
        <v>62</v>
      </c>
      <c r="J983" t="s">
        <v>63</v>
      </c>
      <c r="K983" t="s">
        <v>64</v>
      </c>
      <c r="L983" t="s">
        <v>1378</v>
      </c>
      <c r="M983" t="s">
        <v>1379</v>
      </c>
      <c r="N983" t="s">
        <v>1380</v>
      </c>
      <c r="O983" t="s">
        <v>1381</v>
      </c>
      <c r="P983">
        <v>1.3599999999999999E-2</v>
      </c>
      <c r="Q983" t="s">
        <v>29</v>
      </c>
      <c r="R983" t="s">
        <v>124</v>
      </c>
      <c r="S983" t="s">
        <v>6937</v>
      </c>
    </row>
    <row r="984" spans="1:19" x14ac:dyDescent="0.25">
      <c r="A984">
        <v>2013</v>
      </c>
      <c r="B984">
        <v>11763</v>
      </c>
      <c r="C984" t="s">
        <v>2330</v>
      </c>
      <c r="D984" t="s">
        <v>2331</v>
      </c>
      <c r="E984">
        <v>327330</v>
      </c>
      <c r="F984" t="s">
        <v>710</v>
      </c>
      <c r="G984" t="s">
        <v>711</v>
      </c>
      <c r="H984" t="s">
        <v>21</v>
      </c>
      <c r="I984" t="s">
        <v>1421</v>
      </c>
      <c r="J984" t="s">
        <v>1422</v>
      </c>
      <c r="K984" t="s">
        <v>1423</v>
      </c>
      <c r="L984" t="s">
        <v>1372</v>
      </c>
      <c r="M984" t="s">
        <v>1373</v>
      </c>
      <c r="N984" t="s">
        <v>1374</v>
      </c>
      <c r="O984" t="s">
        <v>1375</v>
      </c>
      <c r="P984">
        <v>1.5660000000000001</v>
      </c>
      <c r="Q984" t="s">
        <v>29</v>
      </c>
      <c r="R984" t="s">
        <v>430</v>
      </c>
      <c r="S984" t="s">
        <v>6937</v>
      </c>
    </row>
    <row r="985" spans="1:19" x14ac:dyDescent="0.25">
      <c r="A985">
        <v>2005</v>
      </c>
      <c r="B985">
        <v>1779</v>
      </c>
      <c r="C985" t="s">
        <v>247</v>
      </c>
      <c r="D985" t="s">
        <v>2332</v>
      </c>
      <c r="E985">
        <v>325110</v>
      </c>
      <c r="F985" t="s">
        <v>1194</v>
      </c>
      <c r="G985" t="s">
        <v>445</v>
      </c>
      <c r="H985" t="s">
        <v>85</v>
      </c>
      <c r="I985" t="s">
        <v>491</v>
      </c>
      <c r="J985" t="s">
        <v>492</v>
      </c>
      <c r="K985" t="s">
        <v>492</v>
      </c>
      <c r="L985" t="s">
        <v>1372</v>
      </c>
      <c r="M985" t="s">
        <v>1373</v>
      </c>
      <c r="N985" t="s">
        <v>1374</v>
      </c>
      <c r="O985" t="s">
        <v>1375</v>
      </c>
      <c r="P985">
        <v>0.40100000000000002</v>
      </c>
      <c r="Q985" t="s">
        <v>29</v>
      </c>
      <c r="R985" t="s">
        <v>30</v>
      </c>
      <c r="S985" t="s">
        <v>6937</v>
      </c>
    </row>
    <row r="986" spans="1:19" x14ac:dyDescent="0.25">
      <c r="A986">
        <v>2023</v>
      </c>
      <c r="B986">
        <v>26403</v>
      </c>
      <c r="C986" t="s">
        <v>1168</v>
      </c>
      <c r="D986" t="s">
        <v>1169</v>
      </c>
      <c r="E986">
        <v>211142</v>
      </c>
      <c r="F986" t="s">
        <v>357</v>
      </c>
      <c r="G986" t="s">
        <v>358</v>
      </c>
      <c r="H986" t="s">
        <v>85</v>
      </c>
      <c r="I986" t="s">
        <v>1421</v>
      </c>
      <c r="J986" t="s">
        <v>1422</v>
      </c>
      <c r="K986" t="s">
        <v>1423</v>
      </c>
      <c r="L986" t="s">
        <v>1372</v>
      </c>
      <c r="M986" t="s">
        <v>1373</v>
      </c>
      <c r="N986" t="s">
        <v>1409</v>
      </c>
      <c r="O986" t="s">
        <v>1410</v>
      </c>
      <c r="P986">
        <v>27.376835</v>
      </c>
      <c r="Q986" t="s">
        <v>29</v>
      </c>
      <c r="R986" t="s">
        <v>430</v>
      </c>
      <c r="S986" t="s">
        <v>6937</v>
      </c>
    </row>
    <row r="987" spans="1:19" x14ac:dyDescent="0.25">
      <c r="A987">
        <v>1999</v>
      </c>
      <c r="B987">
        <v>2322</v>
      </c>
      <c r="C987" t="s">
        <v>2333</v>
      </c>
      <c r="E987">
        <v>325999</v>
      </c>
      <c r="F987" t="s">
        <v>396</v>
      </c>
      <c r="G987" t="s">
        <v>397</v>
      </c>
      <c r="H987" t="s">
        <v>21</v>
      </c>
      <c r="I987" t="s">
        <v>504</v>
      </c>
      <c r="J987" t="s">
        <v>505</v>
      </c>
      <c r="K987" t="s">
        <v>506</v>
      </c>
      <c r="L987" t="s">
        <v>1372</v>
      </c>
      <c r="M987" t="s">
        <v>1373</v>
      </c>
      <c r="N987" t="s">
        <v>1374</v>
      </c>
      <c r="O987" t="s">
        <v>1375</v>
      </c>
      <c r="P987">
        <v>2.0939999999999999</v>
      </c>
      <c r="Q987" t="s">
        <v>29</v>
      </c>
      <c r="R987" t="s">
        <v>204</v>
      </c>
      <c r="S987" t="s">
        <v>6937</v>
      </c>
    </row>
    <row r="988" spans="1:19" x14ac:dyDescent="0.25">
      <c r="A988">
        <v>2015</v>
      </c>
      <c r="B988">
        <v>18000</v>
      </c>
      <c r="C988" t="s">
        <v>1027</v>
      </c>
      <c r="D988" t="s">
        <v>2334</v>
      </c>
      <c r="E988">
        <v>211113</v>
      </c>
      <c r="F988" t="s">
        <v>786</v>
      </c>
      <c r="G988" t="s">
        <v>426</v>
      </c>
      <c r="H988" t="s">
        <v>85</v>
      </c>
      <c r="I988" t="s">
        <v>1533</v>
      </c>
      <c r="J988" t="s">
        <v>1534</v>
      </c>
      <c r="K988" t="s">
        <v>1535</v>
      </c>
      <c r="L988" t="s">
        <v>1372</v>
      </c>
      <c r="M988" t="s">
        <v>1373</v>
      </c>
      <c r="N988" t="s">
        <v>1374</v>
      </c>
      <c r="O988" t="s">
        <v>1375</v>
      </c>
      <c r="P988">
        <v>64.987499999999997</v>
      </c>
      <c r="Q988" t="s">
        <v>29</v>
      </c>
      <c r="R988" t="s">
        <v>430</v>
      </c>
      <c r="S988" t="s">
        <v>6937</v>
      </c>
    </row>
    <row r="989" spans="1:19" x14ac:dyDescent="0.25">
      <c r="A989">
        <v>2016</v>
      </c>
      <c r="B989">
        <v>2230</v>
      </c>
      <c r="C989" t="s">
        <v>1548</v>
      </c>
      <c r="D989" t="s">
        <v>1514</v>
      </c>
      <c r="E989">
        <v>211114</v>
      </c>
      <c r="F989" t="s">
        <v>956</v>
      </c>
      <c r="G989" t="s">
        <v>836</v>
      </c>
      <c r="H989" t="s">
        <v>85</v>
      </c>
      <c r="I989" t="s">
        <v>1050</v>
      </c>
      <c r="J989" t="s">
        <v>1051</v>
      </c>
      <c r="K989" t="s">
        <v>1052</v>
      </c>
      <c r="L989" t="s">
        <v>1372</v>
      </c>
      <c r="M989" t="s">
        <v>1373</v>
      </c>
      <c r="N989" t="s">
        <v>1409</v>
      </c>
      <c r="O989" t="s">
        <v>1410</v>
      </c>
      <c r="P989">
        <v>2.2997000000000001</v>
      </c>
      <c r="Q989" t="s">
        <v>40</v>
      </c>
      <c r="R989" t="s">
        <v>124</v>
      </c>
      <c r="S989" t="s">
        <v>6937</v>
      </c>
    </row>
    <row r="990" spans="1:19" x14ac:dyDescent="0.25">
      <c r="A990">
        <v>2016</v>
      </c>
      <c r="B990">
        <v>24145</v>
      </c>
      <c r="C990" t="s">
        <v>2335</v>
      </c>
      <c r="D990" t="s">
        <v>2336</v>
      </c>
      <c r="E990">
        <v>211114</v>
      </c>
      <c r="F990" t="s">
        <v>956</v>
      </c>
      <c r="G990" t="s">
        <v>836</v>
      </c>
      <c r="H990" t="s">
        <v>85</v>
      </c>
      <c r="I990" t="s">
        <v>1421</v>
      </c>
      <c r="J990" t="s">
        <v>1422</v>
      </c>
      <c r="K990" t="s">
        <v>1423</v>
      </c>
      <c r="L990" t="s">
        <v>1372</v>
      </c>
      <c r="M990" t="s">
        <v>1373</v>
      </c>
      <c r="N990" t="s">
        <v>1390</v>
      </c>
      <c r="O990" t="s">
        <v>1391</v>
      </c>
      <c r="P990">
        <v>2.637</v>
      </c>
      <c r="Q990" t="s">
        <v>29</v>
      </c>
      <c r="R990" t="s">
        <v>30</v>
      </c>
      <c r="S990" t="s">
        <v>6937</v>
      </c>
    </row>
    <row r="991" spans="1:19" x14ac:dyDescent="0.25">
      <c r="A991">
        <v>2023</v>
      </c>
      <c r="B991">
        <v>31705</v>
      </c>
      <c r="C991" t="s">
        <v>2337</v>
      </c>
      <c r="D991" t="s">
        <v>2338</v>
      </c>
      <c r="E991">
        <v>324121</v>
      </c>
      <c r="F991" t="s">
        <v>1540</v>
      </c>
      <c r="G991" t="s">
        <v>1541</v>
      </c>
      <c r="H991" t="s">
        <v>69</v>
      </c>
      <c r="I991" t="s">
        <v>1369</v>
      </c>
      <c r="J991" t="s">
        <v>1370</v>
      </c>
      <c r="K991" t="s">
        <v>1371</v>
      </c>
      <c r="L991" t="s">
        <v>1372</v>
      </c>
      <c r="M991" t="s">
        <v>1373</v>
      </c>
      <c r="N991" t="s">
        <v>1402</v>
      </c>
      <c r="O991" t="s">
        <v>1403</v>
      </c>
      <c r="P991">
        <v>0</v>
      </c>
      <c r="Q991" t="s">
        <v>29</v>
      </c>
      <c r="R991" t="s">
        <v>30</v>
      </c>
      <c r="S991" t="s">
        <v>6937</v>
      </c>
    </row>
    <row r="992" spans="1:19" x14ac:dyDescent="0.25">
      <c r="A992">
        <v>2021</v>
      </c>
      <c r="B992">
        <v>15120</v>
      </c>
      <c r="C992" t="s">
        <v>2339</v>
      </c>
      <c r="D992" t="s">
        <v>2340</v>
      </c>
      <c r="E992">
        <v>211110</v>
      </c>
      <c r="F992" t="s">
        <v>233</v>
      </c>
      <c r="G992" t="s">
        <v>234</v>
      </c>
      <c r="H992" t="s">
        <v>85</v>
      </c>
      <c r="I992" t="s">
        <v>1441</v>
      </c>
      <c r="J992" t="s">
        <v>1442</v>
      </c>
      <c r="K992" t="s">
        <v>1443</v>
      </c>
      <c r="L992" t="s">
        <v>1372</v>
      </c>
      <c r="M992" t="s">
        <v>1373</v>
      </c>
      <c r="N992" t="s">
        <v>1374</v>
      </c>
      <c r="O992" t="s">
        <v>1375</v>
      </c>
      <c r="P992">
        <v>64.584199999999996</v>
      </c>
      <c r="Q992" t="s">
        <v>29</v>
      </c>
      <c r="R992" t="s">
        <v>430</v>
      </c>
      <c r="S992" t="s">
        <v>6937</v>
      </c>
    </row>
    <row r="993" spans="1:19" x14ac:dyDescent="0.25">
      <c r="A993">
        <v>2023</v>
      </c>
      <c r="B993">
        <v>29053</v>
      </c>
      <c r="C993" t="s">
        <v>2341</v>
      </c>
      <c r="D993" t="s">
        <v>2342</v>
      </c>
      <c r="E993">
        <v>221112</v>
      </c>
      <c r="F993" t="s">
        <v>499</v>
      </c>
      <c r="G993" t="s">
        <v>135</v>
      </c>
      <c r="H993" t="s">
        <v>1625</v>
      </c>
      <c r="I993" t="s">
        <v>1533</v>
      </c>
      <c r="J993" t="s">
        <v>1534</v>
      </c>
      <c r="K993" t="s">
        <v>1535</v>
      </c>
      <c r="L993" t="s">
        <v>1372</v>
      </c>
      <c r="M993" t="s">
        <v>1373</v>
      </c>
      <c r="N993" t="s">
        <v>1374</v>
      </c>
      <c r="O993" t="s">
        <v>1375</v>
      </c>
      <c r="P993">
        <v>30.83</v>
      </c>
      <c r="Q993" t="s">
        <v>29</v>
      </c>
      <c r="R993" t="s">
        <v>157</v>
      </c>
      <c r="S993" t="s">
        <v>6937</v>
      </c>
    </row>
    <row r="994" spans="1:19" x14ac:dyDescent="0.25">
      <c r="A994">
        <v>2023</v>
      </c>
      <c r="B994">
        <v>34493</v>
      </c>
      <c r="C994" t="s">
        <v>1791</v>
      </c>
      <c r="D994" t="s">
        <v>2343</v>
      </c>
      <c r="E994">
        <v>211110</v>
      </c>
      <c r="F994" t="s">
        <v>233</v>
      </c>
      <c r="G994" t="s">
        <v>234</v>
      </c>
      <c r="H994" t="s">
        <v>243</v>
      </c>
      <c r="I994" t="s">
        <v>1533</v>
      </c>
      <c r="J994" t="s">
        <v>1534</v>
      </c>
      <c r="K994" t="s">
        <v>1535</v>
      </c>
      <c r="L994" t="s">
        <v>1372</v>
      </c>
      <c r="M994" t="s">
        <v>1373</v>
      </c>
      <c r="N994" t="s">
        <v>1374</v>
      </c>
      <c r="O994" t="s">
        <v>1375</v>
      </c>
      <c r="P994">
        <v>0.17566000000000001</v>
      </c>
      <c r="Q994" t="s">
        <v>29</v>
      </c>
      <c r="R994" t="s">
        <v>430</v>
      </c>
      <c r="S994" t="s">
        <v>6937</v>
      </c>
    </row>
    <row r="995" spans="1:19" x14ac:dyDescent="0.25">
      <c r="A995">
        <v>2004</v>
      </c>
      <c r="B995">
        <v>6374</v>
      </c>
      <c r="C995" t="s">
        <v>2344</v>
      </c>
      <c r="D995" t="s">
        <v>2345</v>
      </c>
      <c r="E995">
        <v>221320</v>
      </c>
      <c r="F995" t="s">
        <v>390</v>
      </c>
      <c r="G995" t="s">
        <v>147</v>
      </c>
      <c r="H995" t="s">
        <v>79</v>
      </c>
      <c r="I995" t="s">
        <v>504</v>
      </c>
      <c r="J995" t="s">
        <v>505</v>
      </c>
      <c r="K995" t="s">
        <v>506</v>
      </c>
      <c r="L995" t="s">
        <v>1378</v>
      </c>
      <c r="M995" t="s">
        <v>1379</v>
      </c>
      <c r="N995" t="s">
        <v>1380</v>
      </c>
      <c r="O995" t="s">
        <v>1381</v>
      </c>
      <c r="P995">
        <v>176</v>
      </c>
      <c r="Q995" t="s">
        <v>29</v>
      </c>
      <c r="R995" t="s">
        <v>30</v>
      </c>
      <c r="S995" t="s">
        <v>6937</v>
      </c>
    </row>
    <row r="996" spans="1:19" x14ac:dyDescent="0.25">
      <c r="A996">
        <v>2019</v>
      </c>
      <c r="B996">
        <v>5739</v>
      </c>
      <c r="C996" t="s">
        <v>2346</v>
      </c>
      <c r="D996" t="s">
        <v>2347</v>
      </c>
      <c r="E996">
        <v>325190</v>
      </c>
      <c r="F996" t="s">
        <v>600</v>
      </c>
      <c r="G996" t="s">
        <v>601</v>
      </c>
      <c r="H996" t="s">
        <v>21</v>
      </c>
      <c r="I996" t="s">
        <v>923</v>
      </c>
      <c r="J996" t="s">
        <v>924</v>
      </c>
      <c r="K996" t="s">
        <v>924</v>
      </c>
      <c r="L996" t="s">
        <v>1372</v>
      </c>
      <c r="M996" t="s">
        <v>1373</v>
      </c>
      <c r="N996" t="s">
        <v>1399</v>
      </c>
      <c r="O996" t="s">
        <v>1400</v>
      </c>
      <c r="P996">
        <v>1.9099999999999999E-2</v>
      </c>
      <c r="Q996" t="s">
        <v>29</v>
      </c>
      <c r="R996" t="s">
        <v>30</v>
      </c>
      <c r="S996" t="s">
        <v>6937</v>
      </c>
    </row>
    <row r="997" spans="1:19" x14ac:dyDescent="0.25">
      <c r="A997">
        <v>2017</v>
      </c>
      <c r="B997">
        <v>3394</v>
      </c>
      <c r="C997" t="s">
        <v>2348</v>
      </c>
      <c r="D997" t="s">
        <v>2349</v>
      </c>
      <c r="E997">
        <v>322121</v>
      </c>
      <c r="F997" t="s">
        <v>938</v>
      </c>
      <c r="G997" t="s">
        <v>765</v>
      </c>
      <c r="H997" t="s">
        <v>661</v>
      </c>
      <c r="I997" t="s">
        <v>55</v>
      </c>
      <c r="J997" t="s">
        <v>56</v>
      </c>
      <c r="K997" t="s">
        <v>57</v>
      </c>
      <c r="L997" t="s">
        <v>1378</v>
      </c>
      <c r="M997" t="s">
        <v>1379</v>
      </c>
      <c r="N997" t="s">
        <v>1380</v>
      </c>
      <c r="O997" t="s">
        <v>1381</v>
      </c>
      <c r="P997">
        <v>0.1065</v>
      </c>
      <c r="Q997" t="s">
        <v>29</v>
      </c>
      <c r="R997" t="s">
        <v>430</v>
      </c>
      <c r="S997" t="s">
        <v>6937</v>
      </c>
    </row>
    <row r="998" spans="1:19" x14ac:dyDescent="0.25">
      <c r="A998">
        <v>2023</v>
      </c>
      <c r="B998">
        <v>29526</v>
      </c>
      <c r="C998" t="s">
        <v>787</v>
      </c>
      <c r="D998" t="s">
        <v>788</v>
      </c>
      <c r="E998">
        <v>336212</v>
      </c>
      <c r="F998" t="s">
        <v>789</v>
      </c>
      <c r="G998" t="s">
        <v>790</v>
      </c>
      <c r="H998" t="s">
        <v>21</v>
      </c>
      <c r="I998" t="s">
        <v>1421</v>
      </c>
      <c r="J998" t="s">
        <v>1422</v>
      </c>
      <c r="K998" t="s">
        <v>1423</v>
      </c>
      <c r="L998" t="s">
        <v>1372</v>
      </c>
      <c r="M998" t="s">
        <v>1373</v>
      </c>
      <c r="N998" t="s">
        <v>1374</v>
      </c>
      <c r="O998" t="s">
        <v>1375</v>
      </c>
      <c r="P998">
        <v>0.34173599999999998</v>
      </c>
      <c r="Q998" t="s">
        <v>29</v>
      </c>
      <c r="R998" t="s">
        <v>430</v>
      </c>
      <c r="S998" t="s">
        <v>6937</v>
      </c>
    </row>
    <row r="999" spans="1:19" x14ac:dyDescent="0.25">
      <c r="A999">
        <v>2016</v>
      </c>
      <c r="B999">
        <v>6647</v>
      </c>
      <c r="C999" t="s">
        <v>2350</v>
      </c>
      <c r="D999" t="s">
        <v>2351</v>
      </c>
      <c r="E999">
        <v>211114</v>
      </c>
      <c r="F999" t="s">
        <v>956</v>
      </c>
      <c r="G999" t="s">
        <v>836</v>
      </c>
      <c r="H999" t="s">
        <v>85</v>
      </c>
      <c r="I999" t="s">
        <v>209</v>
      </c>
      <c r="J999" t="s">
        <v>210</v>
      </c>
      <c r="K999" t="s">
        <v>211</v>
      </c>
      <c r="L999" t="s">
        <v>1361</v>
      </c>
      <c r="M999" t="s">
        <v>1362</v>
      </c>
      <c r="N999" t="s">
        <v>1363</v>
      </c>
      <c r="O999" t="s">
        <v>1364</v>
      </c>
      <c r="P999">
        <v>2.9999999999999997E-4</v>
      </c>
      <c r="Q999" t="s">
        <v>29</v>
      </c>
      <c r="R999" t="s">
        <v>430</v>
      </c>
      <c r="S999" t="s">
        <v>6937</v>
      </c>
    </row>
    <row r="1000" spans="1:19" x14ac:dyDescent="0.25">
      <c r="A1000">
        <v>2023</v>
      </c>
      <c r="B1000">
        <v>4872</v>
      </c>
      <c r="C1000" t="s">
        <v>2352</v>
      </c>
      <c r="D1000" t="s">
        <v>2353</v>
      </c>
      <c r="E1000">
        <v>221112</v>
      </c>
      <c r="F1000" t="s">
        <v>499</v>
      </c>
      <c r="G1000" t="s">
        <v>135</v>
      </c>
      <c r="H1000" t="s">
        <v>21</v>
      </c>
      <c r="I1000" t="s">
        <v>1487</v>
      </c>
      <c r="J1000" t="s">
        <v>1488</v>
      </c>
      <c r="K1000" t="s">
        <v>1489</v>
      </c>
      <c r="L1000" t="s">
        <v>1372</v>
      </c>
      <c r="M1000" t="s">
        <v>1373</v>
      </c>
      <c r="N1000" t="s">
        <v>1409</v>
      </c>
      <c r="O1000" t="s">
        <v>1410</v>
      </c>
      <c r="P1000">
        <v>3.7999999999999999E-2</v>
      </c>
      <c r="Q1000" t="s">
        <v>29</v>
      </c>
      <c r="R1000" t="s">
        <v>30</v>
      </c>
      <c r="S1000" t="s">
        <v>6937</v>
      </c>
    </row>
    <row r="1001" spans="1:19" x14ac:dyDescent="0.25">
      <c r="A1001">
        <v>2019</v>
      </c>
      <c r="B1001">
        <v>18584</v>
      </c>
      <c r="C1001" t="s">
        <v>2354</v>
      </c>
      <c r="D1001" t="s">
        <v>2355</v>
      </c>
      <c r="E1001">
        <v>211110</v>
      </c>
      <c r="F1001" t="s">
        <v>233</v>
      </c>
      <c r="G1001" t="s">
        <v>234</v>
      </c>
      <c r="H1001" t="s">
        <v>85</v>
      </c>
      <c r="I1001" t="s">
        <v>1369</v>
      </c>
      <c r="J1001" t="s">
        <v>1370</v>
      </c>
      <c r="K1001" t="s">
        <v>1371</v>
      </c>
      <c r="L1001" t="s">
        <v>1372</v>
      </c>
      <c r="M1001" t="s">
        <v>1373</v>
      </c>
      <c r="N1001" t="s">
        <v>1374</v>
      </c>
      <c r="O1001" t="s">
        <v>1375</v>
      </c>
      <c r="P1001">
        <v>0.45500000000000002</v>
      </c>
      <c r="Q1001" t="s">
        <v>29</v>
      </c>
      <c r="R1001" t="s">
        <v>430</v>
      </c>
      <c r="S1001" t="s">
        <v>6937</v>
      </c>
    </row>
    <row r="1002" spans="1:19" x14ac:dyDescent="0.25">
      <c r="A1002">
        <v>2005</v>
      </c>
      <c r="B1002">
        <v>3713</v>
      </c>
      <c r="C1002" t="s">
        <v>5166</v>
      </c>
      <c r="D1002" t="s">
        <v>524</v>
      </c>
      <c r="E1002">
        <v>331110</v>
      </c>
      <c r="F1002" t="s">
        <v>335</v>
      </c>
      <c r="G1002" t="s">
        <v>336</v>
      </c>
      <c r="H1002" t="s">
        <v>21</v>
      </c>
      <c r="I1002" t="s">
        <v>913</v>
      </c>
      <c r="J1002" t="s">
        <v>914</v>
      </c>
      <c r="K1002" t="s">
        <v>915</v>
      </c>
      <c r="L1002" t="s">
        <v>5167</v>
      </c>
      <c r="M1002" t="s">
        <v>5168</v>
      </c>
      <c r="N1002" t="s">
        <v>5169</v>
      </c>
      <c r="O1002" t="s">
        <v>5170</v>
      </c>
      <c r="P1002">
        <v>46.3</v>
      </c>
      <c r="Q1002" t="s">
        <v>29</v>
      </c>
      <c r="R1002" t="s">
        <v>50</v>
      </c>
      <c r="S1002" t="s">
        <v>6938</v>
      </c>
    </row>
    <row r="1003" spans="1:19" x14ac:dyDescent="0.25">
      <c r="A1003">
        <v>2007</v>
      </c>
      <c r="B1003">
        <v>2388</v>
      </c>
      <c r="C1003" t="s">
        <v>1854</v>
      </c>
      <c r="D1003" t="s">
        <v>5171</v>
      </c>
      <c r="E1003">
        <v>326150</v>
      </c>
      <c r="F1003" t="s">
        <v>640</v>
      </c>
      <c r="G1003" t="s">
        <v>641</v>
      </c>
      <c r="H1003" t="s">
        <v>21</v>
      </c>
      <c r="I1003" t="s">
        <v>5172</v>
      </c>
      <c r="J1003" t="s">
        <v>5173</v>
      </c>
      <c r="K1003" t="s">
        <v>5174</v>
      </c>
      <c r="L1003" t="s">
        <v>5167</v>
      </c>
      <c r="M1003" t="s">
        <v>5168</v>
      </c>
      <c r="N1003" t="s">
        <v>5175</v>
      </c>
      <c r="O1003" t="s">
        <v>5176</v>
      </c>
      <c r="P1003">
        <v>0.27</v>
      </c>
      <c r="Q1003" t="s">
        <v>29</v>
      </c>
      <c r="R1003" t="s">
        <v>50</v>
      </c>
      <c r="S1003" t="s">
        <v>6938</v>
      </c>
    </row>
    <row r="1004" spans="1:19" x14ac:dyDescent="0.25">
      <c r="A1004">
        <v>2021</v>
      </c>
      <c r="B1004">
        <v>25207</v>
      </c>
      <c r="C1004" t="s">
        <v>5177</v>
      </c>
      <c r="D1004" t="s">
        <v>5178</v>
      </c>
      <c r="E1004">
        <v>213118</v>
      </c>
      <c r="F1004" t="s">
        <v>5179</v>
      </c>
      <c r="G1004" t="s">
        <v>1337</v>
      </c>
      <c r="H1004" t="s">
        <v>85</v>
      </c>
      <c r="I1004" t="s">
        <v>5180</v>
      </c>
      <c r="J1004" t="s">
        <v>5181</v>
      </c>
      <c r="K1004" t="s">
        <v>5182</v>
      </c>
      <c r="L1004" t="s">
        <v>5167</v>
      </c>
      <c r="M1004" t="s">
        <v>5168</v>
      </c>
      <c r="N1004" t="s">
        <v>5169</v>
      </c>
      <c r="O1004" t="s">
        <v>5170</v>
      </c>
      <c r="P1004">
        <v>3.8000000000000002E-4</v>
      </c>
      <c r="Q1004" t="s">
        <v>29</v>
      </c>
      <c r="R1004" t="s">
        <v>30</v>
      </c>
      <c r="S1004" t="s">
        <v>6938</v>
      </c>
    </row>
    <row r="1005" spans="1:19" x14ac:dyDescent="0.25">
      <c r="A1005">
        <v>2019</v>
      </c>
      <c r="B1005">
        <v>2815</v>
      </c>
      <c r="C1005" t="s">
        <v>1109</v>
      </c>
      <c r="D1005" t="s">
        <v>439</v>
      </c>
      <c r="E1005">
        <v>212233</v>
      </c>
      <c r="F1005" t="s">
        <v>1111</v>
      </c>
      <c r="G1005" t="s">
        <v>441</v>
      </c>
      <c r="H1005" t="s">
        <v>21</v>
      </c>
      <c r="I1005" t="s">
        <v>177</v>
      </c>
      <c r="J1005" t="s">
        <v>178</v>
      </c>
      <c r="K1005" t="s">
        <v>179</v>
      </c>
      <c r="L1005" t="s">
        <v>5183</v>
      </c>
      <c r="M1005" t="s">
        <v>5184</v>
      </c>
      <c r="N1005" t="s">
        <v>5185</v>
      </c>
      <c r="O1005" t="s">
        <v>5186</v>
      </c>
      <c r="P1005">
        <v>868.85</v>
      </c>
      <c r="Q1005" t="s">
        <v>29</v>
      </c>
      <c r="R1005" t="s">
        <v>50</v>
      </c>
      <c r="S1005" t="s">
        <v>6938</v>
      </c>
    </row>
    <row r="1006" spans="1:19" x14ac:dyDescent="0.25">
      <c r="A1006">
        <v>2015</v>
      </c>
      <c r="B1006">
        <v>29021</v>
      </c>
      <c r="C1006" t="s">
        <v>5187</v>
      </c>
      <c r="D1006" t="s">
        <v>5188</v>
      </c>
      <c r="E1006">
        <v>221111</v>
      </c>
      <c r="F1006" t="s">
        <v>5189</v>
      </c>
      <c r="G1006" t="s">
        <v>5190</v>
      </c>
      <c r="H1006" t="s">
        <v>69</v>
      </c>
      <c r="I1006" t="s">
        <v>35</v>
      </c>
      <c r="J1006" t="s">
        <v>36</v>
      </c>
      <c r="K1006" t="s">
        <v>37</v>
      </c>
      <c r="L1006" t="s">
        <v>5167</v>
      </c>
      <c r="M1006" t="s">
        <v>5168</v>
      </c>
      <c r="N1006" t="s">
        <v>5169</v>
      </c>
      <c r="O1006" t="s">
        <v>5170</v>
      </c>
      <c r="P1006">
        <v>27.8</v>
      </c>
      <c r="Q1006" t="s">
        <v>40</v>
      </c>
      <c r="R1006" t="s">
        <v>50</v>
      </c>
      <c r="S1006" t="s">
        <v>6938</v>
      </c>
    </row>
    <row r="1007" spans="1:19" x14ac:dyDescent="0.25">
      <c r="A1007">
        <v>2016</v>
      </c>
      <c r="B1007">
        <v>3707</v>
      </c>
      <c r="C1007" t="s">
        <v>194</v>
      </c>
      <c r="D1007" t="s">
        <v>195</v>
      </c>
      <c r="E1007">
        <v>324110</v>
      </c>
      <c r="F1007" t="s">
        <v>196</v>
      </c>
      <c r="G1007" t="s">
        <v>96</v>
      </c>
      <c r="H1007" t="s">
        <v>85</v>
      </c>
      <c r="I1007" t="s">
        <v>543</v>
      </c>
      <c r="J1007" t="s">
        <v>544</v>
      </c>
      <c r="K1007" t="s">
        <v>545</v>
      </c>
      <c r="L1007" t="s">
        <v>5167</v>
      </c>
      <c r="M1007" t="s">
        <v>5168</v>
      </c>
      <c r="N1007" t="s">
        <v>5169</v>
      </c>
      <c r="O1007" t="s">
        <v>5170</v>
      </c>
      <c r="P1007">
        <v>106.255</v>
      </c>
      <c r="Q1007" t="s">
        <v>40</v>
      </c>
      <c r="R1007" t="s">
        <v>30</v>
      </c>
      <c r="S1007" t="s">
        <v>6938</v>
      </c>
    </row>
    <row r="1008" spans="1:19" x14ac:dyDescent="0.25">
      <c r="A1008">
        <v>1998</v>
      </c>
      <c r="B1008">
        <v>2134</v>
      </c>
      <c r="C1008" t="s">
        <v>5191</v>
      </c>
      <c r="D1008" t="s">
        <v>1338</v>
      </c>
      <c r="E1008">
        <v>325313</v>
      </c>
      <c r="F1008" t="s">
        <v>1585</v>
      </c>
      <c r="G1008" t="s">
        <v>5192</v>
      </c>
      <c r="H1008" t="s">
        <v>85</v>
      </c>
      <c r="I1008" t="s">
        <v>913</v>
      </c>
      <c r="J1008" t="s">
        <v>914</v>
      </c>
      <c r="K1008" t="s">
        <v>915</v>
      </c>
      <c r="L1008" t="s">
        <v>5167</v>
      </c>
      <c r="M1008" t="s">
        <v>5168</v>
      </c>
      <c r="N1008" t="s">
        <v>5169</v>
      </c>
      <c r="O1008" t="s">
        <v>5170</v>
      </c>
      <c r="P1008">
        <v>33.020000000000003</v>
      </c>
      <c r="Q1008" t="s">
        <v>29</v>
      </c>
      <c r="R1008" t="s">
        <v>442</v>
      </c>
      <c r="S1008" t="s">
        <v>6938</v>
      </c>
    </row>
    <row r="1009" spans="1:19" x14ac:dyDescent="0.25">
      <c r="A1009">
        <v>2019</v>
      </c>
      <c r="B1009">
        <v>16103</v>
      </c>
      <c r="C1009" t="s">
        <v>5193</v>
      </c>
      <c r="D1009" t="s">
        <v>5194</v>
      </c>
      <c r="E1009">
        <v>562210</v>
      </c>
      <c r="F1009" t="s">
        <v>84</v>
      </c>
      <c r="G1009" t="s">
        <v>53</v>
      </c>
      <c r="H1009" t="s">
        <v>85</v>
      </c>
      <c r="I1009" t="s">
        <v>35</v>
      </c>
      <c r="J1009" t="s">
        <v>36</v>
      </c>
      <c r="K1009" t="s">
        <v>37</v>
      </c>
      <c r="L1009" t="s">
        <v>5183</v>
      </c>
      <c r="M1009" t="s">
        <v>5184</v>
      </c>
      <c r="N1009" t="s">
        <v>5195</v>
      </c>
      <c r="O1009" t="s">
        <v>5196</v>
      </c>
      <c r="P1009">
        <v>761.43499999999995</v>
      </c>
      <c r="Q1009" t="s">
        <v>40</v>
      </c>
      <c r="R1009" t="s">
        <v>50</v>
      </c>
      <c r="S1009" t="s">
        <v>6938</v>
      </c>
    </row>
    <row r="1010" spans="1:19" x14ac:dyDescent="0.25">
      <c r="A1010">
        <v>2014</v>
      </c>
      <c r="B1010">
        <v>2537</v>
      </c>
      <c r="C1010" t="s">
        <v>370</v>
      </c>
      <c r="D1010" t="s">
        <v>5197</v>
      </c>
      <c r="E1010">
        <v>562210</v>
      </c>
      <c r="F1010" t="s">
        <v>84</v>
      </c>
      <c r="G1010" t="s">
        <v>53</v>
      </c>
      <c r="H1010" t="s">
        <v>21</v>
      </c>
      <c r="I1010" t="s">
        <v>703</v>
      </c>
      <c r="J1010" t="s">
        <v>1127</v>
      </c>
      <c r="K1010" t="s">
        <v>1128</v>
      </c>
      <c r="L1010" t="s">
        <v>5183</v>
      </c>
      <c r="M1010" t="s">
        <v>5184</v>
      </c>
      <c r="N1010" t="s">
        <v>5169</v>
      </c>
      <c r="O1010" t="s">
        <v>5170</v>
      </c>
      <c r="P1010">
        <v>3.0150000000000001</v>
      </c>
      <c r="Q1010" t="s">
        <v>29</v>
      </c>
      <c r="R1010" t="s">
        <v>30</v>
      </c>
      <c r="S1010" t="s">
        <v>6938</v>
      </c>
    </row>
    <row r="1011" spans="1:19" x14ac:dyDescent="0.25">
      <c r="A1011">
        <v>2003</v>
      </c>
      <c r="B1011">
        <v>4788</v>
      </c>
      <c r="C1011" t="s">
        <v>5198</v>
      </c>
      <c r="E1011">
        <v>322111</v>
      </c>
      <c r="F1011" t="s">
        <v>1077</v>
      </c>
      <c r="G1011" t="s">
        <v>1078</v>
      </c>
      <c r="H1011" t="s">
        <v>79</v>
      </c>
      <c r="I1011" t="s">
        <v>244</v>
      </c>
      <c r="J1011" t="s">
        <v>245</v>
      </c>
      <c r="K1011" t="s">
        <v>246</v>
      </c>
      <c r="L1011" t="s">
        <v>5183</v>
      </c>
      <c r="M1011" t="s">
        <v>5184</v>
      </c>
      <c r="N1011" t="s">
        <v>5169</v>
      </c>
      <c r="O1011" t="s">
        <v>5170</v>
      </c>
      <c r="P1011">
        <v>113.181</v>
      </c>
      <c r="Q1011" t="s">
        <v>40</v>
      </c>
      <c r="R1011" t="s">
        <v>430</v>
      </c>
      <c r="S1011" t="s">
        <v>6938</v>
      </c>
    </row>
    <row r="1012" spans="1:19" x14ac:dyDescent="0.25">
      <c r="A1012">
        <v>2005</v>
      </c>
      <c r="B1012">
        <v>20081</v>
      </c>
      <c r="C1012" t="s">
        <v>5199</v>
      </c>
      <c r="D1012" t="s">
        <v>5200</v>
      </c>
      <c r="E1012">
        <v>331221</v>
      </c>
      <c r="F1012" t="s">
        <v>418</v>
      </c>
      <c r="G1012" t="s">
        <v>419</v>
      </c>
      <c r="H1012" t="s">
        <v>69</v>
      </c>
      <c r="I1012" t="s">
        <v>461</v>
      </c>
      <c r="J1012" t="s">
        <v>462</v>
      </c>
      <c r="K1012" t="s">
        <v>463</v>
      </c>
      <c r="L1012" t="s">
        <v>5167</v>
      </c>
      <c r="M1012" t="s">
        <v>5168</v>
      </c>
      <c r="N1012" t="s">
        <v>5169</v>
      </c>
      <c r="O1012" t="s">
        <v>5170</v>
      </c>
      <c r="P1012">
        <v>5000</v>
      </c>
      <c r="Q1012" t="s">
        <v>40</v>
      </c>
      <c r="R1012" t="s">
        <v>30</v>
      </c>
      <c r="S1012" t="s">
        <v>6938</v>
      </c>
    </row>
    <row r="1013" spans="1:19" x14ac:dyDescent="0.25">
      <c r="A1013">
        <v>2006</v>
      </c>
      <c r="B1013">
        <v>442</v>
      </c>
      <c r="C1013" t="s">
        <v>125</v>
      </c>
      <c r="D1013" t="s">
        <v>1230</v>
      </c>
      <c r="E1013">
        <v>211114</v>
      </c>
      <c r="F1013" t="s">
        <v>835</v>
      </c>
      <c r="G1013" t="s">
        <v>836</v>
      </c>
      <c r="H1013" t="s">
        <v>85</v>
      </c>
      <c r="I1013" t="s">
        <v>55</v>
      </c>
      <c r="J1013" t="s">
        <v>56</v>
      </c>
      <c r="K1013" t="s">
        <v>57</v>
      </c>
      <c r="L1013" t="s">
        <v>5183</v>
      </c>
      <c r="M1013" t="s">
        <v>5184</v>
      </c>
      <c r="N1013" t="s">
        <v>5195</v>
      </c>
      <c r="O1013" t="s">
        <v>5196</v>
      </c>
      <c r="P1013">
        <v>0</v>
      </c>
      <c r="Q1013" t="s">
        <v>29</v>
      </c>
      <c r="R1013" t="s">
        <v>30</v>
      </c>
      <c r="S1013" t="s">
        <v>6938</v>
      </c>
    </row>
    <row r="1014" spans="1:19" x14ac:dyDescent="0.25">
      <c r="A1014">
        <v>2004</v>
      </c>
      <c r="B1014">
        <v>2872</v>
      </c>
      <c r="C1014" t="s">
        <v>5201</v>
      </c>
      <c r="D1014" t="s">
        <v>5202</v>
      </c>
      <c r="E1014">
        <v>322112</v>
      </c>
      <c r="F1014" t="s">
        <v>620</v>
      </c>
      <c r="G1014" t="s">
        <v>621</v>
      </c>
      <c r="H1014" t="s">
        <v>69</v>
      </c>
      <c r="I1014" t="s">
        <v>461</v>
      </c>
      <c r="J1014" t="s">
        <v>462</v>
      </c>
      <c r="K1014" t="s">
        <v>463</v>
      </c>
      <c r="L1014" t="s">
        <v>5183</v>
      </c>
      <c r="M1014" t="s">
        <v>5184</v>
      </c>
      <c r="N1014" t="s">
        <v>5169</v>
      </c>
      <c r="O1014" t="s">
        <v>5170</v>
      </c>
      <c r="P1014">
        <v>30.89</v>
      </c>
      <c r="Q1014" t="s">
        <v>40</v>
      </c>
      <c r="R1014" t="s">
        <v>430</v>
      </c>
      <c r="S1014" t="s">
        <v>6938</v>
      </c>
    </row>
    <row r="1015" spans="1:19" x14ac:dyDescent="0.25">
      <c r="A1015">
        <v>2009</v>
      </c>
      <c r="B1015">
        <v>3916</v>
      </c>
      <c r="C1015" t="s">
        <v>2255</v>
      </c>
      <c r="D1015" t="s">
        <v>5203</v>
      </c>
      <c r="E1015">
        <v>331410</v>
      </c>
      <c r="F1015" t="s">
        <v>1453</v>
      </c>
      <c r="G1015" t="s">
        <v>1235</v>
      </c>
      <c r="H1015" t="s">
        <v>79</v>
      </c>
      <c r="I1015" t="s">
        <v>209</v>
      </c>
      <c r="J1015" t="s">
        <v>210</v>
      </c>
      <c r="K1015" t="s">
        <v>211</v>
      </c>
      <c r="L1015" t="s">
        <v>5167</v>
      </c>
      <c r="M1015" t="s">
        <v>5168</v>
      </c>
      <c r="N1015" t="s">
        <v>5169</v>
      </c>
      <c r="O1015" t="s">
        <v>5170</v>
      </c>
      <c r="P1015">
        <v>0.128</v>
      </c>
      <c r="Q1015" t="s">
        <v>29</v>
      </c>
      <c r="R1015" t="s">
        <v>124</v>
      </c>
      <c r="S1015" t="s">
        <v>6938</v>
      </c>
    </row>
    <row r="1016" spans="1:19" x14ac:dyDescent="0.25">
      <c r="A1016">
        <v>1997</v>
      </c>
      <c r="B1016">
        <v>5645</v>
      </c>
      <c r="C1016" t="s">
        <v>5204</v>
      </c>
      <c r="D1016" t="s">
        <v>5205</v>
      </c>
      <c r="E1016">
        <v>562210</v>
      </c>
      <c r="F1016" t="s">
        <v>52</v>
      </c>
      <c r="G1016" t="s">
        <v>53</v>
      </c>
      <c r="H1016" t="s">
        <v>21</v>
      </c>
      <c r="I1016" t="s">
        <v>5206</v>
      </c>
      <c r="J1016" t="s">
        <v>5207</v>
      </c>
      <c r="K1016" t="s">
        <v>5208</v>
      </c>
      <c r="L1016" t="s">
        <v>5167</v>
      </c>
      <c r="M1016" t="s">
        <v>5168</v>
      </c>
      <c r="N1016" t="s">
        <v>5169</v>
      </c>
      <c r="O1016" t="s">
        <v>5170</v>
      </c>
      <c r="P1016">
        <v>56.320999999999998</v>
      </c>
      <c r="Q1016" t="s">
        <v>29</v>
      </c>
      <c r="R1016" t="s">
        <v>30</v>
      </c>
      <c r="S1016" t="s">
        <v>6938</v>
      </c>
    </row>
    <row r="1017" spans="1:19" x14ac:dyDescent="0.25">
      <c r="A1017">
        <v>2022</v>
      </c>
      <c r="B1017">
        <v>5232</v>
      </c>
      <c r="C1017" t="s">
        <v>5209</v>
      </c>
      <c r="D1017" t="s">
        <v>5210</v>
      </c>
      <c r="E1017">
        <v>311616</v>
      </c>
      <c r="F1017" t="s">
        <v>5211</v>
      </c>
      <c r="G1017" t="s">
        <v>5212</v>
      </c>
      <c r="H1017" t="s">
        <v>85</v>
      </c>
      <c r="I1017" t="s">
        <v>97</v>
      </c>
      <c r="J1017" t="s">
        <v>98</v>
      </c>
      <c r="K1017" t="s">
        <v>99</v>
      </c>
      <c r="L1017" t="s">
        <v>5183</v>
      </c>
      <c r="M1017" t="s">
        <v>5184</v>
      </c>
      <c r="N1017" t="s">
        <v>5175</v>
      </c>
      <c r="O1017" t="s">
        <v>5176</v>
      </c>
      <c r="P1017">
        <v>44.511000000000003</v>
      </c>
      <c r="Q1017" t="s">
        <v>29</v>
      </c>
      <c r="R1017" t="s">
        <v>30</v>
      </c>
      <c r="S1017" t="s">
        <v>6938</v>
      </c>
    </row>
    <row r="1018" spans="1:19" x14ac:dyDescent="0.25">
      <c r="A1018">
        <v>1996</v>
      </c>
      <c r="B1018">
        <v>1221</v>
      </c>
      <c r="C1018" t="s">
        <v>5213</v>
      </c>
      <c r="D1018" t="s">
        <v>5214</v>
      </c>
      <c r="E1018">
        <v>322112</v>
      </c>
      <c r="F1018" t="s">
        <v>620</v>
      </c>
      <c r="G1018" t="s">
        <v>621</v>
      </c>
      <c r="H1018" t="s">
        <v>661</v>
      </c>
      <c r="I1018" t="s">
        <v>55</v>
      </c>
      <c r="J1018" t="s">
        <v>56</v>
      </c>
      <c r="K1018" t="s">
        <v>57</v>
      </c>
      <c r="L1018" t="s">
        <v>5167</v>
      </c>
      <c r="M1018" t="s">
        <v>5168</v>
      </c>
      <c r="N1018" t="s">
        <v>5169</v>
      </c>
      <c r="O1018" t="s">
        <v>5170</v>
      </c>
      <c r="P1018">
        <v>5.8000000000000003E-2</v>
      </c>
      <c r="Q1018" t="s">
        <v>29</v>
      </c>
      <c r="R1018" t="s">
        <v>30</v>
      </c>
      <c r="S1018" t="s">
        <v>6938</v>
      </c>
    </row>
    <row r="1019" spans="1:19" x14ac:dyDescent="0.25">
      <c r="A1019">
        <v>2009</v>
      </c>
      <c r="B1019">
        <v>629</v>
      </c>
      <c r="C1019" t="s">
        <v>5215</v>
      </c>
      <c r="D1019" t="s">
        <v>5215</v>
      </c>
      <c r="E1019">
        <v>336410</v>
      </c>
      <c r="F1019" t="s">
        <v>260</v>
      </c>
      <c r="G1019" t="s">
        <v>261</v>
      </c>
      <c r="H1019" t="s">
        <v>54</v>
      </c>
      <c r="I1019" t="s">
        <v>461</v>
      </c>
      <c r="J1019" t="s">
        <v>462</v>
      </c>
      <c r="K1019" t="s">
        <v>463</v>
      </c>
      <c r="L1019" t="s">
        <v>5167</v>
      </c>
      <c r="M1019" t="s">
        <v>5168</v>
      </c>
      <c r="N1019" t="s">
        <v>5169</v>
      </c>
      <c r="O1019" t="s">
        <v>5170</v>
      </c>
      <c r="P1019">
        <v>12.84</v>
      </c>
      <c r="Q1019" t="s">
        <v>40</v>
      </c>
      <c r="R1019" t="s">
        <v>30</v>
      </c>
      <c r="S1019" t="s">
        <v>6938</v>
      </c>
    </row>
    <row r="1020" spans="1:19" x14ac:dyDescent="0.25">
      <c r="A1020">
        <v>2000</v>
      </c>
      <c r="B1020">
        <v>3941</v>
      </c>
      <c r="C1020" t="s">
        <v>5216</v>
      </c>
      <c r="D1020" t="s">
        <v>5217</v>
      </c>
      <c r="E1020">
        <v>211113</v>
      </c>
      <c r="F1020" t="s">
        <v>425</v>
      </c>
      <c r="G1020" t="s">
        <v>426</v>
      </c>
      <c r="H1020" t="s">
        <v>85</v>
      </c>
      <c r="I1020" t="s">
        <v>1549</v>
      </c>
      <c r="J1020" t="s">
        <v>1550</v>
      </c>
      <c r="K1020" t="s">
        <v>1551</v>
      </c>
      <c r="L1020" t="s">
        <v>5167</v>
      </c>
      <c r="M1020" t="s">
        <v>5168</v>
      </c>
      <c r="N1020" t="s">
        <v>5195</v>
      </c>
      <c r="O1020" t="s">
        <v>5196</v>
      </c>
      <c r="P1020">
        <v>8.0000000000000002E-3</v>
      </c>
      <c r="Q1020" t="s">
        <v>29</v>
      </c>
      <c r="R1020" t="s">
        <v>30</v>
      </c>
      <c r="S1020" t="s">
        <v>6938</v>
      </c>
    </row>
    <row r="1021" spans="1:19" x14ac:dyDescent="0.25">
      <c r="A1021">
        <v>2010</v>
      </c>
      <c r="B1021">
        <v>2181</v>
      </c>
      <c r="C1021" t="s">
        <v>658</v>
      </c>
      <c r="D1021" t="s">
        <v>659</v>
      </c>
      <c r="E1021">
        <v>322112</v>
      </c>
      <c r="F1021" t="s">
        <v>620</v>
      </c>
      <c r="G1021" t="s">
        <v>621</v>
      </c>
      <c r="H1021" t="s">
        <v>661</v>
      </c>
      <c r="I1021" t="s">
        <v>847</v>
      </c>
      <c r="J1021" t="s">
        <v>848</v>
      </c>
      <c r="K1021" t="s">
        <v>849</v>
      </c>
      <c r="L1021" t="s">
        <v>5183</v>
      </c>
      <c r="M1021" t="s">
        <v>5184</v>
      </c>
      <c r="N1021" t="s">
        <v>5169</v>
      </c>
      <c r="O1021" t="s">
        <v>5170</v>
      </c>
      <c r="P1021">
        <v>3.4599999999999999E-2</v>
      </c>
      <c r="Q1021" t="s">
        <v>40</v>
      </c>
      <c r="R1021" t="s">
        <v>430</v>
      </c>
      <c r="S1021" t="s">
        <v>6938</v>
      </c>
    </row>
    <row r="1022" spans="1:19" x14ac:dyDescent="0.25">
      <c r="A1022">
        <v>2020</v>
      </c>
      <c r="B1022">
        <v>10228</v>
      </c>
      <c r="C1022" t="s">
        <v>125</v>
      </c>
      <c r="D1022" t="s">
        <v>1222</v>
      </c>
      <c r="E1022">
        <v>412110</v>
      </c>
      <c r="F1022" t="s">
        <v>127</v>
      </c>
      <c r="G1022" t="s">
        <v>128</v>
      </c>
      <c r="H1022" t="s">
        <v>243</v>
      </c>
      <c r="I1022" t="s">
        <v>427</v>
      </c>
      <c r="J1022" t="s">
        <v>428</v>
      </c>
      <c r="K1022" t="s">
        <v>429</v>
      </c>
      <c r="L1022" t="s">
        <v>5167</v>
      </c>
      <c r="M1022" t="s">
        <v>5168</v>
      </c>
      <c r="N1022" t="s">
        <v>5169</v>
      </c>
      <c r="O1022" t="s">
        <v>5170</v>
      </c>
      <c r="P1022">
        <v>2.0200000000000001E-3</v>
      </c>
      <c r="Q1022" t="s">
        <v>29</v>
      </c>
      <c r="R1022" t="s">
        <v>30</v>
      </c>
      <c r="S1022" t="s">
        <v>6938</v>
      </c>
    </row>
    <row r="1023" spans="1:19" x14ac:dyDescent="0.25">
      <c r="A1023">
        <v>2003</v>
      </c>
      <c r="B1023">
        <v>5008</v>
      </c>
      <c r="C1023" t="s">
        <v>5218</v>
      </c>
      <c r="E1023">
        <v>322112</v>
      </c>
      <c r="F1023" t="s">
        <v>620</v>
      </c>
      <c r="G1023" t="s">
        <v>621</v>
      </c>
      <c r="H1023" t="s">
        <v>661</v>
      </c>
      <c r="I1023" t="s">
        <v>730</v>
      </c>
      <c r="J1023" t="s">
        <v>731</v>
      </c>
      <c r="K1023" t="s">
        <v>732</v>
      </c>
      <c r="L1023" t="s">
        <v>5183</v>
      </c>
      <c r="M1023" t="s">
        <v>5184</v>
      </c>
      <c r="N1023" t="s">
        <v>5169</v>
      </c>
      <c r="O1023" t="s">
        <v>5170</v>
      </c>
      <c r="P1023">
        <v>0</v>
      </c>
      <c r="Q1023" t="s">
        <v>29</v>
      </c>
      <c r="R1023" t="s">
        <v>430</v>
      </c>
      <c r="S1023" t="s">
        <v>6938</v>
      </c>
    </row>
    <row r="1024" spans="1:19" x14ac:dyDescent="0.25">
      <c r="A1024">
        <v>2008</v>
      </c>
      <c r="B1024">
        <v>17137</v>
      </c>
      <c r="C1024" t="s">
        <v>5219</v>
      </c>
      <c r="D1024" t="s">
        <v>5220</v>
      </c>
      <c r="E1024">
        <v>311611</v>
      </c>
      <c r="F1024" t="s">
        <v>5221</v>
      </c>
      <c r="G1024" t="s">
        <v>5222</v>
      </c>
      <c r="H1024" t="s">
        <v>243</v>
      </c>
      <c r="I1024" t="s">
        <v>504</v>
      </c>
      <c r="J1024" t="s">
        <v>505</v>
      </c>
      <c r="K1024" t="s">
        <v>506</v>
      </c>
      <c r="L1024" t="s">
        <v>5167</v>
      </c>
      <c r="M1024" t="s">
        <v>5168</v>
      </c>
      <c r="N1024" t="s">
        <v>5223</v>
      </c>
      <c r="O1024" t="s">
        <v>5224</v>
      </c>
      <c r="P1024">
        <v>1.2370000000000001</v>
      </c>
      <c r="Q1024" t="s">
        <v>29</v>
      </c>
      <c r="R1024" t="s">
        <v>50</v>
      </c>
      <c r="S1024" t="s">
        <v>6938</v>
      </c>
    </row>
    <row r="1025" spans="1:19" x14ac:dyDescent="0.25">
      <c r="A1025">
        <v>2021</v>
      </c>
      <c r="B1025">
        <v>23275</v>
      </c>
      <c r="C1025" t="s">
        <v>1027</v>
      </c>
      <c r="D1025" t="s">
        <v>1522</v>
      </c>
      <c r="E1025">
        <v>211142</v>
      </c>
      <c r="F1025" t="s">
        <v>357</v>
      </c>
      <c r="G1025" t="s">
        <v>358</v>
      </c>
      <c r="H1025" t="s">
        <v>85</v>
      </c>
      <c r="I1025" t="s">
        <v>209</v>
      </c>
      <c r="J1025" t="s">
        <v>210</v>
      </c>
      <c r="K1025" t="s">
        <v>211</v>
      </c>
      <c r="L1025" t="s">
        <v>5183</v>
      </c>
      <c r="M1025" t="s">
        <v>5184</v>
      </c>
      <c r="N1025" t="s">
        <v>5185</v>
      </c>
      <c r="O1025" t="s">
        <v>5186</v>
      </c>
      <c r="P1025">
        <v>403.005</v>
      </c>
      <c r="Q1025" t="s">
        <v>29</v>
      </c>
      <c r="R1025" t="s">
        <v>124</v>
      </c>
      <c r="S1025" t="s">
        <v>6938</v>
      </c>
    </row>
    <row r="1026" spans="1:19" x14ac:dyDescent="0.25">
      <c r="A1026">
        <v>2020</v>
      </c>
      <c r="B1026">
        <v>8783</v>
      </c>
      <c r="C1026" t="s">
        <v>5225</v>
      </c>
      <c r="D1026" t="s">
        <v>1599</v>
      </c>
      <c r="E1026">
        <v>212210</v>
      </c>
      <c r="F1026" t="s">
        <v>888</v>
      </c>
      <c r="G1026" t="s">
        <v>889</v>
      </c>
      <c r="H1026" t="s">
        <v>79</v>
      </c>
      <c r="I1026" t="s">
        <v>184</v>
      </c>
      <c r="J1026" t="s">
        <v>185</v>
      </c>
      <c r="K1026" t="s">
        <v>186</v>
      </c>
      <c r="L1026" t="s">
        <v>5183</v>
      </c>
      <c r="M1026" t="s">
        <v>5184</v>
      </c>
      <c r="N1026" t="s">
        <v>5185</v>
      </c>
      <c r="O1026" t="s">
        <v>5186</v>
      </c>
      <c r="P1026">
        <v>33933.75</v>
      </c>
      <c r="Q1026" t="s">
        <v>40</v>
      </c>
      <c r="R1026" t="s">
        <v>50</v>
      </c>
      <c r="S1026" t="s">
        <v>6938</v>
      </c>
    </row>
    <row r="1027" spans="1:19" x14ac:dyDescent="0.25">
      <c r="A1027">
        <v>2023</v>
      </c>
      <c r="B1027">
        <v>5460</v>
      </c>
      <c r="C1027" t="s">
        <v>5226</v>
      </c>
      <c r="D1027" t="s">
        <v>5227</v>
      </c>
      <c r="E1027">
        <v>212210</v>
      </c>
      <c r="F1027" t="s">
        <v>888</v>
      </c>
      <c r="G1027" t="s">
        <v>889</v>
      </c>
      <c r="H1027" t="s">
        <v>1625</v>
      </c>
      <c r="I1027" t="s">
        <v>402</v>
      </c>
      <c r="J1027" t="s">
        <v>403</v>
      </c>
      <c r="K1027" t="s">
        <v>404</v>
      </c>
      <c r="L1027" t="s">
        <v>5183</v>
      </c>
      <c r="M1027" t="s">
        <v>5184</v>
      </c>
      <c r="N1027" t="s">
        <v>5185</v>
      </c>
      <c r="O1027" t="s">
        <v>5186</v>
      </c>
      <c r="P1027">
        <v>50.704999999999998</v>
      </c>
      <c r="Q1027" t="s">
        <v>29</v>
      </c>
      <c r="R1027" t="s">
        <v>124</v>
      </c>
      <c r="S1027" t="s">
        <v>6938</v>
      </c>
    </row>
    <row r="1028" spans="1:19" x14ac:dyDescent="0.25">
      <c r="A1028">
        <v>2016</v>
      </c>
      <c r="B1028">
        <v>5472</v>
      </c>
      <c r="C1028" t="s">
        <v>5228</v>
      </c>
      <c r="D1028" t="s">
        <v>5229</v>
      </c>
      <c r="E1028">
        <v>322130</v>
      </c>
      <c r="F1028" t="s">
        <v>5230</v>
      </c>
      <c r="G1028" t="s">
        <v>1646</v>
      </c>
      <c r="H1028" t="s">
        <v>79</v>
      </c>
      <c r="I1028" t="s">
        <v>331</v>
      </c>
      <c r="J1028" t="s">
        <v>332</v>
      </c>
      <c r="K1028" t="s">
        <v>333</v>
      </c>
      <c r="L1028" t="s">
        <v>5167</v>
      </c>
      <c r="M1028" t="s">
        <v>5168</v>
      </c>
      <c r="N1028" t="s">
        <v>5169</v>
      </c>
      <c r="O1028" t="s">
        <v>5170</v>
      </c>
      <c r="P1028">
        <v>0</v>
      </c>
      <c r="Q1028" t="s">
        <v>29</v>
      </c>
      <c r="R1028" t="s">
        <v>30</v>
      </c>
      <c r="S1028" t="s">
        <v>6938</v>
      </c>
    </row>
    <row r="1029" spans="1:19" x14ac:dyDescent="0.25">
      <c r="A1029">
        <v>2018</v>
      </c>
      <c r="B1029">
        <v>29384</v>
      </c>
      <c r="C1029" t="s">
        <v>327</v>
      </c>
      <c r="D1029" t="s">
        <v>2184</v>
      </c>
      <c r="E1029">
        <v>562110</v>
      </c>
      <c r="F1029" t="s">
        <v>644</v>
      </c>
      <c r="G1029" t="s">
        <v>645</v>
      </c>
      <c r="H1029" t="s">
        <v>85</v>
      </c>
      <c r="I1029" t="s">
        <v>70</v>
      </c>
      <c r="J1029" t="s">
        <v>71</v>
      </c>
      <c r="K1029" t="s">
        <v>72</v>
      </c>
      <c r="L1029" t="s">
        <v>5167</v>
      </c>
      <c r="M1029" t="s">
        <v>5168</v>
      </c>
      <c r="N1029" t="s">
        <v>5195</v>
      </c>
      <c r="O1029" t="s">
        <v>5196</v>
      </c>
      <c r="P1029">
        <v>3.3999999999999998E-3</v>
      </c>
      <c r="Q1029" t="s">
        <v>29</v>
      </c>
      <c r="R1029" t="s">
        <v>50</v>
      </c>
      <c r="S1029" t="s">
        <v>6938</v>
      </c>
    </row>
    <row r="1030" spans="1:19" x14ac:dyDescent="0.25">
      <c r="A1030">
        <v>2012</v>
      </c>
      <c r="B1030">
        <v>2991</v>
      </c>
      <c r="C1030" t="s">
        <v>5231</v>
      </c>
      <c r="D1030" t="s">
        <v>5232</v>
      </c>
      <c r="E1030">
        <v>322112</v>
      </c>
      <c r="F1030" t="s">
        <v>660</v>
      </c>
      <c r="G1030" t="s">
        <v>621</v>
      </c>
      <c r="H1030" t="s">
        <v>85</v>
      </c>
      <c r="I1030" t="s">
        <v>1050</v>
      </c>
      <c r="J1030" t="s">
        <v>1051</v>
      </c>
      <c r="K1030" t="s">
        <v>1052</v>
      </c>
      <c r="L1030" t="s">
        <v>5183</v>
      </c>
      <c r="M1030" t="s">
        <v>5184</v>
      </c>
      <c r="N1030" t="s">
        <v>5169</v>
      </c>
      <c r="O1030" t="s">
        <v>5170</v>
      </c>
      <c r="P1030">
        <v>0.70199999999999996</v>
      </c>
      <c r="Q1030" t="s">
        <v>40</v>
      </c>
      <c r="R1030" t="s">
        <v>430</v>
      </c>
      <c r="S1030" t="s">
        <v>6938</v>
      </c>
    </row>
    <row r="1031" spans="1:19" x14ac:dyDescent="0.25">
      <c r="A1031">
        <v>2011</v>
      </c>
      <c r="B1031">
        <v>2372</v>
      </c>
      <c r="C1031" t="s">
        <v>1437</v>
      </c>
      <c r="D1031" t="s">
        <v>5233</v>
      </c>
      <c r="E1031">
        <v>212233</v>
      </c>
      <c r="F1031" t="s">
        <v>440</v>
      </c>
      <c r="G1031" t="s">
        <v>441</v>
      </c>
      <c r="H1031" t="s">
        <v>69</v>
      </c>
      <c r="I1031" t="s">
        <v>152</v>
      </c>
      <c r="J1031" t="s">
        <v>153</v>
      </c>
      <c r="K1031" t="s">
        <v>154</v>
      </c>
      <c r="L1031" t="s">
        <v>5183</v>
      </c>
      <c r="M1031" t="s">
        <v>5184</v>
      </c>
      <c r="N1031" t="s">
        <v>5185</v>
      </c>
      <c r="O1031" t="s">
        <v>5186</v>
      </c>
      <c r="P1031">
        <v>767.63599999999997</v>
      </c>
      <c r="Q1031" t="s">
        <v>29</v>
      </c>
      <c r="R1031" t="s">
        <v>124</v>
      </c>
      <c r="S1031" t="s">
        <v>6938</v>
      </c>
    </row>
    <row r="1032" spans="1:19" x14ac:dyDescent="0.25">
      <c r="A1032">
        <v>2014</v>
      </c>
      <c r="B1032">
        <v>99</v>
      </c>
      <c r="C1032" t="s">
        <v>5234</v>
      </c>
      <c r="D1032" t="s">
        <v>5235</v>
      </c>
      <c r="E1032">
        <v>212220</v>
      </c>
      <c r="F1032" t="s">
        <v>1619</v>
      </c>
      <c r="G1032" t="s">
        <v>1620</v>
      </c>
      <c r="H1032" t="s">
        <v>79</v>
      </c>
      <c r="I1032" t="s">
        <v>35</v>
      </c>
      <c r="J1032" t="s">
        <v>36</v>
      </c>
      <c r="K1032" t="s">
        <v>37</v>
      </c>
      <c r="L1032" t="s">
        <v>5183</v>
      </c>
      <c r="M1032" t="s">
        <v>5184</v>
      </c>
      <c r="N1032" t="s">
        <v>5185</v>
      </c>
      <c r="O1032" t="s">
        <v>5186</v>
      </c>
      <c r="P1032">
        <v>474769.33</v>
      </c>
      <c r="Q1032" t="s">
        <v>40</v>
      </c>
      <c r="R1032" t="s">
        <v>50</v>
      </c>
      <c r="S1032" t="s">
        <v>6938</v>
      </c>
    </row>
    <row r="1033" spans="1:19" x14ac:dyDescent="0.25">
      <c r="A1033">
        <v>2004</v>
      </c>
      <c r="B1033">
        <v>11219</v>
      </c>
      <c r="C1033" t="s">
        <v>5236</v>
      </c>
      <c r="D1033" t="s">
        <v>5237</v>
      </c>
      <c r="E1033">
        <v>332810</v>
      </c>
      <c r="F1033" t="s">
        <v>237</v>
      </c>
      <c r="G1033" t="s">
        <v>238</v>
      </c>
      <c r="H1033" t="s">
        <v>21</v>
      </c>
      <c r="I1033" t="s">
        <v>152</v>
      </c>
      <c r="J1033" t="s">
        <v>153</v>
      </c>
      <c r="K1033" t="s">
        <v>154</v>
      </c>
      <c r="L1033" t="s">
        <v>5167</v>
      </c>
      <c r="M1033" t="s">
        <v>5168</v>
      </c>
      <c r="N1033" t="s">
        <v>5169</v>
      </c>
      <c r="O1033" t="s">
        <v>5170</v>
      </c>
      <c r="P1033">
        <v>0.88600000000000001</v>
      </c>
      <c r="Q1033" t="s">
        <v>29</v>
      </c>
      <c r="R1033" t="s">
        <v>50</v>
      </c>
      <c r="S1033" t="s">
        <v>6938</v>
      </c>
    </row>
    <row r="1034" spans="1:19" x14ac:dyDescent="0.25">
      <c r="A1034">
        <v>2003</v>
      </c>
      <c r="B1034">
        <v>3475</v>
      </c>
      <c r="C1034" t="s">
        <v>5238</v>
      </c>
      <c r="E1034">
        <v>326114</v>
      </c>
      <c r="F1034" t="s">
        <v>5239</v>
      </c>
      <c r="G1034" t="s">
        <v>982</v>
      </c>
      <c r="H1034" t="s">
        <v>21</v>
      </c>
      <c r="I1034" t="s">
        <v>152</v>
      </c>
      <c r="J1034" t="s">
        <v>153</v>
      </c>
      <c r="K1034" t="s">
        <v>154</v>
      </c>
      <c r="L1034" t="s">
        <v>5167</v>
      </c>
      <c r="M1034" t="s">
        <v>5168</v>
      </c>
      <c r="N1034" t="s">
        <v>5169</v>
      </c>
      <c r="O1034" t="s">
        <v>5170</v>
      </c>
      <c r="P1034">
        <v>1.34</v>
      </c>
      <c r="Q1034" t="s">
        <v>29</v>
      </c>
      <c r="R1034" t="s">
        <v>30</v>
      </c>
      <c r="S1034" t="s">
        <v>6938</v>
      </c>
    </row>
    <row r="1035" spans="1:19" x14ac:dyDescent="0.25">
      <c r="A1035">
        <v>1997</v>
      </c>
      <c r="B1035">
        <v>2852</v>
      </c>
      <c r="C1035" t="s">
        <v>5240</v>
      </c>
      <c r="D1035" t="s">
        <v>5241</v>
      </c>
      <c r="E1035">
        <v>339990</v>
      </c>
      <c r="F1035" t="s">
        <v>871</v>
      </c>
      <c r="G1035" t="s">
        <v>872</v>
      </c>
      <c r="H1035" t="s">
        <v>79</v>
      </c>
      <c r="I1035" t="s">
        <v>177</v>
      </c>
      <c r="J1035" t="s">
        <v>178</v>
      </c>
      <c r="K1035" t="s">
        <v>179</v>
      </c>
      <c r="L1035" t="s">
        <v>5183</v>
      </c>
      <c r="M1035" t="s">
        <v>5184</v>
      </c>
      <c r="N1035" t="s">
        <v>5169</v>
      </c>
      <c r="O1035" t="s">
        <v>5170</v>
      </c>
      <c r="P1035">
        <v>0.4</v>
      </c>
      <c r="Q1035" t="s">
        <v>29</v>
      </c>
      <c r="R1035" t="s">
        <v>50</v>
      </c>
      <c r="S1035" t="s">
        <v>6938</v>
      </c>
    </row>
    <row r="1036" spans="1:19" x14ac:dyDescent="0.25">
      <c r="A1036">
        <v>2007</v>
      </c>
      <c r="B1036">
        <v>5430</v>
      </c>
      <c r="C1036" t="s">
        <v>5242</v>
      </c>
      <c r="D1036" t="s">
        <v>5243</v>
      </c>
      <c r="E1036">
        <v>325999</v>
      </c>
      <c r="F1036" t="s">
        <v>396</v>
      </c>
      <c r="G1036" t="s">
        <v>397</v>
      </c>
      <c r="H1036" t="s">
        <v>79</v>
      </c>
      <c r="I1036" t="s">
        <v>648</v>
      </c>
      <c r="J1036" t="s">
        <v>649</v>
      </c>
      <c r="K1036" t="s">
        <v>650</v>
      </c>
      <c r="L1036" t="s">
        <v>5167</v>
      </c>
      <c r="M1036" t="s">
        <v>5168</v>
      </c>
      <c r="N1036" t="s">
        <v>5169</v>
      </c>
      <c r="O1036" t="s">
        <v>5170</v>
      </c>
      <c r="P1036">
        <v>0.17</v>
      </c>
      <c r="Q1036" t="s">
        <v>29</v>
      </c>
      <c r="R1036" t="s">
        <v>50</v>
      </c>
      <c r="S1036" t="s">
        <v>6938</v>
      </c>
    </row>
    <row r="1037" spans="1:19" x14ac:dyDescent="0.25">
      <c r="A1037">
        <v>2021</v>
      </c>
      <c r="B1037">
        <v>3707</v>
      </c>
      <c r="C1037" t="s">
        <v>194</v>
      </c>
      <c r="D1037" t="s">
        <v>651</v>
      </c>
      <c r="E1037">
        <v>324110</v>
      </c>
      <c r="F1037" t="s">
        <v>196</v>
      </c>
      <c r="G1037" t="s">
        <v>96</v>
      </c>
      <c r="H1037" t="s">
        <v>85</v>
      </c>
      <c r="I1037" t="s">
        <v>129</v>
      </c>
      <c r="J1037" t="s">
        <v>130</v>
      </c>
      <c r="K1037" t="s">
        <v>131</v>
      </c>
      <c r="L1037" t="s">
        <v>5167</v>
      </c>
      <c r="M1037" t="s">
        <v>5168</v>
      </c>
      <c r="N1037" t="s">
        <v>5195</v>
      </c>
      <c r="O1037" t="s">
        <v>5196</v>
      </c>
      <c r="P1037">
        <v>5.0000000000000001E-3</v>
      </c>
      <c r="Q1037" t="s">
        <v>29</v>
      </c>
      <c r="R1037" t="s">
        <v>30</v>
      </c>
      <c r="S1037" t="s">
        <v>6938</v>
      </c>
    </row>
    <row r="1038" spans="1:19" x14ac:dyDescent="0.25">
      <c r="A1038">
        <v>2010</v>
      </c>
      <c r="B1038">
        <v>4316</v>
      </c>
      <c r="C1038" t="s">
        <v>5244</v>
      </c>
      <c r="D1038" t="s">
        <v>5245</v>
      </c>
      <c r="E1038">
        <v>324110</v>
      </c>
      <c r="F1038" t="s">
        <v>95</v>
      </c>
      <c r="G1038" t="s">
        <v>96</v>
      </c>
      <c r="H1038" t="s">
        <v>1625</v>
      </c>
      <c r="I1038" t="s">
        <v>197</v>
      </c>
      <c r="J1038" t="s">
        <v>198</v>
      </c>
      <c r="K1038" t="s">
        <v>199</v>
      </c>
      <c r="L1038" t="s">
        <v>5167</v>
      </c>
      <c r="M1038" t="s">
        <v>5168</v>
      </c>
      <c r="N1038" t="s">
        <v>5169</v>
      </c>
      <c r="O1038" t="s">
        <v>5170</v>
      </c>
      <c r="P1038">
        <v>0.223</v>
      </c>
      <c r="Q1038" t="s">
        <v>40</v>
      </c>
      <c r="R1038" t="s">
        <v>50</v>
      </c>
      <c r="S1038" t="s">
        <v>6938</v>
      </c>
    </row>
    <row r="1039" spans="1:19" x14ac:dyDescent="0.25">
      <c r="A1039">
        <v>2014</v>
      </c>
      <c r="B1039">
        <v>10219</v>
      </c>
      <c r="C1039" t="s">
        <v>125</v>
      </c>
      <c r="D1039" t="s">
        <v>746</v>
      </c>
      <c r="E1039">
        <v>412110</v>
      </c>
      <c r="F1039" t="s">
        <v>127</v>
      </c>
      <c r="G1039" t="s">
        <v>128</v>
      </c>
      <c r="H1039" t="s">
        <v>21</v>
      </c>
      <c r="I1039" t="s">
        <v>446</v>
      </c>
      <c r="J1039" t="s">
        <v>447</v>
      </c>
      <c r="K1039" t="s">
        <v>448</v>
      </c>
      <c r="L1039" t="s">
        <v>5167</v>
      </c>
      <c r="M1039" t="s">
        <v>5168</v>
      </c>
      <c r="N1039" t="s">
        <v>5223</v>
      </c>
      <c r="O1039" t="s">
        <v>5224</v>
      </c>
      <c r="P1039">
        <v>0</v>
      </c>
      <c r="Q1039" t="s">
        <v>40</v>
      </c>
      <c r="R1039" t="s">
        <v>30</v>
      </c>
      <c r="S1039" t="s">
        <v>6938</v>
      </c>
    </row>
    <row r="1040" spans="1:19" x14ac:dyDescent="0.25">
      <c r="A1040">
        <v>2004</v>
      </c>
      <c r="B1040">
        <v>333</v>
      </c>
      <c r="C1040" t="s">
        <v>5246</v>
      </c>
      <c r="D1040" t="s">
        <v>5247</v>
      </c>
      <c r="E1040">
        <v>322122</v>
      </c>
      <c r="F1040" t="s">
        <v>1556</v>
      </c>
      <c r="G1040" t="s">
        <v>1062</v>
      </c>
      <c r="H1040" t="s">
        <v>69</v>
      </c>
      <c r="I1040" t="s">
        <v>628</v>
      </c>
      <c r="J1040" t="s">
        <v>629</v>
      </c>
      <c r="K1040" t="s">
        <v>630</v>
      </c>
      <c r="L1040" t="s">
        <v>5167</v>
      </c>
      <c r="M1040" t="s">
        <v>5168</v>
      </c>
      <c r="N1040" t="s">
        <v>5169</v>
      </c>
      <c r="O1040" t="s">
        <v>5170</v>
      </c>
      <c r="P1040">
        <v>3.456</v>
      </c>
      <c r="Q1040" t="s">
        <v>631</v>
      </c>
      <c r="R1040" t="s">
        <v>157</v>
      </c>
      <c r="S1040" t="s">
        <v>6938</v>
      </c>
    </row>
    <row r="1041" spans="1:19" x14ac:dyDescent="0.25">
      <c r="A1041">
        <v>2009</v>
      </c>
      <c r="B1041">
        <v>1809</v>
      </c>
      <c r="C1041" t="s">
        <v>909</v>
      </c>
      <c r="D1041" t="s">
        <v>5248</v>
      </c>
      <c r="E1041">
        <v>221112</v>
      </c>
      <c r="F1041" t="s">
        <v>134</v>
      </c>
      <c r="G1041" t="s">
        <v>135</v>
      </c>
      <c r="H1041" t="s">
        <v>21</v>
      </c>
      <c r="I1041" t="s">
        <v>97</v>
      </c>
      <c r="J1041" t="s">
        <v>98</v>
      </c>
      <c r="K1041" t="s">
        <v>99</v>
      </c>
      <c r="L1041" t="s">
        <v>5183</v>
      </c>
      <c r="M1041" t="s">
        <v>5184</v>
      </c>
      <c r="N1041" t="s">
        <v>5169</v>
      </c>
      <c r="O1041" t="s">
        <v>5170</v>
      </c>
      <c r="P1041">
        <v>83</v>
      </c>
      <c r="Q1041" t="s">
        <v>29</v>
      </c>
      <c r="R1041" t="s">
        <v>50</v>
      </c>
      <c r="S1041" t="s">
        <v>6938</v>
      </c>
    </row>
    <row r="1042" spans="1:19" x14ac:dyDescent="0.25">
      <c r="A1042">
        <v>2005</v>
      </c>
      <c r="B1042">
        <v>2915</v>
      </c>
      <c r="C1042" t="s">
        <v>5249</v>
      </c>
      <c r="D1042" t="s">
        <v>5250</v>
      </c>
      <c r="E1042">
        <v>335990</v>
      </c>
      <c r="F1042" t="s">
        <v>5251</v>
      </c>
      <c r="G1042" t="s">
        <v>5252</v>
      </c>
      <c r="H1042" t="s">
        <v>21</v>
      </c>
      <c r="I1042" t="s">
        <v>35</v>
      </c>
      <c r="J1042" t="s">
        <v>36</v>
      </c>
      <c r="K1042" t="s">
        <v>37</v>
      </c>
      <c r="L1042" t="s">
        <v>5167</v>
      </c>
      <c r="M1042" t="s">
        <v>5168</v>
      </c>
      <c r="N1042" t="s">
        <v>5169</v>
      </c>
      <c r="O1042" t="s">
        <v>5170</v>
      </c>
      <c r="P1042">
        <v>1E-3</v>
      </c>
      <c r="Q1042" t="s">
        <v>40</v>
      </c>
      <c r="R1042" t="s">
        <v>30</v>
      </c>
      <c r="S1042" t="s">
        <v>6938</v>
      </c>
    </row>
    <row r="1043" spans="1:19" x14ac:dyDescent="0.25">
      <c r="A1043">
        <v>2011</v>
      </c>
      <c r="B1043">
        <v>1236</v>
      </c>
      <c r="C1043" t="s">
        <v>5253</v>
      </c>
      <c r="D1043" t="s">
        <v>5254</v>
      </c>
      <c r="E1043">
        <v>331410</v>
      </c>
      <c r="F1043" t="s">
        <v>1453</v>
      </c>
      <c r="G1043" t="s">
        <v>1235</v>
      </c>
      <c r="H1043" t="s">
        <v>21</v>
      </c>
      <c r="I1043" t="s">
        <v>136</v>
      </c>
      <c r="J1043" t="s">
        <v>137</v>
      </c>
      <c r="K1043" t="s">
        <v>138</v>
      </c>
      <c r="L1043" t="s">
        <v>5183</v>
      </c>
      <c r="M1043" t="s">
        <v>5184</v>
      </c>
      <c r="N1043" t="s">
        <v>5169</v>
      </c>
      <c r="O1043" t="s">
        <v>5170</v>
      </c>
      <c r="P1043">
        <v>5.0000000000000001E-4</v>
      </c>
      <c r="Q1043" t="s">
        <v>29</v>
      </c>
      <c r="R1043" t="s">
        <v>157</v>
      </c>
      <c r="S1043" t="s">
        <v>6938</v>
      </c>
    </row>
    <row r="1044" spans="1:19" x14ac:dyDescent="0.25">
      <c r="A1044">
        <v>2006</v>
      </c>
      <c r="B1044">
        <v>7709</v>
      </c>
      <c r="C1044" t="s">
        <v>5255</v>
      </c>
      <c r="D1044" t="s">
        <v>5256</v>
      </c>
      <c r="E1044">
        <v>321111</v>
      </c>
      <c r="F1044" t="s">
        <v>1474</v>
      </c>
      <c r="G1044" t="s">
        <v>1368</v>
      </c>
      <c r="H1044" t="s">
        <v>69</v>
      </c>
      <c r="I1044" t="s">
        <v>628</v>
      </c>
      <c r="J1044" t="s">
        <v>629</v>
      </c>
      <c r="K1044" t="s">
        <v>630</v>
      </c>
      <c r="L1044" t="s">
        <v>5167</v>
      </c>
      <c r="M1044" t="s">
        <v>5168</v>
      </c>
      <c r="N1044" t="s">
        <v>5169</v>
      </c>
      <c r="O1044" t="s">
        <v>5170</v>
      </c>
      <c r="P1044">
        <v>0</v>
      </c>
      <c r="Q1044" t="s">
        <v>631</v>
      </c>
      <c r="R1044" t="s">
        <v>430</v>
      </c>
      <c r="S1044" t="s">
        <v>6938</v>
      </c>
    </row>
    <row r="1045" spans="1:19" x14ac:dyDescent="0.25">
      <c r="A1045">
        <v>2003</v>
      </c>
      <c r="B1045">
        <v>1861</v>
      </c>
      <c r="C1045" t="s">
        <v>909</v>
      </c>
      <c r="D1045" t="s">
        <v>825</v>
      </c>
      <c r="E1045">
        <v>221112</v>
      </c>
      <c r="F1045" t="s">
        <v>134</v>
      </c>
      <c r="G1045" t="s">
        <v>135</v>
      </c>
      <c r="H1045" t="s">
        <v>21</v>
      </c>
      <c r="I1045" t="s">
        <v>324</v>
      </c>
      <c r="J1045" t="s">
        <v>325</v>
      </c>
      <c r="K1045" t="s">
        <v>326</v>
      </c>
      <c r="L1045" t="s">
        <v>5183</v>
      </c>
      <c r="M1045" t="s">
        <v>5184</v>
      </c>
      <c r="N1045" t="s">
        <v>5169</v>
      </c>
      <c r="O1045" t="s">
        <v>5170</v>
      </c>
      <c r="P1045">
        <v>231</v>
      </c>
      <c r="Q1045" t="s">
        <v>40</v>
      </c>
      <c r="R1045" t="s">
        <v>50</v>
      </c>
      <c r="S1045" t="s">
        <v>6938</v>
      </c>
    </row>
    <row r="1046" spans="1:19" x14ac:dyDescent="0.25">
      <c r="A1046">
        <v>2019</v>
      </c>
      <c r="B1046">
        <v>27957</v>
      </c>
      <c r="C1046" t="s">
        <v>5257</v>
      </c>
      <c r="D1046" t="s">
        <v>5257</v>
      </c>
      <c r="E1046">
        <v>325999</v>
      </c>
      <c r="F1046" t="s">
        <v>548</v>
      </c>
      <c r="G1046" t="s">
        <v>397</v>
      </c>
      <c r="H1046" t="s">
        <v>21</v>
      </c>
      <c r="I1046" t="s">
        <v>97</v>
      </c>
      <c r="J1046" t="s">
        <v>98</v>
      </c>
      <c r="K1046" t="s">
        <v>99</v>
      </c>
      <c r="L1046" t="s">
        <v>5167</v>
      </c>
      <c r="M1046" t="s">
        <v>5168</v>
      </c>
      <c r="N1046" t="s">
        <v>5175</v>
      </c>
      <c r="O1046" t="s">
        <v>5176</v>
      </c>
      <c r="P1046">
        <v>14.087</v>
      </c>
      <c r="Q1046" t="s">
        <v>29</v>
      </c>
      <c r="R1046" t="s">
        <v>50</v>
      </c>
      <c r="S1046" t="s">
        <v>6938</v>
      </c>
    </row>
    <row r="1047" spans="1:19" x14ac:dyDescent="0.25">
      <c r="A1047">
        <v>2019</v>
      </c>
      <c r="B1047">
        <v>1585</v>
      </c>
      <c r="C1047" t="s">
        <v>5258</v>
      </c>
      <c r="D1047" t="s">
        <v>5259</v>
      </c>
      <c r="E1047">
        <v>212114</v>
      </c>
      <c r="F1047" t="s">
        <v>2059</v>
      </c>
      <c r="G1047" t="s">
        <v>2060</v>
      </c>
      <c r="H1047" t="s">
        <v>85</v>
      </c>
      <c r="I1047" t="s">
        <v>106</v>
      </c>
      <c r="J1047" t="s">
        <v>107</v>
      </c>
      <c r="K1047" t="s">
        <v>108</v>
      </c>
      <c r="L1047" t="s">
        <v>5183</v>
      </c>
      <c r="M1047" t="s">
        <v>5184</v>
      </c>
      <c r="N1047" t="s">
        <v>5260</v>
      </c>
      <c r="O1047" t="s">
        <v>5261</v>
      </c>
      <c r="P1047">
        <v>80</v>
      </c>
      <c r="Q1047" t="s">
        <v>40</v>
      </c>
      <c r="R1047" t="s">
        <v>157</v>
      </c>
      <c r="S1047" t="s">
        <v>6938</v>
      </c>
    </row>
    <row r="1048" spans="1:19" x14ac:dyDescent="0.25">
      <c r="A1048">
        <v>2022</v>
      </c>
      <c r="B1048">
        <v>3242</v>
      </c>
      <c r="C1048" t="s">
        <v>5262</v>
      </c>
      <c r="D1048" t="s">
        <v>5263</v>
      </c>
      <c r="E1048">
        <v>322112</v>
      </c>
      <c r="F1048" t="s">
        <v>660</v>
      </c>
      <c r="G1048" t="s">
        <v>621</v>
      </c>
      <c r="H1048" t="s">
        <v>79</v>
      </c>
      <c r="I1048" t="s">
        <v>244</v>
      </c>
      <c r="J1048" t="s">
        <v>245</v>
      </c>
      <c r="K1048" t="s">
        <v>246</v>
      </c>
      <c r="L1048" t="s">
        <v>5183</v>
      </c>
      <c r="M1048" t="s">
        <v>5184</v>
      </c>
      <c r="N1048" t="s">
        <v>5169</v>
      </c>
      <c r="O1048" t="s">
        <v>5170</v>
      </c>
      <c r="P1048">
        <v>2.71</v>
      </c>
      <c r="Q1048" t="s">
        <v>40</v>
      </c>
      <c r="R1048" t="s">
        <v>124</v>
      </c>
      <c r="S1048" t="s">
        <v>6938</v>
      </c>
    </row>
    <row r="1049" spans="1:19" x14ac:dyDescent="0.25">
      <c r="A1049">
        <v>2017</v>
      </c>
      <c r="B1049">
        <v>4922</v>
      </c>
      <c r="C1049" t="s">
        <v>5264</v>
      </c>
      <c r="D1049" t="s">
        <v>5265</v>
      </c>
      <c r="E1049">
        <v>212233</v>
      </c>
      <c r="F1049" t="s">
        <v>1111</v>
      </c>
      <c r="G1049" t="s">
        <v>441</v>
      </c>
      <c r="H1049" t="s">
        <v>79</v>
      </c>
      <c r="I1049" t="s">
        <v>500</v>
      </c>
      <c r="J1049" t="s">
        <v>501</v>
      </c>
      <c r="K1049" t="s">
        <v>502</v>
      </c>
      <c r="L1049" t="s">
        <v>5183</v>
      </c>
      <c r="M1049" t="s">
        <v>5184</v>
      </c>
      <c r="N1049" t="s">
        <v>5185</v>
      </c>
      <c r="O1049" t="s">
        <v>5186</v>
      </c>
      <c r="P1049">
        <v>2042</v>
      </c>
      <c r="Q1049" t="s">
        <v>40</v>
      </c>
      <c r="R1049" t="s">
        <v>124</v>
      </c>
      <c r="S1049" t="s">
        <v>6938</v>
      </c>
    </row>
    <row r="1050" spans="1:19" x14ac:dyDescent="0.25">
      <c r="A1050">
        <v>1999</v>
      </c>
      <c r="B1050">
        <v>308</v>
      </c>
      <c r="C1050" t="s">
        <v>5266</v>
      </c>
      <c r="E1050">
        <v>325999</v>
      </c>
      <c r="F1050" t="s">
        <v>396</v>
      </c>
      <c r="G1050" t="s">
        <v>397</v>
      </c>
      <c r="H1050" t="s">
        <v>79</v>
      </c>
      <c r="I1050" t="s">
        <v>86</v>
      </c>
      <c r="J1050" t="s">
        <v>87</v>
      </c>
      <c r="K1050" t="s">
        <v>88</v>
      </c>
      <c r="L1050" t="s">
        <v>5167</v>
      </c>
      <c r="M1050" t="s">
        <v>5168</v>
      </c>
      <c r="N1050" t="s">
        <v>5169</v>
      </c>
      <c r="O1050" t="s">
        <v>5170</v>
      </c>
      <c r="P1050">
        <v>1E-3</v>
      </c>
      <c r="Q1050" t="s">
        <v>29</v>
      </c>
      <c r="R1050" t="s">
        <v>50</v>
      </c>
      <c r="S1050" t="s">
        <v>6938</v>
      </c>
    </row>
    <row r="1051" spans="1:19" x14ac:dyDescent="0.25">
      <c r="A1051">
        <v>2014</v>
      </c>
      <c r="B1051">
        <v>5453</v>
      </c>
      <c r="C1051" t="s">
        <v>5267</v>
      </c>
      <c r="D1051" t="s">
        <v>1387</v>
      </c>
      <c r="E1051">
        <v>326210</v>
      </c>
      <c r="F1051" t="s">
        <v>1696</v>
      </c>
      <c r="G1051" t="s">
        <v>968</v>
      </c>
      <c r="H1051" t="s">
        <v>79</v>
      </c>
      <c r="I1051" t="s">
        <v>184</v>
      </c>
      <c r="J1051" t="s">
        <v>185</v>
      </c>
      <c r="K1051" t="s">
        <v>186</v>
      </c>
      <c r="L1051" t="s">
        <v>5167</v>
      </c>
      <c r="M1051" t="s">
        <v>5168</v>
      </c>
      <c r="N1051" t="s">
        <v>5169</v>
      </c>
      <c r="O1051" t="s">
        <v>5170</v>
      </c>
      <c r="P1051">
        <v>0</v>
      </c>
      <c r="Q1051" t="s">
        <v>29</v>
      </c>
      <c r="R1051" t="s">
        <v>50</v>
      </c>
      <c r="S1051" t="s">
        <v>6938</v>
      </c>
    </row>
    <row r="1052" spans="1:19" x14ac:dyDescent="0.25">
      <c r="A1052">
        <v>2009</v>
      </c>
      <c r="B1052">
        <v>22378</v>
      </c>
      <c r="C1052" t="s">
        <v>2318</v>
      </c>
      <c r="D1052" t="s">
        <v>5268</v>
      </c>
      <c r="E1052">
        <v>211114</v>
      </c>
      <c r="F1052" t="s">
        <v>835</v>
      </c>
      <c r="G1052" t="s">
        <v>836</v>
      </c>
      <c r="H1052" t="s">
        <v>85</v>
      </c>
      <c r="I1052" t="s">
        <v>129</v>
      </c>
      <c r="J1052" t="s">
        <v>130</v>
      </c>
      <c r="K1052" t="s">
        <v>131</v>
      </c>
      <c r="L1052" t="s">
        <v>5167</v>
      </c>
      <c r="M1052" t="s">
        <v>5168</v>
      </c>
      <c r="N1052" t="s">
        <v>5169</v>
      </c>
      <c r="O1052" t="s">
        <v>5170</v>
      </c>
      <c r="P1052">
        <v>3.4000000000000002E-2</v>
      </c>
      <c r="Q1052" t="s">
        <v>29</v>
      </c>
      <c r="R1052" t="s">
        <v>30</v>
      </c>
      <c r="S1052" t="s">
        <v>6938</v>
      </c>
    </row>
    <row r="1053" spans="1:19" x14ac:dyDescent="0.25">
      <c r="A1053">
        <v>2018</v>
      </c>
      <c r="B1053">
        <v>7858</v>
      </c>
      <c r="C1053" t="s">
        <v>5269</v>
      </c>
      <c r="D1053" t="s">
        <v>5270</v>
      </c>
      <c r="E1053">
        <v>221320</v>
      </c>
      <c r="F1053" t="s">
        <v>146</v>
      </c>
      <c r="G1053" t="s">
        <v>147</v>
      </c>
      <c r="H1053" t="s">
        <v>69</v>
      </c>
      <c r="I1053" t="s">
        <v>324</v>
      </c>
      <c r="J1053" t="s">
        <v>325</v>
      </c>
      <c r="K1053" t="s">
        <v>326</v>
      </c>
      <c r="L1053" t="s">
        <v>5183</v>
      </c>
      <c r="M1053" t="s">
        <v>5184</v>
      </c>
      <c r="N1053" t="s">
        <v>5175</v>
      </c>
      <c r="O1053" t="s">
        <v>5176</v>
      </c>
      <c r="P1053">
        <v>8.9999999999999993E-3</v>
      </c>
      <c r="Q1053" t="s">
        <v>40</v>
      </c>
      <c r="R1053" t="s">
        <v>124</v>
      </c>
      <c r="S1053" t="s">
        <v>6938</v>
      </c>
    </row>
    <row r="1054" spans="1:19" x14ac:dyDescent="0.25">
      <c r="A1054">
        <v>2016</v>
      </c>
      <c r="B1054">
        <v>3701</v>
      </c>
      <c r="C1054" t="s">
        <v>194</v>
      </c>
      <c r="D1054" t="s">
        <v>681</v>
      </c>
      <c r="E1054">
        <v>324110</v>
      </c>
      <c r="F1054" t="s">
        <v>196</v>
      </c>
      <c r="G1054" t="s">
        <v>96</v>
      </c>
      <c r="H1054" t="s">
        <v>21</v>
      </c>
      <c r="I1054" t="s">
        <v>648</v>
      </c>
      <c r="J1054" t="s">
        <v>649</v>
      </c>
      <c r="K1054" t="s">
        <v>650</v>
      </c>
      <c r="L1054" t="s">
        <v>5167</v>
      </c>
      <c r="M1054" t="s">
        <v>5168</v>
      </c>
      <c r="N1054" t="s">
        <v>5169</v>
      </c>
      <c r="O1054" t="s">
        <v>5170</v>
      </c>
      <c r="P1054">
        <v>1.1999999999999999E-3</v>
      </c>
      <c r="Q1054" t="s">
        <v>29</v>
      </c>
      <c r="R1054" t="s">
        <v>30</v>
      </c>
      <c r="S1054" t="s">
        <v>6938</v>
      </c>
    </row>
    <row r="1055" spans="1:19" x14ac:dyDescent="0.25">
      <c r="A1055">
        <v>2000</v>
      </c>
      <c r="B1055">
        <v>5645</v>
      </c>
      <c r="C1055" t="s">
        <v>1166</v>
      </c>
      <c r="D1055" t="s">
        <v>5205</v>
      </c>
      <c r="E1055">
        <v>562210</v>
      </c>
      <c r="F1055" t="s">
        <v>52</v>
      </c>
      <c r="G1055" t="s">
        <v>53</v>
      </c>
      <c r="H1055" t="s">
        <v>21</v>
      </c>
      <c r="I1055" t="s">
        <v>80</v>
      </c>
      <c r="J1055" t="s">
        <v>81</v>
      </c>
      <c r="K1055" t="s">
        <v>82</v>
      </c>
      <c r="L1055" t="s">
        <v>5167</v>
      </c>
      <c r="M1055" t="s">
        <v>5168</v>
      </c>
      <c r="N1055" t="s">
        <v>5223</v>
      </c>
      <c r="O1055" t="s">
        <v>5224</v>
      </c>
      <c r="P1055">
        <v>0.7</v>
      </c>
      <c r="Q1055" t="s">
        <v>29</v>
      </c>
      <c r="R1055" t="s">
        <v>442</v>
      </c>
      <c r="S1055" t="s">
        <v>6938</v>
      </c>
    </row>
    <row r="1056" spans="1:19" x14ac:dyDescent="0.25">
      <c r="A1056">
        <v>2015</v>
      </c>
      <c r="B1056">
        <v>4140</v>
      </c>
      <c r="C1056" t="s">
        <v>2043</v>
      </c>
      <c r="D1056" t="s">
        <v>5271</v>
      </c>
      <c r="E1056">
        <v>211113</v>
      </c>
      <c r="F1056" t="s">
        <v>786</v>
      </c>
      <c r="G1056" t="s">
        <v>426</v>
      </c>
      <c r="H1056" t="s">
        <v>85</v>
      </c>
      <c r="I1056" t="s">
        <v>70</v>
      </c>
      <c r="J1056" t="s">
        <v>71</v>
      </c>
      <c r="K1056" t="s">
        <v>72</v>
      </c>
      <c r="L1056" t="s">
        <v>5167</v>
      </c>
      <c r="M1056" t="s">
        <v>5168</v>
      </c>
      <c r="N1056" t="s">
        <v>5195</v>
      </c>
      <c r="O1056" t="s">
        <v>5196</v>
      </c>
      <c r="P1056">
        <v>1.609</v>
      </c>
      <c r="Q1056" t="s">
        <v>29</v>
      </c>
      <c r="R1056" t="s">
        <v>30</v>
      </c>
      <c r="S1056" t="s">
        <v>6938</v>
      </c>
    </row>
    <row r="1057" spans="1:19" x14ac:dyDescent="0.25">
      <c r="A1057">
        <v>2015</v>
      </c>
      <c r="B1057">
        <v>3962</v>
      </c>
      <c r="C1057" t="s">
        <v>507</v>
      </c>
      <c r="D1057" t="s">
        <v>508</v>
      </c>
      <c r="E1057">
        <v>324110</v>
      </c>
      <c r="F1057" t="s">
        <v>196</v>
      </c>
      <c r="G1057" t="s">
        <v>96</v>
      </c>
      <c r="H1057" t="s">
        <v>21</v>
      </c>
      <c r="I1057" t="s">
        <v>367</v>
      </c>
      <c r="J1057" t="s">
        <v>368</v>
      </c>
      <c r="K1057" t="s">
        <v>369</v>
      </c>
      <c r="L1057" t="s">
        <v>5167</v>
      </c>
      <c r="M1057" t="s">
        <v>5168</v>
      </c>
      <c r="N1057" t="s">
        <v>5169</v>
      </c>
      <c r="O1057" t="s">
        <v>5170</v>
      </c>
      <c r="P1057">
        <v>27.018899999999999</v>
      </c>
      <c r="Q1057" t="s">
        <v>40</v>
      </c>
      <c r="R1057" t="s">
        <v>124</v>
      </c>
      <c r="S1057" t="s">
        <v>6938</v>
      </c>
    </row>
    <row r="1058" spans="1:19" x14ac:dyDescent="0.25">
      <c r="A1058">
        <v>1998</v>
      </c>
      <c r="B1058">
        <v>3845</v>
      </c>
      <c r="C1058" t="s">
        <v>5272</v>
      </c>
      <c r="E1058">
        <v>332210</v>
      </c>
      <c r="F1058" t="s">
        <v>5273</v>
      </c>
      <c r="G1058" t="s">
        <v>5274</v>
      </c>
      <c r="H1058" t="s">
        <v>21</v>
      </c>
      <c r="I1058" t="s">
        <v>136</v>
      </c>
      <c r="J1058" t="s">
        <v>137</v>
      </c>
      <c r="K1058" t="s">
        <v>138</v>
      </c>
      <c r="L1058" t="s">
        <v>5167</v>
      </c>
      <c r="M1058" t="s">
        <v>5168</v>
      </c>
      <c r="N1058" t="s">
        <v>5169</v>
      </c>
      <c r="O1058" t="s">
        <v>5170</v>
      </c>
      <c r="P1058">
        <v>4.7E-2</v>
      </c>
      <c r="Q1058" t="s">
        <v>29</v>
      </c>
      <c r="R1058" t="s">
        <v>30</v>
      </c>
      <c r="S1058" t="s">
        <v>6938</v>
      </c>
    </row>
    <row r="1059" spans="1:19" x14ac:dyDescent="0.25">
      <c r="A1059">
        <v>2018</v>
      </c>
      <c r="B1059">
        <v>5015</v>
      </c>
      <c r="C1059" t="s">
        <v>2291</v>
      </c>
      <c r="D1059" t="s">
        <v>1835</v>
      </c>
      <c r="E1059">
        <v>562210</v>
      </c>
      <c r="F1059" t="s">
        <v>84</v>
      </c>
      <c r="G1059" t="s">
        <v>53</v>
      </c>
      <c r="H1059" t="s">
        <v>1012</v>
      </c>
      <c r="I1059" t="s">
        <v>244</v>
      </c>
      <c r="J1059" t="s">
        <v>245</v>
      </c>
      <c r="K1059" t="s">
        <v>246</v>
      </c>
      <c r="L1059" t="s">
        <v>5167</v>
      </c>
      <c r="M1059" t="s">
        <v>5168</v>
      </c>
      <c r="N1059" t="s">
        <v>5169</v>
      </c>
      <c r="O1059" t="s">
        <v>5170</v>
      </c>
      <c r="P1059">
        <v>77.052999999999997</v>
      </c>
      <c r="Q1059" t="s">
        <v>40</v>
      </c>
      <c r="R1059" t="s">
        <v>124</v>
      </c>
      <c r="S1059" t="s">
        <v>6938</v>
      </c>
    </row>
    <row r="1060" spans="1:19" x14ac:dyDescent="0.25">
      <c r="A1060">
        <v>2011</v>
      </c>
      <c r="B1060">
        <v>6669</v>
      </c>
      <c r="C1060" t="s">
        <v>2057</v>
      </c>
      <c r="D1060" t="s">
        <v>5275</v>
      </c>
      <c r="E1060">
        <v>212114</v>
      </c>
      <c r="F1060" t="s">
        <v>5276</v>
      </c>
      <c r="G1060" t="s">
        <v>2060</v>
      </c>
      <c r="H1060" t="s">
        <v>69</v>
      </c>
      <c r="I1060" t="s">
        <v>106</v>
      </c>
      <c r="J1060" t="s">
        <v>107</v>
      </c>
      <c r="K1060" t="s">
        <v>108</v>
      </c>
      <c r="L1060" t="s">
        <v>5183</v>
      </c>
      <c r="M1060" t="s">
        <v>5184</v>
      </c>
      <c r="N1060" t="s">
        <v>5185</v>
      </c>
      <c r="O1060" t="s">
        <v>5186</v>
      </c>
      <c r="P1060">
        <v>286.83</v>
      </c>
      <c r="Q1060" t="s">
        <v>40</v>
      </c>
      <c r="R1060" t="s">
        <v>30</v>
      </c>
      <c r="S1060" t="s">
        <v>6938</v>
      </c>
    </row>
    <row r="1061" spans="1:19" x14ac:dyDescent="0.25">
      <c r="A1061">
        <v>2011</v>
      </c>
      <c r="B1061">
        <v>979</v>
      </c>
      <c r="C1061" t="s">
        <v>5277</v>
      </c>
      <c r="D1061" t="s">
        <v>5278</v>
      </c>
      <c r="E1061">
        <v>322122</v>
      </c>
      <c r="F1061" t="s">
        <v>1556</v>
      </c>
      <c r="G1061" t="s">
        <v>1062</v>
      </c>
      <c r="H1061" t="s">
        <v>79</v>
      </c>
      <c r="I1061" t="s">
        <v>97</v>
      </c>
      <c r="J1061" t="s">
        <v>98</v>
      </c>
      <c r="K1061" t="s">
        <v>99</v>
      </c>
      <c r="L1061" t="s">
        <v>5167</v>
      </c>
      <c r="M1061" t="s">
        <v>5168</v>
      </c>
      <c r="N1061" t="s">
        <v>5175</v>
      </c>
      <c r="O1061" t="s">
        <v>5176</v>
      </c>
      <c r="P1061">
        <v>20.701000000000001</v>
      </c>
      <c r="Q1061" t="s">
        <v>29</v>
      </c>
      <c r="R1061" t="s">
        <v>124</v>
      </c>
      <c r="S1061" t="s">
        <v>6938</v>
      </c>
    </row>
    <row r="1062" spans="1:19" x14ac:dyDescent="0.25">
      <c r="A1062">
        <v>2020</v>
      </c>
      <c r="B1062">
        <v>11454</v>
      </c>
      <c r="C1062" t="s">
        <v>5279</v>
      </c>
      <c r="D1062" t="s">
        <v>1742</v>
      </c>
      <c r="E1062">
        <v>212220</v>
      </c>
      <c r="F1062" t="s">
        <v>1619</v>
      </c>
      <c r="G1062" t="s">
        <v>1620</v>
      </c>
      <c r="H1062" t="s">
        <v>21</v>
      </c>
      <c r="I1062" t="s">
        <v>152</v>
      </c>
      <c r="J1062" t="s">
        <v>153</v>
      </c>
      <c r="K1062" t="s">
        <v>154</v>
      </c>
      <c r="L1062" t="s">
        <v>5183</v>
      </c>
      <c r="M1062" t="s">
        <v>5184</v>
      </c>
      <c r="N1062" t="s">
        <v>5185</v>
      </c>
      <c r="O1062" t="s">
        <v>5186</v>
      </c>
      <c r="P1062">
        <v>18.353999999999999</v>
      </c>
      <c r="Q1062" t="s">
        <v>29</v>
      </c>
      <c r="R1062" t="s">
        <v>124</v>
      </c>
      <c r="S1062" t="s">
        <v>6938</v>
      </c>
    </row>
    <row r="1063" spans="1:19" x14ac:dyDescent="0.25">
      <c r="A1063">
        <v>2021</v>
      </c>
      <c r="B1063">
        <v>1585</v>
      </c>
      <c r="C1063" t="s">
        <v>5258</v>
      </c>
      <c r="D1063" t="s">
        <v>5259</v>
      </c>
      <c r="E1063">
        <v>212114</v>
      </c>
      <c r="F1063" t="s">
        <v>2059</v>
      </c>
      <c r="G1063" t="s">
        <v>2060</v>
      </c>
      <c r="H1063" t="s">
        <v>85</v>
      </c>
      <c r="I1063" t="s">
        <v>543</v>
      </c>
      <c r="J1063" t="s">
        <v>544</v>
      </c>
      <c r="K1063" t="s">
        <v>545</v>
      </c>
      <c r="L1063" t="s">
        <v>5183</v>
      </c>
      <c r="M1063" t="s">
        <v>5184</v>
      </c>
      <c r="N1063" t="s">
        <v>5185</v>
      </c>
      <c r="O1063" t="s">
        <v>5186</v>
      </c>
      <c r="P1063">
        <v>36</v>
      </c>
      <c r="Q1063" t="s">
        <v>40</v>
      </c>
      <c r="R1063" t="s">
        <v>157</v>
      </c>
      <c r="S1063" t="s">
        <v>6938</v>
      </c>
    </row>
    <row r="1064" spans="1:19" x14ac:dyDescent="0.25">
      <c r="A1064">
        <v>2011</v>
      </c>
      <c r="B1064">
        <v>5392</v>
      </c>
      <c r="C1064" t="s">
        <v>5280</v>
      </c>
      <c r="D1064" t="s">
        <v>5281</v>
      </c>
      <c r="E1064">
        <v>562210</v>
      </c>
      <c r="F1064" t="s">
        <v>52</v>
      </c>
      <c r="G1064" t="s">
        <v>53</v>
      </c>
      <c r="H1064" t="s">
        <v>54</v>
      </c>
      <c r="I1064" t="s">
        <v>35</v>
      </c>
      <c r="J1064" t="s">
        <v>36</v>
      </c>
      <c r="K1064" t="s">
        <v>37</v>
      </c>
      <c r="L1064" t="s">
        <v>5167</v>
      </c>
      <c r="M1064" t="s">
        <v>5168</v>
      </c>
      <c r="N1064" t="s">
        <v>5169</v>
      </c>
      <c r="O1064" t="s">
        <v>5170</v>
      </c>
      <c r="P1064">
        <v>3841.6954000000001</v>
      </c>
      <c r="Q1064" t="s">
        <v>40</v>
      </c>
      <c r="R1064" t="s">
        <v>30</v>
      </c>
      <c r="S1064" t="s">
        <v>6938</v>
      </c>
    </row>
    <row r="1065" spans="1:19" x14ac:dyDescent="0.25">
      <c r="A1065">
        <v>2022</v>
      </c>
      <c r="B1065">
        <v>3962</v>
      </c>
      <c r="C1065" t="s">
        <v>806</v>
      </c>
      <c r="D1065" t="s">
        <v>508</v>
      </c>
      <c r="E1065">
        <v>324110</v>
      </c>
      <c r="F1065" t="s">
        <v>196</v>
      </c>
      <c r="G1065" t="s">
        <v>96</v>
      </c>
      <c r="H1065" t="s">
        <v>21</v>
      </c>
      <c r="I1065" t="s">
        <v>35</v>
      </c>
      <c r="J1065" t="s">
        <v>36</v>
      </c>
      <c r="K1065" t="s">
        <v>37</v>
      </c>
      <c r="L1065" t="s">
        <v>5167</v>
      </c>
      <c r="M1065" t="s">
        <v>5168</v>
      </c>
      <c r="N1065" t="s">
        <v>5169</v>
      </c>
      <c r="O1065" t="s">
        <v>5170</v>
      </c>
      <c r="P1065">
        <v>7.7663000000000002</v>
      </c>
      <c r="Q1065" t="s">
        <v>40</v>
      </c>
      <c r="R1065" t="s">
        <v>5282</v>
      </c>
      <c r="S1065" t="s">
        <v>6938</v>
      </c>
    </row>
    <row r="1066" spans="1:19" x14ac:dyDescent="0.25">
      <c r="A1066">
        <v>1994</v>
      </c>
      <c r="B1066">
        <v>4485</v>
      </c>
      <c r="C1066" t="s">
        <v>5283</v>
      </c>
      <c r="D1066" t="s">
        <v>5284</v>
      </c>
      <c r="E1066">
        <v>334610</v>
      </c>
      <c r="F1066" t="s">
        <v>5285</v>
      </c>
      <c r="G1066" t="s">
        <v>5286</v>
      </c>
      <c r="H1066" t="s">
        <v>21</v>
      </c>
      <c r="I1066" t="s">
        <v>1150</v>
      </c>
      <c r="J1066" t="s">
        <v>1151</v>
      </c>
      <c r="K1066" t="s">
        <v>1152</v>
      </c>
      <c r="L1066" t="s">
        <v>5167</v>
      </c>
      <c r="M1066" t="s">
        <v>5168</v>
      </c>
      <c r="N1066" t="s">
        <v>5169</v>
      </c>
      <c r="O1066" t="s">
        <v>5170</v>
      </c>
      <c r="P1066">
        <v>1.68</v>
      </c>
      <c r="Q1066" t="s">
        <v>29</v>
      </c>
      <c r="R1066" t="s">
        <v>30</v>
      </c>
      <c r="S1066" t="s">
        <v>6938</v>
      </c>
    </row>
    <row r="1067" spans="1:19" x14ac:dyDescent="0.25">
      <c r="A1067">
        <v>2011</v>
      </c>
      <c r="B1067">
        <v>17420</v>
      </c>
      <c r="C1067" t="s">
        <v>1529</v>
      </c>
      <c r="D1067" t="s">
        <v>5287</v>
      </c>
      <c r="E1067">
        <v>211113</v>
      </c>
      <c r="F1067" t="s">
        <v>425</v>
      </c>
      <c r="G1067" t="s">
        <v>426</v>
      </c>
      <c r="H1067" t="s">
        <v>85</v>
      </c>
      <c r="I1067" t="s">
        <v>1549</v>
      </c>
      <c r="J1067" t="s">
        <v>1550</v>
      </c>
      <c r="K1067" t="s">
        <v>1551</v>
      </c>
      <c r="L1067" t="s">
        <v>5167</v>
      </c>
      <c r="M1067" t="s">
        <v>5168</v>
      </c>
      <c r="N1067" t="s">
        <v>5195</v>
      </c>
      <c r="O1067" t="s">
        <v>5196</v>
      </c>
      <c r="P1067">
        <v>2088.4969999999998</v>
      </c>
      <c r="Q1067" t="s">
        <v>29</v>
      </c>
      <c r="R1067" t="s">
        <v>30</v>
      </c>
      <c r="S1067" t="s">
        <v>6938</v>
      </c>
    </row>
    <row r="1068" spans="1:19" x14ac:dyDescent="0.25">
      <c r="A1068">
        <v>2012</v>
      </c>
      <c r="B1068">
        <v>1812</v>
      </c>
      <c r="C1068" t="s">
        <v>5288</v>
      </c>
      <c r="D1068" t="s">
        <v>5289</v>
      </c>
      <c r="E1068">
        <v>221112</v>
      </c>
      <c r="F1068" t="s">
        <v>499</v>
      </c>
      <c r="G1068" t="s">
        <v>135</v>
      </c>
      <c r="H1068" t="s">
        <v>21</v>
      </c>
      <c r="I1068" t="s">
        <v>628</v>
      </c>
      <c r="J1068" t="s">
        <v>629</v>
      </c>
      <c r="K1068" t="s">
        <v>630</v>
      </c>
      <c r="L1068" t="s">
        <v>5183</v>
      </c>
      <c r="M1068" t="s">
        <v>5184</v>
      </c>
      <c r="N1068" t="s">
        <v>5169</v>
      </c>
      <c r="O1068" t="s">
        <v>5170</v>
      </c>
      <c r="P1068">
        <v>2.0000000000000001E-4</v>
      </c>
      <c r="Q1068" t="s">
        <v>631</v>
      </c>
      <c r="R1068" t="s">
        <v>50</v>
      </c>
      <c r="S1068" t="s">
        <v>6938</v>
      </c>
    </row>
    <row r="1069" spans="1:19" x14ac:dyDescent="0.25">
      <c r="A1069">
        <v>2018</v>
      </c>
      <c r="B1069">
        <v>5392</v>
      </c>
      <c r="C1069" t="s">
        <v>5280</v>
      </c>
      <c r="D1069" t="s">
        <v>5281</v>
      </c>
      <c r="E1069">
        <v>562210</v>
      </c>
      <c r="F1069" t="s">
        <v>84</v>
      </c>
      <c r="G1069" t="s">
        <v>53</v>
      </c>
      <c r="H1069" t="s">
        <v>54</v>
      </c>
      <c r="I1069" t="s">
        <v>209</v>
      </c>
      <c r="J1069" t="s">
        <v>210</v>
      </c>
      <c r="K1069" t="s">
        <v>211</v>
      </c>
      <c r="L1069" t="s">
        <v>5183</v>
      </c>
      <c r="M1069" t="s">
        <v>5184</v>
      </c>
      <c r="N1069" t="s">
        <v>5169</v>
      </c>
      <c r="O1069" t="s">
        <v>5170</v>
      </c>
      <c r="P1069">
        <v>11.5609</v>
      </c>
      <c r="Q1069" t="s">
        <v>29</v>
      </c>
      <c r="R1069" t="s">
        <v>30</v>
      </c>
      <c r="S1069" t="s">
        <v>6938</v>
      </c>
    </row>
    <row r="1070" spans="1:19" x14ac:dyDescent="0.25">
      <c r="A1070">
        <v>2010</v>
      </c>
      <c r="B1070">
        <v>7182</v>
      </c>
      <c r="C1070" t="s">
        <v>5290</v>
      </c>
      <c r="D1070" t="s">
        <v>5291</v>
      </c>
      <c r="E1070">
        <v>311520</v>
      </c>
      <c r="F1070" t="s">
        <v>5292</v>
      </c>
      <c r="G1070" t="s">
        <v>5293</v>
      </c>
      <c r="H1070" t="s">
        <v>21</v>
      </c>
      <c r="I1070" t="s">
        <v>504</v>
      </c>
      <c r="J1070" t="s">
        <v>505</v>
      </c>
      <c r="K1070" t="s">
        <v>506</v>
      </c>
      <c r="L1070" t="s">
        <v>5167</v>
      </c>
      <c r="M1070" t="s">
        <v>5168</v>
      </c>
      <c r="N1070" t="s">
        <v>5175</v>
      </c>
      <c r="O1070" t="s">
        <v>5176</v>
      </c>
      <c r="P1070">
        <v>3.4200000000000001E-2</v>
      </c>
      <c r="Q1070" t="s">
        <v>29</v>
      </c>
      <c r="R1070" t="s">
        <v>30</v>
      </c>
      <c r="S1070" t="s">
        <v>6938</v>
      </c>
    </row>
    <row r="1071" spans="1:19" x14ac:dyDescent="0.25">
      <c r="A1071">
        <v>2007</v>
      </c>
      <c r="B1071">
        <v>1</v>
      </c>
      <c r="C1071" t="s">
        <v>5294</v>
      </c>
      <c r="D1071" t="s">
        <v>5294</v>
      </c>
      <c r="E1071">
        <v>322112</v>
      </c>
      <c r="F1071" t="s">
        <v>620</v>
      </c>
      <c r="G1071" t="s">
        <v>621</v>
      </c>
      <c r="H1071" t="s">
        <v>85</v>
      </c>
      <c r="I1071" t="s">
        <v>628</v>
      </c>
      <c r="J1071" t="s">
        <v>629</v>
      </c>
      <c r="K1071" t="s">
        <v>630</v>
      </c>
      <c r="L1071" t="s">
        <v>5183</v>
      </c>
      <c r="M1071" t="s">
        <v>5184</v>
      </c>
      <c r="N1071" t="s">
        <v>5175</v>
      </c>
      <c r="O1071" t="s">
        <v>5176</v>
      </c>
      <c r="P1071">
        <v>0</v>
      </c>
      <c r="Q1071" t="s">
        <v>631</v>
      </c>
      <c r="R1071" t="s">
        <v>124</v>
      </c>
      <c r="S1071" t="s">
        <v>6938</v>
      </c>
    </row>
    <row r="1072" spans="1:19" x14ac:dyDescent="0.25">
      <c r="A1072">
        <v>2016</v>
      </c>
      <c r="B1072">
        <v>2776</v>
      </c>
      <c r="C1072" t="s">
        <v>2289</v>
      </c>
      <c r="D1072" t="s">
        <v>1199</v>
      </c>
      <c r="E1072">
        <v>324110</v>
      </c>
      <c r="F1072" t="s">
        <v>196</v>
      </c>
      <c r="G1072" t="s">
        <v>96</v>
      </c>
      <c r="H1072" t="s">
        <v>69</v>
      </c>
      <c r="I1072" t="s">
        <v>837</v>
      </c>
      <c r="J1072" t="s">
        <v>838</v>
      </c>
      <c r="K1072" t="s">
        <v>839</v>
      </c>
      <c r="L1072" t="s">
        <v>5167</v>
      </c>
      <c r="M1072" t="s">
        <v>5168</v>
      </c>
      <c r="N1072" t="s">
        <v>5169</v>
      </c>
      <c r="O1072" t="s">
        <v>5170</v>
      </c>
      <c r="P1072">
        <v>2.5</v>
      </c>
      <c r="Q1072" t="s">
        <v>40</v>
      </c>
      <c r="R1072" t="s">
        <v>124</v>
      </c>
      <c r="S1072" t="s">
        <v>6938</v>
      </c>
    </row>
    <row r="1073" spans="1:19" x14ac:dyDescent="0.25">
      <c r="A1073">
        <v>2017</v>
      </c>
      <c r="B1073">
        <v>22267</v>
      </c>
      <c r="C1073" t="s">
        <v>1995</v>
      </c>
      <c r="D1073" t="s">
        <v>5295</v>
      </c>
      <c r="E1073">
        <v>211141</v>
      </c>
      <c r="F1073" t="s">
        <v>1189</v>
      </c>
      <c r="G1073" t="s">
        <v>1190</v>
      </c>
      <c r="H1073" t="s">
        <v>85</v>
      </c>
      <c r="I1073" t="s">
        <v>55</v>
      </c>
      <c r="J1073" t="s">
        <v>56</v>
      </c>
      <c r="K1073" t="s">
        <v>57</v>
      </c>
      <c r="L1073" t="s">
        <v>5183</v>
      </c>
      <c r="M1073" t="s">
        <v>5184</v>
      </c>
      <c r="N1073" t="s">
        <v>5169</v>
      </c>
      <c r="O1073" t="s">
        <v>5170</v>
      </c>
      <c r="P1073">
        <v>1.6799999999999999E-2</v>
      </c>
      <c r="Q1073" t="s">
        <v>29</v>
      </c>
      <c r="R1073" t="s">
        <v>30</v>
      </c>
      <c r="S1073" t="s">
        <v>6938</v>
      </c>
    </row>
    <row r="1074" spans="1:19" x14ac:dyDescent="0.25">
      <c r="A1074">
        <v>2022</v>
      </c>
      <c r="B1074">
        <v>5647</v>
      </c>
      <c r="C1074" t="s">
        <v>205</v>
      </c>
      <c r="D1074" t="s">
        <v>206</v>
      </c>
      <c r="E1074">
        <v>562210</v>
      </c>
      <c r="F1074" t="s">
        <v>84</v>
      </c>
      <c r="G1074" t="s">
        <v>53</v>
      </c>
      <c r="H1074" t="s">
        <v>21</v>
      </c>
      <c r="I1074" t="s">
        <v>255</v>
      </c>
      <c r="J1074" t="s">
        <v>256</v>
      </c>
      <c r="K1074" t="s">
        <v>257</v>
      </c>
      <c r="L1074" t="s">
        <v>5167</v>
      </c>
      <c r="M1074" t="s">
        <v>5168</v>
      </c>
      <c r="N1074" t="s">
        <v>5169</v>
      </c>
      <c r="O1074" t="s">
        <v>5170</v>
      </c>
      <c r="P1074">
        <v>0.04</v>
      </c>
      <c r="Q1074" t="s">
        <v>29</v>
      </c>
      <c r="R1074" t="s">
        <v>50</v>
      </c>
      <c r="S1074" t="s">
        <v>6938</v>
      </c>
    </row>
    <row r="1075" spans="1:19" x14ac:dyDescent="0.25">
      <c r="A1075">
        <v>2007</v>
      </c>
      <c r="B1075">
        <v>390</v>
      </c>
      <c r="C1075" t="s">
        <v>5296</v>
      </c>
      <c r="D1075" t="s">
        <v>677</v>
      </c>
      <c r="E1075">
        <v>336410</v>
      </c>
      <c r="F1075" t="s">
        <v>260</v>
      </c>
      <c r="G1075" t="s">
        <v>261</v>
      </c>
      <c r="H1075" t="s">
        <v>79</v>
      </c>
      <c r="I1075" t="s">
        <v>35</v>
      </c>
      <c r="J1075" t="s">
        <v>36</v>
      </c>
      <c r="K1075" t="s">
        <v>37</v>
      </c>
      <c r="L1075" t="s">
        <v>5167</v>
      </c>
      <c r="M1075" t="s">
        <v>5168</v>
      </c>
      <c r="N1075" t="s">
        <v>5169</v>
      </c>
      <c r="O1075" t="s">
        <v>5170</v>
      </c>
      <c r="P1075">
        <v>607.79999999999995</v>
      </c>
      <c r="Q1075" t="s">
        <v>40</v>
      </c>
      <c r="R1075" t="s">
        <v>124</v>
      </c>
      <c r="S1075" t="s">
        <v>6938</v>
      </c>
    </row>
    <row r="1076" spans="1:19" x14ac:dyDescent="0.25">
      <c r="A1076">
        <v>2010</v>
      </c>
      <c r="B1076">
        <v>2100</v>
      </c>
      <c r="C1076" t="s">
        <v>5297</v>
      </c>
      <c r="D1076" t="s">
        <v>5298</v>
      </c>
      <c r="E1076">
        <v>212299</v>
      </c>
      <c r="F1076" t="s">
        <v>5299</v>
      </c>
      <c r="G1076" t="s">
        <v>1435</v>
      </c>
      <c r="H1076" t="s">
        <v>79</v>
      </c>
      <c r="I1076" t="s">
        <v>244</v>
      </c>
      <c r="J1076" t="s">
        <v>245</v>
      </c>
      <c r="K1076" t="s">
        <v>246</v>
      </c>
      <c r="L1076" t="s">
        <v>5183</v>
      </c>
      <c r="M1076" t="s">
        <v>5184</v>
      </c>
      <c r="N1076" t="s">
        <v>5175</v>
      </c>
      <c r="O1076" t="s">
        <v>5176</v>
      </c>
      <c r="P1076">
        <v>8322.5</v>
      </c>
      <c r="Q1076" t="s">
        <v>40</v>
      </c>
      <c r="R1076" t="s">
        <v>50</v>
      </c>
      <c r="S1076" t="s">
        <v>6938</v>
      </c>
    </row>
    <row r="1077" spans="1:19" x14ac:dyDescent="0.25">
      <c r="A1077">
        <v>2003</v>
      </c>
      <c r="B1077">
        <v>479</v>
      </c>
      <c r="C1077" t="s">
        <v>5300</v>
      </c>
      <c r="D1077" t="s">
        <v>5301</v>
      </c>
      <c r="E1077">
        <v>322112</v>
      </c>
      <c r="F1077" t="s">
        <v>620</v>
      </c>
      <c r="G1077" t="s">
        <v>621</v>
      </c>
      <c r="H1077" t="s">
        <v>69</v>
      </c>
      <c r="I1077" t="s">
        <v>5302</v>
      </c>
      <c r="J1077" t="s">
        <v>5303</v>
      </c>
      <c r="K1077" t="s">
        <v>5304</v>
      </c>
      <c r="L1077" t="s">
        <v>5183</v>
      </c>
      <c r="M1077" t="s">
        <v>5184</v>
      </c>
      <c r="N1077" t="s">
        <v>5169</v>
      </c>
      <c r="O1077" t="s">
        <v>5170</v>
      </c>
      <c r="P1077">
        <v>0.03</v>
      </c>
      <c r="Q1077" t="s">
        <v>40</v>
      </c>
      <c r="R1077" t="s">
        <v>430</v>
      </c>
      <c r="S1077" t="s">
        <v>6938</v>
      </c>
    </row>
    <row r="1078" spans="1:19" x14ac:dyDescent="0.25">
      <c r="A1078">
        <v>2002</v>
      </c>
      <c r="B1078">
        <v>5838</v>
      </c>
      <c r="C1078" t="s">
        <v>5305</v>
      </c>
      <c r="D1078" t="s">
        <v>5306</v>
      </c>
      <c r="E1078">
        <v>326191</v>
      </c>
      <c r="F1078" t="s">
        <v>5307</v>
      </c>
      <c r="G1078" t="s">
        <v>2227</v>
      </c>
      <c r="H1078" t="s">
        <v>21</v>
      </c>
      <c r="I1078" t="s">
        <v>2201</v>
      </c>
      <c r="J1078" t="s">
        <v>2202</v>
      </c>
      <c r="K1078" t="s">
        <v>2203</v>
      </c>
      <c r="L1078" t="s">
        <v>5167</v>
      </c>
      <c r="M1078" t="s">
        <v>5168</v>
      </c>
      <c r="N1078" t="s">
        <v>5169</v>
      </c>
      <c r="O1078" t="s">
        <v>5170</v>
      </c>
      <c r="P1078">
        <v>0.85199999999999998</v>
      </c>
      <c r="Q1078" t="s">
        <v>29</v>
      </c>
      <c r="R1078" t="s">
        <v>442</v>
      </c>
      <c r="S1078" t="s">
        <v>6938</v>
      </c>
    </row>
    <row r="1079" spans="1:19" x14ac:dyDescent="0.25">
      <c r="A1079">
        <v>2007</v>
      </c>
      <c r="B1079">
        <v>5448</v>
      </c>
      <c r="C1079" t="s">
        <v>2255</v>
      </c>
      <c r="D1079" t="s">
        <v>5308</v>
      </c>
      <c r="E1079">
        <v>212232</v>
      </c>
      <c r="F1079" t="s">
        <v>2257</v>
      </c>
      <c r="G1079" t="s">
        <v>2004</v>
      </c>
      <c r="H1079" t="s">
        <v>79</v>
      </c>
      <c r="I1079" t="s">
        <v>244</v>
      </c>
      <c r="J1079" t="s">
        <v>245</v>
      </c>
      <c r="K1079" t="s">
        <v>246</v>
      </c>
      <c r="L1079" t="s">
        <v>5183</v>
      </c>
      <c r="M1079" t="s">
        <v>5184</v>
      </c>
      <c r="N1079" t="s">
        <v>5260</v>
      </c>
      <c r="O1079" t="s">
        <v>5261</v>
      </c>
      <c r="P1079">
        <v>4716</v>
      </c>
      <c r="Q1079" t="s">
        <v>40</v>
      </c>
      <c r="R1079" t="s">
        <v>124</v>
      </c>
      <c r="S1079" t="s">
        <v>6938</v>
      </c>
    </row>
    <row r="1080" spans="1:19" x14ac:dyDescent="0.25">
      <c r="A1080">
        <v>2021</v>
      </c>
      <c r="B1080">
        <v>3754</v>
      </c>
      <c r="C1080" t="s">
        <v>1529</v>
      </c>
      <c r="D1080" t="s">
        <v>635</v>
      </c>
      <c r="E1080">
        <v>211110</v>
      </c>
      <c r="F1080" t="s">
        <v>233</v>
      </c>
      <c r="G1080" t="s">
        <v>234</v>
      </c>
      <c r="H1080" t="s">
        <v>85</v>
      </c>
      <c r="I1080" t="s">
        <v>348</v>
      </c>
      <c r="J1080" t="s">
        <v>349</v>
      </c>
      <c r="K1080" t="s">
        <v>350</v>
      </c>
      <c r="L1080" t="s">
        <v>5167</v>
      </c>
      <c r="M1080" t="s">
        <v>5168</v>
      </c>
      <c r="N1080" t="s">
        <v>5175</v>
      </c>
      <c r="O1080" t="s">
        <v>5176</v>
      </c>
      <c r="P1080">
        <v>7.7000000000000002E-3</v>
      </c>
      <c r="Q1080" t="s">
        <v>29</v>
      </c>
      <c r="R1080" t="s">
        <v>30</v>
      </c>
      <c r="S1080" t="s">
        <v>6938</v>
      </c>
    </row>
    <row r="1081" spans="1:19" x14ac:dyDescent="0.25">
      <c r="A1081">
        <v>2020</v>
      </c>
      <c r="B1081">
        <v>30830</v>
      </c>
      <c r="C1081" t="s">
        <v>3661</v>
      </c>
      <c r="D1081" t="s">
        <v>5309</v>
      </c>
      <c r="E1081">
        <v>211141</v>
      </c>
      <c r="F1081" t="s">
        <v>1189</v>
      </c>
      <c r="G1081" t="s">
        <v>1190</v>
      </c>
      <c r="H1081" t="s">
        <v>85</v>
      </c>
      <c r="I1081" t="s">
        <v>491</v>
      </c>
      <c r="J1081" t="s">
        <v>492</v>
      </c>
      <c r="K1081" t="s">
        <v>492</v>
      </c>
      <c r="L1081" t="s">
        <v>5167</v>
      </c>
      <c r="M1081" t="s">
        <v>5168</v>
      </c>
      <c r="N1081" t="s">
        <v>5169</v>
      </c>
      <c r="O1081" t="s">
        <v>5170</v>
      </c>
      <c r="P1081">
        <v>2.0000000000000001E-4</v>
      </c>
      <c r="Q1081" t="s">
        <v>29</v>
      </c>
      <c r="R1081" t="s">
        <v>30</v>
      </c>
      <c r="S1081" t="s">
        <v>6938</v>
      </c>
    </row>
    <row r="1082" spans="1:19" x14ac:dyDescent="0.25">
      <c r="A1082">
        <v>2019</v>
      </c>
      <c r="B1082">
        <v>5390</v>
      </c>
      <c r="C1082" t="s">
        <v>5310</v>
      </c>
      <c r="D1082" t="s">
        <v>5311</v>
      </c>
      <c r="E1082">
        <v>221320</v>
      </c>
      <c r="F1082" t="s">
        <v>146</v>
      </c>
      <c r="G1082" t="s">
        <v>147</v>
      </c>
      <c r="H1082" t="s">
        <v>85</v>
      </c>
      <c r="I1082" t="s">
        <v>35</v>
      </c>
      <c r="J1082" t="s">
        <v>36</v>
      </c>
      <c r="K1082" t="s">
        <v>37</v>
      </c>
      <c r="L1082" t="s">
        <v>5167</v>
      </c>
      <c r="M1082" t="s">
        <v>5168</v>
      </c>
      <c r="N1082" t="s">
        <v>5175</v>
      </c>
      <c r="O1082" t="s">
        <v>5176</v>
      </c>
      <c r="P1082">
        <v>1091.6600000000001</v>
      </c>
      <c r="Q1082" t="s">
        <v>40</v>
      </c>
      <c r="R1082" t="s">
        <v>124</v>
      </c>
      <c r="S1082" t="s">
        <v>6938</v>
      </c>
    </row>
    <row r="1083" spans="1:19" x14ac:dyDescent="0.25">
      <c r="A1083">
        <v>2011</v>
      </c>
      <c r="B1083">
        <v>3571</v>
      </c>
      <c r="C1083" t="s">
        <v>5312</v>
      </c>
      <c r="D1083" t="s">
        <v>5313</v>
      </c>
      <c r="E1083">
        <v>221320</v>
      </c>
      <c r="F1083" t="s">
        <v>390</v>
      </c>
      <c r="G1083" t="s">
        <v>147</v>
      </c>
      <c r="H1083" t="s">
        <v>79</v>
      </c>
      <c r="I1083" t="s">
        <v>152</v>
      </c>
      <c r="J1083" t="s">
        <v>153</v>
      </c>
      <c r="K1083" t="s">
        <v>154</v>
      </c>
      <c r="L1083" t="s">
        <v>5167</v>
      </c>
      <c r="M1083" t="s">
        <v>5168</v>
      </c>
      <c r="N1083" t="s">
        <v>5169</v>
      </c>
      <c r="O1083" t="s">
        <v>5170</v>
      </c>
      <c r="P1083">
        <v>37.268999999999998</v>
      </c>
      <c r="Q1083" t="s">
        <v>29</v>
      </c>
      <c r="R1083" t="s">
        <v>124</v>
      </c>
      <c r="S1083" t="s">
        <v>6938</v>
      </c>
    </row>
    <row r="1084" spans="1:19" x14ac:dyDescent="0.25">
      <c r="A1084">
        <v>2011</v>
      </c>
      <c r="B1084">
        <v>20225</v>
      </c>
      <c r="C1084" t="s">
        <v>5314</v>
      </c>
      <c r="D1084" t="s">
        <v>5315</v>
      </c>
      <c r="E1084">
        <v>212299</v>
      </c>
      <c r="F1084" t="s">
        <v>5299</v>
      </c>
      <c r="G1084" t="s">
        <v>1435</v>
      </c>
      <c r="H1084" t="s">
        <v>379</v>
      </c>
      <c r="I1084" t="s">
        <v>402</v>
      </c>
      <c r="J1084" t="s">
        <v>403</v>
      </c>
      <c r="K1084" t="s">
        <v>404</v>
      </c>
      <c r="L1084" t="s">
        <v>5183</v>
      </c>
      <c r="M1084" t="s">
        <v>5184</v>
      </c>
      <c r="N1084" t="s">
        <v>5260</v>
      </c>
      <c r="O1084" t="s">
        <v>5261</v>
      </c>
      <c r="P1084">
        <v>0</v>
      </c>
      <c r="Q1084" t="s">
        <v>29</v>
      </c>
      <c r="R1084" t="s">
        <v>30</v>
      </c>
      <c r="S1084" t="s">
        <v>6938</v>
      </c>
    </row>
    <row r="1085" spans="1:19" x14ac:dyDescent="0.25">
      <c r="A1085">
        <v>2002</v>
      </c>
      <c r="B1085">
        <v>2587</v>
      </c>
      <c r="C1085" t="s">
        <v>5316</v>
      </c>
      <c r="D1085" t="s">
        <v>5317</v>
      </c>
      <c r="E1085">
        <v>322121</v>
      </c>
      <c r="F1085" t="s">
        <v>764</v>
      </c>
      <c r="G1085" t="s">
        <v>765</v>
      </c>
      <c r="H1085" t="s">
        <v>79</v>
      </c>
      <c r="I1085" t="s">
        <v>136</v>
      </c>
      <c r="J1085" t="s">
        <v>137</v>
      </c>
      <c r="K1085" t="s">
        <v>138</v>
      </c>
      <c r="L1085" t="s">
        <v>5183</v>
      </c>
      <c r="M1085" t="s">
        <v>5184</v>
      </c>
      <c r="N1085" t="s">
        <v>5175</v>
      </c>
      <c r="O1085" t="s">
        <v>5176</v>
      </c>
      <c r="P1085">
        <v>0.31</v>
      </c>
      <c r="Q1085" t="s">
        <v>29</v>
      </c>
      <c r="R1085" t="s">
        <v>442</v>
      </c>
      <c r="S1085" t="s">
        <v>6938</v>
      </c>
    </row>
    <row r="1086" spans="1:19" x14ac:dyDescent="0.25">
      <c r="A1086">
        <v>2017</v>
      </c>
      <c r="B1086">
        <v>5189</v>
      </c>
      <c r="C1086" t="s">
        <v>212</v>
      </c>
      <c r="D1086" t="s">
        <v>826</v>
      </c>
      <c r="E1086">
        <v>221320</v>
      </c>
      <c r="F1086" t="s">
        <v>146</v>
      </c>
      <c r="G1086" t="s">
        <v>147</v>
      </c>
      <c r="H1086" t="s">
        <v>69</v>
      </c>
      <c r="I1086" t="s">
        <v>106</v>
      </c>
      <c r="J1086" t="s">
        <v>107</v>
      </c>
      <c r="K1086" t="s">
        <v>108</v>
      </c>
      <c r="L1086" t="s">
        <v>5167</v>
      </c>
      <c r="M1086" t="s">
        <v>5168</v>
      </c>
      <c r="N1086" t="s">
        <v>5169</v>
      </c>
      <c r="O1086" t="s">
        <v>5170</v>
      </c>
      <c r="P1086">
        <v>20.461500000000001</v>
      </c>
      <c r="Q1086" t="s">
        <v>40</v>
      </c>
      <c r="R1086" t="s">
        <v>124</v>
      </c>
      <c r="S1086" t="s">
        <v>6938</v>
      </c>
    </row>
    <row r="1087" spans="1:19" x14ac:dyDescent="0.25">
      <c r="A1087">
        <v>2005</v>
      </c>
      <c r="B1087">
        <v>1344</v>
      </c>
      <c r="C1087" t="s">
        <v>5318</v>
      </c>
      <c r="D1087" t="s">
        <v>291</v>
      </c>
      <c r="E1087">
        <v>331514</v>
      </c>
      <c r="F1087" t="s">
        <v>1756</v>
      </c>
      <c r="G1087" t="s">
        <v>293</v>
      </c>
      <c r="H1087" t="s">
        <v>54</v>
      </c>
      <c r="I1087" t="s">
        <v>324</v>
      </c>
      <c r="J1087" t="s">
        <v>325</v>
      </c>
      <c r="K1087" t="s">
        <v>326</v>
      </c>
      <c r="L1087" t="s">
        <v>5167</v>
      </c>
      <c r="M1087" t="s">
        <v>5168</v>
      </c>
      <c r="N1087" t="s">
        <v>5169</v>
      </c>
      <c r="O1087" t="s">
        <v>5170</v>
      </c>
      <c r="P1087">
        <v>21.096</v>
      </c>
      <c r="Q1087" t="s">
        <v>40</v>
      </c>
      <c r="R1087" t="s">
        <v>30</v>
      </c>
      <c r="S1087" t="s">
        <v>6938</v>
      </c>
    </row>
    <row r="1088" spans="1:19" x14ac:dyDescent="0.25">
      <c r="A1088">
        <v>2008</v>
      </c>
      <c r="B1088">
        <v>8518</v>
      </c>
      <c r="C1088" t="s">
        <v>5319</v>
      </c>
      <c r="D1088" t="s">
        <v>5320</v>
      </c>
      <c r="E1088">
        <v>221320</v>
      </c>
      <c r="F1088" t="s">
        <v>390</v>
      </c>
      <c r="G1088" t="s">
        <v>147</v>
      </c>
      <c r="H1088" t="s">
        <v>79</v>
      </c>
      <c r="I1088" t="s">
        <v>97</v>
      </c>
      <c r="J1088" t="s">
        <v>98</v>
      </c>
      <c r="K1088" t="s">
        <v>99</v>
      </c>
      <c r="L1088" t="s">
        <v>5167</v>
      </c>
      <c r="M1088" t="s">
        <v>5168</v>
      </c>
      <c r="N1088" t="s">
        <v>5175</v>
      </c>
      <c r="O1088" t="s">
        <v>5176</v>
      </c>
      <c r="P1088">
        <v>9.0719999999999992</v>
      </c>
      <c r="Q1088" t="s">
        <v>29</v>
      </c>
      <c r="R1088" t="s">
        <v>124</v>
      </c>
      <c r="S1088" t="s">
        <v>6938</v>
      </c>
    </row>
    <row r="1089" spans="1:19" x14ac:dyDescent="0.25">
      <c r="A1089">
        <v>2019</v>
      </c>
      <c r="B1089">
        <v>1221</v>
      </c>
      <c r="C1089" t="s">
        <v>5321</v>
      </c>
      <c r="D1089" t="s">
        <v>5322</v>
      </c>
      <c r="E1089">
        <v>322112</v>
      </c>
      <c r="F1089" t="s">
        <v>660</v>
      </c>
      <c r="G1089" t="s">
        <v>621</v>
      </c>
      <c r="H1089" t="s">
        <v>661</v>
      </c>
      <c r="I1089" t="s">
        <v>152</v>
      </c>
      <c r="J1089" t="s">
        <v>153</v>
      </c>
      <c r="K1089" t="s">
        <v>154</v>
      </c>
      <c r="L1089" t="s">
        <v>5167</v>
      </c>
      <c r="M1089" t="s">
        <v>5168</v>
      </c>
      <c r="N1089" t="s">
        <v>5169</v>
      </c>
      <c r="O1089" t="s">
        <v>5170</v>
      </c>
      <c r="P1089">
        <v>1.78</v>
      </c>
      <c r="Q1089" t="s">
        <v>29</v>
      </c>
      <c r="R1089" t="s">
        <v>124</v>
      </c>
      <c r="S1089" t="s">
        <v>6938</v>
      </c>
    </row>
    <row r="1090" spans="1:19" x14ac:dyDescent="0.25">
      <c r="A1090">
        <v>2023</v>
      </c>
      <c r="B1090">
        <v>2924</v>
      </c>
      <c r="C1090" t="s">
        <v>5323</v>
      </c>
      <c r="D1090" t="s">
        <v>5324</v>
      </c>
      <c r="E1090">
        <v>322112</v>
      </c>
      <c r="F1090" t="s">
        <v>660</v>
      </c>
      <c r="G1090" t="s">
        <v>621</v>
      </c>
      <c r="H1090" t="s">
        <v>69</v>
      </c>
      <c r="I1090" t="s">
        <v>543</v>
      </c>
      <c r="J1090" t="s">
        <v>544</v>
      </c>
      <c r="K1090" t="s">
        <v>545</v>
      </c>
      <c r="L1090" t="s">
        <v>5167</v>
      </c>
      <c r="M1090" t="s">
        <v>5168</v>
      </c>
      <c r="N1090" t="s">
        <v>5169</v>
      </c>
      <c r="O1090" t="s">
        <v>5170</v>
      </c>
      <c r="P1090">
        <v>18.05</v>
      </c>
      <c r="Q1090" t="s">
        <v>40</v>
      </c>
      <c r="R1090" t="s">
        <v>430</v>
      </c>
      <c r="S1090" t="s">
        <v>6938</v>
      </c>
    </row>
    <row r="1091" spans="1:19" x14ac:dyDescent="0.25">
      <c r="A1091">
        <v>2003</v>
      </c>
      <c r="B1091">
        <v>1162</v>
      </c>
      <c r="C1091" t="s">
        <v>2047</v>
      </c>
      <c r="D1091" t="s">
        <v>1315</v>
      </c>
      <c r="E1091">
        <v>325110</v>
      </c>
      <c r="F1091" t="s">
        <v>1194</v>
      </c>
      <c r="G1091" t="s">
        <v>445</v>
      </c>
      <c r="H1091" t="s">
        <v>85</v>
      </c>
      <c r="I1091" t="s">
        <v>55</v>
      </c>
      <c r="J1091" t="s">
        <v>56</v>
      </c>
      <c r="K1091" t="s">
        <v>57</v>
      </c>
      <c r="L1091" t="s">
        <v>5183</v>
      </c>
      <c r="M1091" t="s">
        <v>5184</v>
      </c>
      <c r="N1091" t="s">
        <v>5195</v>
      </c>
      <c r="O1091" t="s">
        <v>5196</v>
      </c>
      <c r="P1091">
        <v>231.48400000000001</v>
      </c>
      <c r="Q1091" t="s">
        <v>29</v>
      </c>
      <c r="R1091" t="s">
        <v>124</v>
      </c>
      <c r="S1091" t="s">
        <v>6938</v>
      </c>
    </row>
    <row r="1092" spans="1:19" x14ac:dyDescent="0.25">
      <c r="A1092">
        <v>2021</v>
      </c>
      <c r="B1092">
        <v>4065</v>
      </c>
      <c r="C1092" t="s">
        <v>507</v>
      </c>
      <c r="D1092" t="s">
        <v>5325</v>
      </c>
      <c r="E1092">
        <v>412110</v>
      </c>
      <c r="F1092" t="s">
        <v>127</v>
      </c>
      <c r="G1092" t="s">
        <v>128</v>
      </c>
      <c r="H1092" t="s">
        <v>69</v>
      </c>
      <c r="I1092" t="s">
        <v>271</v>
      </c>
      <c r="J1092" t="s">
        <v>272</v>
      </c>
      <c r="K1092" t="s">
        <v>273</v>
      </c>
      <c r="L1092" t="s">
        <v>5167</v>
      </c>
      <c r="M1092" t="s">
        <v>5168</v>
      </c>
      <c r="N1092" t="s">
        <v>5169</v>
      </c>
      <c r="O1092" t="s">
        <v>5170</v>
      </c>
      <c r="P1092">
        <v>1.12E-4</v>
      </c>
      <c r="Q1092" t="s">
        <v>29</v>
      </c>
      <c r="R1092" t="s">
        <v>30</v>
      </c>
      <c r="S1092" t="s">
        <v>6938</v>
      </c>
    </row>
    <row r="1093" spans="1:19" x14ac:dyDescent="0.25">
      <c r="A1093">
        <v>2000</v>
      </c>
      <c r="B1093">
        <v>2493</v>
      </c>
      <c r="C1093" t="s">
        <v>5326</v>
      </c>
      <c r="D1093" t="s">
        <v>5327</v>
      </c>
      <c r="E1093">
        <v>321114</v>
      </c>
      <c r="F1093" t="s">
        <v>365</v>
      </c>
      <c r="G1093" t="s">
        <v>366</v>
      </c>
      <c r="H1093" t="s">
        <v>69</v>
      </c>
      <c r="I1093" t="s">
        <v>209</v>
      </c>
      <c r="J1093" t="s">
        <v>210</v>
      </c>
      <c r="K1093" t="s">
        <v>211</v>
      </c>
      <c r="L1093" t="s">
        <v>5167</v>
      </c>
      <c r="M1093" t="s">
        <v>5168</v>
      </c>
      <c r="N1093" t="s">
        <v>5169</v>
      </c>
      <c r="O1093" t="s">
        <v>5170</v>
      </c>
      <c r="P1093">
        <v>0.22500000000000001</v>
      </c>
      <c r="Q1093" t="s">
        <v>29</v>
      </c>
      <c r="R1093" t="s">
        <v>442</v>
      </c>
      <c r="S1093" t="s">
        <v>6938</v>
      </c>
    </row>
    <row r="1094" spans="1:19" x14ac:dyDescent="0.25">
      <c r="A1094">
        <v>2019</v>
      </c>
      <c r="B1094">
        <v>16491</v>
      </c>
      <c r="C1094" t="s">
        <v>1704</v>
      </c>
      <c r="D1094" t="s">
        <v>5328</v>
      </c>
      <c r="E1094">
        <v>211110</v>
      </c>
      <c r="F1094" t="s">
        <v>233</v>
      </c>
      <c r="G1094" t="s">
        <v>234</v>
      </c>
      <c r="H1094" t="s">
        <v>85</v>
      </c>
      <c r="I1094" t="s">
        <v>491</v>
      </c>
      <c r="J1094" t="s">
        <v>492</v>
      </c>
      <c r="K1094" t="s">
        <v>492</v>
      </c>
      <c r="L1094" t="s">
        <v>5167</v>
      </c>
      <c r="M1094" t="s">
        <v>5168</v>
      </c>
      <c r="N1094" t="s">
        <v>5195</v>
      </c>
      <c r="O1094" t="s">
        <v>5196</v>
      </c>
      <c r="P1094">
        <v>0.56699999999999995</v>
      </c>
      <c r="Q1094" t="s">
        <v>29</v>
      </c>
      <c r="R1094" t="s">
        <v>50</v>
      </c>
      <c r="S1094" t="s">
        <v>6938</v>
      </c>
    </row>
    <row r="1095" spans="1:19" x14ac:dyDescent="0.25">
      <c r="A1095">
        <v>2015</v>
      </c>
      <c r="B1095">
        <v>2710</v>
      </c>
      <c r="C1095" t="s">
        <v>5329</v>
      </c>
      <c r="D1095" t="s">
        <v>5330</v>
      </c>
      <c r="E1095">
        <v>212220</v>
      </c>
      <c r="F1095" t="s">
        <v>1619</v>
      </c>
      <c r="G1095" t="s">
        <v>1620</v>
      </c>
      <c r="H1095" t="s">
        <v>21</v>
      </c>
      <c r="I1095" t="s">
        <v>35</v>
      </c>
      <c r="J1095" t="s">
        <v>36</v>
      </c>
      <c r="K1095" t="s">
        <v>37</v>
      </c>
      <c r="L1095" t="s">
        <v>5183</v>
      </c>
      <c r="M1095" t="s">
        <v>5184</v>
      </c>
      <c r="N1095" t="s">
        <v>5260</v>
      </c>
      <c r="O1095" t="s">
        <v>5261</v>
      </c>
      <c r="P1095">
        <v>4576.9065000000001</v>
      </c>
      <c r="Q1095" t="s">
        <v>40</v>
      </c>
      <c r="R1095" t="s">
        <v>50</v>
      </c>
      <c r="S1095" t="s">
        <v>6938</v>
      </c>
    </row>
    <row r="1096" spans="1:19" x14ac:dyDescent="0.25">
      <c r="A1096">
        <v>2005</v>
      </c>
      <c r="B1096">
        <v>477</v>
      </c>
      <c r="C1096" t="s">
        <v>5331</v>
      </c>
      <c r="D1096" t="s">
        <v>547</v>
      </c>
      <c r="E1096">
        <v>325999</v>
      </c>
      <c r="F1096" t="s">
        <v>396</v>
      </c>
      <c r="G1096" t="s">
        <v>397</v>
      </c>
      <c r="H1096" t="s">
        <v>21</v>
      </c>
      <c r="I1096" t="s">
        <v>435</v>
      </c>
      <c r="J1096" t="s">
        <v>436</v>
      </c>
      <c r="K1096" t="s">
        <v>437</v>
      </c>
      <c r="L1096" t="s">
        <v>5183</v>
      </c>
      <c r="M1096" t="s">
        <v>5184</v>
      </c>
      <c r="N1096" t="s">
        <v>5195</v>
      </c>
      <c r="O1096" t="s">
        <v>5196</v>
      </c>
      <c r="P1096">
        <v>0</v>
      </c>
      <c r="Q1096" t="s">
        <v>29</v>
      </c>
      <c r="R1096" t="s">
        <v>124</v>
      </c>
      <c r="S1096" t="s">
        <v>6938</v>
      </c>
    </row>
    <row r="1097" spans="1:19" x14ac:dyDescent="0.25">
      <c r="A1097">
        <v>2007</v>
      </c>
      <c r="B1097">
        <v>6688</v>
      </c>
      <c r="C1097" t="s">
        <v>5332</v>
      </c>
      <c r="D1097" t="s">
        <v>5333</v>
      </c>
      <c r="E1097">
        <v>221119</v>
      </c>
      <c r="F1097" t="s">
        <v>1851</v>
      </c>
      <c r="G1097" t="s">
        <v>323</v>
      </c>
      <c r="H1097" t="s">
        <v>69</v>
      </c>
      <c r="I1097" t="s">
        <v>152</v>
      </c>
      <c r="J1097" t="s">
        <v>153</v>
      </c>
      <c r="K1097" t="s">
        <v>154</v>
      </c>
      <c r="L1097" t="s">
        <v>5183</v>
      </c>
      <c r="M1097" t="s">
        <v>5184</v>
      </c>
      <c r="N1097" t="s">
        <v>5169</v>
      </c>
      <c r="O1097" t="s">
        <v>5170</v>
      </c>
      <c r="P1097">
        <v>66.021000000000001</v>
      </c>
      <c r="Q1097" t="s">
        <v>29</v>
      </c>
      <c r="R1097" t="s">
        <v>124</v>
      </c>
      <c r="S1097" t="s">
        <v>6938</v>
      </c>
    </row>
    <row r="1098" spans="1:19" x14ac:dyDescent="0.25">
      <c r="A1098">
        <v>2019</v>
      </c>
      <c r="B1098">
        <v>5189</v>
      </c>
      <c r="C1098" t="s">
        <v>212</v>
      </c>
      <c r="D1098" t="s">
        <v>826</v>
      </c>
      <c r="E1098">
        <v>221320</v>
      </c>
      <c r="F1098" t="s">
        <v>146</v>
      </c>
      <c r="G1098" t="s">
        <v>147</v>
      </c>
      <c r="H1098" t="s">
        <v>69</v>
      </c>
      <c r="I1098" t="s">
        <v>152</v>
      </c>
      <c r="J1098" t="s">
        <v>153</v>
      </c>
      <c r="K1098" t="s">
        <v>154</v>
      </c>
      <c r="L1098" t="s">
        <v>5167</v>
      </c>
      <c r="M1098" t="s">
        <v>5168</v>
      </c>
      <c r="N1098" t="s">
        <v>5169</v>
      </c>
      <c r="O1098" t="s">
        <v>5170</v>
      </c>
      <c r="P1098">
        <v>7.4917999999999996</v>
      </c>
      <c r="Q1098" t="s">
        <v>29</v>
      </c>
      <c r="R1098" t="s">
        <v>124</v>
      </c>
      <c r="S1098" t="s">
        <v>6938</v>
      </c>
    </row>
    <row r="1099" spans="1:19" x14ac:dyDescent="0.25">
      <c r="A1099">
        <v>2011</v>
      </c>
      <c r="B1099">
        <v>2984</v>
      </c>
      <c r="C1099" t="s">
        <v>5334</v>
      </c>
      <c r="D1099" t="s">
        <v>5335</v>
      </c>
      <c r="E1099">
        <v>331110</v>
      </c>
      <c r="F1099" t="s">
        <v>335</v>
      </c>
      <c r="G1099" t="s">
        <v>336</v>
      </c>
      <c r="H1099" t="s">
        <v>21</v>
      </c>
      <c r="I1099" t="s">
        <v>5336</v>
      </c>
      <c r="J1099" t="s">
        <v>5337</v>
      </c>
      <c r="K1099" t="s">
        <v>5337</v>
      </c>
      <c r="L1099" t="s">
        <v>5167</v>
      </c>
      <c r="M1099" t="s">
        <v>5168</v>
      </c>
      <c r="N1099" t="s">
        <v>5169</v>
      </c>
      <c r="O1099" t="s">
        <v>5170</v>
      </c>
      <c r="P1099">
        <v>0.20169999999999999</v>
      </c>
      <c r="Q1099" t="s">
        <v>40</v>
      </c>
      <c r="R1099" t="s">
        <v>124</v>
      </c>
      <c r="S1099" t="s">
        <v>6938</v>
      </c>
    </row>
    <row r="1100" spans="1:19" x14ac:dyDescent="0.25">
      <c r="A1100">
        <v>1993</v>
      </c>
      <c r="B1100">
        <v>658</v>
      </c>
      <c r="C1100" t="s">
        <v>5338</v>
      </c>
      <c r="D1100" t="s">
        <v>1733</v>
      </c>
      <c r="E1100">
        <v>325189</v>
      </c>
      <c r="F1100" t="s">
        <v>1290</v>
      </c>
      <c r="G1100" t="s">
        <v>1291</v>
      </c>
      <c r="H1100" t="s">
        <v>243</v>
      </c>
      <c r="I1100" t="s">
        <v>136</v>
      </c>
      <c r="J1100" t="s">
        <v>137</v>
      </c>
      <c r="K1100" t="s">
        <v>138</v>
      </c>
      <c r="L1100" t="s">
        <v>5167</v>
      </c>
      <c r="M1100" t="s">
        <v>5168</v>
      </c>
      <c r="N1100" t="s">
        <v>5169</v>
      </c>
      <c r="O1100" t="s">
        <v>5170</v>
      </c>
      <c r="P1100">
        <v>0.437</v>
      </c>
      <c r="Q1100" t="s">
        <v>29</v>
      </c>
      <c r="S1100" t="s">
        <v>6938</v>
      </c>
    </row>
    <row r="1101" spans="1:19" x14ac:dyDescent="0.25">
      <c r="A1101">
        <v>2007</v>
      </c>
      <c r="B1101">
        <v>4063</v>
      </c>
      <c r="C1101" t="s">
        <v>1376</v>
      </c>
      <c r="D1101" t="s">
        <v>5339</v>
      </c>
      <c r="E1101">
        <v>322112</v>
      </c>
      <c r="F1101" t="s">
        <v>620</v>
      </c>
      <c r="G1101" t="s">
        <v>621</v>
      </c>
      <c r="H1101" t="s">
        <v>69</v>
      </c>
      <c r="I1101" t="s">
        <v>461</v>
      </c>
      <c r="J1101" t="s">
        <v>462</v>
      </c>
      <c r="K1101" t="s">
        <v>463</v>
      </c>
      <c r="L1101" t="s">
        <v>5183</v>
      </c>
      <c r="M1101" t="s">
        <v>5184</v>
      </c>
      <c r="N1101" t="s">
        <v>5169</v>
      </c>
      <c r="O1101" t="s">
        <v>5170</v>
      </c>
      <c r="P1101">
        <v>456.68</v>
      </c>
      <c r="Q1101" t="s">
        <v>40</v>
      </c>
      <c r="R1101" t="s">
        <v>430</v>
      </c>
      <c r="S1101" t="s">
        <v>6938</v>
      </c>
    </row>
    <row r="1102" spans="1:19" x14ac:dyDescent="0.25">
      <c r="A1102">
        <v>2007</v>
      </c>
      <c r="B1102">
        <v>3476</v>
      </c>
      <c r="C1102" t="s">
        <v>1231</v>
      </c>
      <c r="D1102" t="s">
        <v>1104</v>
      </c>
      <c r="E1102">
        <v>336110</v>
      </c>
      <c r="F1102" t="s">
        <v>377</v>
      </c>
      <c r="G1102" t="s">
        <v>44</v>
      </c>
      <c r="H1102" t="s">
        <v>21</v>
      </c>
      <c r="I1102" t="s">
        <v>80</v>
      </c>
      <c r="J1102" t="s">
        <v>81</v>
      </c>
      <c r="K1102" t="s">
        <v>82</v>
      </c>
      <c r="L1102" t="s">
        <v>5167</v>
      </c>
      <c r="M1102" t="s">
        <v>5168</v>
      </c>
      <c r="N1102" t="s">
        <v>5169</v>
      </c>
      <c r="O1102" t="s">
        <v>5170</v>
      </c>
      <c r="P1102">
        <v>0</v>
      </c>
      <c r="Q1102" t="s">
        <v>29</v>
      </c>
      <c r="R1102" t="s">
        <v>30</v>
      </c>
      <c r="S1102" t="s">
        <v>6938</v>
      </c>
    </row>
    <row r="1103" spans="1:19" x14ac:dyDescent="0.25">
      <c r="A1103">
        <v>2004</v>
      </c>
      <c r="B1103">
        <v>7844</v>
      </c>
      <c r="C1103" t="s">
        <v>5326</v>
      </c>
      <c r="D1103" t="s">
        <v>5340</v>
      </c>
      <c r="E1103">
        <v>321111</v>
      </c>
      <c r="F1103" t="s">
        <v>1474</v>
      </c>
      <c r="G1103" t="s">
        <v>1368</v>
      </c>
      <c r="H1103" t="s">
        <v>69</v>
      </c>
      <c r="I1103" t="s">
        <v>35</v>
      </c>
      <c r="J1103" t="s">
        <v>36</v>
      </c>
      <c r="K1103" t="s">
        <v>37</v>
      </c>
      <c r="L1103" t="s">
        <v>5183</v>
      </c>
      <c r="M1103" t="s">
        <v>5184</v>
      </c>
      <c r="N1103" t="s">
        <v>5169</v>
      </c>
      <c r="O1103" t="s">
        <v>5170</v>
      </c>
      <c r="P1103">
        <v>95.382999999999996</v>
      </c>
      <c r="Q1103" t="s">
        <v>40</v>
      </c>
      <c r="R1103" t="s">
        <v>430</v>
      </c>
      <c r="S1103" t="s">
        <v>6938</v>
      </c>
    </row>
    <row r="1104" spans="1:19" x14ac:dyDescent="0.25">
      <c r="A1104">
        <v>2020</v>
      </c>
      <c r="B1104">
        <v>2960</v>
      </c>
      <c r="C1104" t="s">
        <v>507</v>
      </c>
      <c r="D1104" t="s">
        <v>2214</v>
      </c>
      <c r="E1104">
        <v>324110</v>
      </c>
      <c r="F1104" t="s">
        <v>196</v>
      </c>
      <c r="G1104" t="s">
        <v>96</v>
      </c>
      <c r="H1104" t="s">
        <v>85</v>
      </c>
      <c r="I1104" t="s">
        <v>129</v>
      </c>
      <c r="J1104" t="s">
        <v>130</v>
      </c>
      <c r="K1104" t="s">
        <v>131</v>
      </c>
      <c r="L1104" t="s">
        <v>5183</v>
      </c>
      <c r="M1104" t="s">
        <v>5184</v>
      </c>
      <c r="N1104" t="s">
        <v>5195</v>
      </c>
      <c r="O1104" t="s">
        <v>5196</v>
      </c>
      <c r="P1104">
        <v>0.29599999999999999</v>
      </c>
      <c r="Q1104" t="s">
        <v>29</v>
      </c>
      <c r="R1104" t="s">
        <v>50</v>
      </c>
      <c r="S1104" t="s">
        <v>6938</v>
      </c>
    </row>
    <row r="1105" spans="1:19" x14ac:dyDescent="0.25">
      <c r="A1105">
        <v>2017</v>
      </c>
      <c r="B1105">
        <v>3959</v>
      </c>
      <c r="C1105" t="s">
        <v>5341</v>
      </c>
      <c r="D1105" t="s">
        <v>5342</v>
      </c>
      <c r="E1105">
        <v>322111</v>
      </c>
      <c r="F1105" t="s">
        <v>5343</v>
      </c>
      <c r="G1105" t="s">
        <v>1078</v>
      </c>
      <c r="H1105" t="s">
        <v>85</v>
      </c>
      <c r="I1105" t="s">
        <v>184</v>
      </c>
      <c r="J1105" t="s">
        <v>185</v>
      </c>
      <c r="K1105" t="s">
        <v>186</v>
      </c>
      <c r="L1105" t="s">
        <v>5167</v>
      </c>
      <c r="M1105" t="s">
        <v>5168</v>
      </c>
      <c r="N1105" t="s">
        <v>5175</v>
      </c>
      <c r="O1105" t="s">
        <v>5176</v>
      </c>
      <c r="P1105">
        <v>12.048</v>
      </c>
      <c r="Q1105" t="s">
        <v>40</v>
      </c>
      <c r="R1105" t="s">
        <v>124</v>
      </c>
      <c r="S1105" t="s">
        <v>6938</v>
      </c>
    </row>
    <row r="1106" spans="1:19" x14ac:dyDescent="0.25">
      <c r="A1106">
        <v>2016</v>
      </c>
      <c r="B1106">
        <v>3571</v>
      </c>
      <c r="C1106" t="s">
        <v>5312</v>
      </c>
      <c r="D1106" t="s">
        <v>5313</v>
      </c>
      <c r="E1106">
        <v>221320</v>
      </c>
      <c r="F1106" t="s">
        <v>146</v>
      </c>
      <c r="G1106" t="s">
        <v>147</v>
      </c>
      <c r="H1106" t="s">
        <v>79</v>
      </c>
      <c r="I1106" t="s">
        <v>35</v>
      </c>
      <c r="J1106" t="s">
        <v>36</v>
      </c>
      <c r="K1106" t="s">
        <v>37</v>
      </c>
      <c r="L1106" t="s">
        <v>5167</v>
      </c>
      <c r="M1106" t="s">
        <v>5168</v>
      </c>
      <c r="N1106" t="s">
        <v>5169</v>
      </c>
      <c r="O1106" t="s">
        <v>5170</v>
      </c>
      <c r="P1106">
        <v>4231</v>
      </c>
      <c r="Q1106" t="s">
        <v>40</v>
      </c>
      <c r="R1106" t="s">
        <v>124</v>
      </c>
      <c r="S1106" t="s">
        <v>6938</v>
      </c>
    </row>
    <row r="1107" spans="1:19" x14ac:dyDescent="0.25">
      <c r="A1107">
        <v>2019</v>
      </c>
      <c r="B1107">
        <v>10233</v>
      </c>
      <c r="C1107" t="s">
        <v>125</v>
      </c>
      <c r="D1107" t="s">
        <v>5344</v>
      </c>
      <c r="E1107">
        <v>412110</v>
      </c>
      <c r="F1107" t="s">
        <v>127</v>
      </c>
      <c r="G1107" t="s">
        <v>128</v>
      </c>
      <c r="H1107" t="s">
        <v>21</v>
      </c>
      <c r="I1107" t="s">
        <v>70</v>
      </c>
      <c r="J1107" t="s">
        <v>71</v>
      </c>
      <c r="K1107" t="s">
        <v>72</v>
      </c>
      <c r="L1107" t="s">
        <v>5167</v>
      </c>
      <c r="M1107" t="s">
        <v>5168</v>
      </c>
      <c r="N1107" t="s">
        <v>5223</v>
      </c>
      <c r="O1107" t="s">
        <v>5224</v>
      </c>
      <c r="P1107">
        <v>9.9731E-2</v>
      </c>
      <c r="Q1107" t="s">
        <v>29</v>
      </c>
      <c r="R1107" t="s">
        <v>30</v>
      </c>
      <c r="S1107" t="s">
        <v>6938</v>
      </c>
    </row>
    <row r="1108" spans="1:19" x14ac:dyDescent="0.25">
      <c r="A1108">
        <v>2011</v>
      </c>
      <c r="B1108">
        <v>10258</v>
      </c>
      <c r="C1108" t="s">
        <v>5345</v>
      </c>
      <c r="D1108" t="s">
        <v>5346</v>
      </c>
      <c r="E1108">
        <v>221320</v>
      </c>
      <c r="F1108" t="s">
        <v>390</v>
      </c>
      <c r="G1108" t="s">
        <v>147</v>
      </c>
      <c r="H1108" t="s">
        <v>21</v>
      </c>
      <c r="I1108" t="s">
        <v>324</v>
      </c>
      <c r="J1108" t="s">
        <v>325</v>
      </c>
      <c r="K1108" t="s">
        <v>326</v>
      </c>
      <c r="L1108" t="s">
        <v>5167</v>
      </c>
      <c r="M1108" t="s">
        <v>5168</v>
      </c>
      <c r="N1108" t="s">
        <v>5223</v>
      </c>
      <c r="O1108" t="s">
        <v>5224</v>
      </c>
      <c r="P1108">
        <v>0.80600000000000005</v>
      </c>
      <c r="Q1108" t="s">
        <v>40</v>
      </c>
      <c r="R1108" t="s">
        <v>124</v>
      </c>
      <c r="S1108" t="s">
        <v>6938</v>
      </c>
    </row>
    <row r="1109" spans="1:19" x14ac:dyDescent="0.25">
      <c r="A1109">
        <v>1998</v>
      </c>
      <c r="B1109">
        <v>3753</v>
      </c>
      <c r="C1109" t="s">
        <v>921</v>
      </c>
      <c r="D1109" t="s">
        <v>922</v>
      </c>
      <c r="E1109">
        <v>211113</v>
      </c>
      <c r="F1109" t="s">
        <v>425</v>
      </c>
      <c r="G1109" t="s">
        <v>426</v>
      </c>
      <c r="H1109" t="s">
        <v>85</v>
      </c>
      <c r="I1109" t="s">
        <v>80</v>
      </c>
      <c r="J1109" t="s">
        <v>81</v>
      </c>
      <c r="K1109" t="s">
        <v>82</v>
      </c>
      <c r="L1109" t="s">
        <v>5167</v>
      </c>
      <c r="M1109" t="s">
        <v>5168</v>
      </c>
      <c r="N1109" t="s">
        <v>5195</v>
      </c>
      <c r="O1109" t="s">
        <v>5196</v>
      </c>
      <c r="P1109">
        <v>11.676</v>
      </c>
      <c r="Q1109" t="s">
        <v>29</v>
      </c>
      <c r="R1109" t="s">
        <v>30</v>
      </c>
      <c r="S1109" t="s">
        <v>6938</v>
      </c>
    </row>
    <row r="1110" spans="1:19" x14ac:dyDescent="0.25">
      <c r="A1110">
        <v>2022</v>
      </c>
      <c r="B1110">
        <v>5182</v>
      </c>
      <c r="C1110" t="s">
        <v>5347</v>
      </c>
      <c r="D1110" t="s">
        <v>5348</v>
      </c>
      <c r="E1110">
        <v>325189</v>
      </c>
      <c r="F1110" t="s">
        <v>1660</v>
      </c>
      <c r="G1110" t="s">
        <v>1291</v>
      </c>
      <c r="H1110" t="s">
        <v>69</v>
      </c>
      <c r="I1110" t="s">
        <v>337</v>
      </c>
      <c r="J1110" t="s">
        <v>338</v>
      </c>
      <c r="K1110" t="s">
        <v>339</v>
      </c>
      <c r="L1110" t="s">
        <v>5167</v>
      </c>
      <c r="M1110" t="s">
        <v>5168</v>
      </c>
      <c r="N1110" t="s">
        <v>5169</v>
      </c>
      <c r="O1110" t="s">
        <v>5170</v>
      </c>
      <c r="P1110">
        <v>1.472</v>
      </c>
      <c r="Q1110" t="s">
        <v>29</v>
      </c>
      <c r="R1110" t="s">
        <v>30</v>
      </c>
      <c r="S1110" t="s">
        <v>6938</v>
      </c>
    </row>
    <row r="1111" spans="1:19" x14ac:dyDescent="0.25">
      <c r="A1111">
        <v>2006</v>
      </c>
      <c r="B1111">
        <v>7294</v>
      </c>
      <c r="C1111" t="s">
        <v>5349</v>
      </c>
      <c r="D1111" t="s">
        <v>5350</v>
      </c>
      <c r="E1111">
        <v>541990</v>
      </c>
      <c r="F1111" t="s">
        <v>5351</v>
      </c>
      <c r="G1111" t="s">
        <v>1786</v>
      </c>
      <c r="H1111" t="s">
        <v>21</v>
      </c>
      <c r="I1111" t="s">
        <v>35</v>
      </c>
      <c r="J1111" t="s">
        <v>36</v>
      </c>
      <c r="K1111" t="s">
        <v>37</v>
      </c>
      <c r="L1111" t="s">
        <v>5167</v>
      </c>
      <c r="M1111" t="s">
        <v>5168</v>
      </c>
      <c r="N1111" t="s">
        <v>5169</v>
      </c>
      <c r="O1111" t="s">
        <v>5170</v>
      </c>
      <c r="P1111">
        <v>1.17</v>
      </c>
      <c r="Q1111" t="s">
        <v>40</v>
      </c>
      <c r="R1111" t="s">
        <v>30</v>
      </c>
      <c r="S1111" t="s">
        <v>6938</v>
      </c>
    </row>
    <row r="1112" spans="1:19" x14ac:dyDescent="0.25">
      <c r="A1112">
        <v>2007</v>
      </c>
      <c r="B1112">
        <v>7858</v>
      </c>
      <c r="C1112" t="s">
        <v>5352</v>
      </c>
      <c r="D1112" t="s">
        <v>5353</v>
      </c>
      <c r="E1112">
        <v>221320</v>
      </c>
      <c r="F1112" t="s">
        <v>390</v>
      </c>
      <c r="G1112" t="s">
        <v>147</v>
      </c>
      <c r="H1112" t="s">
        <v>69</v>
      </c>
      <c r="I1112" t="s">
        <v>244</v>
      </c>
      <c r="J1112" t="s">
        <v>245</v>
      </c>
      <c r="K1112" t="s">
        <v>246</v>
      </c>
      <c r="L1112" t="s">
        <v>5167</v>
      </c>
      <c r="M1112" t="s">
        <v>5168</v>
      </c>
      <c r="N1112" t="s">
        <v>5175</v>
      </c>
      <c r="O1112" t="s">
        <v>5176</v>
      </c>
      <c r="P1112">
        <v>1.2010000000000001</v>
      </c>
      <c r="Q1112" t="s">
        <v>40</v>
      </c>
      <c r="R1112" t="s">
        <v>124</v>
      </c>
      <c r="S1112" t="s">
        <v>6938</v>
      </c>
    </row>
    <row r="1113" spans="1:19" x14ac:dyDescent="0.25">
      <c r="A1113">
        <v>2021</v>
      </c>
      <c r="B1113">
        <v>7838</v>
      </c>
      <c r="C1113" t="s">
        <v>2057</v>
      </c>
      <c r="D1113" t="s">
        <v>2252</v>
      </c>
      <c r="E1113">
        <v>212114</v>
      </c>
      <c r="F1113" t="s">
        <v>2059</v>
      </c>
      <c r="G1113" t="s">
        <v>2060</v>
      </c>
      <c r="H1113" t="s">
        <v>69</v>
      </c>
      <c r="I1113" t="s">
        <v>62</v>
      </c>
      <c r="J1113" t="s">
        <v>63</v>
      </c>
      <c r="K1113" t="s">
        <v>64</v>
      </c>
      <c r="L1113" t="s">
        <v>5183</v>
      </c>
      <c r="M1113" t="s">
        <v>5184</v>
      </c>
      <c r="N1113" t="s">
        <v>5185</v>
      </c>
      <c r="O1113" t="s">
        <v>5186</v>
      </c>
      <c r="P1113">
        <v>18.4892</v>
      </c>
      <c r="Q1113" t="s">
        <v>29</v>
      </c>
      <c r="R1113" t="s">
        <v>124</v>
      </c>
      <c r="S1113" t="s">
        <v>6938</v>
      </c>
    </row>
    <row r="1114" spans="1:19" x14ac:dyDescent="0.25">
      <c r="A1114">
        <v>2011</v>
      </c>
      <c r="B1114">
        <v>930</v>
      </c>
      <c r="C1114" t="s">
        <v>5277</v>
      </c>
      <c r="D1114" t="s">
        <v>5354</v>
      </c>
      <c r="E1114">
        <v>322112</v>
      </c>
      <c r="F1114" t="s">
        <v>620</v>
      </c>
      <c r="G1114" t="s">
        <v>621</v>
      </c>
      <c r="H1114" t="s">
        <v>21</v>
      </c>
      <c r="I1114" t="s">
        <v>324</v>
      </c>
      <c r="J1114" t="s">
        <v>325</v>
      </c>
      <c r="K1114" t="s">
        <v>326</v>
      </c>
      <c r="L1114" t="s">
        <v>5167</v>
      </c>
      <c r="M1114" t="s">
        <v>5168</v>
      </c>
      <c r="N1114" t="s">
        <v>5169</v>
      </c>
      <c r="O1114" t="s">
        <v>5170</v>
      </c>
      <c r="P1114">
        <v>28.313800000000001</v>
      </c>
      <c r="Q1114" t="s">
        <v>40</v>
      </c>
      <c r="R1114" t="s">
        <v>157</v>
      </c>
      <c r="S1114" t="s">
        <v>6938</v>
      </c>
    </row>
    <row r="1115" spans="1:19" x14ac:dyDescent="0.25">
      <c r="A1115">
        <v>2018</v>
      </c>
      <c r="B1115">
        <v>2776</v>
      </c>
      <c r="C1115" t="s">
        <v>5355</v>
      </c>
      <c r="D1115" t="s">
        <v>1199</v>
      </c>
      <c r="E1115">
        <v>324110</v>
      </c>
      <c r="F1115" t="s">
        <v>196</v>
      </c>
      <c r="G1115" t="s">
        <v>96</v>
      </c>
      <c r="H1115" t="s">
        <v>69</v>
      </c>
      <c r="I1115" t="s">
        <v>844</v>
      </c>
      <c r="J1115" t="s">
        <v>845</v>
      </c>
      <c r="K1115" t="s">
        <v>846</v>
      </c>
      <c r="L1115" t="s">
        <v>5167</v>
      </c>
      <c r="M1115" t="s">
        <v>5168</v>
      </c>
      <c r="N1115" t="s">
        <v>5169</v>
      </c>
      <c r="O1115" t="s">
        <v>5170</v>
      </c>
      <c r="P1115">
        <v>0.28100000000000003</v>
      </c>
      <c r="Q1115" t="s">
        <v>29</v>
      </c>
      <c r="R1115" t="s">
        <v>124</v>
      </c>
      <c r="S1115" t="s">
        <v>6938</v>
      </c>
    </row>
    <row r="1116" spans="1:19" x14ac:dyDescent="0.25">
      <c r="A1116">
        <v>2014</v>
      </c>
      <c r="B1116">
        <v>27506</v>
      </c>
      <c r="C1116" t="s">
        <v>1323</v>
      </c>
      <c r="D1116" t="s">
        <v>1356</v>
      </c>
      <c r="E1116">
        <v>211114</v>
      </c>
      <c r="F1116" t="s">
        <v>956</v>
      </c>
      <c r="G1116" t="s">
        <v>836</v>
      </c>
      <c r="H1116" t="s">
        <v>85</v>
      </c>
      <c r="I1116" t="s">
        <v>348</v>
      </c>
      <c r="J1116" t="s">
        <v>349</v>
      </c>
      <c r="K1116" t="s">
        <v>350</v>
      </c>
      <c r="L1116" t="s">
        <v>5167</v>
      </c>
      <c r="M1116" t="s">
        <v>5168</v>
      </c>
      <c r="N1116" t="s">
        <v>5169</v>
      </c>
      <c r="O1116" t="s">
        <v>5170</v>
      </c>
      <c r="P1116">
        <v>1E-3</v>
      </c>
      <c r="Q1116" t="s">
        <v>29</v>
      </c>
      <c r="R1116" t="s">
        <v>30</v>
      </c>
      <c r="S1116" t="s">
        <v>6938</v>
      </c>
    </row>
    <row r="1117" spans="1:19" x14ac:dyDescent="0.25">
      <c r="A1117">
        <v>2021</v>
      </c>
      <c r="B1117">
        <v>5614</v>
      </c>
      <c r="C1117" t="s">
        <v>1525</v>
      </c>
      <c r="D1117" t="s">
        <v>1526</v>
      </c>
      <c r="E1117">
        <v>221320</v>
      </c>
      <c r="F1117" t="s">
        <v>146</v>
      </c>
      <c r="G1117" t="s">
        <v>147</v>
      </c>
      <c r="H1117" t="s">
        <v>21</v>
      </c>
      <c r="I1117" t="s">
        <v>461</v>
      </c>
      <c r="J1117" t="s">
        <v>462</v>
      </c>
      <c r="K1117" t="s">
        <v>463</v>
      </c>
      <c r="L1117" t="s">
        <v>5167</v>
      </c>
      <c r="M1117" t="s">
        <v>5168</v>
      </c>
      <c r="N1117" t="s">
        <v>5175</v>
      </c>
      <c r="O1117" t="s">
        <v>5176</v>
      </c>
      <c r="P1117">
        <v>52.99</v>
      </c>
      <c r="Q1117" t="s">
        <v>40</v>
      </c>
      <c r="R1117" t="s">
        <v>124</v>
      </c>
      <c r="S1117" t="s">
        <v>6938</v>
      </c>
    </row>
    <row r="1118" spans="1:19" x14ac:dyDescent="0.25">
      <c r="A1118">
        <v>2000</v>
      </c>
      <c r="B1118">
        <v>5429</v>
      </c>
      <c r="C1118" t="s">
        <v>5356</v>
      </c>
      <c r="D1118" t="s">
        <v>5357</v>
      </c>
      <c r="E1118">
        <v>325999</v>
      </c>
      <c r="F1118" t="s">
        <v>396</v>
      </c>
      <c r="G1118" t="s">
        <v>397</v>
      </c>
      <c r="H1118" t="s">
        <v>79</v>
      </c>
      <c r="I1118" t="s">
        <v>191</v>
      </c>
      <c r="J1118" t="s">
        <v>192</v>
      </c>
      <c r="K1118" t="s">
        <v>193</v>
      </c>
      <c r="L1118" t="s">
        <v>5167</v>
      </c>
      <c r="M1118" t="s">
        <v>5168</v>
      </c>
      <c r="N1118" t="s">
        <v>5169</v>
      </c>
      <c r="O1118" t="s">
        <v>5170</v>
      </c>
      <c r="P1118">
        <v>4.3999999999999997E-2</v>
      </c>
      <c r="Q1118" t="s">
        <v>29</v>
      </c>
      <c r="R1118" t="s">
        <v>442</v>
      </c>
      <c r="S1118" t="s">
        <v>6938</v>
      </c>
    </row>
    <row r="1119" spans="1:19" x14ac:dyDescent="0.25">
      <c r="A1119">
        <v>2012</v>
      </c>
      <c r="B1119">
        <v>2230</v>
      </c>
      <c r="C1119" t="s">
        <v>1548</v>
      </c>
      <c r="D1119" t="s">
        <v>1514</v>
      </c>
      <c r="E1119">
        <v>211114</v>
      </c>
      <c r="F1119" t="s">
        <v>956</v>
      </c>
      <c r="G1119" t="s">
        <v>836</v>
      </c>
      <c r="H1119" t="s">
        <v>85</v>
      </c>
      <c r="I1119" t="s">
        <v>5358</v>
      </c>
      <c r="J1119" t="s">
        <v>5359</v>
      </c>
      <c r="K1119" t="s">
        <v>5360</v>
      </c>
      <c r="L1119" t="s">
        <v>5183</v>
      </c>
      <c r="M1119" t="s">
        <v>5184</v>
      </c>
      <c r="N1119" t="s">
        <v>5185</v>
      </c>
      <c r="O1119" t="s">
        <v>5186</v>
      </c>
      <c r="P1119">
        <v>6732.5909000000001</v>
      </c>
      <c r="Q1119" t="s">
        <v>40</v>
      </c>
      <c r="R1119" t="s">
        <v>124</v>
      </c>
      <c r="S1119" t="s">
        <v>6938</v>
      </c>
    </row>
    <row r="1120" spans="1:19" x14ac:dyDescent="0.25">
      <c r="A1120">
        <v>2007</v>
      </c>
      <c r="B1120">
        <v>4925</v>
      </c>
      <c r="C1120" t="s">
        <v>4551</v>
      </c>
      <c r="D1120" t="s">
        <v>4552</v>
      </c>
      <c r="E1120">
        <v>331529</v>
      </c>
      <c r="F1120" t="s">
        <v>760</v>
      </c>
      <c r="G1120" t="s">
        <v>761</v>
      </c>
      <c r="H1120" t="s">
        <v>79</v>
      </c>
      <c r="I1120" t="s">
        <v>177</v>
      </c>
      <c r="J1120" t="s">
        <v>178</v>
      </c>
      <c r="K1120" t="s">
        <v>179</v>
      </c>
      <c r="L1120" t="s">
        <v>5167</v>
      </c>
      <c r="M1120" t="s">
        <v>5168</v>
      </c>
      <c r="N1120" t="s">
        <v>5169</v>
      </c>
      <c r="O1120" t="s">
        <v>5170</v>
      </c>
      <c r="P1120">
        <v>0.15</v>
      </c>
      <c r="Q1120" t="s">
        <v>29</v>
      </c>
      <c r="R1120" t="s">
        <v>30</v>
      </c>
      <c r="S1120" t="s">
        <v>6938</v>
      </c>
    </row>
    <row r="1121" spans="1:19" x14ac:dyDescent="0.25">
      <c r="A1121">
        <v>2022</v>
      </c>
      <c r="B1121">
        <v>5448</v>
      </c>
      <c r="C1121" t="s">
        <v>1109</v>
      </c>
      <c r="D1121" t="s">
        <v>5361</v>
      </c>
      <c r="E1121">
        <v>212232</v>
      </c>
      <c r="F1121" t="s">
        <v>2003</v>
      </c>
      <c r="G1121" t="s">
        <v>2004</v>
      </c>
      <c r="H1121" t="s">
        <v>79</v>
      </c>
      <c r="I1121" t="s">
        <v>500</v>
      </c>
      <c r="J1121" t="s">
        <v>501</v>
      </c>
      <c r="K1121" t="s">
        <v>502</v>
      </c>
      <c r="L1121" t="s">
        <v>5183</v>
      </c>
      <c r="M1121" t="s">
        <v>5184</v>
      </c>
      <c r="N1121" t="s">
        <v>5185</v>
      </c>
      <c r="O1121" t="s">
        <v>5186</v>
      </c>
      <c r="P1121">
        <v>8044.7381100000002</v>
      </c>
      <c r="Q1121" t="s">
        <v>40</v>
      </c>
      <c r="R1121" t="s">
        <v>124</v>
      </c>
      <c r="S1121" t="s">
        <v>6938</v>
      </c>
    </row>
    <row r="1122" spans="1:19" x14ac:dyDescent="0.25">
      <c r="A1122">
        <v>2019</v>
      </c>
      <c r="B1122">
        <v>2607</v>
      </c>
      <c r="C1122" t="s">
        <v>5362</v>
      </c>
      <c r="D1122" t="s">
        <v>5363</v>
      </c>
      <c r="E1122">
        <v>322112</v>
      </c>
      <c r="F1122" t="s">
        <v>660</v>
      </c>
      <c r="G1122" t="s">
        <v>621</v>
      </c>
      <c r="H1122" t="s">
        <v>21</v>
      </c>
      <c r="I1122" t="s">
        <v>136</v>
      </c>
      <c r="J1122" t="s">
        <v>137</v>
      </c>
      <c r="K1122" t="s">
        <v>138</v>
      </c>
      <c r="L1122" t="s">
        <v>5167</v>
      </c>
      <c r="M1122" t="s">
        <v>5168</v>
      </c>
      <c r="N1122" t="s">
        <v>5223</v>
      </c>
      <c r="O1122" t="s">
        <v>5224</v>
      </c>
      <c r="P1122">
        <v>0</v>
      </c>
      <c r="Q1122" t="s">
        <v>29</v>
      </c>
      <c r="R1122" t="s">
        <v>30</v>
      </c>
      <c r="S1122" t="s">
        <v>6938</v>
      </c>
    </row>
    <row r="1123" spans="1:19" x14ac:dyDescent="0.25">
      <c r="A1123">
        <v>2001</v>
      </c>
      <c r="B1123">
        <v>5211</v>
      </c>
      <c r="C1123" t="s">
        <v>947</v>
      </c>
      <c r="D1123" t="s">
        <v>5364</v>
      </c>
      <c r="E1123">
        <v>211113</v>
      </c>
      <c r="F1123" t="s">
        <v>425</v>
      </c>
      <c r="G1123" t="s">
        <v>426</v>
      </c>
      <c r="H1123" t="s">
        <v>85</v>
      </c>
      <c r="I1123" t="s">
        <v>491</v>
      </c>
      <c r="J1123" t="s">
        <v>492</v>
      </c>
      <c r="K1123" t="s">
        <v>492</v>
      </c>
      <c r="L1123" t="s">
        <v>5167</v>
      </c>
      <c r="M1123" t="s">
        <v>5168</v>
      </c>
      <c r="N1123" t="s">
        <v>5169</v>
      </c>
      <c r="O1123" t="s">
        <v>5170</v>
      </c>
      <c r="P1123">
        <v>7.0000000000000007E-2</v>
      </c>
      <c r="Q1123" t="s">
        <v>29</v>
      </c>
      <c r="R1123" t="s">
        <v>30</v>
      </c>
      <c r="S1123" t="s">
        <v>6938</v>
      </c>
    </row>
    <row r="1124" spans="1:19" x14ac:dyDescent="0.25">
      <c r="A1124">
        <v>2016</v>
      </c>
      <c r="B1124">
        <v>22493</v>
      </c>
      <c r="C1124" t="s">
        <v>5365</v>
      </c>
      <c r="D1124" t="s">
        <v>5366</v>
      </c>
      <c r="E1124">
        <v>211114</v>
      </c>
      <c r="F1124" t="s">
        <v>956</v>
      </c>
      <c r="G1124" t="s">
        <v>836</v>
      </c>
      <c r="H1124" t="s">
        <v>85</v>
      </c>
      <c r="I1124" t="s">
        <v>55</v>
      </c>
      <c r="J1124" t="s">
        <v>56</v>
      </c>
      <c r="K1124" t="s">
        <v>57</v>
      </c>
      <c r="L1124" t="s">
        <v>5183</v>
      </c>
      <c r="M1124" t="s">
        <v>5184</v>
      </c>
      <c r="N1124" t="s">
        <v>5195</v>
      </c>
      <c r="O1124" t="s">
        <v>5196</v>
      </c>
      <c r="P1124">
        <v>16.913</v>
      </c>
      <c r="Q1124" t="s">
        <v>29</v>
      </c>
      <c r="R1124" t="s">
        <v>30</v>
      </c>
      <c r="S1124" t="s">
        <v>6938</v>
      </c>
    </row>
    <row r="1125" spans="1:19" x14ac:dyDescent="0.25">
      <c r="A1125">
        <v>1996</v>
      </c>
      <c r="B1125">
        <v>2360</v>
      </c>
      <c r="C1125" t="s">
        <v>5367</v>
      </c>
      <c r="D1125" t="s">
        <v>5368</v>
      </c>
      <c r="E1125">
        <v>326290</v>
      </c>
      <c r="F1125" t="s">
        <v>451</v>
      </c>
      <c r="G1125" t="s">
        <v>452</v>
      </c>
      <c r="H1125" t="s">
        <v>79</v>
      </c>
      <c r="I1125" t="s">
        <v>152</v>
      </c>
      <c r="J1125" t="s">
        <v>153</v>
      </c>
      <c r="K1125" t="s">
        <v>154</v>
      </c>
      <c r="L1125" t="s">
        <v>5167</v>
      </c>
      <c r="M1125" t="s">
        <v>5168</v>
      </c>
      <c r="N1125" t="s">
        <v>5169</v>
      </c>
      <c r="O1125" t="s">
        <v>5170</v>
      </c>
      <c r="P1125">
        <v>2.46</v>
      </c>
      <c r="Q1125" t="s">
        <v>29</v>
      </c>
      <c r="R1125" t="s">
        <v>30</v>
      </c>
      <c r="S1125" t="s">
        <v>6938</v>
      </c>
    </row>
    <row r="1126" spans="1:19" x14ac:dyDescent="0.25">
      <c r="A1126">
        <v>2013</v>
      </c>
      <c r="B1126">
        <v>21096</v>
      </c>
      <c r="C1126" t="s">
        <v>1027</v>
      </c>
      <c r="D1126" t="s">
        <v>2890</v>
      </c>
      <c r="E1126">
        <v>211113</v>
      </c>
      <c r="F1126" t="s">
        <v>786</v>
      </c>
      <c r="G1126" t="s">
        <v>426</v>
      </c>
      <c r="H1126" t="s">
        <v>85</v>
      </c>
      <c r="I1126" t="s">
        <v>129</v>
      </c>
      <c r="J1126" t="s">
        <v>130</v>
      </c>
      <c r="K1126" t="s">
        <v>131</v>
      </c>
      <c r="L1126" t="s">
        <v>5183</v>
      </c>
      <c r="M1126" t="s">
        <v>5184</v>
      </c>
      <c r="N1126" t="s">
        <v>5195</v>
      </c>
      <c r="O1126" t="s">
        <v>5196</v>
      </c>
      <c r="P1126">
        <v>4.2500000000000003E-2</v>
      </c>
      <c r="Q1126" t="s">
        <v>29</v>
      </c>
      <c r="R1126" t="s">
        <v>30</v>
      </c>
      <c r="S1126" t="s">
        <v>6938</v>
      </c>
    </row>
    <row r="1127" spans="1:19" x14ac:dyDescent="0.25">
      <c r="A1127">
        <v>2017</v>
      </c>
      <c r="B1127">
        <v>4063</v>
      </c>
      <c r="C1127" t="s">
        <v>5369</v>
      </c>
      <c r="D1127" t="s">
        <v>5370</v>
      </c>
      <c r="E1127">
        <v>322112</v>
      </c>
      <c r="F1127" t="s">
        <v>660</v>
      </c>
      <c r="G1127" t="s">
        <v>621</v>
      </c>
      <c r="H1127" t="s">
        <v>69</v>
      </c>
      <c r="I1127" t="s">
        <v>244</v>
      </c>
      <c r="J1127" t="s">
        <v>245</v>
      </c>
      <c r="K1127" t="s">
        <v>246</v>
      </c>
      <c r="L1127" t="s">
        <v>5183</v>
      </c>
      <c r="M1127" t="s">
        <v>5184</v>
      </c>
      <c r="N1127" t="s">
        <v>5169</v>
      </c>
      <c r="O1127" t="s">
        <v>5170</v>
      </c>
      <c r="P1127">
        <v>111.88</v>
      </c>
      <c r="Q1127" t="s">
        <v>40</v>
      </c>
      <c r="R1127" t="s">
        <v>430</v>
      </c>
      <c r="S1127" t="s">
        <v>6938</v>
      </c>
    </row>
    <row r="1128" spans="1:19" x14ac:dyDescent="0.25">
      <c r="A1128">
        <v>2012</v>
      </c>
      <c r="B1128">
        <v>2712</v>
      </c>
      <c r="C1128" t="s">
        <v>5371</v>
      </c>
      <c r="D1128" t="s">
        <v>5372</v>
      </c>
      <c r="E1128">
        <v>324110</v>
      </c>
      <c r="F1128" t="s">
        <v>196</v>
      </c>
      <c r="G1128" t="s">
        <v>96</v>
      </c>
      <c r="H1128" t="s">
        <v>243</v>
      </c>
      <c r="I1128" t="s">
        <v>913</v>
      </c>
      <c r="J1128" t="s">
        <v>914</v>
      </c>
      <c r="K1128" t="s">
        <v>915</v>
      </c>
      <c r="L1128" t="s">
        <v>5167</v>
      </c>
      <c r="M1128" t="s">
        <v>5168</v>
      </c>
      <c r="N1128" t="s">
        <v>5169</v>
      </c>
      <c r="O1128" t="s">
        <v>5170</v>
      </c>
      <c r="P1128">
        <v>10.71</v>
      </c>
      <c r="Q1128" t="s">
        <v>29</v>
      </c>
      <c r="R1128" t="s">
        <v>50</v>
      </c>
      <c r="S1128" t="s">
        <v>6938</v>
      </c>
    </row>
    <row r="1129" spans="1:19" x14ac:dyDescent="0.25">
      <c r="A1129">
        <v>2001</v>
      </c>
      <c r="B1129">
        <v>308</v>
      </c>
      <c r="C1129" t="s">
        <v>5266</v>
      </c>
      <c r="E1129">
        <v>325999</v>
      </c>
      <c r="F1129" t="s">
        <v>396</v>
      </c>
      <c r="G1129" t="s">
        <v>397</v>
      </c>
      <c r="H1129" t="s">
        <v>79</v>
      </c>
      <c r="I1129" t="s">
        <v>86</v>
      </c>
      <c r="J1129" t="s">
        <v>87</v>
      </c>
      <c r="K1129" t="s">
        <v>88</v>
      </c>
      <c r="L1129" t="s">
        <v>5167</v>
      </c>
      <c r="M1129" t="s">
        <v>5168</v>
      </c>
      <c r="N1129" t="s">
        <v>5169</v>
      </c>
      <c r="O1129" t="s">
        <v>5170</v>
      </c>
      <c r="P1129">
        <v>0.29599999999999999</v>
      </c>
      <c r="Q1129" t="s">
        <v>29</v>
      </c>
      <c r="R1129" t="s">
        <v>50</v>
      </c>
      <c r="S1129" t="s">
        <v>6938</v>
      </c>
    </row>
    <row r="1130" spans="1:19" x14ac:dyDescent="0.25">
      <c r="A1130">
        <v>2008</v>
      </c>
      <c r="B1130">
        <v>2070</v>
      </c>
      <c r="C1130" t="s">
        <v>5373</v>
      </c>
      <c r="D1130" t="s">
        <v>5373</v>
      </c>
      <c r="E1130">
        <v>325190</v>
      </c>
      <c r="F1130" t="s">
        <v>832</v>
      </c>
      <c r="G1130" t="s">
        <v>601</v>
      </c>
      <c r="H1130" t="s">
        <v>21</v>
      </c>
      <c r="I1130" t="s">
        <v>1251</v>
      </c>
      <c r="J1130" t="s">
        <v>1252</v>
      </c>
      <c r="K1130" t="s">
        <v>1253</v>
      </c>
      <c r="L1130" t="s">
        <v>5167</v>
      </c>
      <c r="M1130" t="s">
        <v>5168</v>
      </c>
      <c r="N1130" t="s">
        <v>5169</v>
      </c>
      <c r="O1130" t="s">
        <v>5170</v>
      </c>
      <c r="P1130">
        <v>3229.3</v>
      </c>
      <c r="Q1130" t="s">
        <v>40</v>
      </c>
      <c r="R1130" t="s">
        <v>30</v>
      </c>
      <c r="S1130" t="s">
        <v>6938</v>
      </c>
    </row>
    <row r="1131" spans="1:19" x14ac:dyDescent="0.25">
      <c r="A1131">
        <v>2022</v>
      </c>
      <c r="B1131">
        <v>26132</v>
      </c>
      <c r="C1131" t="s">
        <v>1741</v>
      </c>
      <c r="D1131" t="s">
        <v>5374</v>
      </c>
      <c r="E1131">
        <v>212220</v>
      </c>
      <c r="F1131" t="s">
        <v>1619</v>
      </c>
      <c r="G1131" t="s">
        <v>1620</v>
      </c>
      <c r="H1131" t="s">
        <v>21</v>
      </c>
      <c r="I1131" t="s">
        <v>152</v>
      </c>
      <c r="J1131" t="s">
        <v>153</v>
      </c>
      <c r="K1131" t="s">
        <v>154</v>
      </c>
      <c r="L1131" t="s">
        <v>5183</v>
      </c>
      <c r="M1131" t="s">
        <v>5184</v>
      </c>
      <c r="N1131" t="s">
        <v>5260</v>
      </c>
      <c r="O1131" t="s">
        <v>5261</v>
      </c>
      <c r="P1131">
        <v>0</v>
      </c>
      <c r="Q1131" t="s">
        <v>29</v>
      </c>
      <c r="R1131" t="s">
        <v>124</v>
      </c>
      <c r="S1131" t="s">
        <v>6938</v>
      </c>
    </row>
    <row r="1132" spans="1:19" x14ac:dyDescent="0.25">
      <c r="A1132">
        <v>2021</v>
      </c>
      <c r="B1132">
        <v>25284</v>
      </c>
      <c r="C1132" t="s">
        <v>1614</v>
      </c>
      <c r="D1132" t="s">
        <v>5375</v>
      </c>
      <c r="E1132">
        <v>211110</v>
      </c>
      <c r="F1132" t="s">
        <v>233</v>
      </c>
      <c r="G1132" t="s">
        <v>234</v>
      </c>
      <c r="H1132" t="s">
        <v>85</v>
      </c>
      <c r="I1132" t="s">
        <v>70</v>
      </c>
      <c r="J1132" t="s">
        <v>71</v>
      </c>
      <c r="K1132" t="s">
        <v>72</v>
      </c>
      <c r="L1132" t="s">
        <v>5167</v>
      </c>
      <c r="M1132" t="s">
        <v>5168</v>
      </c>
      <c r="N1132" t="s">
        <v>5169</v>
      </c>
      <c r="O1132" t="s">
        <v>5170</v>
      </c>
      <c r="P1132">
        <v>10.843299999999999</v>
      </c>
      <c r="Q1132" t="s">
        <v>29</v>
      </c>
      <c r="R1132" t="s">
        <v>30</v>
      </c>
      <c r="S1132" t="s">
        <v>6938</v>
      </c>
    </row>
    <row r="1133" spans="1:19" x14ac:dyDescent="0.25">
      <c r="A1133">
        <v>2013</v>
      </c>
      <c r="B1133">
        <v>1928</v>
      </c>
      <c r="C1133" t="s">
        <v>65</v>
      </c>
      <c r="D1133" t="s">
        <v>5376</v>
      </c>
      <c r="E1133">
        <v>562210</v>
      </c>
      <c r="F1133" t="s">
        <v>84</v>
      </c>
      <c r="G1133" t="s">
        <v>53</v>
      </c>
      <c r="H1133" t="s">
        <v>21</v>
      </c>
      <c r="I1133" t="s">
        <v>209</v>
      </c>
      <c r="J1133" t="s">
        <v>210</v>
      </c>
      <c r="K1133" t="s">
        <v>211</v>
      </c>
      <c r="L1133" t="s">
        <v>5167</v>
      </c>
      <c r="M1133" t="s">
        <v>5168</v>
      </c>
      <c r="N1133" t="s">
        <v>5169</v>
      </c>
      <c r="O1133" t="s">
        <v>5170</v>
      </c>
      <c r="P1133">
        <v>16.364999999999998</v>
      </c>
      <c r="Q1133" t="s">
        <v>29</v>
      </c>
      <c r="R1133" t="s">
        <v>124</v>
      </c>
      <c r="S1133" t="s">
        <v>6938</v>
      </c>
    </row>
    <row r="1134" spans="1:19" x14ac:dyDescent="0.25">
      <c r="A1134">
        <v>2003</v>
      </c>
      <c r="B1134">
        <v>1861</v>
      </c>
      <c r="C1134" t="s">
        <v>909</v>
      </c>
      <c r="D1134" t="s">
        <v>825</v>
      </c>
      <c r="E1134">
        <v>221112</v>
      </c>
      <c r="F1134" t="s">
        <v>134</v>
      </c>
      <c r="G1134" t="s">
        <v>135</v>
      </c>
      <c r="H1134" t="s">
        <v>21</v>
      </c>
      <c r="I1134" t="s">
        <v>847</v>
      </c>
      <c r="J1134" t="s">
        <v>848</v>
      </c>
      <c r="K1134" t="s">
        <v>849</v>
      </c>
      <c r="L1134" t="s">
        <v>5183</v>
      </c>
      <c r="M1134" t="s">
        <v>5184</v>
      </c>
      <c r="N1134" t="s">
        <v>5169</v>
      </c>
      <c r="O1134" t="s">
        <v>5170</v>
      </c>
      <c r="P1134">
        <v>7</v>
      </c>
      <c r="Q1134" t="s">
        <v>40</v>
      </c>
      <c r="R1134" t="s">
        <v>50</v>
      </c>
      <c r="S1134" t="s">
        <v>6938</v>
      </c>
    </row>
    <row r="1135" spans="1:19" x14ac:dyDescent="0.25">
      <c r="A1135">
        <v>2000</v>
      </c>
      <c r="B1135">
        <v>2088</v>
      </c>
      <c r="C1135" t="s">
        <v>5377</v>
      </c>
      <c r="E1135">
        <v>335315</v>
      </c>
      <c r="F1135" t="s">
        <v>5378</v>
      </c>
      <c r="G1135" t="s">
        <v>1034</v>
      </c>
      <c r="H1135" t="s">
        <v>21</v>
      </c>
      <c r="I1135" t="s">
        <v>177</v>
      </c>
      <c r="J1135" t="s">
        <v>178</v>
      </c>
      <c r="K1135" t="s">
        <v>179</v>
      </c>
      <c r="L1135" t="s">
        <v>5167</v>
      </c>
      <c r="M1135" t="s">
        <v>5168</v>
      </c>
      <c r="N1135" t="s">
        <v>5169</v>
      </c>
      <c r="O1135" t="s">
        <v>5170</v>
      </c>
      <c r="P1135">
        <v>7.0000000000000001E-3</v>
      </c>
      <c r="Q1135" t="s">
        <v>29</v>
      </c>
      <c r="R1135" t="s">
        <v>50</v>
      </c>
      <c r="S1135" t="s">
        <v>6938</v>
      </c>
    </row>
    <row r="1136" spans="1:19" x14ac:dyDescent="0.25">
      <c r="A1136">
        <v>2002</v>
      </c>
      <c r="B1136">
        <v>3161</v>
      </c>
      <c r="C1136" t="s">
        <v>5288</v>
      </c>
      <c r="D1136" t="s">
        <v>5379</v>
      </c>
      <c r="E1136">
        <v>221113</v>
      </c>
      <c r="F1136" t="s">
        <v>911</v>
      </c>
      <c r="G1136" t="s">
        <v>912</v>
      </c>
      <c r="H1136" t="s">
        <v>21</v>
      </c>
      <c r="I1136" t="s">
        <v>106</v>
      </c>
      <c r="J1136" t="s">
        <v>107</v>
      </c>
      <c r="K1136" t="s">
        <v>108</v>
      </c>
      <c r="L1136" t="s">
        <v>5167</v>
      </c>
      <c r="M1136" t="s">
        <v>5168</v>
      </c>
      <c r="N1136" t="s">
        <v>5223</v>
      </c>
      <c r="O1136" t="s">
        <v>5224</v>
      </c>
      <c r="P1136">
        <v>3.5999999999999997E-2</v>
      </c>
      <c r="Q1136" t="s">
        <v>40</v>
      </c>
      <c r="R1136" t="s">
        <v>30</v>
      </c>
      <c r="S1136" t="s">
        <v>6938</v>
      </c>
    </row>
    <row r="1137" spans="1:19" x14ac:dyDescent="0.25">
      <c r="A1137">
        <v>2016</v>
      </c>
      <c r="B1137">
        <v>22103</v>
      </c>
      <c r="C1137" t="s">
        <v>5193</v>
      </c>
      <c r="D1137" t="s">
        <v>5380</v>
      </c>
      <c r="E1137">
        <v>213118</v>
      </c>
      <c r="F1137" t="s">
        <v>5179</v>
      </c>
      <c r="G1137" t="s">
        <v>1337</v>
      </c>
      <c r="H1137" t="s">
        <v>85</v>
      </c>
      <c r="I1137" t="s">
        <v>271</v>
      </c>
      <c r="J1137" t="s">
        <v>272</v>
      </c>
      <c r="K1137" t="s">
        <v>273</v>
      </c>
      <c r="L1137" t="s">
        <v>5167</v>
      </c>
      <c r="M1137" t="s">
        <v>5168</v>
      </c>
      <c r="N1137" t="s">
        <v>5169</v>
      </c>
      <c r="O1137" t="s">
        <v>5170</v>
      </c>
      <c r="P1137">
        <v>2.06</v>
      </c>
      <c r="Q1137" t="s">
        <v>29</v>
      </c>
      <c r="R1137" t="s">
        <v>30</v>
      </c>
      <c r="S1137" t="s">
        <v>6938</v>
      </c>
    </row>
    <row r="1138" spans="1:19" x14ac:dyDescent="0.25">
      <c r="A1138">
        <v>2015</v>
      </c>
      <c r="B1138">
        <v>23575</v>
      </c>
      <c r="C1138" t="s">
        <v>1649</v>
      </c>
      <c r="D1138" t="s">
        <v>5381</v>
      </c>
      <c r="E1138">
        <v>211113</v>
      </c>
      <c r="F1138" t="s">
        <v>786</v>
      </c>
      <c r="G1138" t="s">
        <v>426</v>
      </c>
      <c r="H1138" t="s">
        <v>85</v>
      </c>
      <c r="I1138" t="s">
        <v>70</v>
      </c>
      <c r="J1138" t="s">
        <v>71</v>
      </c>
      <c r="K1138" t="s">
        <v>72</v>
      </c>
      <c r="L1138" t="s">
        <v>5167</v>
      </c>
      <c r="M1138" t="s">
        <v>5168</v>
      </c>
      <c r="N1138" t="s">
        <v>5169</v>
      </c>
      <c r="O1138" t="s">
        <v>5170</v>
      </c>
      <c r="P1138">
        <v>3.1259999999999999</v>
      </c>
      <c r="Q1138" t="s">
        <v>29</v>
      </c>
      <c r="R1138" t="s">
        <v>30</v>
      </c>
      <c r="S1138" t="s">
        <v>6938</v>
      </c>
    </row>
    <row r="1139" spans="1:19" x14ac:dyDescent="0.25">
      <c r="A1139">
        <v>1993</v>
      </c>
      <c r="B1139">
        <v>520</v>
      </c>
      <c r="C1139" t="s">
        <v>5382</v>
      </c>
      <c r="D1139" t="s">
        <v>5383</v>
      </c>
      <c r="E1139">
        <v>327214</v>
      </c>
      <c r="F1139" t="s">
        <v>5384</v>
      </c>
      <c r="G1139" t="s">
        <v>2213</v>
      </c>
      <c r="H1139" t="s">
        <v>661</v>
      </c>
      <c r="I1139" t="s">
        <v>209</v>
      </c>
      <c r="J1139" t="s">
        <v>210</v>
      </c>
      <c r="K1139" t="s">
        <v>211</v>
      </c>
      <c r="L1139" t="s">
        <v>5167</v>
      </c>
      <c r="M1139" t="s">
        <v>5168</v>
      </c>
      <c r="N1139" t="s">
        <v>5169</v>
      </c>
      <c r="O1139" t="s">
        <v>5170</v>
      </c>
      <c r="P1139">
        <v>0.54500000000000004</v>
      </c>
      <c r="Q1139" t="s">
        <v>29</v>
      </c>
      <c r="S1139" t="s">
        <v>6938</v>
      </c>
    </row>
    <row r="1140" spans="1:19" x14ac:dyDescent="0.25">
      <c r="A1140">
        <v>2015</v>
      </c>
      <c r="B1140">
        <v>3935</v>
      </c>
      <c r="C1140" t="s">
        <v>1043</v>
      </c>
      <c r="D1140" t="s">
        <v>5385</v>
      </c>
      <c r="E1140">
        <v>211113</v>
      </c>
      <c r="F1140" t="s">
        <v>786</v>
      </c>
      <c r="G1140" t="s">
        <v>426</v>
      </c>
      <c r="H1140" t="s">
        <v>69</v>
      </c>
      <c r="I1140" t="s">
        <v>55</v>
      </c>
      <c r="J1140" t="s">
        <v>56</v>
      </c>
      <c r="K1140" t="s">
        <v>57</v>
      </c>
      <c r="L1140" t="s">
        <v>5183</v>
      </c>
      <c r="M1140" t="s">
        <v>5184</v>
      </c>
      <c r="N1140" t="s">
        <v>5195</v>
      </c>
      <c r="O1140" t="s">
        <v>5196</v>
      </c>
      <c r="P1140">
        <v>43.469099999999997</v>
      </c>
      <c r="Q1140" t="s">
        <v>29</v>
      </c>
      <c r="R1140" t="s">
        <v>30</v>
      </c>
      <c r="S1140" t="s">
        <v>6938</v>
      </c>
    </row>
    <row r="1141" spans="1:19" x14ac:dyDescent="0.25">
      <c r="A1141">
        <v>2021</v>
      </c>
      <c r="B1141">
        <v>16103</v>
      </c>
      <c r="C1141" t="s">
        <v>4250</v>
      </c>
      <c r="D1141" t="s">
        <v>5194</v>
      </c>
      <c r="E1141">
        <v>562210</v>
      </c>
      <c r="F1141" t="s">
        <v>84</v>
      </c>
      <c r="G1141" t="s">
        <v>53</v>
      </c>
      <c r="H1141" t="s">
        <v>85</v>
      </c>
      <c r="I1141" t="s">
        <v>427</v>
      </c>
      <c r="J1141" t="s">
        <v>428</v>
      </c>
      <c r="K1141" t="s">
        <v>429</v>
      </c>
      <c r="L1141" t="s">
        <v>5183</v>
      </c>
      <c r="M1141" t="s">
        <v>5184</v>
      </c>
      <c r="N1141" t="s">
        <v>5195</v>
      </c>
      <c r="O1141" t="s">
        <v>5196</v>
      </c>
      <c r="P1141">
        <v>566.65315099999998</v>
      </c>
      <c r="Q1141" t="s">
        <v>29</v>
      </c>
      <c r="R1141" t="s">
        <v>50</v>
      </c>
      <c r="S1141" t="s">
        <v>6938</v>
      </c>
    </row>
    <row r="1142" spans="1:19" x14ac:dyDescent="0.25">
      <c r="A1142">
        <v>2010</v>
      </c>
      <c r="B1142">
        <v>5351</v>
      </c>
      <c r="C1142" t="s">
        <v>5177</v>
      </c>
      <c r="D1142" t="s">
        <v>1335</v>
      </c>
      <c r="E1142">
        <v>213118</v>
      </c>
      <c r="F1142" t="s">
        <v>1336</v>
      </c>
      <c r="G1142" t="s">
        <v>1337</v>
      </c>
      <c r="H1142" t="s">
        <v>85</v>
      </c>
      <c r="I1142" t="s">
        <v>70</v>
      </c>
      <c r="J1142" t="s">
        <v>71</v>
      </c>
      <c r="K1142" t="s">
        <v>72</v>
      </c>
      <c r="L1142" t="s">
        <v>5167</v>
      </c>
      <c r="M1142" t="s">
        <v>5168</v>
      </c>
      <c r="N1142" t="s">
        <v>5195</v>
      </c>
      <c r="O1142" t="s">
        <v>5196</v>
      </c>
      <c r="P1142">
        <v>2.1999999999999999E-2</v>
      </c>
      <c r="Q1142" t="s">
        <v>29</v>
      </c>
      <c r="R1142" t="s">
        <v>30</v>
      </c>
      <c r="S1142" t="s">
        <v>6938</v>
      </c>
    </row>
    <row r="1143" spans="1:19" x14ac:dyDescent="0.25">
      <c r="A1143">
        <v>2022</v>
      </c>
      <c r="B1143">
        <v>930</v>
      </c>
      <c r="C1143" t="s">
        <v>1621</v>
      </c>
      <c r="D1143" t="s">
        <v>5386</v>
      </c>
      <c r="E1143">
        <v>322112</v>
      </c>
      <c r="F1143" t="s">
        <v>660</v>
      </c>
      <c r="G1143" t="s">
        <v>621</v>
      </c>
      <c r="H1143" t="s">
        <v>21</v>
      </c>
      <c r="I1143" t="s">
        <v>500</v>
      </c>
      <c r="J1143" t="s">
        <v>501</v>
      </c>
      <c r="K1143" t="s">
        <v>502</v>
      </c>
      <c r="L1143" t="s">
        <v>5167</v>
      </c>
      <c r="M1143" t="s">
        <v>5168</v>
      </c>
      <c r="N1143" t="s">
        <v>5169</v>
      </c>
      <c r="O1143" t="s">
        <v>5170</v>
      </c>
      <c r="P1143">
        <v>13.503</v>
      </c>
      <c r="Q1143" t="s">
        <v>40</v>
      </c>
      <c r="R1143" t="s">
        <v>157</v>
      </c>
      <c r="S1143" t="s">
        <v>6938</v>
      </c>
    </row>
    <row r="1144" spans="1:19" x14ac:dyDescent="0.25">
      <c r="A1144">
        <v>2016</v>
      </c>
      <c r="B1144">
        <v>1338</v>
      </c>
      <c r="C1144" t="s">
        <v>212</v>
      </c>
      <c r="D1144" t="s">
        <v>597</v>
      </c>
      <c r="E1144">
        <v>221320</v>
      </c>
      <c r="F1144" t="s">
        <v>146</v>
      </c>
      <c r="G1144" t="s">
        <v>147</v>
      </c>
      <c r="H1144" t="s">
        <v>69</v>
      </c>
      <c r="I1144" t="s">
        <v>97</v>
      </c>
      <c r="J1144" t="s">
        <v>98</v>
      </c>
      <c r="K1144" t="s">
        <v>99</v>
      </c>
      <c r="L1144" t="s">
        <v>5167</v>
      </c>
      <c r="M1144" t="s">
        <v>5168</v>
      </c>
      <c r="N1144" t="s">
        <v>5169</v>
      </c>
      <c r="O1144" t="s">
        <v>5170</v>
      </c>
      <c r="P1144">
        <v>73.787199999999999</v>
      </c>
      <c r="Q1144" t="s">
        <v>29</v>
      </c>
      <c r="R1144" t="s">
        <v>124</v>
      </c>
      <c r="S1144" t="s">
        <v>6938</v>
      </c>
    </row>
    <row r="1145" spans="1:19" x14ac:dyDescent="0.25">
      <c r="A1145">
        <v>2018</v>
      </c>
      <c r="B1145">
        <v>3992</v>
      </c>
      <c r="C1145" t="s">
        <v>1015</v>
      </c>
      <c r="D1145" t="s">
        <v>5387</v>
      </c>
      <c r="E1145">
        <v>221112</v>
      </c>
      <c r="F1145" t="s">
        <v>499</v>
      </c>
      <c r="G1145" t="s">
        <v>135</v>
      </c>
      <c r="H1145" t="s">
        <v>483</v>
      </c>
      <c r="I1145" t="s">
        <v>244</v>
      </c>
      <c r="J1145" t="s">
        <v>245</v>
      </c>
      <c r="K1145" t="s">
        <v>246</v>
      </c>
      <c r="L1145" t="s">
        <v>5183</v>
      </c>
      <c r="M1145" t="s">
        <v>5184</v>
      </c>
      <c r="N1145" t="s">
        <v>5169</v>
      </c>
      <c r="O1145" t="s">
        <v>5170</v>
      </c>
      <c r="P1145">
        <v>6281.9</v>
      </c>
      <c r="Q1145" t="s">
        <v>40</v>
      </c>
      <c r="R1145" t="s">
        <v>30</v>
      </c>
      <c r="S1145" t="s">
        <v>6938</v>
      </c>
    </row>
    <row r="1146" spans="1:19" x14ac:dyDescent="0.25">
      <c r="A1146">
        <v>2021</v>
      </c>
      <c r="B1146">
        <v>6831</v>
      </c>
      <c r="C1146" t="s">
        <v>1115</v>
      </c>
      <c r="D1146" t="s">
        <v>5388</v>
      </c>
      <c r="E1146">
        <v>418390</v>
      </c>
      <c r="F1146" t="s">
        <v>1802</v>
      </c>
      <c r="G1146" t="s">
        <v>1803</v>
      </c>
      <c r="H1146" t="s">
        <v>243</v>
      </c>
      <c r="I1146" t="s">
        <v>504</v>
      </c>
      <c r="J1146" t="s">
        <v>505</v>
      </c>
      <c r="K1146" t="s">
        <v>506</v>
      </c>
      <c r="L1146" t="s">
        <v>5167</v>
      </c>
      <c r="M1146" t="s">
        <v>5168</v>
      </c>
      <c r="N1146" t="s">
        <v>5195</v>
      </c>
      <c r="O1146" t="s">
        <v>5196</v>
      </c>
      <c r="P1146">
        <v>287.01</v>
      </c>
      <c r="Q1146" t="s">
        <v>29</v>
      </c>
      <c r="R1146" t="s">
        <v>124</v>
      </c>
      <c r="S1146" t="s">
        <v>6938</v>
      </c>
    </row>
    <row r="1147" spans="1:19" x14ac:dyDescent="0.25">
      <c r="A1147">
        <v>2001</v>
      </c>
      <c r="B1147">
        <v>5907</v>
      </c>
      <c r="C1147" t="s">
        <v>5389</v>
      </c>
      <c r="E1147">
        <v>211114</v>
      </c>
      <c r="F1147" t="s">
        <v>835</v>
      </c>
      <c r="G1147" t="s">
        <v>836</v>
      </c>
      <c r="H1147" t="s">
        <v>21</v>
      </c>
      <c r="I1147" t="s">
        <v>844</v>
      </c>
      <c r="J1147" t="s">
        <v>845</v>
      </c>
      <c r="K1147" t="s">
        <v>846</v>
      </c>
      <c r="L1147" t="s">
        <v>5167</v>
      </c>
      <c r="M1147" t="s">
        <v>5168</v>
      </c>
      <c r="N1147" t="s">
        <v>5169</v>
      </c>
      <c r="O1147" t="s">
        <v>5170</v>
      </c>
      <c r="P1147">
        <v>1E-3</v>
      </c>
      <c r="Q1147" t="s">
        <v>29</v>
      </c>
      <c r="R1147" t="s">
        <v>50</v>
      </c>
      <c r="S1147" t="s">
        <v>6938</v>
      </c>
    </row>
    <row r="1148" spans="1:19" x14ac:dyDescent="0.25">
      <c r="A1148">
        <v>1999</v>
      </c>
      <c r="B1148">
        <v>5130</v>
      </c>
      <c r="C1148" t="s">
        <v>5390</v>
      </c>
      <c r="E1148">
        <v>321999</v>
      </c>
      <c r="F1148" t="s">
        <v>5391</v>
      </c>
      <c r="G1148" t="s">
        <v>297</v>
      </c>
      <c r="H1148" t="s">
        <v>69</v>
      </c>
      <c r="I1148" t="s">
        <v>209</v>
      </c>
      <c r="J1148" t="s">
        <v>210</v>
      </c>
      <c r="K1148" t="s">
        <v>211</v>
      </c>
      <c r="L1148" t="s">
        <v>5167</v>
      </c>
      <c r="M1148" t="s">
        <v>5168</v>
      </c>
      <c r="N1148" t="s">
        <v>5169</v>
      </c>
      <c r="O1148" t="s">
        <v>5170</v>
      </c>
      <c r="P1148">
        <v>4.53</v>
      </c>
      <c r="Q1148" t="s">
        <v>29</v>
      </c>
      <c r="R1148" t="s">
        <v>442</v>
      </c>
      <c r="S1148" t="s">
        <v>6938</v>
      </c>
    </row>
    <row r="1149" spans="1:19" x14ac:dyDescent="0.25">
      <c r="A1149">
        <v>2005</v>
      </c>
      <c r="B1149">
        <v>5188</v>
      </c>
      <c r="C1149" t="s">
        <v>5392</v>
      </c>
      <c r="D1149" t="s">
        <v>5393</v>
      </c>
      <c r="E1149">
        <v>321111</v>
      </c>
      <c r="F1149" t="s">
        <v>1474</v>
      </c>
      <c r="G1149" t="s">
        <v>1368</v>
      </c>
      <c r="H1149" t="s">
        <v>69</v>
      </c>
      <c r="I1149" t="s">
        <v>324</v>
      </c>
      <c r="J1149" t="s">
        <v>325</v>
      </c>
      <c r="K1149" t="s">
        <v>326</v>
      </c>
      <c r="L1149" t="s">
        <v>5183</v>
      </c>
      <c r="M1149" t="s">
        <v>5184</v>
      </c>
      <c r="N1149" t="s">
        <v>5169</v>
      </c>
      <c r="O1149" t="s">
        <v>5170</v>
      </c>
      <c r="P1149">
        <v>31.099</v>
      </c>
      <c r="Q1149" t="s">
        <v>40</v>
      </c>
      <c r="R1149" t="s">
        <v>430</v>
      </c>
      <c r="S1149" t="s">
        <v>6938</v>
      </c>
    </row>
    <row r="1150" spans="1:19" x14ac:dyDescent="0.25">
      <c r="A1150">
        <v>1998</v>
      </c>
      <c r="B1150">
        <v>4906</v>
      </c>
      <c r="C1150" t="s">
        <v>5394</v>
      </c>
      <c r="D1150" t="s">
        <v>3137</v>
      </c>
      <c r="E1150">
        <v>324190</v>
      </c>
      <c r="F1150" t="s">
        <v>702</v>
      </c>
      <c r="G1150" t="s">
        <v>667</v>
      </c>
      <c r="H1150" t="s">
        <v>85</v>
      </c>
      <c r="I1150" t="s">
        <v>682</v>
      </c>
      <c r="J1150" t="s">
        <v>683</v>
      </c>
      <c r="K1150" t="s">
        <v>684</v>
      </c>
      <c r="L1150" t="s">
        <v>5167</v>
      </c>
      <c r="M1150" t="s">
        <v>5168</v>
      </c>
      <c r="N1150" t="s">
        <v>5169</v>
      </c>
      <c r="O1150" t="s">
        <v>5170</v>
      </c>
      <c r="P1150">
        <v>4.0000000000000001E-3</v>
      </c>
      <c r="Q1150" t="s">
        <v>29</v>
      </c>
      <c r="R1150" t="s">
        <v>442</v>
      </c>
      <c r="S1150" t="s">
        <v>6938</v>
      </c>
    </row>
    <row r="1151" spans="1:19" x14ac:dyDescent="0.25">
      <c r="A1151">
        <v>2014</v>
      </c>
      <c r="B1151">
        <v>23560</v>
      </c>
      <c r="C1151" t="s">
        <v>5395</v>
      </c>
      <c r="D1151" t="s">
        <v>5395</v>
      </c>
      <c r="E1151">
        <v>212114</v>
      </c>
      <c r="F1151" t="s">
        <v>2059</v>
      </c>
      <c r="G1151" t="s">
        <v>2060</v>
      </c>
      <c r="H1151" t="s">
        <v>85</v>
      </c>
      <c r="I1151" t="s">
        <v>97</v>
      </c>
      <c r="J1151" t="s">
        <v>98</v>
      </c>
      <c r="K1151" t="s">
        <v>99</v>
      </c>
      <c r="L1151" t="s">
        <v>5183</v>
      </c>
      <c r="M1151" t="s">
        <v>5184</v>
      </c>
      <c r="N1151" t="s">
        <v>5169</v>
      </c>
      <c r="O1151" t="s">
        <v>5170</v>
      </c>
      <c r="P1151">
        <v>1.2E-2</v>
      </c>
      <c r="Q1151" t="s">
        <v>29</v>
      </c>
      <c r="R1151" t="s">
        <v>157</v>
      </c>
      <c r="S1151" t="s">
        <v>6938</v>
      </c>
    </row>
    <row r="1152" spans="1:19" x14ac:dyDescent="0.25">
      <c r="A1152">
        <v>2009</v>
      </c>
      <c r="B1152">
        <v>11392</v>
      </c>
      <c r="C1152" t="s">
        <v>5396</v>
      </c>
      <c r="D1152" t="s">
        <v>5397</v>
      </c>
      <c r="E1152">
        <v>336390</v>
      </c>
      <c r="F1152" t="s">
        <v>60</v>
      </c>
      <c r="G1152" t="s">
        <v>61</v>
      </c>
      <c r="H1152" t="s">
        <v>21</v>
      </c>
      <c r="I1152" t="s">
        <v>5398</v>
      </c>
      <c r="J1152" t="s">
        <v>5399</v>
      </c>
      <c r="K1152" t="s">
        <v>5400</v>
      </c>
      <c r="L1152" t="s">
        <v>5167</v>
      </c>
      <c r="M1152" t="s">
        <v>5168</v>
      </c>
      <c r="N1152" t="s">
        <v>5169</v>
      </c>
      <c r="O1152" t="s">
        <v>5170</v>
      </c>
      <c r="P1152">
        <v>1.7000000000000001E-2</v>
      </c>
      <c r="Q1152" t="s">
        <v>29</v>
      </c>
      <c r="R1152" t="s">
        <v>30</v>
      </c>
      <c r="S1152" t="s">
        <v>6938</v>
      </c>
    </row>
    <row r="1153" spans="1:19" x14ac:dyDescent="0.25">
      <c r="A1153">
        <v>1994</v>
      </c>
      <c r="B1153">
        <v>3895</v>
      </c>
      <c r="C1153" t="s">
        <v>5401</v>
      </c>
      <c r="D1153" t="s">
        <v>5402</v>
      </c>
      <c r="E1153">
        <v>336110</v>
      </c>
      <c r="F1153" t="s">
        <v>377</v>
      </c>
      <c r="G1153" t="s">
        <v>44</v>
      </c>
      <c r="H1153" t="s">
        <v>79</v>
      </c>
      <c r="I1153" t="s">
        <v>520</v>
      </c>
      <c r="J1153" t="s">
        <v>521</v>
      </c>
      <c r="K1153" t="s">
        <v>522</v>
      </c>
      <c r="L1153" t="s">
        <v>5167</v>
      </c>
      <c r="M1153" t="s">
        <v>5168</v>
      </c>
      <c r="N1153" t="s">
        <v>5223</v>
      </c>
      <c r="O1153" t="s">
        <v>5224</v>
      </c>
      <c r="P1153">
        <v>0.60111400000000004</v>
      </c>
      <c r="Q1153" t="s">
        <v>29</v>
      </c>
      <c r="R1153" t="s">
        <v>30</v>
      </c>
      <c r="S1153" t="s">
        <v>6938</v>
      </c>
    </row>
    <row r="1154" spans="1:19" x14ac:dyDescent="0.25">
      <c r="A1154">
        <v>2001</v>
      </c>
      <c r="B1154">
        <v>928</v>
      </c>
      <c r="C1154" t="s">
        <v>2155</v>
      </c>
      <c r="D1154" t="s">
        <v>5403</v>
      </c>
      <c r="E1154">
        <v>322112</v>
      </c>
      <c r="F1154" t="s">
        <v>620</v>
      </c>
      <c r="G1154" t="s">
        <v>621</v>
      </c>
      <c r="H1154" t="s">
        <v>21</v>
      </c>
      <c r="I1154" t="s">
        <v>847</v>
      </c>
      <c r="J1154" t="s">
        <v>848</v>
      </c>
      <c r="K1154" t="s">
        <v>849</v>
      </c>
      <c r="L1154" t="s">
        <v>5183</v>
      </c>
      <c r="M1154" t="s">
        <v>5184</v>
      </c>
      <c r="N1154" t="s">
        <v>5169</v>
      </c>
      <c r="O1154" t="s">
        <v>5170</v>
      </c>
      <c r="P1154">
        <v>0.14699999999999999</v>
      </c>
      <c r="Q1154" t="s">
        <v>40</v>
      </c>
      <c r="R1154" t="s">
        <v>204</v>
      </c>
      <c r="S1154" t="s">
        <v>6938</v>
      </c>
    </row>
    <row r="1155" spans="1:19" x14ac:dyDescent="0.25">
      <c r="A1155">
        <v>1998</v>
      </c>
      <c r="B1155">
        <v>3032</v>
      </c>
      <c r="C1155" t="s">
        <v>5404</v>
      </c>
      <c r="E1155">
        <v>331221</v>
      </c>
      <c r="F1155" t="s">
        <v>418</v>
      </c>
      <c r="G1155" t="s">
        <v>419</v>
      </c>
      <c r="H1155" t="s">
        <v>21</v>
      </c>
      <c r="I1155" t="s">
        <v>86</v>
      </c>
      <c r="J1155" t="s">
        <v>87</v>
      </c>
      <c r="K1155" t="s">
        <v>88</v>
      </c>
      <c r="L1155" t="s">
        <v>5167</v>
      </c>
      <c r="M1155" t="s">
        <v>5168</v>
      </c>
      <c r="N1155" t="s">
        <v>5169</v>
      </c>
      <c r="O1155" t="s">
        <v>5170</v>
      </c>
      <c r="P1155">
        <v>0</v>
      </c>
      <c r="Q1155" t="s">
        <v>29</v>
      </c>
      <c r="R1155" t="s">
        <v>50</v>
      </c>
      <c r="S1155" t="s">
        <v>6938</v>
      </c>
    </row>
    <row r="1156" spans="1:19" x14ac:dyDescent="0.25">
      <c r="A1156">
        <v>2022</v>
      </c>
      <c r="B1156">
        <v>2372</v>
      </c>
      <c r="C1156" t="s">
        <v>5405</v>
      </c>
      <c r="D1156" t="s">
        <v>5405</v>
      </c>
      <c r="E1156">
        <v>212233</v>
      </c>
      <c r="F1156" t="s">
        <v>1111</v>
      </c>
      <c r="G1156" t="s">
        <v>441</v>
      </c>
      <c r="H1156" t="s">
        <v>69</v>
      </c>
      <c r="I1156" t="s">
        <v>106</v>
      </c>
      <c r="J1156" t="s">
        <v>107</v>
      </c>
      <c r="K1156" t="s">
        <v>108</v>
      </c>
      <c r="L1156" t="s">
        <v>5183</v>
      </c>
      <c r="M1156" t="s">
        <v>5184</v>
      </c>
      <c r="N1156" t="s">
        <v>5185</v>
      </c>
      <c r="O1156" t="s">
        <v>5186</v>
      </c>
      <c r="P1156">
        <v>91.377399999999994</v>
      </c>
      <c r="Q1156" t="s">
        <v>40</v>
      </c>
      <c r="R1156" t="s">
        <v>124</v>
      </c>
      <c r="S1156" t="s">
        <v>6938</v>
      </c>
    </row>
    <row r="1157" spans="1:19" x14ac:dyDescent="0.25">
      <c r="A1157">
        <v>2023</v>
      </c>
      <c r="B1157">
        <v>11879</v>
      </c>
      <c r="C1157" t="s">
        <v>5406</v>
      </c>
      <c r="D1157" t="s">
        <v>5407</v>
      </c>
      <c r="E1157">
        <v>562210</v>
      </c>
      <c r="F1157" t="s">
        <v>84</v>
      </c>
      <c r="G1157" t="s">
        <v>53</v>
      </c>
      <c r="H1157" t="s">
        <v>21</v>
      </c>
      <c r="I1157" t="s">
        <v>913</v>
      </c>
      <c r="J1157" t="s">
        <v>914</v>
      </c>
      <c r="K1157" t="s">
        <v>915</v>
      </c>
      <c r="L1157" t="s">
        <v>5183</v>
      </c>
      <c r="M1157" t="s">
        <v>5184</v>
      </c>
      <c r="N1157" t="s">
        <v>5169</v>
      </c>
      <c r="O1157" t="s">
        <v>5170</v>
      </c>
      <c r="P1157">
        <v>327.8</v>
      </c>
      <c r="Q1157" t="s">
        <v>29</v>
      </c>
      <c r="R1157" t="s">
        <v>50</v>
      </c>
      <c r="S1157" t="s">
        <v>6938</v>
      </c>
    </row>
    <row r="1158" spans="1:19" x14ac:dyDescent="0.25">
      <c r="A1158">
        <v>2020</v>
      </c>
      <c r="B1158">
        <v>3571</v>
      </c>
      <c r="C1158" t="s">
        <v>5312</v>
      </c>
      <c r="D1158" t="s">
        <v>5313</v>
      </c>
      <c r="E1158">
        <v>221320</v>
      </c>
      <c r="F1158" t="s">
        <v>146</v>
      </c>
      <c r="G1158" t="s">
        <v>147</v>
      </c>
      <c r="H1158" t="s">
        <v>79</v>
      </c>
      <c r="I1158" t="s">
        <v>35</v>
      </c>
      <c r="J1158" t="s">
        <v>36</v>
      </c>
      <c r="K1158" t="s">
        <v>37</v>
      </c>
      <c r="L1158" t="s">
        <v>5167</v>
      </c>
      <c r="M1158" t="s">
        <v>5168</v>
      </c>
      <c r="N1158" t="s">
        <v>5175</v>
      </c>
      <c r="O1158" t="s">
        <v>5176</v>
      </c>
      <c r="P1158">
        <v>452.87</v>
      </c>
      <c r="Q1158" t="s">
        <v>40</v>
      </c>
      <c r="R1158" t="s">
        <v>124</v>
      </c>
      <c r="S1158" t="s">
        <v>6938</v>
      </c>
    </row>
    <row r="1159" spans="1:19" x14ac:dyDescent="0.25">
      <c r="A1159">
        <v>2001</v>
      </c>
      <c r="B1159">
        <v>3941</v>
      </c>
      <c r="C1159" t="s">
        <v>5408</v>
      </c>
      <c r="D1159" t="s">
        <v>5217</v>
      </c>
      <c r="E1159">
        <v>211113</v>
      </c>
      <c r="F1159" t="s">
        <v>425</v>
      </c>
      <c r="G1159" t="s">
        <v>426</v>
      </c>
      <c r="H1159" t="s">
        <v>85</v>
      </c>
      <c r="I1159" t="s">
        <v>491</v>
      </c>
      <c r="J1159" t="s">
        <v>492</v>
      </c>
      <c r="K1159" t="s">
        <v>492</v>
      </c>
      <c r="L1159" t="s">
        <v>5167</v>
      </c>
      <c r="M1159" t="s">
        <v>5168</v>
      </c>
      <c r="N1159" t="s">
        <v>5169</v>
      </c>
      <c r="O1159" t="s">
        <v>5170</v>
      </c>
      <c r="P1159">
        <v>5.8999999999999997E-2</v>
      </c>
      <c r="Q1159" t="s">
        <v>29</v>
      </c>
      <c r="R1159" t="s">
        <v>442</v>
      </c>
      <c r="S1159" t="s">
        <v>6938</v>
      </c>
    </row>
    <row r="1160" spans="1:19" x14ac:dyDescent="0.25">
      <c r="A1160">
        <v>2003</v>
      </c>
      <c r="B1160">
        <v>2604</v>
      </c>
      <c r="C1160" t="s">
        <v>5409</v>
      </c>
      <c r="E1160">
        <v>322112</v>
      </c>
      <c r="F1160" t="s">
        <v>620</v>
      </c>
      <c r="G1160" t="s">
        <v>621</v>
      </c>
      <c r="H1160" t="s">
        <v>661</v>
      </c>
      <c r="I1160" t="s">
        <v>197</v>
      </c>
      <c r="J1160" t="s">
        <v>198</v>
      </c>
      <c r="K1160" t="s">
        <v>199</v>
      </c>
      <c r="L1160" t="s">
        <v>5183</v>
      </c>
      <c r="M1160" t="s">
        <v>5184</v>
      </c>
      <c r="N1160" t="s">
        <v>5169</v>
      </c>
      <c r="O1160" t="s">
        <v>5170</v>
      </c>
      <c r="P1160">
        <v>0.52800000000000002</v>
      </c>
      <c r="Q1160" t="s">
        <v>40</v>
      </c>
      <c r="R1160" t="s">
        <v>430</v>
      </c>
      <c r="S1160" t="s">
        <v>6938</v>
      </c>
    </row>
    <row r="1161" spans="1:19" x14ac:dyDescent="0.25">
      <c r="A1161">
        <v>2014</v>
      </c>
      <c r="B1161">
        <v>2134</v>
      </c>
      <c r="C1161" t="s">
        <v>1115</v>
      </c>
      <c r="D1161" t="s">
        <v>1338</v>
      </c>
      <c r="E1161">
        <v>325313</v>
      </c>
      <c r="F1161" t="s">
        <v>1054</v>
      </c>
      <c r="G1161" t="s">
        <v>1055</v>
      </c>
      <c r="H1161" t="s">
        <v>85</v>
      </c>
      <c r="I1161" t="s">
        <v>152</v>
      </c>
      <c r="J1161" t="s">
        <v>153</v>
      </c>
      <c r="K1161" t="s">
        <v>154</v>
      </c>
      <c r="L1161" t="s">
        <v>5183</v>
      </c>
      <c r="M1161" t="s">
        <v>5184</v>
      </c>
      <c r="N1161" t="s">
        <v>5185</v>
      </c>
      <c r="O1161" t="s">
        <v>5186</v>
      </c>
      <c r="P1161">
        <v>72.849999999999994</v>
      </c>
      <c r="Q1161" t="s">
        <v>29</v>
      </c>
      <c r="R1161" t="s">
        <v>124</v>
      </c>
      <c r="S1161" t="s">
        <v>6938</v>
      </c>
    </row>
    <row r="1162" spans="1:19" x14ac:dyDescent="0.25">
      <c r="A1162">
        <v>2020</v>
      </c>
      <c r="B1162">
        <v>20147</v>
      </c>
      <c r="C1162" t="s">
        <v>212</v>
      </c>
      <c r="D1162" t="s">
        <v>5410</v>
      </c>
      <c r="E1162">
        <v>221320</v>
      </c>
      <c r="F1162" t="s">
        <v>146</v>
      </c>
      <c r="G1162" t="s">
        <v>147</v>
      </c>
      <c r="H1162" t="s">
        <v>69</v>
      </c>
      <c r="I1162" t="s">
        <v>35</v>
      </c>
      <c r="J1162" t="s">
        <v>36</v>
      </c>
      <c r="K1162" t="s">
        <v>37</v>
      </c>
      <c r="L1162" t="s">
        <v>5167</v>
      </c>
      <c r="M1162" t="s">
        <v>5168</v>
      </c>
      <c r="N1162" t="s">
        <v>5169</v>
      </c>
      <c r="O1162" t="s">
        <v>5170</v>
      </c>
      <c r="P1162">
        <v>2.1399999999999999E-2</v>
      </c>
      <c r="Q1162" t="s">
        <v>40</v>
      </c>
      <c r="R1162" t="s">
        <v>124</v>
      </c>
      <c r="S1162" t="s">
        <v>6938</v>
      </c>
    </row>
    <row r="1163" spans="1:19" x14ac:dyDescent="0.25">
      <c r="A1163">
        <v>2008</v>
      </c>
      <c r="B1163">
        <v>6862</v>
      </c>
      <c r="C1163" t="s">
        <v>5411</v>
      </c>
      <c r="D1163" t="s">
        <v>5412</v>
      </c>
      <c r="E1163">
        <v>486110</v>
      </c>
      <c r="F1163" t="s">
        <v>540</v>
      </c>
      <c r="G1163" t="s">
        <v>541</v>
      </c>
      <c r="H1163" t="s">
        <v>69</v>
      </c>
      <c r="I1163" t="s">
        <v>271</v>
      </c>
      <c r="J1163" t="s">
        <v>272</v>
      </c>
      <c r="K1163" t="s">
        <v>273</v>
      </c>
      <c r="L1163" t="s">
        <v>5167</v>
      </c>
      <c r="M1163" t="s">
        <v>5168</v>
      </c>
      <c r="N1163" t="s">
        <v>5169</v>
      </c>
      <c r="O1163" t="s">
        <v>5170</v>
      </c>
      <c r="P1163">
        <v>9.8000000000000004E-2</v>
      </c>
      <c r="Q1163" t="s">
        <v>29</v>
      </c>
      <c r="R1163" t="s">
        <v>30</v>
      </c>
      <c r="S1163" t="s">
        <v>6938</v>
      </c>
    </row>
    <row r="1164" spans="1:19" x14ac:dyDescent="0.25">
      <c r="A1164">
        <v>2018</v>
      </c>
      <c r="B1164">
        <v>5647</v>
      </c>
      <c r="C1164" t="s">
        <v>175</v>
      </c>
      <c r="D1164" t="s">
        <v>175</v>
      </c>
      <c r="E1164">
        <v>562210</v>
      </c>
      <c r="F1164" t="s">
        <v>84</v>
      </c>
      <c r="G1164" t="s">
        <v>53</v>
      </c>
      <c r="H1164" t="s">
        <v>21</v>
      </c>
      <c r="I1164" t="s">
        <v>136</v>
      </c>
      <c r="J1164" t="s">
        <v>137</v>
      </c>
      <c r="K1164" t="s">
        <v>138</v>
      </c>
      <c r="L1164" t="s">
        <v>5167</v>
      </c>
      <c r="M1164" t="s">
        <v>5168</v>
      </c>
      <c r="N1164" t="s">
        <v>5169</v>
      </c>
      <c r="O1164" t="s">
        <v>5170</v>
      </c>
      <c r="P1164">
        <v>6.87</v>
      </c>
      <c r="Q1164" t="s">
        <v>29</v>
      </c>
      <c r="R1164" t="s">
        <v>50</v>
      </c>
      <c r="S1164" t="s">
        <v>6938</v>
      </c>
    </row>
    <row r="1165" spans="1:19" x14ac:dyDescent="0.25">
      <c r="A1165">
        <v>2006</v>
      </c>
      <c r="B1165">
        <v>5014</v>
      </c>
      <c r="C1165" t="s">
        <v>5413</v>
      </c>
      <c r="D1165" t="s">
        <v>5414</v>
      </c>
      <c r="E1165">
        <v>221119</v>
      </c>
      <c r="F1165" t="s">
        <v>1851</v>
      </c>
      <c r="G1165" t="s">
        <v>323</v>
      </c>
      <c r="H1165" t="s">
        <v>483</v>
      </c>
      <c r="I1165" t="s">
        <v>136</v>
      </c>
      <c r="J1165" t="s">
        <v>137</v>
      </c>
      <c r="K1165" t="s">
        <v>138</v>
      </c>
      <c r="L1165" t="s">
        <v>5167</v>
      </c>
      <c r="M1165" t="s">
        <v>5168</v>
      </c>
      <c r="N1165" t="s">
        <v>5169</v>
      </c>
      <c r="O1165" t="s">
        <v>5170</v>
      </c>
      <c r="P1165">
        <v>59.85</v>
      </c>
      <c r="Q1165" t="s">
        <v>29</v>
      </c>
      <c r="R1165" t="s">
        <v>124</v>
      </c>
      <c r="S1165" t="s">
        <v>6938</v>
      </c>
    </row>
    <row r="1166" spans="1:19" x14ac:dyDescent="0.25">
      <c r="A1166">
        <v>2006</v>
      </c>
      <c r="B1166">
        <v>2274</v>
      </c>
      <c r="C1166" t="s">
        <v>5415</v>
      </c>
      <c r="D1166" t="s">
        <v>5416</v>
      </c>
      <c r="E1166">
        <v>211114</v>
      </c>
      <c r="F1166" t="s">
        <v>835</v>
      </c>
      <c r="G1166" t="s">
        <v>836</v>
      </c>
      <c r="H1166" t="s">
        <v>85</v>
      </c>
      <c r="I1166" t="s">
        <v>391</v>
      </c>
      <c r="J1166" t="s">
        <v>392</v>
      </c>
      <c r="K1166" t="s">
        <v>393</v>
      </c>
      <c r="L1166" t="s">
        <v>5183</v>
      </c>
      <c r="M1166" t="s">
        <v>5184</v>
      </c>
      <c r="N1166" t="s">
        <v>5185</v>
      </c>
      <c r="O1166" t="s">
        <v>5186</v>
      </c>
      <c r="P1166">
        <v>0.37</v>
      </c>
      <c r="Q1166" t="s">
        <v>40</v>
      </c>
      <c r="R1166" t="s">
        <v>124</v>
      </c>
      <c r="S1166" t="s">
        <v>6938</v>
      </c>
    </row>
    <row r="1167" spans="1:19" x14ac:dyDescent="0.25">
      <c r="A1167">
        <v>2019</v>
      </c>
      <c r="B1167">
        <v>442</v>
      </c>
      <c r="C1167" t="s">
        <v>1323</v>
      </c>
      <c r="D1167" t="s">
        <v>5417</v>
      </c>
      <c r="E1167">
        <v>211141</v>
      </c>
      <c r="F1167" t="s">
        <v>1189</v>
      </c>
      <c r="G1167" t="s">
        <v>1190</v>
      </c>
      <c r="H1167" t="s">
        <v>85</v>
      </c>
      <c r="I1167" t="s">
        <v>271</v>
      </c>
      <c r="J1167" t="s">
        <v>272</v>
      </c>
      <c r="K1167" t="s">
        <v>273</v>
      </c>
      <c r="L1167" t="s">
        <v>5167</v>
      </c>
      <c r="M1167" t="s">
        <v>5168</v>
      </c>
      <c r="N1167" t="s">
        <v>5169</v>
      </c>
      <c r="O1167" t="s">
        <v>5170</v>
      </c>
      <c r="P1167">
        <v>9.5370999999999997E-2</v>
      </c>
      <c r="Q1167" t="s">
        <v>29</v>
      </c>
      <c r="R1167" t="s">
        <v>30</v>
      </c>
      <c r="S1167" t="s">
        <v>6938</v>
      </c>
    </row>
    <row r="1168" spans="1:19" x14ac:dyDescent="0.25">
      <c r="A1168">
        <v>2010</v>
      </c>
      <c r="B1168">
        <v>21219</v>
      </c>
      <c r="C1168" t="s">
        <v>1995</v>
      </c>
      <c r="D1168" t="s">
        <v>5418</v>
      </c>
      <c r="E1168">
        <v>211113</v>
      </c>
      <c r="F1168" t="s">
        <v>425</v>
      </c>
      <c r="G1168" t="s">
        <v>426</v>
      </c>
      <c r="H1168" t="s">
        <v>85</v>
      </c>
      <c r="I1168" t="s">
        <v>70</v>
      </c>
      <c r="J1168" t="s">
        <v>71</v>
      </c>
      <c r="K1168" t="s">
        <v>72</v>
      </c>
      <c r="L1168" t="s">
        <v>5183</v>
      </c>
      <c r="M1168" t="s">
        <v>5184</v>
      </c>
      <c r="N1168" t="s">
        <v>5195</v>
      </c>
      <c r="O1168" t="s">
        <v>5196</v>
      </c>
      <c r="P1168">
        <v>5.7999999999999996E-3</v>
      </c>
      <c r="Q1168" t="s">
        <v>29</v>
      </c>
      <c r="R1168" t="s">
        <v>30</v>
      </c>
      <c r="S1168" t="s">
        <v>6938</v>
      </c>
    </row>
    <row r="1169" spans="1:19" x14ac:dyDescent="0.25">
      <c r="A1169">
        <v>2015</v>
      </c>
      <c r="B1169">
        <v>6389</v>
      </c>
      <c r="C1169" t="s">
        <v>5419</v>
      </c>
      <c r="D1169" t="s">
        <v>5420</v>
      </c>
      <c r="E1169">
        <v>221320</v>
      </c>
      <c r="F1169" t="s">
        <v>146</v>
      </c>
      <c r="G1169" t="s">
        <v>147</v>
      </c>
      <c r="H1169" t="s">
        <v>79</v>
      </c>
      <c r="I1169" t="s">
        <v>97</v>
      </c>
      <c r="J1169" t="s">
        <v>98</v>
      </c>
      <c r="K1169" t="s">
        <v>99</v>
      </c>
      <c r="L1169" t="s">
        <v>5167</v>
      </c>
      <c r="M1169" t="s">
        <v>5168</v>
      </c>
      <c r="N1169" t="s">
        <v>5175</v>
      </c>
      <c r="O1169" t="s">
        <v>5176</v>
      </c>
      <c r="P1169">
        <v>6.29</v>
      </c>
      <c r="Q1169" t="s">
        <v>29</v>
      </c>
      <c r="R1169" t="s">
        <v>124</v>
      </c>
      <c r="S1169" t="s">
        <v>6938</v>
      </c>
    </row>
    <row r="1170" spans="1:19" x14ac:dyDescent="0.25">
      <c r="A1170">
        <v>2021</v>
      </c>
      <c r="B1170">
        <v>5539</v>
      </c>
      <c r="C1170" t="s">
        <v>5421</v>
      </c>
      <c r="D1170" t="s">
        <v>5422</v>
      </c>
      <c r="E1170">
        <v>493190</v>
      </c>
      <c r="F1170" t="s">
        <v>5423</v>
      </c>
      <c r="G1170" t="s">
        <v>5424</v>
      </c>
      <c r="H1170" t="s">
        <v>79</v>
      </c>
      <c r="I1170" t="s">
        <v>55</v>
      </c>
      <c r="J1170" t="s">
        <v>56</v>
      </c>
      <c r="K1170" t="s">
        <v>57</v>
      </c>
      <c r="L1170" t="s">
        <v>5167</v>
      </c>
      <c r="M1170" t="s">
        <v>5168</v>
      </c>
      <c r="N1170" t="s">
        <v>5169</v>
      </c>
      <c r="O1170" t="s">
        <v>5170</v>
      </c>
      <c r="P1170">
        <v>1.2E-2</v>
      </c>
      <c r="Q1170" t="s">
        <v>29</v>
      </c>
      <c r="R1170" t="s">
        <v>30</v>
      </c>
      <c r="S1170" t="s">
        <v>6938</v>
      </c>
    </row>
    <row r="1171" spans="1:19" x14ac:dyDescent="0.25">
      <c r="A1171">
        <v>2022</v>
      </c>
      <c r="B1171">
        <v>1303</v>
      </c>
      <c r="C1171" t="s">
        <v>1745</v>
      </c>
      <c r="D1171" t="s">
        <v>1746</v>
      </c>
      <c r="E1171">
        <v>212233</v>
      </c>
      <c r="F1171" t="s">
        <v>1111</v>
      </c>
      <c r="G1171" t="s">
        <v>441</v>
      </c>
      <c r="H1171" t="s">
        <v>69</v>
      </c>
      <c r="I1171" t="s">
        <v>184</v>
      </c>
      <c r="J1171" t="s">
        <v>185</v>
      </c>
      <c r="K1171" t="s">
        <v>186</v>
      </c>
      <c r="L1171" t="s">
        <v>5183</v>
      </c>
      <c r="M1171" t="s">
        <v>5184</v>
      </c>
      <c r="N1171" t="s">
        <v>5260</v>
      </c>
      <c r="O1171" t="s">
        <v>5261</v>
      </c>
      <c r="P1171">
        <v>621992.95835500001</v>
      </c>
      <c r="Q1171" t="s">
        <v>40</v>
      </c>
      <c r="R1171" t="s">
        <v>124</v>
      </c>
      <c r="S1171" t="s">
        <v>6938</v>
      </c>
    </row>
    <row r="1172" spans="1:19" x14ac:dyDescent="0.25">
      <c r="A1172">
        <v>2016</v>
      </c>
      <c r="B1172">
        <v>29386</v>
      </c>
      <c r="C1172" t="s">
        <v>1043</v>
      </c>
      <c r="D1172" t="s">
        <v>1044</v>
      </c>
      <c r="E1172">
        <v>211114</v>
      </c>
      <c r="F1172" t="s">
        <v>956</v>
      </c>
      <c r="G1172" t="s">
        <v>836</v>
      </c>
      <c r="H1172" t="s">
        <v>243</v>
      </c>
      <c r="I1172" t="s">
        <v>491</v>
      </c>
      <c r="J1172" t="s">
        <v>492</v>
      </c>
      <c r="K1172" t="s">
        <v>492</v>
      </c>
      <c r="L1172" t="s">
        <v>5167</v>
      </c>
      <c r="M1172" t="s">
        <v>5168</v>
      </c>
      <c r="N1172" t="s">
        <v>5195</v>
      </c>
      <c r="O1172" t="s">
        <v>5196</v>
      </c>
      <c r="P1172">
        <v>1.41E-2</v>
      </c>
      <c r="Q1172" t="s">
        <v>29</v>
      </c>
      <c r="R1172" t="s">
        <v>30</v>
      </c>
      <c r="S1172" t="s">
        <v>6938</v>
      </c>
    </row>
    <row r="1173" spans="1:19" x14ac:dyDescent="0.25">
      <c r="A1173">
        <v>2014</v>
      </c>
      <c r="B1173">
        <v>1303</v>
      </c>
      <c r="C1173" t="s">
        <v>1745</v>
      </c>
      <c r="D1173" t="s">
        <v>1746</v>
      </c>
      <c r="E1173">
        <v>212233</v>
      </c>
      <c r="F1173" t="s">
        <v>1111</v>
      </c>
      <c r="G1173" t="s">
        <v>441</v>
      </c>
      <c r="H1173" t="s">
        <v>69</v>
      </c>
      <c r="I1173" t="s">
        <v>500</v>
      </c>
      <c r="J1173" t="s">
        <v>501</v>
      </c>
      <c r="K1173" t="s">
        <v>502</v>
      </c>
      <c r="L1173" t="s">
        <v>5183</v>
      </c>
      <c r="M1173" t="s">
        <v>5184</v>
      </c>
      <c r="N1173" t="s">
        <v>5185</v>
      </c>
      <c r="O1173" t="s">
        <v>5186</v>
      </c>
      <c r="P1173">
        <v>33028.577700000002</v>
      </c>
      <c r="Q1173" t="s">
        <v>40</v>
      </c>
      <c r="R1173" t="s">
        <v>124</v>
      </c>
      <c r="S1173" t="s">
        <v>6938</v>
      </c>
    </row>
    <row r="1174" spans="1:19" x14ac:dyDescent="0.25">
      <c r="A1174">
        <v>2016</v>
      </c>
      <c r="B1174">
        <v>2274</v>
      </c>
      <c r="C1174" t="s">
        <v>5425</v>
      </c>
      <c r="D1174" t="s">
        <v>5426</v>
      </c>
      <c r="E1174">
        <v>211114</v>
      </c>
      <c r="F1174" t="s">
        <v>956</v>
      </c>
      <c r="G1174" t="s">
        <v>836</v>
      </c>
      <c r="H1174" t="s">
        <v>85</v>
      </c>
      <c r="I1174" t="s">
        <v>348</v>
      </c>
      <c r="J1174" t="s">
        <v>349</v>
      </c>
      <c r="K1174" t="s">
        <v>350</v>
      </c>
      <c r="L1174" t="s">
        <v>5183</v>
      </c>
      <c r="M1174" t="s">
        <v>5184</v>
      </c>
      <c r="N1174" t="s">
        <v>5185</v>
      </c>
      <c r="O1174" t="s">
        <v>5186</v>
      </c>
      <c r="P1174">
        <v>17.77</v>
      </c>
      <c r="Q1174" t="s">
        <v>29</v>
      </c>
      <c r="R1174" t="s">
        <v>30</v>
      </c>
      <c r="S1174" t="s">
        <v>6938</v>
      </c>
    </row>
    <row r="1175" spans="1:19" x14ac:dyDescent="0.25">
      <c r="A1175">
        <v>2021</v>
      </c>
      <c r="B1175">
        <v>1471</v>
      </c>
      <c r="C1175" t="s">
        <v>2096</v>
      </c>
      <c r="D1175" t="s">
        <v>5427</v>
      </c>
      <c r="E1175">
        <v>331410</v>
      </c>
      <c r="F1175" t="s">
        <v>1234</v>
      </c>
      <c r="G1175" t="s">
        <v>1235</v>
      </c>
      <c r="H1175" t="s">
        <v>21</v>
      </c>
      <c r="I1175" t="s">
        <v>35</v>
      </c>
      <c r="J1175" t="s">
        <v>36</v>
      </c>
      <c r="K1175" t="s">
        <v>37</v>
      </c>
      <c r="L1175" t="s">
        <v>5167</v>
      </c>
      <c r="M1175" t="s">
        <v>5168</v>
      </c>
      <c r="N1175" t="s">
        <v>5195</v>
      </c>
      <c r="O1175" t="s">
        <v>5196</v>
      </c>
      <c r="P1175">
        <v>0.3</v>
      </c>
      <c r="Q1175" t="s">
        <v>40</v>
      </c>
      <c r="R1175" t="s">
        <v>124</v>
      </c>
      <c r="S1175" t="s">
        <v>6938</v>
      </c>
    </row>
    <row r="1176" spans="1:19" x14ac:dyDescent="0.25">
      <c r="A1176">
        <v>2018</v>
      </c>
      <c r="B1176">
        <v>11588</v>
      </c>
      <c r="C1176" t="s">
        <v>1109</v>
      </c>
      <c r="D1176" t="s">
        <v>5428</v>
      </c>
      <c r="E1176">
        <v>212232</v>
      </c>
      <c r="F1176" t="s">
        <v>2003</v>
      </c>
      <c r="G1176" t="s">
        <v>2004</v>
      </c>
      <c r="H1176" t="s">
        <v>21</v>
      </c>
      <c r="I1176" t="s">
        <v>1017</v>
      </c>
      <c r="J1176" t="s">
        <v>1018</v>
      </c>
      <c r="K1176" t="s">
        <v>1019</v>
      </c>
      <c r="L1176" t="s">
        <v>5167</v>
      </c>
      <c r="M1176" t="s">
        <v>5168</v>
      </c>
      <c r="N1176" t="s">
        <v>5260</v>
      </c>
      <c r="O1176" t="s">
        <v>5261</v>
      </c>
      <c r="P1176">
        <v>24.81</v>
      </c>
      <c r="Q1176" t="s">
        <v>40</v>
      </c>
      <c r="R1176" t="s">
        <v>430</v>
      </c>
      <c r="S1176" t="s">
        <v>6938</v>
      </c>
    </row>
    <row r="1177" spans="1:19" x14ac:dyDescent="0.25">
      <c r="A1177">
        <v>2022</v>
      </c>
      <c r="B1177">
        <v>31681</v>
      </c>
      <c r="C1177" t="s">
        <v>1718</v>
      </c>
      <c r="D1177" t="s">
        <v>5429</v>
      </c>
      <c r="E1177">
        <v>211110</v>
      </c>
      <c r="F1177" t="s">
        <v>233</v>
      </c>
      <c r="G1177" t="s">
        <v>234</v>
      </c>
      <c r="H1177" t="s">
        <v>243</v>
      </c>
      <c r="I1177" t="s">
        <v>543</v>
      </c>
      <c r="J1177" t="s">
        <v>544</v>
      </c>
      <c r="K1177" t="s">
        <v>545</v>
      </c>
      <c r="L1177" t="s">
        <v>5183</v>
      </c>
      <c r="M1177" t="s">
        <v>5184</v>
      </c>
      <c r="N1177" t="s">
        <v>5195</v>
      </c>
      <c r="O1177" t="s">
        <v>5196</v>
      </c>
      <c r="P1177">
        <v>74.995146000000005</v>
      </c>
      <c r="Q1177" t="s">
        <v>40</v>
      </c>
      <c r="R1177" t="s">
        <v>30</v>
      </c>
      <c r="S1177" t="s">
        <v>6938</v>
      </c>
    </row>
    <row r="1178" spans="1:19" x14ac:dyDescent="0.25">
      <c r="A1178">
        <v>2002</v>
      </c>
      <c r="B1178">
        <v>5839</v>
      </c>
      <c r="C1178" t="s">
        <v>5430</v>
      </c>
      <c r="D1178" t="s">
        <v>5431</v>
      </c>
      <c r="E1178">
        <v>326121</v>
      </c>
      <c r="F1178" t="s">
        <v>5432</v>
      </c>
      <c r="G1178" t="s">
        <v>5433</v>
      </c>
      <c r="H1178" t="s">
        <v>21</v>
      </c>
      <c r="I1178" t="s">
        <v>407</v>
      </c>
      <c r="J1178" t="s">
        <v>408</v>
      </c>
      <c r="K1178" t="s">
        <v>409</v>
      </c>
      <c r="L1178" t="s">
        <v>5167</v>
      </c>
      <c r="M1178" t="s">
        <v>5168</v>
      </c>
      <c r="N1178" t="s">
        <v>5169</v>
      </c>
      <c r="O1178" t="s">
        <v>5170</v>
      </c>
      <c r="P1178">
        <v>0.36499999999999999</v>
      </c>
      <c r="Q1178" t="s">
        <v>29</v>
      </c>
      <c r="R1178" t="s">
        <v>30</v>
      </c>
      <c r="S1178" t="s">
        <v>6938</v>
      </c>
    </row>
    <row r="1179" spans="1:19" x14ac:dyDescent="0.25">
      <c r="A1179">
        <v>1994</v>
      </c>
      <c r="B1179">
        <v>2740</v>
      </c>
      <c r="C1179" t="s">
        <v>5434</v>
      </c>
      <c r="D1179" t="s">
        <v>5435</v>
      </c>
      <c r="E1179">
        <v>331110</v>
      </c>
      <c r="F1179" t="s">
        <v>335</v>
      </c>
      <c r="G1179" t="s">
        <v>336</v>
      </c>
      <c r="H1179" t="s">
        <v>243</v>
      </c>
      <c r="I1179" t="s">
        <v>324</v>
      </c>
      <c r="J1179" t="s">
        <v>325</v>
      </c>
      <c r="K1179" t="s">
        <v>326</v>
      </c>
      <c r="L1179" t="s">
        <v>5167</v>
      </c>
      <c r="M1179" t="s">
        <v>5168</v>
      </c>
      <c r="N1179" t="s">
        <v>5169</v>
      </c>
      <c r="O1179" t="s">
        <v>5170</v>
      </c>
      <c r="P1179">
        <v>7.7</v>
      </c>
      <c r="Q1179" t="s">
        <v>29</v>
      </c>
      <c r="R1179" t="s">
        <v>30</v>
      </c>
      <c r="S1179" t="s">
        <v>6938</v>
      </c>
    </row>
    <row r="1180" spans="1:19" x14ac:dyDescent="0.25">
      <c r="A1180">
        <v>2007</v>
      </c>
      <c r="B1180">
        <v>4908</v>
      </c>
      <c r="C1180" t="s">
        <v>5436</v>
      </c>
      <c r="D1180" t="s">
        <v>5437</v>
      </c>
      <c r="E1180">
        <v>221320</v>
      </c>
      <c r="F1180" t="s">
        <v>390</v>
      </c>
      <c r="G1180" t="s">
        <v>147</v>
      </c>
      <c r="H1180" t="s">
        <v>21</v>
      </c>
      <c r="I1180" t="s">
        <v>504</v>
      </c>
      <c r="J1180" t="s">
        <v>505</v>
      </c>
      <c r="K1180" t="s">
        <v>506</v>
      </c>
      <c r="L1180" t="s">
        <v>5167</v>
      </c>
      <c r="M1180" t="s">
        <v>5168</v>
      </c>
      <c r="N1180" t="s">
        <v>5169</v>
      </c>
      <c r="O1180" t="s">
        <v>5170</v>
      </c>
      <c r="P1180">
        <v>15.029</v>
      </c>
      <c r="Q1180" t="s">
        <v>29</v>
      </c>
      <c r="R1180" t="s">
        <v>124</v>
      </c>
      <c r="S1180" t="s">
        <v>6938</v>
      </c>
    </row>
    <row r="1181" spans="1:19" x14ac:dyDescent="0.25">
      <c r="A1181">
        <v>2023</v>
      </c>
      <c r="B1181">
        <v>4743</v>
      </c>
      <c r="C1181" t="s">
        <v>1446</v>
      </c>
      <c r="D1181" t="s">
        <v>1447</v>
      </c>
      <c r="E1181">
        <v>221320</v>
      </c>
      <c r="F1181" t="s">
        <v>146</v>
      </c>
      <c r="G1181" t="s">
        <v>147</v>
      </c>
      <c r="H1181" t="s">
        <v>21</v>
      </c>
      <c r="I1181" t="s">
        <v>504</v>
      </c>
      <c r="J1181" t="s">
        <v>505</v>
      </c>
      <c r="K1181" t="s">
        <v>506</v>
      </c>
      <c r="L1181" t="s">
        <v>5167</v>
      </c>
      <c r="M1181" t="s">
        <v>5168</v>
      </c>
      <c r="N1181" t="s">
        <v>5169</v>
      </c>
      <c r="O1181" t="s">
        <v>5170</v>
      </c>
      <c r="P1181">
        <v>3.6230000000000002</v>
      </c>
      <c r="Q1181" t="s">
        <v>29</v>
      </c>
      <c r="R1181" t="s">
        <v>124</v>
      </c>
      <c r="S1181" t="s">
        <v>6938</v>
      </c>
    </row>
    <row r="1182" spans="1:19" x14ac:dyDescent="0.25">
      <c r="A1182">
        <v>2002</v>
      </c>
      <c r="B1182">
        <v>2776</v>
      </c>
      <c r="C1182" t="s">
        <v>2289</v>
      </c>
      <c r="D1182" t="s">
        <v>1199</v>
      </c>
      <c r="E1182">
        <v>324110</v>
      </c>
      <c r="F1182" t="s">
        <v>95</v>
      </c>
      <c r="G1182" t="s">
        <v>96</v>
      </c>
      <c r="H1182" t="s">
        <v>69</v>
      </c>
      <c r="I1182" t="s">
        <v>62</v>
      </c>
      <c r="J1182" t="s">
        <v>63</v>
      </c>
      <c r="K1182" t="s">
        <v>64</v>
      </c>
      <c r="L1182" t="s">
        <v>5167</v>
      </c>
      <c r="M1182" t="s">
        <v>5168</v>
      </c>
      <c r="N1182" t="s">
        <v>5169</v>
      </c>
      <c r="O1182" t="s">
        <v>5170</v>
      </c>
      <c r="P1182">
        <v>8.6999999999999994E-2</v>
      </c>
      <c r="Q1182" t="s">
        <v>29</v>
      </c>
      <c r="R1182" t="s">
        <v>30</v>
      </c>
      <c r="S1182" t="s">
        <v>6938</v>
      </c>
    </row>
    <row r="1183" spans="1:19" x14ac:dyDescent="0.25">
      <c r="A1183">
        <v>1997</v>
      </c>
      <c r="B1183">
        <v>3707</v>
      </c>
      <c r="C1183" t="s">
        <v>125</v>
      </c>
      <c r="D1183" t="s">
        <v>808</v>
      </c>
      <c r="E1183">
        <v>324110</v>
      </c>
      <c r="F1183" t="s">
        <v>95</v>
      </c>
      <c r="G1183" t="s">
        <v>96</v>
      </c>
      <c r="H1183" t="s">
        <v>85</v>
      </c>
      <c r="I1183" t="s">
        <v>331</v>
      </c>
      <c r="J1183" t="s">
        <v>332</v>
      </c>
      <c r="K1183" t="s">
        <v>333</v>
      </c>
      <c r="L1183" t="s">
        <v>5183</v>
      </c>
      <c r="M1183" t="s">
        <v>5184</v>
      </c>
      <c r="N1183" t="s">
        <v>5195</v>
      </c>
      <c r="O1183" t="s">
        <v>5196</v>
      </c>
      <c r="P1183">
        <v>2E-3</v>
      </c>
      <c r="Q1183" t="s">
        <v>29</v>
      </c>
      <c r="R1183" t="s">
        <v>50</v>
      </c>
      <c r="S1183" t="s">
        <v>6938</v>
      </c>
    </row>
    <row r="1184" spans="1:19" x14ac:dyDescent="0.25">
      <c r="A1184">
        <v>2009</v>
      </c>
      <c r="B1184">
        <v>3933</v>
      </c>
      <c r="C1184" t="s">
        <v>5438</v>
      </c>
      <c r="D1184" t="s">
        <v>5439</v>
      </c>
      <c r="E1184">
        <v>211113</v>
      </c>
      <c r="F1184" t="s">
        <v>425</v>
      </c>
      <c r="G1184" t="s">
        <v>426</v>
      </c>
      <c r="H1184" t="s">
        <v>85</v>
      </c>
      <c r="I1184" t="s">
        <v>348</v>
      </c>
      <c r="J1184" t="s">
        <v>349</v>
      </c>
      <c r="K1184" t="s">
        <v>350</v>
      </c>
      <c r="L1184" t="s">
        <v>5167</v>
      </c>
      <c r="M1184" t="s">
        <v>5168</v>
      </c>
      <c r="N1184" t="s">
        <v>5169</v>
      </c>
      <c r="O1184" t="s">
        <v>5170</v>
      </c>
      <c r="P1184">
        <v>4.0000000000000001E-3</v>
      </c>
      <c r="Q1184" t="s">
        <v>29</v>
      </c>
      <c r="R1184" t="s">
        <v>30</v>
      </c>
      <c r="S1184" t="s">
        <v>6938</v>
      </c>
    </row>
    <row r="1185" spans="1:19" x14ac:dyDescent="0.25">
      <c r="A1185">
        <v>2004</v>
      </c>
      <c r="B1185">
        <v>5100</v>
      </c>
      <c r="C1185" t="s">
        <v>1098</v>
      </c>
      <c r="D1185" t="s">
        <v>5440</v>
      </c>
      <c r="E1185">
        <v>562210</v>
      </c>
      <c r="F1185" t="s">
        <v>52</v>
      </c>
      <c r="G1185" t="s">
        <v>53</v>
      </c>
      <c r="H1185" t="s">
        <v>69</v>
      </c>
      <c r="I1185" t="s">
        <v>317</v>
      </c>
      <c r="J1185" t="s">
        <v>318</v>
      </c>
      <c r="K1185" t="s">
        <v>319</v>
      </c>
      <c r="L1185" t="s">
        <v>5167</v>
      </c>
      <c r="M1185" t="s">
        <v>5168</v>
      </c>
      <c r="N1185" t="s">
        <v>5169</v>
      </c>
      <c r="O1185" t="s">
        <v>5170</v>
      </c>
      <c r="P1185">
        <v>0.03</v>
      </c>
      <c r="Q1185" t="s">
        <v>29</v>
      </c>
      <c r="R1185" t="s">
        <v>50</v>
      </c>
      <c r="S1185" t="s">
        <v>6938</v>
      </c>
    </row>
    <row r="1186" spans="1:19" x14ac:dyDescent="0.25">
      <c r="A1186">
        <v>2014</v>
      </c>
      <c r="B1186">
        <v>23956</v>
      </c>
      <c r="C1186" t="s">
        <v>5441</v>
      </c>
      <c r="D1186" t="s">
        <v>5442</v>
      </c>
      <c r="E1186">
        <v>211113</v>
      </c>
      <c r="F1186" t="s">
        <v>786</v>
      </c>
      <c r="G1186" t="s">
        <v>426</v>
      </c>
      <c r="H1186" t="s">
        <v>85</v>
      </c>
      <c r="I1186" t="s">
        <v>271</v>
      </c>
      <c r="J1186" t="s">
        <v>272</v>
      </c>
      <c r="K1186" t="s">
        <v>273</v>
      </c>
      <c r="L1186" t="s">
        <v>5167</v>
      </c>
      <c r="M1186" t="s">
        <v>5168</v>
      </c>
      <c r="N1186" t="s">
        <v>5175</v>
      </c>
      <c r="O1186" t="s">
        <v>5176</v>
      </c>
      <c r="P1186">
        <v>5.7000000000000002E-2</v>
      </c>
      <c r="Q1186" t="s">
        <v>29</v>
      </c>
      <c r="R1186" t="s">
        <v>30</v>
      </c>
      <c r="S1186" t="s">
        <v>6938</v>
      </c>
    </row>
    <row r="1187" spans="1:19" x14ac:dyDescent="0.25">
      <c r="A1187">
        <v>1996</v>
      </c>
      <c r="B1187">
        <v>1755</v>
      </c>
      <c r="C1187" t="s">
        <v>5443</v>
      </c>
      <c r="D1187" t="s">
        <v>5444</v>
      </c>
      <c r="E1187">
        <v>211113</v>
      </c>
      <c r="F1187" t="s">
        <v>425</v>
      </c>
      <c r="G1187" t="s">
        <v>426</v>
      </c>
      <c r="H1187" t="s">
        <v>85</v>
      </c>
      <c r="I1187" t="s">
        <v>55</v>
      </c>
      <c r="J1187" t="s">
        <v>56</v>
      </c>
      <c r="K1187" t="s">
        <v>57</v>
      </c>
      <c r="L1187" t="s">
        <v>5167</v>
      </c>
      <c r="M1187" t="s">
        <v>5168</v>
      </c>
      <c r="N1187" t="s">
        <v>5195</v>
      </c>
      <c r="O1187" t="s">
        <v>5196</v>
      </c>
      <c r="P1187">
        <v>111.97199999999999</v>
      </c>
      <c r="Q1187" t="s">
        <v>29</v>
      </c>
      <c r="R1187" t="s">
        <v>30</v>
      </c>
      <c r="S1187" t="s">
        <v>6938</v>
      </c>
    </row>
    <row r="1188" spans="1:19" x14ac:dyDescent="0.25">
      <c r="A1188">
        <v>2005</v>
      </c>
      <c r="B1188">
        <v>5608</v>
      </c>
      <c r="C1188" t="s">
        <v>5445</v>
      </c>
      <c r="D1188" t="s">
        <v>5446</v>
      </c>
      <c r="E1188">
        <v>335990</v>
      </c>
      <c r="F1188" t="s">
        <v>5251</v>
      </c>
      <c r="G1188" t="s">
        <v>5252</v>
      </c>
      <c r="H1188" t="s">
        <v>21</v>
      </c>
      <c r="I1188" t="s">
        <v>504</v>
      </c>
      <c r="J1188" t="s">
        <v>505</v>
      </c>
      <c r="K1188" t="s">
        <v>506</v>
      </c>
      <c r="L1188" t="s">
        <v>5167</v>
      </c>
      <c r="M1188" t="s">
        <v>5168</v>
      </c>
      <c r="N1188" t="s">
        <v>5169</v>
      </c>
      <c r="O1188" t="s">
        <v>5170</v>
      </c>
      <c r="P1188">
        <v>0.31</v>
      </c>
      <c r="Q1188" t="s">
        <v>29</v>
      </c>
      <c r="R1188" t="s">
        <v>50</v>
      </c>
      <c r="S1188" t="s">
        <v>6938</v>
      </c>
    </row>
    <row r="1189" spans="1:19" x14ac:dyDescent="0.25">
      <c r="A1189">
        <v>2017</v>
      </c>
      <c r="B1189">
        <v>1195</v>
      </c>
      <c r="C1189" t="s">
        <v>5447</v>
      </c>
      <c r="D1189" t="s">
        <v>5448</v>
      </c>
      <c r="E1189">
        <v>322121</v>
      </c>
      <c r="F1189" t="s">
        <v>938</v>
      </c>
      <c r="G1189" t="s">
        <v>765</v>
      </c>
      <c r="H1189" t="s">
        <v>79</v>
      </c>
      <c r="I1189" t="s">
        <v>811</v>
      </c>
      <c r="J1189" t="s">
        <v>812</v>
      </c>
      <c r="K1189" t="s">
        <v>813</v>
      </c>
      <c r="L1189" t="s">
        <v>5167</v>
      </c>
      <c r="M1189" t="s">
        <v>5168</v>
      </c>
      <c r="N1189" t="s">
        <v>5175</v>
      </c>
      <c r="O1189" t="s">
        <v>5176</v>
      </c>
      <c r="P1189">
        <v>4.13</v>
      </c>
      <c r="Q1189" t="s">
        <v>40</v>
      </c>
      <c r="R1189" t="s">
        <v>430</v>
      </c>
      <c r="S1189" t="s">
        <v>6938</v>
      </c>
    </row>
    <row r="1190" spans="1:19" x14ac:dyDescent="0.25">
      <c r="A1190">
        <v>2000</v>
      </c>
      <c r="B1190">
        <v>3478</v>
      </c>
      <c r="C1190" t="s">
        <v>5449</v>
      </c>
      <c r="D1190" t="s">
        <v>5450</v>
      </c>
      <c r="E1190">
        <v>336110</v>
      </c>
      <c r="F1190" t="s">
        <v>377</v>
      </c>
      <c r="G1190" t="s">
        <v>44</v>
      </c>
      <c r="H1190" t="s">
        <v>21</v>
      </c>
      <c r="I1190" t="s">
        <v>271</v>
      </c>
      <c r="J1190" t="s">
        <v>272</v>
      </c>
      <c r="K1190" t="s">
        <v>273</v>
      </c>
      <c r="L1190" t="s">
        <v>5167</v>
      </c>
      <c r="M1190" t="s">
        <v>5168</v>
      </c>
      <c r="N1190" t="s">
        <v>5169</v>
      </c>
      <c r="O1190" t="s">
        <v>5170</v>
      </c>
      <c r="P1190">
        <v>1.0999999999999999E-2</v>
      </c>
      <c r="Q1190" t="s">
        <v>29</v>
      </c>
      <c r="R1190" t="s">
        <v>30</v>
      </c>
      <c r="S1190" t="s">
        <v>6938</v>
      </c>
    </row>
    <row r="1191" spans="1:19" x14ac:dyDescent="0.25">
      <c r="A1191">
        <v>2011</v>
      </c>
      <c r="B1191">
        <v>6654</v>
      </c>
      <c r="C1191" t="s">
        <v>806</v>
      </c>
      <c r="D1191" t="s">
        <v>5451</v>
      </c>
      <c r="E1191">
        <v>412110</v>
      </c>
      <c r="F1191" t="s">
        <v>346</v>
      </c>
      <c r="G1191" t="s">
        <v>347</v>
      </c>
      <c r="H1191" t="s">
        <v>69</v>
      </c>
      <c r="I1191" t="s">
        <v>427</v>
      </c>
      <c r="J1191" t="s">
        <v>428</v>
      </c>
      <c r="K1191" t="s">
        <v>429</v>
      </c>
      <c r="L1191" t="s">
        <v>5167</v>
      </c>
      <c r="M1191" t="s">
        <v>5168</v>
      </c>
      <c r="N1191" t="s">
        <v>5169</v>
      </c>
      <c r="O1191" t="s">
        <v>5170</v>
      </c>
      <c r="P1191">
        <v>3.141</v>
      </c>
      <c r="Q1191" t="s">
        <v>29</v>
      </c>
      <c r="R1191" t="s">
        <v>30</v>
      </c>
      <c r="S1191" t="s">
        <v>6938</v>
      </c>
    </row>
    <row r="1192" spans="1:19" x14ac:dyDescent="0.25">
      <c r="A1192">
        <v>2011</v>
      </c>
      <c r="B1192">
        <v>2161</v>
      </c>
      <c r="C1192" t="s">
        <v>5452</v>
      </c>
      <c r="D1192" t="s">
        <v>5453</v>
      </c>
      <c r="E1192">
        <v>331110</v>
      </c>
      <c r="F1192" t="s">
        <v>335</v>
      </c>
      <c r="G1192" t="s">
        <v>336</v>
      </c>
      <c r="H1192" t="s">
        <v>21</v>
      </c>
      <c r="I1192" t="s">
        <v>62</v>
      </c>
      <c r="J1192" t="s">
        <v>63</v>
      </c>
      <c r="K1192" t="s">
        <v>64</v>
      </c>
      <c r="L1192" t="s">
        <v>5167</v>
      </c>
      <c r="M1192" t="s">
        <v>5168</v>
      </c>
      <c r="N1192" t="s">
        <v>5169</v>
      </c>
      <c r="O1192" t="s">
        <v>5170</v>
      </c>
      <c r="P1192">
        <v>0.94269999999999998</v>
      </c>
      <c r="Q1192" t="s">
        <v>29</v>
      </c>
      <c r="R1192" t="s">
        <v>30</v>
      </c>
      <c r="S1192" t="s">
        <v>6938</v>
      </c>
    </row>
    <row r="1193" spans="1:19" x14ac:dyDescent="0.25">
      <c r="A1193">
        <v>2021</v>
      </c>
      <c r="B1193">
        <v>3147</v>
      </c>
      <c r="C1193" t="s">
        <v>1783</v>
      </c>
      <c r="D1193" t="s">
        <v>5454</v>
      </c>
      <c r="E1193">
        <v>541990</v>
      </c>
      <c r="F1193" t="s">
        <v>1785</v>
      </c>
      <c r="G1193" t="s">
        <v>1786</v>
      </c>
      <c r="H1193" t="s">
        <v>21</v>
      </c>
      <c r="I1193" t="s">
        <v>35</v>
      </c>
      <c r="J1193" t="s">
        <v>36</v>
      </c>
      <c r="K1193" t="s">
        <v>37</v>
      </c>
      <c r="L1193" t="s">
        <v>5167</v>
      </c>
      <c r="M1193" t="s">
        <v>5168</v>
      </c>
      <c r="N1193" t="s">
        <v>5169</v>
      </c>
      <c r="O1193" t="s">
        <v>5170</v>
      </c>
      <c r="P1193">
        <v>1155.4000000000001</v>
      </c>
      <c r="Q1193" t="s">
        <v>40</v>
      </c>
      <c r="R1193" t="s">
        <v>50</v>
      </c>
      <c r="S1193" t="s">
        <v>6938</v>
      </c>
    </row>
    <row r="1194" spans="1:19" x14ac:dyDescent="0.25">
      <c r="A1194">
        <v>2007</v>
      </c>
      <c r="B1194">
        <v>8770</v>
      </c>
      <c r="C1194" t="s">
        <v>5455</v>
      </c>
      <c r="D1194" t="s">
        <v>5456</v>
      </c>
      <c r="E1194">
        <v>331110</v>
      </c>
      <c r="F1194" t="s">
        <v>335</v>
      </c>
      <c r="G1194" t="s">
        <v>336</v>
      </c>
      <c r="H1194" t="s">
        <v>79</v>
      </c>
      <c r="I1194" t="s">
        <v>525</v>
      </c>
      <c r="J1194" t="s">
        <v>526</v>
      </c>
      <c r="K1194" t="s">
        <v>527</v>
      </c>
      <c r="L1194" t="s">
        <v>5183</v>
      </c>
      <c r="M1194" t="s">
        <v>5184</v>
      </c>
      <c r="N1194" t="s">
        <v>5185</v>
      </c>
      <c r="O1194" t="s">
        <v>5186</v>
      </c>
      <c r="P1194">
        <v>535</v>
      </c>
      <c r="Q1194" t="s">
        <v>29</v>
      </c>
      <c r="R1194" t="s">
        <v>124</v>
      </c>
      <c r="S1194" t="s">
        <v>6938</v>
      </c>
    </row>
    <row r="1195" spans="1:19" x14ac:dyDescent="0.25">
      <c r="A1195">
        <v>2002</v>
      </c>
      <c r="B1195">
        <v>3242</v>
      </c>
      <c r="C1195" t="s">
        <v>5457</v>
      </c>
      <c r="D1195" t="s">
        <v>5458</v>
      </c>
      <c r="E1195">
        <v>322112</v>
      </c>
      <c r="F1195" t="s">
        <v>620</v>
      </c>
      <c r="G1195" t="s">
        <v>621</v>
      </c>
      <c r="H1195" t="s">
        <v>79</v>
      </c>
      <c r="I1195" t="s">
        <v>152</v>
      </c>
      <c r="J1195" t="s">
        <v>153</v>
      </c>
      <c r="K1195" t="s">
        <v>154</v>
      </c>
      <c r="L1195" t="s">
        <v>5183</v>
      </c>
      <c r="M1195" t="s">
        <v>5184</v>
      </c>
      <c r="N1195" t="s">
        <v>5169</v>
      </c>
      <c r="O1195" t="s">
        <v>5170</v>
      </c>
      <c r="P1195">
        <v>5</v>
      </c>
      <c r="Q1195" t="s">
        <v>29</v>
      </c>
      <c r="R1195" t="s">
        <v>442</v>
      </c>
      <c r="S1195" t="s">
        <v>6938</v>
      </c>
    </row>
    <row r="1196" spans="1:19" x14ac:dyDescent="0.25">
      <c r="A1196">
        <v>2012</v>
      </c>
      <c r="B1196">
        <v>407</v>
      </c>
      <c r="C1196" t="s">
        <v>1043</v>
      </c>
      <c r="D1196" t="s">
        <v>5459</v>
      </c>
      <c r="E1196">
        <v>211113</v>
      </c>
      <c r="F1196" t="s">
        <v>786</v>
      </c>
      <c r="G1196" t="s">
        <v>426</v>
      </c>
      <c r="H1196" t="s">
        <v>85</v>
      </c>
      <c r="I1196" t="s">
        <v>923</v>
      </c>
      <c r="J1196" t="s">
        <v>924</v>
      </c>
      <c r="K1196" t="s">
        <v>924</v>
      </c>
      <c r="L1196" t="s">
        <v>5167</v>
      </c>
      <c r="M1196" t="s">
        <v>5168</v>
      </c>
      <c r="N1196" t="s">
        <v>5195</v>
      </c>
      <c r="O1196" t="s">
        <v>5196</v>
      </c>
      <c r="P1196">
        <v>0.83509999999999995</v>
      </c>
      <c r="Q1196" t="s">
        <v>29</v>
      </c>
      <c r="R1196" t="s">
        <v>30</v>
      </c>
      <c r="S1196" t="s">
        <v>6938</v>
      </c>
    </row>
    <row r="1197" spans="1:19" x14ac:dyDescent="0.25">
      <c r="A1197">
        <v>2014</v>
      </c>
      <c r="B1197">
        <v>26416</v>
      </c>
      <c r="C1197" t="s">
        <v>4250</v>
      </c>
      <c r="D1197" t="s">
        <v>5460</v>
      </c>
      <c r="E1197">
        <v>562210</v>
      </c>
      <c r="F1197" t="s">
        <v>84</v>
      </c>
      <c r="G1197" t="s">
        <v>53</v>
      </c>
      <c r="H1197" t="s">
        <v>85</v>
      </c>
      <c r="I1197" t="s">
        <v>271</v>
      </c>
      <c r="J1197" t="s">
        <v>272</v>
      </c>
      <c r="K1197" t="s">
        <v>273</v>
      </c>
      <c r="L1197" t="s">
        <v>5183</v>
      </c>
      <c r="M1197" t="s">
        <v>5184</v>
      </c>
      <c r="N1197" t="s">
        <v>5195</v>
      </c>
      <c r="O1197" t="s">
        <v>5196</v>
      </c>
      <c r="P1197">
        <v>1.8946000000000001</v>
      </c>
      <c r="Q1197" t="s">
        <v>29</v>
      </c>
      <c r="R1197" t="s">
        <v>430</v>
      </c>
      <c r="S1197" t="s">
        <v>6938</v>
      </c>
    </row>
    <row r="1198" spans="1:19" x14ac:dyDescent="0.25">
      <c r="A1198">
        <v>2022</v>
      </c>
      <c r="B1198">
        <v>29004</v>
      </c>
      <c r="C1198" t="s">
        <v>5461</v>
      </c>
      <c r="D1198" t="s">
        <v>5462</v>
      </c>
      <c r="E1198">
        <v>212392</v>
      </c>
      <c r="F1198" t="s">
        <v>5463</v>
      </c>
      <c r="G1198" t="s">
        <v>2085</v>
      </c>
      <c r="H1198" t="s">
        <v>379</v>
      </c>
      <c r="I1198" t="s">
        <v>184</v>
      </c>
      <c r="J1198" t="s">
        <v>185</v>
      </c>
      <c r="K1198" t="s">
        <v>186</v>
      </c>
      <c r="L1198" t="s">
        <v>5183</v>
      </c>
      <c r="M1198" t="s">
        <v>5184</v>
      </c>
      <c r="N1198" t="s">
        <v>5185</v>
      </c>
      <c r="O1198" t="s">
        <v>5186</v>
      </c>
      <c r="P1198">
        <v>171653.9</v>
      </c>
      <c r="Q1198" t="s">
        <v>40</v>
      </c>
      <c r="R1198" t="s">
        <v>124</v>
      </c>
      <c r="S1198" t="s">
        <v>6938</v>
      </c>
    </row>
    <row r="1199" spans="1:19" x14ac:dyDescent="0.25">
      <c r="A1199">
        <v>2019</v>
      </c>
      <c r="B1199">
        <v>1979</v>
      </c>
      <c r="C1199" t="s">
        <v>1621</v>
      </c>
      <c r="D1199" t="s">
        <v>5464</v>
      </c>
      <c r="E1199">
        <v>322121</v>
      </c>
      <c r="F1199" t="s">
        <v>938</v>
      </c>
      <c r="G1199" t="s">
        <v>765</v>
      </c>
      <c r="H1199" t="s">
        <v>79</v>
      </c>
      <c r="I1199" t="s">
        <v>244</v>
      </c>
      <c r="J1199" t="s">
        <v>245</v>
      </c>
      <c r="K1199" t="s">
        <v>246</v>
      </c>
      <c r="L1199" t="s">
        <v>5183</v>
      </c>
      <c r="M1199" t="s">
        <v>5184</v>
      </c>
      <c r="N1199" t="s">
        <v>5169</v>
      </c>
      <c r="O1199" t="s">
        <v>5170</v>
      </c>
      <c r="P1199">
        <v>435</v>
      </c>
      <c r="Q1199" t="s">
        <v>40</v>
      </c>
      <c r="R1199" t="s">
        <v>124</v>
      </c>
      <c r="S1199" t="s">
        <v>6938</v>
      </c>
    </row>
    <row r="1200" spans="1:19" x14ac:dyDescent="0.25">
      <c r="A1200">
        <v>2021</v>
      </c>
      <c r="B1200">
        <v>6664</v>
      </c>
      <c r="C1200" t="s">
        <v>507</v>
      </c>
      <c r="D1200" t="s">
        <v>5465</v>
      </c>
      <c r="E1200">
        <v>412110</v>
      </c>
      <c r="F1200" t="s">
        <v>127</v>
      </c>
      <c r="G1200" t="s">
        <v>128</v>
      </c>
      <c r="H1200" t="s">
        <v>21</v>
      </c>
      <c r="I1200" t="s">
        <v>172</v>
      </c>
      <c r="J1200" t="s">
        <v>173</v>
      </c>
      <c r="K1200" t="s">
        <v>174</v>
      </c>
      <c r="L1200" t="s">
        <v>5167</v>
      </c>
      <c r="M1200" t="s">
        <v>5168</v>
      </c>
      <c r="N1200" t="s">
        <v>5169</v>
      </c>
      <c r="O1200" t="s">
        <v>5170</v>
      </c>
      <c r="P1200">
        <v>2.0000000000000002E-5</v>
      </c>
      <c r="Q1200" t="s">
        <v>29</v>
      </c>
      <c r="R1200" t="s">
        <v>30</v>
      </c>
      <c r="S1200" t="s">
        <v>6938</v>
      </c>
    </row>
    <row r="1201" spans="1:19" x14ac:dyDescent="0.25">
      <c r="A1201">
        <v>2006</v>
      </c>
      <c r="B1201">
        <v>3416</v>
      </c>
      <c r="C1201" t="s">
        <v>375</v>
      </c>
      <c r="D1201" t="s">
        <v>609</v>
      </c>
      <c r="E1201">
        <v>331511</v>
      </c>
      <c r="F1201" t="s">
        <v>160</v>
      </c>
      <c r="G1201" t="s">
        <v>161</v>
      </c>
      <c r="H1201" t="s">
        <v>21</v>
      </c>
      <c r="I1201" t="s">
        <v>1180</v>
      </c>
      <c r="J1201" t="s">
        <v>1181</v>
      </c>
      <c r="K1201" t="s">
        <v>1182</v>
      </c>
      <c r="L1201" t="s">
        <v>5167</v>
      </c>
      <c r="M1201" t="s">
        <v>5168</v>
      </c>
      <c r="N1201" t="s">
        <v>5169</v>
      </c>
      <c r="O1201" t="s">
        <v>5170</v>
      </c>
      <c r="P1201">
        <v>0.04</v>
      </c>
      <c r="Q1201" t="s">
        <v>29</v>
      </c>
      <c r="R1201" t="s">
        <v>30</v>
      </c>
      <c r="S1201" t="s">
        <v>6938</v>
      </c>
    </row>
    <row r="1202" spans="1:19" x14ac:dyDescent="0.25">
      <c r="A1202">
        <v>2023</v>
      </c>
      <c r="B1202">
        <v>32912</v>
      </c>
      <c r="C1202" t="s">
        <v>231</v>
      </c>
      <c r="D1202" t="s">
        <v>4722</v>
      </c>
      <c r="E1202">
        <v>211110</v>
      </c>
      <c r="F1202" t="s">
        <v>233</v>
      </c>
      <c r="G1202" t="s">
        <v>234</v>
      </c>
      <c r="H1202" t="s">
        <v>85</v>
      </c>
      <c r="I1202" t="s">
        <v>923</v>
      </c>
      <c r="J1202" t="s">
        <v>924</v>
      </c>
      <c r="K1202" t="s">
        <v>924</v>
      </c>
      <c r="L1202" t="s">
        <v>5167</v>
      </c>
      <c r="M1202" t="s">
        <v>5168</v>
      </c>
      <c r="N1202" t="s">
        <v>5195</v>
      </c>
      <c r="O1202" t="s">
        <v>5196</v>
      </c>
      <c r="P1202">
        <v>3.9100000000000002E-4</v>
      </c>
      <c r="Q1202" t="s">
        <v>29</v>
      </c>
      <c r="R1202" t="s">
        <v>30</v>
      </c>
      <c r="S1202" t="s">
        <v>6938</v>
      </c>
    </row>
    <row r="1203" spans="1:19" x14ac:dyDescent="0.25">
      <c r="A1203">
        <v>2015</v>
      </c>
      <c r="B1203">
        <v>27506</v>
      </c>
      <c r="C1203" t="s">
        <v>1323</v>
      </c>
      <c r="D1203" t="s">
        <v>1356</v>
      </c>
      <c r="E1203">
        <v>211114</v>
      </c>
      <c r="F1203" t="s">
        <v>956</v>
      </c>
      <c r="G1203" t="s">
        <v>836</v>
      </c>
      <c r="H1203" t="s">
        <v>85</v>
      </c>
      <c r="I1203" t="s">
        <v>491</v>
      </c>
      <c r="J1203" t="s">
        <v>492</v>
      </c>
      <c r="K1203" t="s">
        <v>492</v>
      </c>
      <c r="L1203" t="s">
        <v>5167</v>
      </c>
      <c r="M1203" t="s">
        <v>5168</v>
      </c>
      <c r="N1203" t="s">
        <v>5169</v>
      </c>
      <c r="O1203" t="s">
        <v>5170</v>
      </c>
      <c r="P1203">
        <v>2.7000000000000001E-3</v>
      </c>
      <c r="Q1203" t="s">
        <v>29</v>
      </c>
      <c r="R1203" t="s">
        <v>30</v>
      </c>
      <c r="S1203" t="s">
        <v>6938</v>
      </c>
    </row>
    <row r="1204" spans="1:19" x14ac:dyDescent="0.25">
      <c r="A1204">
        <v>2011</v>
      </c>
      <c r="B1204">
        <v>5236</v>
      </c>
      <c r="C1204" t="s">
        <v>5466</v>
      </c>
      <c r="D1204" t="s">
        <v>5467</v>
      </c>
      <c r="E1204">
        <v>212392</v>
      </c>
      <c r="F1204" t="s">
        <v>2084</v>
      </c>
      <c r="G1204" t="s">
        <v>2085</v>
      </c>
      <c r="H1204" t="s">
        <v>379</v>
      </c>
      <c r="I1204" t="s">
        <v>177</v>
      </c>
      <c r="J1204" t="s">
        <v>178</v>
      </c>
      <c r="K1204" t="s">
        <v>179</v>
      </c>
      <c r="L1204" t="s">
        <v>5183</v>
      </c>
      <c r="M1204" t="s">
        <v>5184</v>
      </c>
      <c r="N1204" t="s">
        <v>5185</v>
      </c>
      <c r="O1204" t="s">
        <v>5186</v>
      </c>
      <c r="P1204">
        <v>143.821</v>
      </c>
      <c r="Q1204" t="s">
        <v>29</v>
      </c>
      <c r="R1204" t="s">
        <v>124</v>
      </c>
      <c r="S1204" t="s">
        <v>6938</v>
      </c>
    </row>
    <row r="1205" spans="1:19" x14ac:dyDescent="0.25">
      <c r="A1205">
        <v>2006</v>
      </c>
      <c r="B1205">
        <v>4892</v>
      </c>
      <c r="C1205" t="s">
        <v>5468</v>
      </c>
      <c r="D1205" t="s">
        <v>5469</v>
      </c>
      <c r="E1205">
        <v>321217</v>
      </c>
      <c r="F1205" t="s">
        <v>1702</v>
      </c>
      <c r="G1205" t="s">
        <v>151</v>
      </c>
      <c r="H1205" t="s">
        <v>21</v>
      </c>
      <c r="I1205" t="s">
        <v>35</v>
      </c>
      <c r="J1205" t="s">
        <v>36</v>
      </c>
      <c r="K1205" t="s">
        <v>37</v>
      </c>
      <c r="L1205" t="s">
        <v>5167</v>
      </c>
      <c r="M1205" t="s">
        <v>5168</v>
      </c>
      <c r="N1205" t="s">
        <v>5169</v>
      </c>
      <c r="O1205" t="s">
        <v>5170</v>
      </c>
      <c r="P1205">
        <v>85.1</v>
      </c>
      <c r="Q1205" t="s">
        <v>40</v>
      </c>
      <c r="R1205" t="s">
        <v>430</v>
      </c>
      <c r="S1205" t="s">
        <v>6938</v>
      </c>
    </row>
    <row r="1206" spans="1:19" x14ac:dyDescent="0.25">
      <c r="A1206">
        <v>2020</v>
      </c>
      <c r="B1206">
        <v>1</v>
      </c>
      <c r="C1206" t="s">
        <v>5470</v>
      </c>
      <c r="D1206" t="s">
        <v>5470</v>
      </c>
      <c r="E1206">
        <v>322112</v>
      </c>
      <c r="F1206" t="s">
        <v>660</v>
      </c>
      <c r="G1206" t="s">
        <v>621</v>
      </c>
      <c r="H1206" t="s">
        <v>85</v>
      </c>
      <c r="I1206" t="s">
        <v>191</v>
      </c>
      <c r="J1206" t="s">
        <v>192</v>
      </c>
      <c r="K1206" t="s">
        <v>193</v>
      </c>
      <c r="L1206" t="s">
        <v>5183</v>
      </c>
      <c r="M1206" t="s">
        <v>5184</v>
      </c>
      <c r="N1206" t="s">
        <v>5169</v>
      </c>
      <c r="O1206" t="s">
        <v>5170</v>
      </c>
      <c r="P1206">
        <v>0.36</v>
      </c>
      <c r="Q1206" t="s">
        <v>29</v>
      </c>
      <c r="R1206" t="s">
        <v>124</v>
      </c>
      <c r="S1206" t="s">
        <v>6938</v>
      </c>
    </row>
    <row r="1207" spans="1:19" x14ac:dyDescent="0.25">
      <c r="A1207">
        <v>2021</v>
      </c>
      <c r="B1207">
        <v>2372</v>
      </c>
      <c r="C1207" t="s">
        <v>5405</v>
      </c>
      <c r="D1207" t="s">
        <v>5405</v>
      </c>
      <c r="E1207">
        <v>212233</v>
      </c>
      <c r="F1207" t="s">
        <v>1111</v>
      </c>
      <c r="G1207" t="s">
        <v>441</v>
      </c>
      <c r="H1207" t="s">
        <v>69</v>
      </c>
      <c r="I1207" t="s">
        <v>35</v>
      </c>
      <c r="J1207" t="s">
        <v>36</v>
      </c>
      <c r="K1207" t="s">
        <v>37</v>
      </c>
      <c r="L1207" t="s">
        <v>5183</v>
      </c>
      <c r="M1207" t="s">
        <v>5184</v>
      </c>
      <c r="N1207" t="s">
        <v>5185</v>
      </c>
      <c r="O1207" t="s">
        <v>5186</v>
      </c>
      <c r="P1207">
        <v>363763.45</v>
      </c>
      <c r="Q1207" t="s">
        <v>40</v>
      </c>
      <c r="R1207" t="s">
        <v>124</v>
      </c>
      <c r="S1207" t="s">
        <v>6938</v>
      </c>
    </row>
    <row r="1208" spans="1:19" x14ac:dyDescent="0.25">
      <c r="A1208">
        <v>2020</v>
      </c>
      <c r="B1208">
        <v>28761</v>
      </c>
      <c r="C1208" t="s">
        <v>5471</v>
      </c>
      <c r="D1208" t="s">
        <v>5472</v>
      </c>
      <c r="E1208">
        <v>331410</v>
      </c>
      <c r="F1208" t="s">
        <v>1234</v>
      </c>
      <c r="G1208" t="s">
        <v>1235</v>
      </c>
      <c r="H1208" t="s">
        <v>1625</v>
      </c>
      <c r="I1208" t="s">
        <v>1150</v>
      </c>
      <c r="J1208" t="s">
        <v>1151</v>
      </c>
      <c r="K1208" t="s">
        <v>1152</v>
      </c>
      <c r="L1208" t="s">
        <v>5167</v>
      </c>
      <c r="M1208" t="s">
        <v>5168</v>
      </c>
      <c r="N1208" t="s">
        <v>5169</v>
      </c>
      <c r="O1208" t="s">
        <v>5170</v>
      </c>
      <c r="P1208">
        <v>15.911</v>
      </c>
      <c r="Q1208" t="s">
        <v>29</v>
      </c>
      <c r="R1208" t="s">
        <v>124</v>
      </c>
      <c r="S1208" t="s">
        <v>6938</v>
      </c>
    </row>
    <row r="1209" spans="1:19" x14ac:dyDescent="0.25">
      <c r="A1209">
        <v>2015</v>
      </c>
      <c r="B1209">
        <v>5112</v>
      </c>
      <c r="C1209" t="s">
        <v>5473</v>
      </c>
      <c r="D1209" t="s">
        <v>5474</v>
      </c>
      <c r="E1209">
        <v>321114</v>
      </c>
      <c r="F1209" t="s">
        <v>1212</v>
      </c>
      <c r="G1209" t="s">
        <v>366</v>
      </c>
      <c r="H1209" t="s">
        <v>69</v>
      </c>
      <c r="I1209" t="s">
        <v>244</v>
      </c>
      <c r="J1209" t="s">
        <v>245</v>
      </c>
      <c r="K1209" t="s">
        <v>246</v>
      </c>
      <c r="L1209" t="s">
        <v>5167</v>
      </c>
      <c r="M1209" t="s">
        <v>5168</v>
      </c>
      <c r="N1209" t="s">
        <v>5169</v>
      </c>
      <c r="O1209" t="s">
        <v>5170</v>
      </c>
      <c r="P1209">
        <v>589.14499999999998</v>
      </c>
      <c r="Q1209" t="s">
        <v>40</v>
      </c>
      <c r="R1209" t="s">
        <v>50</v>
      </c>
      <c r="S1209" t="s">
        <v>6938</v>
      </c>
    </row>
    <row r="1210" spans="1:19" x14ac:dyDescent="0.25">
      <c r="A1210">
        <v>2019</v>
      </c>
      <c r="B1210">
        <v>3571</v>
      </c>
      <c r="C1210" t="s">
        <v>5312</v>
      </c>
      <c r="D1210" t="s">
        <v>5313</v>
      </c>
      <c r="E1210">
        <v>221320</v>
      </c>
      <c r="F1210" t="s">
        <v>146</v>
      </c>
      <c r="G1210" t="s">
        <v>147</v>
      </c>
      <c r="H1210" t="s">
        <v>79</v>
      </c>
      <c r="I1210" t="s">
        <v>184</v>
      </c>
      <c r="J1210" t="s">
        <v>185</v>
      </c>
      <c r="K1210" t="s">
        <v>186</v>
      </c>
      <c r="L1210" t="s">
        <v>5167</v>
      </c>
      <c r="M1210" t="s">
        <v>5168</v>
      </c>
      <c r="N1210" t="s">
        <v>5169</v>
      </c>
      <c r="O1210" t="s">
        <v>5170</v>
      </c>
      <c r="P1210">
        <v>3100.64</v>
      </c>
      <c r="Q1210" t="s">
        <v>40</v>
      </c>
      <c r="R1210" t="s">
        <v>124</v>
      </c>
      <c r="S1210" t="s">
        <v>6938</v>
      </c>
    </row>
    <row r="1211" spans="1:19" x14ac:dyDescent="0.25">
      <c r="A1211">
        <v>2010</v>
      </c>
      <c r="B1211">
        <v>4566</v>
      </c>
      <c r="C1211" t="s">
        <v>5475</v>
      </c>
      <c r="D1211" t="s">
        <v>5476</v>
      </c>
      <c r="E1211">
        <v>211113</v>
      </c>
      <c r="F1211" t="s">
        <v>425</v>
      </c>
      <c r="G1211" t="s">
        <v>426</v>
      </c>
      <c r="H1211" t="s">
        <v>85</v>
      </c>
      <c r="I1211" t="s">
        <v>271</v>
      </c>
      <c r="J1211" t="s">
        <v>272</v>
      </c>
      <c r="K1211" t="s">
        <v>273</v>
      </c>
      <c r="L1211" t="s">
        <v>5167</v>
      </c>
      <c r="M1211" t="s">
        <v>5168</v>
      </c>
      <c r="N1211" t="s">
        <v>5169</v>
      </c>
      <c r="O1211" t="s">
        <v>5170</v>
      </c>
      <c r="P1211">
        <v>0.01</v>
      </c>
      <c r="Q1211" t="s">
        <v>29</v>
      </c>
      <c r="R1211" t="s">
        <v>30</v>
      </c>
      <c r="S1211" t="s">
        <v>6938</v>
      </c>
    </row>
    <row r="1212" spans="1:19" x14ac:dyDescent="0.25">
      <c r="A1212">
        <v>2014</v>
      </c>
      <c r="B1212">
        <v>6796</v>
      </c>
      <c r="C1212" t="s">
        <v>5477</v>
      </c>
      <c r="D1212" t="s">
        <v>5478</v>
      </c>
      <c r="E1212">
        <v>221320</v>
      </c>
      <c r="F1212" t="s">
        <v>146</v>
      </c>
      <c r="G1212" t="s">
        <v>147</v>
      </c>
      <c r="H1212" t="s">
        <v>243</v>
      </c>
      <c r="I1212" t="s">
        <v>504</v>
      </c>
      <c r="J1212" t="s">
        <v>505</v>
      </c>
      <c r="K1212" t="s">
        <v>506</v>
      </c>
      <c r="L1212" t="s">
        <v>5183</v>
      </c>
      <c r="M1212" t="s">
        <v>5184</v>
      </c>
      <c r="N1212" t="s">
        <v>5169</v>
      </c>
      <c r="O1212" t="s">
        <v>5170</v>
      </c>
      <c r="P1212">
        <v>0</v>
      </c>
      <c r="Q1212" t="s">
        <v>29</v>
      </c>
      <c r="R1212" t="s">
        <v>30</v>
      </c>
      <c r="S1212" t="s">
        <v>6938</v>
      </c>
    </row>
    <row r="1213" spans="1:19" x14ac:dyDescent="0.25">
      <c r="A1213">
        <v>1997</v>
      </c>
      <c r="B1213">
        <v>5668</v>
      </c>
      <c r="C1213" t="s">
        <v>5479</v>
      </c>
      <c r="E1213">
        <v>331511</v>
      </c>
      <c r="F1213" t="s">
        <v>160</v>
      </c>
      <c r="G1213" t="s">
        <v>161</v>
      </c>
      <c r="H1213" t="s">
        <v>21</v>
      </c>
      <c r="I1213" t="s">
        <v>244</v>
      </c>
      <c r="J1213" t="s">
        <v>245</v>
      </c>
      <c r="K1213" t="s">
        <v>246</v>
      </c>
      <c r="L1213" t="s">
        <v>5167</v>
      </c>
      <c r="M1213" t="s">
        <v>5168</v>
      </c>
      <c r="N1213" t="s">
        <v>5169</v>
      </c>
      <c r="O1213" t="s">
        <v>5170</v>
      </c>
      <c r="P1213">
        <v>0.40500000000000003</v>
      </c>
      <c r="Q1213" t="s">
        <v>29</v>
      </c>
      <c r="R1213" t="s">
        <v>30</v>
      </c>
      <c r="S1213" t="s">
        <v>6938</v>
      </c>
    </row>
    <row r="1214" spans="1:19" x14ac:dyDescent="0.25">
      <c r="A1214">
        <v>2015</v>
      </c>
      <c r="B1214">
        <v>11514</v>
      </c>
      <c r="C1214" t="s">
        <v>2001</v>
      </c>
      <c r="D1214" t="s">
        <v>2002</v>
      </c>
      <c r="E1214">
        <v>212232</v>
      </c>
      <c r="F1214" t="s">
        <v>2003</v>
      </c>
      <c r="G1214" t="s">
        <v>2004</v>
      </c>
      <c r="H1214" t="s">
        <v>21</v>
      </c>
      <c r="I1214" t="s">
        <v>152</v>
      </c>
      <c r="J1214" t="s">
        <v>153</v>
      </c>
      <c r="K1214" t="s">
        <v>154</v>
      </c>
      <c r="L1214" t="s">
        <v>5183</v>
      </c>
      <c r="M1214" t="s">
        <v>5184</v>
      </c>
      <c r="N1214" t="s">
        <v>5185</v>
      </c>
      <c r="O1214" t="s">
        <v>5186</v>
      </c>
      <c r="P1214">
        <v>11.435</v>
      </c>
      <c r="Q1214" t="s">
        <v>29</v>
      </c>
      <c r="R1214" t="s">
        <v>50</v>
      </c>
      <c r="S1214" t="s">
        <v>6938</v>
      </c>
    </row>
    <row r="1215" spans="1:19" x14ac:dyDescent="0.25">
      <c r="A1215">
        <v>1999</v>
      </c>
      <c r="B1215">
        <v>5336</v>
      </c>
      <c r="C1215" t="s">
        <v>5480</v>
      </c>
      <c r="D1215" t="s">
        <v>5481</v>
      </c>
      <c r="E1215">
        <v>211113</v>
      </c>
      <c r="F1215" t="s">
        <v>425</v>
      </c>
      <c r="G1215" t="s">
        <v>426</v>
      </c>
      <c r="H1215" t="s">
        <v>85</v>
      </c>
      <c r="I1215" t="s">
        <v>152</v>
      </c>
      <c r="J1215" t="s">
        <v>153</v>
      </c>
      <c r="K1215" t="s">
        <v>154</v>
      </c>
      <c r="L1215" t="s">
        <v>5167</v>
      </c>
      <c r="M1215" t="s">
        <v>5168</v>
      </c>
      <c r="N1215" t="s">
        <v>5169</v>
      </c>
      <c r="O1215" t="s">
        <v>5170</v>
      </c>
      <c r="P1215">
        <v>1.61</v>
      </c>
      <c r="Q1215" t="s">
        <v>29</v>
      </c>
      <c r="R1215" t="s">
        <v>50</v>
      </c>
      <c r="S1215" t="s">
        <v>6938</v>
      </c>
    </row>
    <row r="1216" spans="1:19" x14ac:dyDescent="0.25">
      <c r="A1216">
        <v>2023</v>
      </c>
      <c r="B1216">
        <v>27099</v>
      </c>
      <c r="C1216" t="s">
        <v>1718</v>
      </c>
      <c r="D1216" t="s">
        <v>5482</v>
      </c>
      <c r="E1216">
        <v>211110</v>
      </c>
      <c r="F1216" t="s">
        <v>233</v>
      </c>
      <c r="G1216" t="s">
        <v>234</v>
      </c>
      <c r="H1216" t="s">
        <v>243</v>
      </c>
      <c r="I1216" t="s">
        <v>5358</v>
      </c>
      <c r="J1216" t="s">
        <v>5359</v>
      </c>
      <c r="K1216" t="s">
        <v>5360</v>
      </c>
      <c r="L1216" t="s">
        <v>5183</v>
      </c>
      <c r="M1216" t="s">
        <v>5184</v>
      </c>
      <c r="N1216" t="s">
        <v>5195</v>
      </c>
      <c r="O1216" t="s">
        <v>5196</v>
      </c>
      <c r="P1216">
        <v>47.768506000000002</v>
      </c>
      <c r="Q1216" t="s">
        <v>40</v>
      </c>
      <c r="R1216" t="s">
        <v>30</v>
      </c>
      <c r="S1216" t="s">
        <v>6938</v>
      </c>
    </row>
    <row r="1217" spans="1:19" x14ac:dyDescent="0.25">
      <c r="A1217">
        <v>2000</v>
      </c>
      <c r="B1217">
        <v>2161</v>
      </c>
      <c r="C1217" t="s">
        <v>5483</v>
      </c>
      <c r="D1217" t="s">
        <v>5484</v>
      </c>
      <c r="E1217">
        <v>331110</v>
      </c>
      <c r="F1217" t="s">
        <v>335</v>
      </c>
      <c r="G1217" t="s">
        <v>336</v>
      </c>
      <c r="H1217" t="s">
        <v>21</v>
      </c>
      <c r="I1217" t="s">
        <v>136</v>
      </c>
      <c r="J1217" t="s">
        <v>137</v>
      </c>
      <c r="K1217" t="s">
        <v>138</v>
      </c>
      <c r="L1217" t="s">
        <v>5167</v>
      </c>
      <c r="M1217" t="s">
        <v>5168</v>
      </c>
      <c r="N1217" t="s">
        <v>5169</v>
      </c>
      <c r="O1217" t="s">
        <v>5170</v>
      </c>
      <c r="P1217">
        <v>313.34100000000001</v>
      </c>
      <c r="Q1217" t="s">
        <v>29</v>
      </c>
      <c r="R1217" t="s">
        <v>442</v>
      </c>
      <c r="S1217" t="s">
        <v>6938</v>
      </c>
    </row>
    <row r="1218" spans="1:19" x14ac:dyDescent="0.25">
      <c r="A1218">
        <v>2011</v>
      </c>
      <c r="B1218">
        <v>4161</v>
      </c>
      <c r="C1218" t="s">
        <v>5485</v>
      </c>
      <c r="D1218" t="s">
        <v>5486</v>
      </c>
      <c r="E1218">
        <v>211113</v>
      </c>
      <c r="F1218" t="s">
        <v>425</v>
      </c>
      <c r="G1218" t="s">
        <v>426</v>
      </c>
      <c r="H1218" t="s">
        <v>85</v>
      </c>
      <c r="I1218" t="s">
        <v>923</v>
      </c>
      <c r="J1218" t="s">
        <v>924</v>
      </c>
      <c r="K1218" t="s">
        <v>924</v>
      </c>
      <c r="L1218" t="s">
        <v>5167</v>
      </c>
      <c r="M1218" t="s">
        <v>5168</v>
      </c>
      <c r="N1218" t="s">
        <v>5169</v>
      </c>
      <c r="O1218" t="s">
        <v>5170</v>
      </c>
      <c r="P1218">
        <v>5.7700000000000001E-2</v>
      </c>
      <c r="Q1218" t="s">
        <v>29</v>
      </c>
      <c r="R1218" t="s">
        <v>30</v>
      </c>
      <c r="S1218" t="s">
        <v>6938</v>
      </c>
    </row>
    <row r="1219" spans="1:19" x14ac:dyDescent="0.25">
      <c r="A1219">
        <v>2016</v>
      </c>
      <c r="B1219">
        <v>1338</v>
      </c>
      <c r="C1219" t="s">
        <v>212</v>
      </c>
      <c r="D1219" t="s">
        <v>597</v>
      </c>
      <c r="E1219">
        <v>221320</v>
      </c>
      <c r="F1219" t="s">
        <v>146</v>
      </c>
      <c r="G1219" t="s">
        <v>147</v>
      </c>
      <c r="H1219" t="s">
        <v>69</v>
      </c>
      <c r="I1219" t="s">
        <v>504</v>
      </c>
      <c r="J1219" t="s">
        <v>505</v>
      </c>
      <c r="K1219" t="s">
        <v>506</v>
      </c>
      <c r="L1219" t="s">
        <v>5167</v>
      </c>
      <c r="M1219" t="s">
        <v>5168</v>
      </c>
      <c r="N1219" t="s">
        <v>5169</v>
      </c>
      <c r="O1219" t="s">
        <v>5170</v>
      </c>
      <c r="P1219">
        <v>23.128799999999998</v>
      </c>
      <c r="Q1219" t="s">
        <v>29</v>
      </c>
      <c r="R1219" t="s">
        <v>124</v>
      </c>
      <c r="S1219" t="s">
        <v>6938</v>
      </c>
    </row>
    <row r="1220" spans="1:19" x14ac:dyDescent="0.25">
      <c r="A1220">
        <v>2009</v>
      </c>
      <c r="B1220">
        <v>1473</v>
      </c>
      <c r="C1220" t="s">
        <v>5487</v>
      </c>
      <c r="D1220" t="s">
        <v>5488</v>
      </c>
      <c r="E1220">
        <v>331410</v>
      </c>
      <c r="F1220" t="s">
        <v>1453</v>
      </c>
      <c r="G1220" t="s">
        <v>1235</v>
      </c>
      <c r="H1220" t="s">
        <v>54</v>
      </c>
      <c r="I1220" t="s">
        <v>62</v>
      </c>
      <c r="J1220" t="s">
        <v>63</v>
      </c>
      <c r="K1220" t="s">
        <v>64</v>
      </c>
      <c r="L1220" t="s">
        <v>5183</v>
      </c>
      <c r="M1220" t="s">
        <v>5184</v>
      </c>
      <c r="N1220" t="s">
        <v>5185</v>
      </c>
      <c r="O1220" t="s">
        <v>5186</v>
      </c>
      <c r="P1220">
        <v>4952</v>
      </c>
      <c r="Q1220" t="s">
        <v>29</v>
      </c>
      <c r="R1220" t="s">
        <v>124</v>
      </c>
      <c r="S1220" t="s">
        <v>6938</v>
      </c>
    </row>
    <row r="1221" spans="1:19" x14ac:dyDescent="0.25">
      <c r="A1221">
        <v>1997</v>
      </c>
      <c r="B1221">
        <v>918</v>
      </c>
      <c r="C1221" t="s">
        <v>5489</v>
      </c>
      <c r="E1221">
        <v>313210</v>
      </c>
      <c r="F1221" t="s">
        <v>5490</v>
      </c>
      <c r="G1221" t="s">
        <v>5491</v>
      </c>
      <c r="H1221" t="s">
        <v>21</v>
      </c>
      <c r="I1221" t="s">
        <v>682</v>
      </c>
      <c r="J1221" t="s">
        <v>683</v>
      </c>
      <c r="K1221" t="s">
        <v>684</v>
      </c>
      <c r="L1221" t="s">
        <v>5167</v>
      </c>
      <c r="M1221" t="s">
        <v>5168</v>
      </c>
      <c r="N1221" t="s">
        <v>5223</v>
      </c>
      <c r="O1221" t="s">
        <v>5224</v>
      </c>
      <c r="P1221">
        <v>0.24</v>
      </c>
      <c r="Q1221" t="s">
        <v>29</v>
      </c>
      <c r="R1221" t="s">
        <v>30</v>
      </c>
      <c r="S1221" t="s">
        <v>6938</v>
      </c>
    </row>
    <row r="1222" spans="1:19" x14ac:dyDescent="0.25">
      <c r="A1222">
        <v>1997</v>
      </c>
      <c r="B1222">
        <v>4610</v>
      </c>
      <c r="C1222" t="s">
        <v>1210</v>
      </c>
      <c r="D1222" t="s">
        <v>5492</v>
      </c>
      <c r="E1222">
        <v>321114</v>
      </c>
      <c r="F1222" t="s">
        <v>365</v>
      </c>
      <c r="G1222" t="s">
        <v>366</v>
      </c>
      <c r="H1222" t="s">
        <v>69</v>
      </c>
      <c r="I1222" t="s">
        <v>844</v>
      </c>
      <c r="J1222" t="s">
        <v>845</v>
      </c>
      <c r="K1222" t="s">
        <v>846</v>
      </c>
      <c r="L1222" t="s">
        <v>5167</v>
      </c>
      <c r="M1222" t="s">
        <v>5168</v>
      </c>
      <c r="N1222" t="s">
        <v>5169</v>
      </c>
      <c r="O1222" t="s">
        <v>5170</v>
      </c>
      <c r="P1222">
        <v>2E-3</v>
      </c>
      <c r="Q1222" t="s">
        <v>29</v>
      </c>
      <c r="R1222" t="s">
        <v>30</v>
      </c>
      <c r="S1222" t="s">
        <v>6938</v>
      </c>
    </row>
    <row r="1223" spans="1:19" x14ac:dyDescent="0.25">
      <c r="A1223">
        <v>2016</v>
      </c>
      <c r="B1223">
        <v>1797</v>
      </c>
      <c r="C1223" t="s">
        <v>5369</v>
      </c>
      <c r="D1223" t="s">
        <v>5493</v>
      </c>
      <c r="E1223">
        <v>322112</v>
      </c>
      <c r="F1223" t="s">
        <v>660</v>
      </c>
      <c r="G1223" t="s">
        <v>621</v>
      </c>
      <c r="H1223" t="s">
        <v>69</v>
      </c>
      <c r="I1223" t="s">
        <v>811</v>
      </c>
      <c r="J1223" t="s">
        <v>812</v>
      </c>
      <c r="K1223" t="s">
        <v>813</v>
      </c>
      <c r="L1223" t="s">
        <v>5183</v>
      </c>
      <c r="M1223" t="s">
        <v>5184</v>
      </c>
      <c r="N1223" t="s">
        <v>5169</v>
      </c>
      <c r="O1223" t="s">
        <v>5170</v>
      </c>
      <c r="P1223">
        <v>2.831</v>
      </c>
      <c r="Q1223" t="s">
        <v>40</v>
      </c>
      <c r="R1223" t="s">
        <v>430</v>
      </c>
      <c r="S1223" t="s">
        <v>6938</v>
      </c>
    </row>
    <row r="1224" spans="1:19" x14ac:dyDescent="0.25">
      <c r="A1224">
        <v>2010</v>
      </c>
      <c r="B1224">
        <v>3916</v>
      </c>
      <c r="C1224" t="s">
        <v>2255</v>
      </c>
      <c r="D1224" t="s">
        <v>5494</v>
      </c>
      <c r="E1224">
        <v>331410</v>
      </c>
      <c r="F1224" t="s">
        <v>1453</v>
      </c>
      <c r="G1224" t="s">
        <v>1235</v>
      </c>
      <c r="H1224" t="s">
        <v>79</v>
      </c>
      <c r="I1224" t="s">
        <v>255</v>
      </c>
      <c r="J1224" t="s">
        <v>256</v>
      </c>
      <c r="K1224" t="s">
        <v>257</v>
      </c>
      <c r="L1224" t="s">
        <v>5167</v>
      </c>
      <c r="M1224" t="s">
        <v>5168</v>
      </c>
      <c r="N1224" t="s">
        <v>5169</v>
      </c>
      <c r="O1224" t="s">
        <v>5170</v>
      </c>
      <c r="P1224">
        <v>7.5200000000000003E-2</v>
      </c>
      <c r="Q1224" t="s">
        <v>29</v>
      </c>
      <c r="R1224" t="s">
        <v>124</v>
      </c>
      <c r="S1224" t="s">
        <v>6938</v>
      </c>
    </row>
    <row r="1225" spans="1:19" x14ac:dyDescent="0.25">
      <c r="A1225">
        <v>2003</v>
      </c>
      <c r="B1225">
        <v>5307</v>
      </c>
      <c r="C1225" t="s">
        <v>5495</v>
      </c>
      <c r="D1225" t="s">
        <v>5496</v>
      </c>
      <c r="E1225">
        <v>221320</v>
      </c>
      <c r="F1225" t="s">
        <v>390</v>
      </c>
      <c r="G1225" t="s">
        <v>147</v>
      </c>
      <c r="H1225" t="s">
        <v>85</v>
      </c>
      <c r="I1225" t="s">
        <v>177</v>
      </c>
      <c r="J1225" t="s">
        <v>178</v>
      </c>
      <c r="K1225" t="s">
        <v>179</v>
      </c>
      <c r="L1225" t="s">
        <v>5167</v>
      </c>
      <c r="M1225" t="s">
        <v>5168</v>
      </c>
      <c r="N1225" t="s">
        <v>5169</v>
      </c>
      <c r="O1225" t="s">
        <v>5170</v>
      </c>
      <c r="P1225">
        <v>7.2510000000000003</v>
      </c>
      <c r="Q1225" t="s">
        <v>29</v>
      </c>
      <c r="R1225" t="s">
        <v>124</v>
      </c>
      <c r="S1225" t="s">
        <v>6938</v>
      </c>
    </row>
    <row r="1226" spans="1:19" x14ac:dyDescent="0.25">
      <c r="A1226">
        <v>2014</v>
      </c>
      <c r="B1226">
        <v>21585</v>
      </c>
      <c r="C1226" t="s">
        <v>65</v>
      </c>
      <c r="D1226" t="s">
        <v>66</v>
      </c>
      <c r="E1226">
        <v>562110</v>
      </c>
      <c r="F1226" t="s">
        <v>644</v>
      </c>
      <c r="G1226" t="s">
        <v>645</v>
      </c>
      <c r="H1226" t="s">
        <v>69</v>
      </c>
      <c r="I1226" t="s">
        <v>22</v>
      </c>
      <c r="J1226" t="s">
        <v>23</v>
      </c>
      <c r="K1226" t="s">
        <v>24</v>
      </c>
      <c r="L1226" t="s">
        <v>5167</v>
      </c>
      <c r="M1226" t="s">
        <v>5168</v>
      </c>
      <c r="N1226" t="s">
        <v>5169</v>
      </c>
      <c r="O1226" t="s">
        <v>5170</v>
      </c>
      <c r="P1226">
        <v>1.0900000000000001</v>
      </c>
      <c r="Q1226" t="s">
        <v>29</v>
      </c>
      <c r="R1226" t="s">
        <v>50</v>
      </c>
      <c r="S1226" t="s">
        <v>6938</v>
      </c>
    </row>
    <row r="1227" spans="1:19" x14ac:dyDescent="0.25">
      <c r="A1227">
        <v>2001</v>
      </c>
      <c r="B1227">
        <v>4173</v>
      </c>
      <c r="C1227" t="s">
        <v>5449</v>
      </c>
      <c r="D1227" t="s">
        <v>5497</v>
      </c>
      <c r="E1227">
        <v>336110</v>
      </c>
      <c r="F1227" t="s">
        <v>377</v>
      </c>
      <c r="G1227" t="s">
        <v>44</v>
      </c>
      <c r="H1227" t="s">
        <v>21</v>
      </c>
      <c r="I1227" t="s">
        <v>271</v>
      </c>
      <c r="J1227" t="s">
        <v>272</v>
      </c>
      <c r="K1227" t="s">
        <v>273</v>
      </c>
      <c r="L1227" t="s">
        <v>5167</v>
      </c>
      <c r="M1227" t="s">
        <v>5168</v>
      </c>
      <c r="N1227" t="s">
        <v>5169</v>
      </c>
      <c r="O1227" t="s">
        <v>5170</v>
      </c>
      <c r="P1227">
        <v>1E-3</v>
      </c>
      <c r="Q1227" t="s">
        <v>29</v>
      </c>
      <c r="R1227" t="s">
        <v>30</v>
      </c>
      <c r="S1227" t="s">
        <v>6938</v>
      </c>
    </row>
    <row r="1228" spans="1:19" x14ac:dyDescent="0.25">
      <c r="A1228">
        <v>2021</v>
      </c>
      <c r="B1228">
        <v>10228</v>
      </c>
      <c r="C1228" t="s">
        <v>125</v>
      </c>
      <c r="D1228" t="s">
        <v>1222</v>
      </c>
      <c r="E1228">
        <v>412110</v>
      </c>
      <c r="F1228" t="s">
        <v>127</v>
      </c>
      <c r="G1228" t="s">
        <v>128</v>
      </c>
      <c r="H1228" t="s">
        <v>243</v>
      </c>
      <c r="I1228" t="s">
        <v>1878</v>
      </c>
      <c r="J1228" t="s">
        <v>1879</v>
      </c>
      <c r="K1228" t="s">
        <v>1880</v>
      </c>
      <c r="L1228" t="s">
        <v>5167</v>
      </c>
      <c r="M1228" t="s">
        <v>5168</v>
      </c>
      <c r="N1228" t="s">
        <v>5223</v>
      </c>
      <c r="O1228" t="s">
        <v>5224</v>
      </c>
      <c r="P1228">
        <v>7.0000000000000001E-3</v>
      </c>
      <c r="Q1228" t="s">
        <v>40</v>
      </c>
      <c r="R1228" t="s">
        <v>30</v>
      </c>
      <c r="S1228" t="s">
        <v>6938</v>
      </c>
    </row>
    <row r="1229" spans="1:19" x14ac:dyDescent="0.25">
      <c r="A1229">
        <v>2013</v>
      </c>
      <c r="B1229">
        <v>3197</v>
      </c>
      <c r="C1229" t="s">
        <v>5498</v>
      </c>
      <c r="D1229" t="s">
        <v>5499</v>
      </c>
      <c r="E1229">
        <v>212220</v>
      </c>
      <c r="F1229" t="s">
        <v>1619</v>
      </c>
      <c r="G1229" t="s">
        <v>1620</v>
      </c>
      <c r="H1229" t="s">
        <v>21</v>
      </c>
      <c r="I1229" t="s">
        <v>136</v>
      </c>
      <c r="J1229" t="s">
        <v>137</v>
      </c>
      <c r="K1229" t="s">
        <v>138</v>
      </c>
      <c r="L1229" t="s">
        <v>5183</v>
      </c>
      <c r="M1229" t="s">
        <v>5184</v>
      </c>
      <c r="N1229" t="s">
        <v>5185</v>
      </c>
      <c r="O1229" t="s">
        <v>5186</v>
      </c>
      <c r="P1229">
        <v>684.39700000000005</v>
      </c>
      <c r="Q1229" t="s">
        <v>29</v>
      </c>
      <c r="R1229" t="s">
        <v>124</v>
      </c>
      <c r="S1229" t="s">
        <v>6938</v>
      </c>
    </row>
    <row r="1230" spans="1:19" x14ac:dyDescent="0.25">
      <c r="A1230">
        <v>2020</v>
      </c>
      <c r="B1230">
        <v>4803</v>
      </c>
      <c r="C1230" t="s">
        <v>1621</v>
      </c>
      <c r="D1230" t="s">
        <v>1687</v>
      </c>
      <c r="E1230">
        <v>322122</v>
      </c>
      <c r="F1230" t="s">
        <v>1061</v>
      </c>
      <c r="G1230" t="s">
        <v>1062</v>
      </c>
      <c r="H1230" t="s">
        <v>79</v>
      </c>
      <c r="I1230" t="s">
        <v>461</v>
      </c>
      <c r="J1230" t="s">
        <v>462</v>
      </c>
      <c r="K1230" t="s">
        <v>463</v>
      </c>
      <c r="L1230" t="s">
        <v>5167</v>
      </c>
      <c r="M1230" t="s">
        <v>5168</v>
      </c>
      <c r="N1230" t="s">
        <v>5175</v>
      </c>
      <c r="O1230" t="s">
        <v>5176</v>
      </c>
      <c r="P1230">
        <v>2.4300000000000002</v>
      </c>
      <c r="Q1230" t="s">
        <v>40</v>
      </c>
      <c r="R1230" t="s">
        <v>50</v>
      </c>
      <c r="S1230" t="s">
        <v>6938</v>
      </c>
    </row>
    <row r="1231" spans="1:19" x14ac:dyDescent="0.25">
      <c r="A1231">
        <v>2020</v>
      </c>
      <c r="B1231">
        <v>99</v>
      </c>
      <c r="C1231" t="s">
        <v>5500</v>
      </c>
      <c r="D1231" t="s">
        <v>5235</v>
      </c>
      <c r="E1231">
        <v>212220</v>
      </c>
      <c r="F1231" t="s">
        <v>1619</v>
      </c>
      <c r="G1231" t="s">
        <v>1620</v>
      </c>
      <c r="H1231" t="s">
        <v>79</v>
      </c>
      <c r="I1231" t="s">
        <v>209</v>
      </c>
      <c r="J1231" t="s">
        <v>210</v>
      </c>
      <c r="K1231" t="s">
        <v>211</v>
      </c>
      <c r="L1231" t="s">
        <v>5183</v>
      </c>
      <c r="M1231" t="s">
        <v>5184</v>
      </c>
      <c r="N1231" t="s">
        <v>5185</v>
      </c>
      <c r="O1231" t="s">
        <v>5186</v>
      </c>
      <c r="P1231">
        <v>393.72</v>
      </c>
      <c r="Q1231" t="s">
        <v>29</v>
      </c>
      <c r="R1231" t="s">
        <v>124</v>
      </c>
      <c r="S1231" t="s">
        <v>6938</v>
      </c>
    </row>
    <row r="1232" spans="1:19" x14ac:dyDescent="0.25">
      <c r="A1232">
        <v>2006</v>
      </c>
      <c r="B1232">
        <v>930</v>
      </c>
      <c r="C1232" t="s">
        <v>1554</v>
      </c>
      <c r="D1232" t="s">
        <v>5501</v>
      </c>
      <c r="E1232">
        <v>322112</v>
      </c>
      <c r="F1232" t="s">
        <v>620</v>
      </c>
      <c r="G1232" t="s">
        <v>621</v>
      </c>
      <c r="H1232" t="s">
        <v>21</v>
      </c>
      <c r="I1232" t="s">
        <v>136</v>
      </c>
      <c r="J1232" t="s">
        <v>137</v>
      </c>
      <c r="K1232" t="s">
        <v>138</v>
      </c>
      <c r="L1232" t="s">
        <v>5167</v>
      </c>
      <c r="M1232" t="s">
        <v>5168</v>
      </c>
      <c r="N1232" t="s">
        <v>5169</v>
      </c>
      <c r="O1232" t="s">
        <v>5170</v>
      </c>
      <c r="P1232">
        <v>102.619</v>
      </c>
      <c r="Q1232" t="s">
        <v>29</v>
      </c>
      <c r="R1232" t="s">
        <v>157</v>
      </c>
      <c r="S1232" t="s">
        <v>6938</v>
      </c>
    </row>
    <row r="1233" spans="1:19" x14ac:dyDescent="0.25">
      <c r="A1233">
        <v>2002</v>
      </c>
      <c r="B1233">
        <v>3766</v>
      </c>
      <c r="C1233" t="s">
        <v>881</v>
      </c>
      <c r="D1233" t="s">
        <v>5502</v>
      </c>
      <c r="E1233">
        <v>336990</v>
      </c>
      <c r="F1233" t="s">
        <v>5503</v>
      </c>
      <c r="G1233" t="s">
        <v>1096</v>
      </c>
      <c r="H1233" t="s">
        <v>21</v>
      </c>
      <c r="I1233" t="s">
        <v>209</v>
      </c>
      <c r="J1233" t="s">
        <v>210</v>
      </c>
      <c r="K1233" t="s">
        <v>211</v>
      </c>
      <c r="L1233" t="s">
        <v>5167</v>
      </c>
      <c r="M1233" t="s">
        <v>5168</v>
      </c>
      <c r="N1233" t="s">
        <v>5169</v>
      </c>
      <c r="O1233" t="s">
        <v>5170</v>
      </c>
      <c r="P1233">
        <v>0.45100000000000001</v>
      </c>
      <c r="Q1233" t="s">
        <v>29</v>
      </c>
      <c r="R1233" t="s">
        <v>30</v>
      </c>
      <c r="S1233" t="s">
        <v>6938</v>
      </c>
    </row>
    <row r="1234" spans="1:19" x14ac:dyDescent="0.25">
      <c r="A1234">
        <v>2019</v>
      </c>
      <c r="B1234">
        <v>10218</v>
      </c>
      <c r="C1234" t="s">
        <v>125</v>
      </c>
      <c r="D1234" t="s">
        <v>534</v>
      </c>
      <c r="E1234">
        <v>412110</v>
      </c>
      <c r="F1234" t="s">
        <v>127</v>
      </c>
      <c r="G1234" t="s">
        <v>128</v>
      </c>
      <c r="H1234" t="s">
        <v>85</v>
      </c>
      <c r="I1234" t="s">
        <v>271</v>
      </c>
      <c r="J1234" t="s">
        <v>272</v>
      </c>
      <c r="K1234" t="s">
        <v>273</v>
      </c>
      <c r="L1234" t="s">
        <v>5167</v>
      </c>
      <c r="M1234" t="s">
        <v>5168</v>
      </c>
      <c r="N1234" t="s">
        <v>5169</v>
      </c>
      <c r="O1234" t="s">
        <v>5170</v>
      </c>
      <c r="P1234">
        <v>1.9133</v>
      </c>
      <c r="Q1234" t="s">
        <v>29</v>
      </c>
      <c r="R1234" t="s">
        <v>30</v>
      </c>
      <c r="S1234" t="s">
        <v>6938</v>
      </c>
    </row>
    <row r="1235" spans="1:19" x14ac:dyDescent="0.25">
      <c r="A1235">
        <v>2022</v>
      </c>
      <c r="B1235">
        <v>1812</v>
      </c>
      <c r="C1235" t="s">
        <v>5288</v>
      </c>
      <c r="D1235" t="s">
        <v>5289</v>
      </c>
      <c r="E1235">
        <v>221112</v>
      </c>
      <c r="F1235" t="s">
        <v>499</v>
      </c>
      <c r="G1235" t="s">
        <v>135</v>
      </c>
      <c r="H1235" t="s">
        <v>21</v>
      </c>
      <c r="I1235" t="s">
        <v>628</v>
      </c>
      <c r="J1235" t="s">
        <v>629</v>
      </c>
      <c r="K1235" t="s">
        <v>630</v>
      </c>
      <c r="L1235" t="s">
        <v>5167</v>
      </c>
      <c r="M1235" t="s">
        <v>5168</v>
      </c>
      <c r="N1235" t="s">
        <v>5169</v>
      </c>
      <c r="O1235" t="s">
        <v>5170</v>
      </c>
      <c r="P1235">
        <v>5.0000000000000004E-6</v>
      </c>
      <c r="Q1235" t="s">
        <v>631</v>
      </c>
      <c r="R1235" t="s">
        <v>5282</v>
      </c>
      <c r="S1235" t="s">
        <v>6938</v>
      </c>
    </row>
    <row r="1236" spans="1:19" x14ac:dyDescent="0.25">
      <c r="A1236">
        <v>2021</v>
      </c>
      <c r="B1236">
        <v>6108</v>
      </c>
      <c r="C1236" t="s">
        <v>5504</v>
      </c>
      <c r="D1236" t="s">
        <v>5505</v>
      </c>
      <c r="E1236">
        <v>311119</v>
      </c>
      <c r="F1236" t="s">
        <v>1959</v>
      </c>
      <c r="G1236" t="s">
        <v>1960</v>
      </c>
      <c r="H1236" t="s">
        <v>79</v>
      </c>
      <c r="I1236" t="s">
        <v>97</v>
      </c>
      <c r="J1236" t="s">
        <v>98</v>
      </c>
      <c r="K1236" t="s">
        <v>99</v>
      </c>
      <c r="L1236" t="s">
        <v>5167</v>
      </c>
      <c r="M1236" t="s">
        <v>5168</v>
      </c>
      <c r="N1236" t="s">
        <v>5169</v>
      </c>
      <c r="O1236" t="s">
        <v>5170</v>
      </c>
      <c r="P1236">
        <v>1.091</v>
      </c>
      <c r="Q1236" t="s">
        <v>29</v>
      </c>
      <c r="R1236" t="s">
        <v>50</v>
      </c>
      <c r="S1236" t="s">
        <v>6938</v>
      </c>
    </row>
    <row r="1237" spans="1:19" x14ac:dyDescent="0.25">
      <c r="A1237">
        <v>2001</v>
      </c>
      <c r="B1237">
        <v>2128</v>
      </c>
      <c r="C1237" t="s">
        <v>1961</v>
      </c>
      <c r="D1237" t="s">
        <v>5506</v>
      </c>
      <c r="E1237">
        <v>211114</v>
      </c>
      <c r="F1237" t="s">
        <v>835</v>
      </c>
      <c r="G1237" t="s">
        <v>836</v>
      </c>
      <c r="H1237" t="s">
        <v>85</v>
      </c>
      <c r="I1237" t="s">
        <v>70</v>
      </c>
      <c r="J1237" t="s">
        <v>71</v>
      </c>
      <c r="K1237" t="s">
        <v>72</v>
      </c>
      <c r="L1237" t="s">
        <v>5183</v>
      </c>
      <c r="M1237" t="s">
        <v>5184</v>
      </c>
      <c r="N1237" t="s">
        <v>5169</v>
      </c>
      <c r="O1237" t="s">
        <v>5170</v>
      </c>
      <c r="P1237">
        <v>0</v>
      </c>
      <c r="Q1237" t="s">
        <v>29</v>
      </c>
      <c r="R1237" t="s">
        <v>442</v>
      </c>
      <c r="S1237" t="s">
        <v>6938</v>
      </c>
    </row>
    <row r="1238" spans="1:19" x14ac:dyDescent="0.25">
      <c r="A1238">
        <v>2010</v>
      </c>
      <c r="B1238">
        <v>5911</v>
      </c>
      <c r="C1238" t="s">
        <v>5507</v>
      </c>
      <c r="D1238" t="s">
        <v>5508</v>
      </c>
      <c r="E1238">
        <v>322299</v>
      </c>
      <c r="F1238" t="s">
        <v>906</v>
      </c>
      <c r="G1238" t="s">
        <v>716</v>
      </c>
      <c r="H1238" t="s">
        <v>21</v>
      </c>
      <c r="I1238" t="s">
        <v>80</v>
      </c>
      <c r="J1238" t="s">
        <v>81</v>
      </c>
      <c r="K1238" t="s">
        <v>82</v>
      </c>
      <c r="L1238" t="s">
        <v>5167</v>
      </c>
      <c r="M1238" t="s">
        <v>5168</v>
      </c>
      <c r="N1238" t="s">
        <v>5169</v>
      </c>
      <c r="O1238" t="s">
        <v>5170</v>
      </c>
      <c r="P1238">
        <v>0</v>
      </c>
      <c r="Q1238" t="s">
        <v>29</v>
      </c>
      <c r="R1238" t="s">
        <v>50</v>
      </c>
      <c r="S1238" t="s">
        <v>6938</v>
      </c>
    </row>
    <row r="1239" spans="1:19" x14ac:dyDescent="0.25">
      <c r="A1239">
        <v>2015</v>
      </c>
      <c r="B1239">
        <v>407</v>
      </c>
      <c r="C1239" t="s">
        <v>1043</v>
      </c>
      <c r="D1239" t="s">
        <v>5459</v>
      </c>
      <c r="E1239">
        <v>211113</v>
      </c>
      <c r="F1239" t="s">
        <v>786</v>
      </c>
      <c r="G1239" t="s">
        <v>426</v>
      </c>
      <c r="H1239" t="s">
        <v>85</v>
      </c>
      <c r="I1239" t="s">
        <v>1549</v>
      </c>
      <c r="J1239" t="s">
        <v>1550</v>
      </c>
      <c r="K1239" t="s">
        <v>1551</v>
      </c>
      <c r="L1239" t="s">
        <v>5183</v>
      </c>
      <c r="M1239" t="s">
        <v>5184</v>
      </c>
      <c r="N1239" t="s">
        <v>5195</v>
      </c>
      <c r="O1239" t="s">
        <v>5196</v>
      </c>
      <c r="P1239">
        <v>1.5922000000000001</v>
      </c>
      <c r="Q1239" t="s">
        <v>29</v>
      </c>
      <c r="R1239" t="s">
        <v>30</v>
      </c>
      <c r="S1239" t="s">
        <v>6938</v>
      </c>
    </row>
    <row r="1240" spans="1:19" x14ac:dyDescent="0.25">
      <c r="A1240">
        <v>2005</v>
      </c>
      <c r="B1240">
        <v>3903</v>
      </c>
      <c r="C1240" t="s">
        <v>634</v>
      </c>
      <c r="D1240" t="s">
        <v>5509</v>
      </c>
      <c r="E1240">
        <v>324110</v>
      </c>
      <c r="F1240" t="s">
        <v>95</v>
      </c>
      <c r="G1240" t="s">
        <v>96</v>
      </c>
      <c r="H1240" t="s">
        <v>85</v>
      </c>
      <c r="I1240" t="s">
        <v>184</v>
      </c>
      <c r="J1240" t="s">
        <v>185</v>
      </c>
      <c r="K1240" t="s">
        <v>186</v>
      </c>
      <c r="L1240" t="s">
        <v>5183</v>
      </c>
      <c r="M1240" t="s">
        <v>5184</v>
      </c>
      <c r="N1240" t="s">
        <v>5195</v>
      </c>
      <c r="O1240" t="s">
        <v>5196</v>
      </c>
      <c r="P1240">
        <v>7.0000000000000001E-3</v>
      </c>
      <c r="Q1240" t="s">
        <v>29</v>
      </c>
      <c r="R1240" t="s">
        <v>30</v>
      </c>
      <c r="S1240" t="s">
        <v>6938</v>
      </c>
    </row>
    <row r="1241" spans="1:19" x14ac:dyDescent="0.25">
      <c r="A1241">
        <v>2017</v>
      </c>
      <c r="B1241">
        <v>3470</v>
      </c>
      <c r="C1241" t="s">
        <v>1694</v>
      </c>
      <c r="D1241" t="s">
        <v>5510</v>
      </c>
      <c r="E1241">
        <v>326210</v>
      </c>
      <c r="F1241" t="s">
        <v>1696</v>
      </c>
      <c r="G1241" t="s">
        <v>968</v>
      </c>
      <c r="H1241" t="s">
        <v>483</v>
      </c>
      <c r="I1241" t="s">
        <v>184</v>
      </c>
      <c r="J1241" t="s">
        <v>185</v>
      </c>
      <c r="K1241" t="s">
        <v>186</v>
      </c>
      <c r="L1241" t="s">
        <v>5167</v>
      </c>
      <c r="M1241" t="s">
        <v>5168</v>
      </c>
      <c r="N1241" t="s">
        <v>5169</v>
      </c>
      <c r="O1241" t="s">
        <v>5170</v>
      </c>
      <c r="P1241">
        <v>228</v>
      </c>
      <c r="Q1241" t="s">
        <v>40</v>
      </c>
      <c r="R1241" t="s">
        <v>50</v>
      </c>
      <c r="S1241" t="s">
        <v>6938</v>
      </c>
    </row>
    <row r="1242" spans="1:19" x14ac:dyDescent="0.25">
      <c r="A1242">
        <v>2020</v>
      </c>
      <c r="B1242">
        <v>11456</v>
      </c>
      <c r="C1242" t="s">
        <v>5511</v>
      </c>
      <c r="D1242" t="s">
        <v>5512</v>
      </c>
      <c r="E1242">
        <v>562210</v>
      </c>
      <c r="F1242" t="s">
        <v>84</v>
      </c>
      <c r="G1242" t="s">
        <v>53</v>
      </c>
      <c r="H1242" t="s">
        <v>21</v>
      </c>
      <c r="I1242" t="s">
        <v>504</v>
      </c>
      <c r="J1242" t="s">
        <v>505</v>
      </c>
      <c r="K1242" t="s">
        <v>506</v>
      </c>
      <c r="L1242" t="s">
        <v>5183</v>
      </c>
      <c r="M1242" t="s">
        <v>5184</v>
      </c>
      <c r="N1242" t="s">
        <v>5175</v>
      </c>
      <c r="O1242" t="s">
        <v>5176</v>
      </c>
      <c r="P1242">
        <v>1.5620000000000001</v>
      </c>
      <c r="Q1242" t="s">
        <v>29</v>
      </c>
      <c r="R1242" t="s">
        <v>124</v>
      </c>
      <c r="S1242" t="s">
        <v>6938</v>
      </c>
    </row>
    <row r="1243" spans="1:19" x14ac:dyDescent="0.25">
      <c r="A1243">
        <v>1998</v>
      </c>
      <c r="B1243">
        <v>3515</v>
      </c>
      <c r="C1243" t="s">
        <v>5513</v>
      </c>
      <c r="D1243" t="s">
        <v>5514</v>
      </c>
      <c r="E1243">
        <v>332999</v>
      </c>
      <c r="F1243" t="s">
        <v>309</v>
      </c>
      <c r="G1243" t="s">
        <v>304</v>
      </c>
      <c r="H1243" t="s">
        <v>79</v>
      </c>
      <c r="I1243" t="s">
        <v>177</v>
      </c>
      <c r="J1243" t="s">
        <v>178</v>
      </c>
      <c r="K1243" t="s">
        <v>179</v>
      </c>
      <c r="L1243" t="s">
        <v>5167</v>
      </c>
      <c r="M1243" t="s">
        <v>5168</v>
      </c>
      <c r="N1243" t="s">
        <v>5169</v>
      </c>
      <c r="O1243" t="s">
        <v>5170</v>
      </c>
      <c r="P1243">
        <v>0.95</v>
      </c>
      <c r="Q1243" t="s">
        <v>29</v>
      </c>
      <c r="R1243" t="s">
        <v>50</v>
      </c>
      <c r="S1243" t="s">
        <v>6938</v>
      </c>
    </row>
    <row r="1244" spans="1:19" x14ac:dyDescent="0.25">
      <c r="A1244">
        <v>2022</v>
      </c>
      <c r="B1244">
        <v>2134</v>
      </c>
      <c r="C1244" t="s">
        <v>5515</v>
      </c>
      <c r="D1244" t="s">
        <v>1338</v>
      </c>
      <c r="E1244">
        <v>325313</v>
      </c>
      <c r="F1244" t="s">
        <v>1054</v>
      </c>
      <c r="G1244" t="s">
        <v>1055</v>
      </c>
      <c r="H1244" t="s">
        <v>85</v>
      </c>
      <c r="I1244" t="s">
        <v>152</v>
      </c>
      <c r="J1244" t="s">
        <v>153</v>
      </c>
      <c r="K1244" t="s">
        <v>154</v>
      </c>
      <c r="L1244" t="s">
        <v>5183</v>
      </c>
      <c r="M1244" t="s">
        <v>5184</v>
      </c>
      <c r="N1244" t="s">
        <v>5195</v>
      </c>
      <c r="O1244" t="s">
        <v>5196</v>
      </c>
      <c r="P1244">
        <v>2.4E-2</v>
      </c>
      <c r="Q1244" t="s">
        <v>29</v>
      </c>
      <c r="R1244" t="s">
        <v>124</v>
      </c>
      <c r="S1244" t="s">
        <v>6938</v>
      </c>
    </row>
    <row r="1245" spans="1:19" x14ac:dyDescent="0.25">
      <c r="A1245">
        <v>2007</v>
      </c>
      <c r="B1245">
        <v>271</v>
      </c>
      <c r="C1245" t="s">
        <v>5516</v>
      </c>
      <c r="D1245" t="s">
        <v>5517</v>
      </c>
      <c r="E1245">
        <v>322112</v>
      </c>
      <c r="F1245" t="s">
        <v>620</v>
      </c>
      <c r="G1245" t="s">
        <v>621</v>
      </c>
      <c r="H1245" t="s">
        <v>79</v>
      </c>
      <c r="I1245" t="s">
        <v>811</v>
      </c>
      <c r="J1245" t="s">
        <v>812</v>
      </c>
      <c r="K1245" t="s">
        <v>813</v>
      </c>
      <c r="L1245" t="s">
        <v>5183</v>
      </c>
      <c r="M1245" t="s">
        <v>5184</v>
      </c>
      <c r="N1245" t="s">
        <v>5169</v>
      </c>
      <c r="O1245" t="s">
        <v>5170</v>
      </c>
      <c r="P1245">
        <v>1.39</v>
      </c>
      <c r="Q1245" t="s">
        <v>40</v>
      </c>
      <c r="R1245" t="s">
        <v>430</v>
      </c>
      <c r="S1245" t="s">
        <v>6938</v>
      </c>
    </row>
    <row r="1246" spans="1:19" x14ac:dyDescent="0.25">
      <c r="A1246">
        <v>2019</v>
      </c>
      <c r="B1246">
        <v>3941</v>
      </c>
      <c r="C1246" t="s">
        <v>231</v>
      </c>
      <c r="D1246" t="s">
        <v>5518</v>
      </c>
      <c r="E1246">
        <v>211110</v>
      </c>
      <c r="F1246" t="s">
        <v>233</v>
      </c>
      <c r="G1246" t="s">
        <v>234</v>
      </c>
      <c r="H1246" t="s">
        <v>85</v>
      </c>
      <c r="I1246" t="s">
        <v>1549</v>
      </c>
      <c r="J1246" t="s">
        <v>1550</v>
      </c>
      <c r="K1246" t="s">
        <v>1551</v>
      </c>
      <c r="L1246" t="s">
        <v>5167</v>
      </c>
      <c r="M1246" t="s">
        <v>5168</v>
      </c>
      <c r="N1246" t="s">
        <v>5195</v>
      </c>
      <c r="O1246" t="s">
        <v>5196</v>
      </c>
      <c r="P1246">
        <v>15.223100000000001</v>
      </c>
      <c r="Q1246" t="s">
        <v>29</v>
      </c>
      <c r="R1246" t="s">
        <v>124</v>
      </c>
      <c r="S1246" t="s">
        <v>6938</v>
      </c>
    </row>
    <row r="1247" spans="1:19" x14ac:dyDescent="0.25">
      <c r="A1247">
        <v>1996</v>
      </c>
      <c r="B1247">
        <v>4416</v>
      </c>
      <c r="C1247" t="s">
        <v>758</v>
      </c>
      <c r="D1247" t="s">
        <v>759</v>
      </c>
      <c r="E1247">
        <v>331529</v>
      </c>
      <c r="F1247" t="s">
        <v>760</v>
      </c>
      <c r="G1247" t="s">
        <v>761</v>
      </c>
      <c r="H1247" t="s">
        <v>21</v>
      </c>
      <c r="I1247" t="s">
        <v>177</v>
      </c>
      <c r="J1247" t="s">
        <v>178</v>
      </c>
      <c r="K1247" t="s">
        <v>179</v>
      </c>
      <c r="L1247" t="s">
        <v>5167</v>
      </c>
      <c r="M1247" t="s">
        <v>5168</v>
      </c>
      <c r="N1247" t="s">
        <v>5169</v>
      </c>
      <c r="O1247" t="s">
        <v>5170</v>
      </c>
      <c r="P1247">
        <v>0.56999999999999995</v>
      </c>
      <c r="Q1247" t="s">
        <v>29</v>
      </c>
      <c r="R1247" t="s">
        <v>30</v>
      </c>
      <c r="S1247" t="s">
        <v>6938</v>
      </c>
    </row>
    <row r="1248" spans="1:19" x14ac:dyDescent="0.25">
      <c r="A1248">
        <v>1997</v>
      </c>
      <c r="B1248">
        <v>5645</v>
      </c>
      <c r="C1248" t="s">
        <v>5204</v>
      </c>
      <c r="D1248" t="s">
        <v>5205</v>
      </c>
      <c r="E1248">
        <v>562210</v>
      </c>
      <c r="F1248" t="s">
        <v>52</v>
      </c>
      <c r="G1248" t="s">
        <v>53</v>
      </c>
      <c r="H1248" t="s">
        <v>21</v>
      </c>
      <c r="I1248" t="s">
        <v>730</v>
      </c>
      <c r="J1248" t="s">
        <v>731</v>
      </c>
      <c r="K1248" t="s">
        <v>732</v>
      </c>
      <c r="L1248" t="s">
        <v>5167</v>
      </c>
      <c r="M1248" t="s">
        <v>5168</v>
      </c>
      <c r="N1248" t="s">
        <v>5223</v>
      </c>
      <c r="O1248" t="s">
        <v>5224</v>
      </c>
      <c r="P1248">
        <v>1.5609999999999999</v>
      </c>
      <c r="Q1248" t="s">
        <v>29</v>
      </c>
      <c r="R1248" t="s">
        <v>30</v>
      </c>
      <c r="S1248" t="s">
        <v>6938</v>
      </c>
    </row>
    <row r="1249" spans="1:19" x14ac:dyDescent="0.25">
      <c r="A1249">
        <v>2020</v>
      </c>
      <c r="B1249">
        <v>26403</v>
      </c>
      <c r="C1249" t="s">
        <v>1168</v>
      </c>
      <c r="D1249" t="s">
        <v>1169</v>
      </c>
      <c r="E1249">
        <v>211142</v>
      </c>
      <c r="F1249" t="s">
        <v>357</v>
      </c>
      <c r="G1249" t="s">
        <v>358</v>
      </c>
      <c r="H1249" t="s">
        <v>85</v>
      </c>
      <c r="I1249" t="s">
        <v>847</v>
      </c>
      <c r="J1249" t="s">
        <v>848</v>
      </c>
      <c r="K1249" t="s">
        <v>849</v>
      </c>
      <c r="L1249" t="s">
        <v>5183</v>
      </c>
      <c r="M1249" t="s">
        <v>5184</v>
      </c>
      <c r="N1249" t="s">
        <v>5185</v>
      </c>
      <c r="O1249" t="s">
        <v>5186</v>
      </c>
      <c r="P1249">
        <v>11.802270999999999</v>
      </c>
      <c r="Q1249" t="s">
        <v>40</v>
      </c>
      <c r="R1249" t="s">
        <v>124</v>
      </c>
      <c r="S1249" t="s">
        <v>6938</v>
      </c>
    </row>
    <row r="1250" spans="1:19" x14ac:dyDescent="0.25">
      <c r="A1250">
        <v>2020</v>
      </c>
      <c r="B1250">
        <v>267</v>
      </c>
      <c r="C1250" t="s">
        <v>5519</v>
      </c>
      <c r="D1250" t="s">
        <v>5520</v>
      </c>
      <c r="E1250">
        <v>221112</v>
      </c>
      <c r="F1250" t="s">
        <v>499</v>
      </c>
      <c r="G1250" t="s">
        <v>135</v>
      </c>
      <c r="H1250" t="s">
        <v>85</v>
      </c>
      <c r="I1250" t="s">
        <v>1295</v>
      </c>
      <c r="J1250" t="s">
        <v>1296</v>
      </c>
      <c r="K1250" t="s">
        <v>1297</v>
      </c>
      <c r="L1250" t="s">
        <v>5167</v>
      </c>
      <c r="M1250" t="s">
        <v>5168</v>
      </c>
      <c r="N1250" t="s">
        <v>5223</v>
      </c>
      <c r="O1250" t="s">
        <v>5224</v>
      </c>
      <c r="P1250">
        <v>55.292999999999999</v>
      </c>
      <c r="Q1250" t="s">
        <v>29</v>
      </c>
      <c r="R1250" t="s">
        <v>50</v>
      </c>
      <c r="S1250" t="s">
        <v>6938</v>
      </c>
    </row>
    <row r="1251" spans="1:19" x14ac:dyDescent="0.25">
      <c r="A1251">
        <v>2002</v>
      </c>
      <c r="B1251">
        <v>1785</v>
      </c>
      <c r="C1251" t="s">
        <v>413</v>
      </c>
      <c r="D1251" t="s">
        <v>2052</v>
      </c>
      <c r="E1251">
        <v>325110</v>
      </c>
      <c r="F1251" t="s">
        <v>1194</v>
      </c>
      <c r="G1251" t="s">
        <v>445</v>
      </c>
      <c r="H1251" t="s">
        <v>21</v>
      </c>
      <c r="I1251" t="s">
        <v>348</v>
      </c>
      <c r="J1251" t="s">
        <v>349</v>
      </c>
      <c r="K1251" t="s">
        <v>350</v>
      </c>
      <c r="L1251" t="s">
        <v>5167</v>
      </c>
      <c r="M1251" t="s">
        <v>5168</v>
      </c>
      <c r="N1251" t="s">
        <v>5169</v>
      </c>
      <c r="O1251" t="s">
        <v>5170</v>
      </c>
      <c r="P1251">
        <v>2.9809999999999999</v>
      </c>
      <c r="Q1251" t="s">
        <v>29</v>
      </c>
      <c r="R1251" t="s">
        <v>30</v>
      </c>
      <c r="S1251" t="s">
        <v>6938</v>
      </c>
    </row>
    <row r="1252" spans="1:19" x14ac:dyDescent="0.25">
      <c r="A1252">
        <v>2000</v>
      </c>
      <c r="B1252">
        <v>4407</v>
      </c>
      <c r="C1252" t="s">
        <v>925</v>
      </c>
      <c r="D1252" t="s">
        <v>163</v>
      </c>
      <c r="E1252">
        <v>325999</v>
      </c>
      <c r="F1252" t="s">
        <v>396</v>
      </c>
      <c r="G1252" t="s">
        <v>397</v>
      </c>
      <c r="H1252" t="s">
        <v>79</v>
      </c>
      <c r="I1252" t="s">
        <v>191</v>
      </c>
      <c r="J1252" t="s">
        <v>192</v>
      </c>
      <c r="K1252" t="s">
        <v>193</v>
      </c>
      <c r="L1252" t="s">
        <v>5167</v>
      </c>
      <c r="M1252" t="s">
        <v>5168</v>
      </c>
      <c r="N1252" t="s">
        <v>5169</v>
      </c>
      <c r="O1252" t="s">
        <v>5170</v>
      </c>
      <c r="P1252">
        <v>3.29</v>
      </c>
      <c r="Q1252" t="s">
        <v>29</v>
      </c>
      <c r="R1252" t="s">
        <v>30</v>
      </c>
      <c r="S1252" t="s">
        <v>6938</v>
      </c>
    </row>
    <row r="1253" spans="1:19" x14ac:dyDescent="0.25">
      <c r="A1253">
        <v>2005</v>
      </c>
      <c r="B1253">
        <v>10068</v>
      </c>
      <c r="C1253" t="s">
        <v>5521</v>
      </c>
      <c r="D1253" t="s">
        <v>5521</v>
      </c>
      <c r="E1253">
        <v>336390</v>
      </c>
      <c r="F1253" t="s">
        <v>60</v>
      </c>
      <c r="G1253" t="s">
        <v>61</v>
      </c>
      <c r="H1253" t="s">
        <v>21</v>
      </c>
      <c r="I1253" t="s">
        <v>209</v>
      </c>
      <c r="J1253" t="s">
        <v>210</v>
      </c>
      <c r="K1253" t="s">
        <v>211</v>
      </c>
      <c r="L1253" t="s">
        <v>5167</v>
      </c>
      <c r="M1253" t="s">
        <v>5168</v>
      </c>
      <c r="N1253" t="s">
        <v>5175</v>
      </c>
      <c r="O1253" t="s">
        <v>5176</v>
      </c>
      <c r="P1253">
        <v>0</v>
      </c>
      <c r="Q1253" t="s">
        <v>29</v>
      </c>
      <c r="R1253" t="s">
        <v>30</v>
      </c>
      <c r="S1253" t="s">
        <v>6938</v>
      </c>
    </row>
    <row r="1254" spans="1:19" x14ac:dyDescent="0.25">
      <c r="A1254">
        <v>2008</v>
      </c>
      <c r="B1254">
        <v>3698</v>
      </c>
      <c r="C1254" t="s">
        <v>125</v>
      </c>
      <c r="D1254" t="s">
        <v>1066</v>
      </c>
      <c r="E1254">
        <v>324110</v>
      </c>
      <c r="F1254" t="s">
        <v>95</v>
      </c>
      <c r="G1254" t="s">
        <v>96</v>
      </c>
      <c r="H1254" t="s">
        <v>483</v>
      </c>
      <c r="I1254" t="s">
        <v>70</v>
      </c>
      <c r="J1254" t="s">
        <v>71</v>
      </c>
      <c r="K1254" t="s">
        <v>72</v>
      </c>
      <c r="L1254" t="s">
        <v>5167</v>
      </c>
      <c r="M1254" t="s">
        <v>5168</v>
      </c>
      <c r="N1254" t="s">
        <v>5169</v>
      </c>
      <c r="O1254" t="s">
        <v>5170</v>
      </c>
      <c r="P1254">
        <v>3.5000000000000003E-2</v>
      </c>
      <c r="Q1254" t="s">
        <v>29</v>
      </c>
      <c r="R1254" t="s">
        <v>30</v>
      </c>
      <c r="S1254" t="s">
        <v>6938</v>
      </c>
    </row>
    <row r="1255" spans="1:19" x14ac:dyDescent="0.25">
      <c r="A1255">
        <v>2014</v>
      </c>
      <c r="B1255">
        <v>2794</v>
      </c>
      <c r="C1255" t="s">
        <v>5522</v>
      </c>
      <c r="D1255" t="s">
        <v>1433</v>
      </c>
      <c r="E1255">
        <v>212299</v>
      </c>
      <c r="F1255" t="s">
        <v>1434</v>
      </c>
      <c r="G1255" t="s">
        <v>1435</v>
      </c>
      <c r="H1255" t="s">
        <v>69</v>
      </c>
      <c r="I1255" t="s">
        <v>525</v>
      </c>
      <c r="J1255" t="s">
        <v>526</v>
      </c>
      <c r="K1255" t="s">
        <v>527</v>
      </c>
      <c r="L1255" t="s">
        <v>5183</v>
      </c>
      <c r="M1255" t="s">
        <v>5184</v>
      </c>
      <c r="N1255" t="s">
        <v>5185</v>
      </c>
      <c r="O1255" t="s">
        <v>5186</v>
      </c>
      <c r="P1255">
        <v>431.6</v>
      </c>
      <c r="Q1255" t="s">
        <v>29</v>
      </c>
      <c r="R1255" t="s">
        <v>124</v>
      </c>
      <c r="S1255" t="s">
        <v>6938</v>
      </c>
    </row>
    <row r="1256" spans="1:19" x14ac:dyDescent="0.25">
      <c r="A1256">
        <v>2017</v>
      </c>
      <c r="B1256">
        <v>6674</v>
      </c>
      <c r="C1256" t="s">
        <v>2057</v>
      </c>
      <c r="D1256" t="s">
        <v>5523</v>
      </c>
      <c r="E1256">
        <v>212114</v>
      </c>
      <c r="F1256" t="s">
        <v>2059</v>
      </c>
      <c r="G1256" t="s">
        <v>2060</v>
      </c>
      <c r="H1256" t="s">
        <v>69</v>
      </c>
      <c r="I1256" t="s">
        <v>97</v>
      </c>
      <c r="J1256" t="s">
        <v>98</v>
      </c>
      <c r="K1256" t="s">
        <v>99</v>
      </c>
      <c r="L1256" t="s">
        <v>5183</v>
      </c>
      <c r="M1256" t="s">
        <v>5184</v>
      </c>
      <c r="N1256" t="s">
        <v>5185</v>
      </c>
      <c r="O1256" t="s">
        <v>5186</v>
      </c>
      <c r="P1256">
        <v>234.64</v>
      </c>
      <c r="Q1256" t="s">
        <v>29</v>
      </c>
      <c r="R1256" t="s">
        <v>124</v>
      </c>
      <c r="S1256" t="s">
        <v>6938</v>
      </c>
    </row>
    <row r="1257" spans="1:19" x14ac:dyDescent="0.25">
      <c r="A1257">
        <v>1993</v>
      </c>
      <c r="B1257">
        <v>3124</v>
      </c>
      <c r="C1257" t="s">
        <v>5524</v>
      </c>
      <c r="D1257" t="s">
        <v>5524</v>
      </c>
      <c r="E1257">
        <v>334410</v>
      </c>
      <c r="F1257" t="s">
        <v>604</v>
      </c>
      <c r="G1257" t="s">
        <v>605</v>
      </c>
      <c r="H1257" t="s">
        <v>79</v>
      </c>
      <c r="I1257" t="s">
        <v>35</v>
      </c>
      <c r="J1257" t="s">
        <v>36</v>
      </c>
      <c r="K1257" t="s">
        <v>37</v>
      </c>
      <c r="L1257" t="s">
        <v>5167</v>
      </c>
      <c r="M1257" t="s">
        <v>5168</v>
      </c>
      <c r="N1257" t="s">
        <v>5169</v>
      </c>
      <c r="O1257" t="s">
        <v>5170</v>
      </c>
      <c r="P1257">
        <v>5.4</v>
      </c>
      <c r="Q1257" t="s">
        <v>29</v>
      </c>
      <c r="S1257" t="s">
        <v>6938</v>
      </c>
    </row>
    <row r="1258" spans="1:19" x14ac:dyDescent="0.25">
      <c r="A1258">
        <v>2020</v>
      </c>
      <c r="B1258">
        <v>6051</v>
      </c>
      <c r="C1258" t="s">
        <v>5525</v>
      </c>
      <c r="D1258" t="s">
        <v>5526</v>
      </c>
      <c r="E1258">
        <v>221320</v>
      </c>
      <c r="F1258" t="s">
        <v>146</v>
      </c>
      <c r="G1258" t="s">
        <v>147</v>
      </c>
      <c r="H1258" t="s">
        <v>483</v>
      </c>
      <c r="I1258" t="s">
        <v>177</v>
      </c>
      <c r="J1258" t="s">
        <v>178</v>
      </c>
      <c r="K1258" t="s">
        <v>179</v>
      </c>
      <c r="L1258" t="s">
        <v>5167</v>
      </c>
      <c r="M1258" t="s">
        <v>5168</v>
      </c>
      <c r="N1258" t="s">
        <v>5175</v>
      </c>
      <c r="O1258" t="s">
        <v>5176</v>
      </c>
      <c r="P1258">
        <v>1.0429999999999999</v>
      </c>
      <c r="Q1258" t="s">
        <v>29</v>
      </c>
      <c r="R1258" t="s">
        <v>124</v>
      </c>
      <c r="S1258" t="s">
        <v>6938</v>
      </c>
    </row>
    <row r="1259" spans="1:19" x14ac:dyDescent="0.25">
      <c r="A1259">
        <v>2021</v>
      </c>
      <c r="B1259">
        <v>4980</v>
      </c>
      <c r="C1259" t="s">
        <v>5527</v>
      </c>
      <c r="D1259" t="s">
        <v>5528</v>
      </c>
      <c r="E1259">
        <v>339990</v>
      </c>
      <c r="F1259" t="s">
        <v>1179</v>
      </c>
      <c r="G1259" t="s">
        <v>872</v>
      </c>
      <c r="H1259" t="s">
        <v>21</v>
      </c>
      <c r="I1259" t="s">
        <v>136</v>
      </c>
      <c r="J1259" t="s">
        <v>137</v>
      </c>
      <c r="K1259" t="s">
        <v>138</v>
      </c>
      <c r="L1259" t="s">
        <v>5167</v>
      </c>
      <c r="M1259" t="s">
        <v>5168</v>
      </c>
      <c r="N1259" t="s">
        <v>5169</v>
      </c>
      <c r="O1259" t="s">
        <v>5170</v>
      </c>
      <c r="P1259">
        <v>20.352805</v>
      </c>
      <c r="Q1259" t="s">
        <v>29</v>
      </c>
      <c r="R1259" t="s">
        <v>30</v>
      </c>
      <c r="S1259" t="s">
        <v>6938</v>
      </c>
    </row>
    <row r="1260" spans="1:19" x14ac:dyDescent="0.25">
      <c r="A1260">
        <v>2001</v>
      </c>
      <c r="B1260">
        <v>1417</v>
      </c>
      <c r="C1260" t="s">
        <v>5529</v>
      </c>
      <c r="D1260" t="s">
        <v>5530</v>
      </c>
      <c r="E1260">
        <v>115210</v>
      </c>
      <c r="F1260" t="s">
        <v>5531</v>
      </c>
      <c r="G1260" t="s">
        <v>5532</v>
      </c>
      <c r="H1260" t="s">
        <v>21</v>
      </c>
      <c r="I1260" t="s">
        <v>136</v>
      </c>
      <c r="J1260" t="s">
        <v>137</v>
      </c>
      <c r="K1260" t="s">
        <v>138</v>
      </c>
      <c r="L1260" t="s">
        <v>5183</v>
      </c>
      <c r="M1260" t="s">
        <v>5184</v>
      </c>
      <c r="N1260" t="s">
        <v>5169</v>
      </c>
      <c r="O1260" t="s">
        <v>5170</v>
      </c>
      <c r="P1260">
        <v>1E-3</v>
      </c>
      <c r="Q1260" t="s">
        <v>29</v>
      </c>
      <c r="R1260" t="s">
        <v>30</v>
      </c>
      <c r="S1260" t="s">
        <v>6938</v>
      </c>
    </row>
    <row r="1261" spans="1:19" x14ac:dyDescent="0.25">
      <c r="A1261">
        <v>2006</v>
      </c>
      <c r="B1261">
        <v>5893</v>
      </c>
      <c r="C1261" t="s">
        <v>5533</v>
      </c>
      <c r="D1261" t="s">
        <v>5534</v>
      </c>
      <c r="E1261">
        <v>332810</v>
      </c>
      <c r="F1261" t="s">
        <v>237</v>
      </c>
      <c r="G1261" t="s">
        <v>238</v>
      </c>
      <c r="H1261" t="s">
        <v>21</v>
      </c>
      <c r="I1261" t="s">
        <v>152</v>
      </c>
      <c r="J1261" t="s">
        <v>153</v>
      </c>
      <c r="K1261" t="s">
        <v>154</v>
      </c>
      <c r="L1261" t="s">
        <v>5167</v>
      </c>
      <c r="M1261" t="s">
        <v>5168</v>
      </c>
      <c r="N1261" t="s">
        <v>5169</v>
      </c>
      <c r="O1261" t="s">
        <v>5170</v>
      </c>
      <c r="P1261">
        <v>0.36199999999999999</v>
      </c>
      <c r="Q1261" t="s">
        <v>29</v>
      </c>
      <c r="R1261" t="s">
        <v>50</v>
      </c>
      <c r="S1261" t="s">
        <v>6938</v>
      </c>
    </row>
    <row r="1262" spans="1:19" x14ac:dyDescent="0.25">
      <c r="A1262">
        <v>2004</v>
      </c>
      <c r="B1262">
        <v>6123</v>
      </c>
      <c r="C1262" t="s">
        <v>5535</v>
      </c>
      <c r="D1262" t="s">
        <v>2799</v>
      </c>
      <c r="E1262">
        <v>221320</v>
      </c>
      <c r="F1262" t="s">
        <v>390</v>
      </c>
      <c r="G1262" t="s">
        <v>147</v>
      </c>
      <c r="H1262" t="s">
        <v>79</v>
      </c>
      <c r="I1262" t="s">
        <v>97</v>
      </c>
      <c r="J1262" t="s">
        <v>98</v>
      </c>
      <c r="K1262" t="s">
        <v>99</v>
      </c>
      <c r="L1262" t="s">
        <v>5167</v>
      </c>
      <c r="M1262" t="s">
        <v>5168</v>
      </c>
      <c r="N1262" t="s">
        <v>5169</v>
      </c>
      <c r="O1262" t="s">
        <v>5170</v>
      </c>
      <c r="P1262">
        <v>10.4</v>
      </c>
      <c r="Q1262" t="s">
        <v>29</v>
      </c>
      <c r="R1262" t="s">
        <v>124</v>
      </c>
      <c r="S1262" t="s">
        <v>6938</v>
      </c>
    </row>
    <row r="1263" spans="1:19" x14ac:dyDescent="0.25">
      <c r="A1263">
        <v>2019</v>
      </c>
      <c r="B1263">
        <v>442</v>
      </c>
      <c r="C1263" t="s">
        <v>1323</v>
      </c>
      <c r="D1263" t="s">
        <v>5417</v>
      </c>
      <c r="E1263">
        <v>211141</v>
      </c>
      <c r="F1263" t="s">
        <v>1189</v>
      </c>
      <c r="G1263" t="s">
        <v>1190</v>
      </c>
      <c r="H1263" t="s">
        <v>85</v>
      </c>
      <c r="I1263" t="s">
        <v>70</v>
      </c>
      <c r="J1263" t="s">
        <v>71</v>
      </c>
      <c r="K1263" t="s">
        <v>72</v>
      </c>
      <c r="L1263" t="s">
        <v>5183</v>
      </c>
      <c r="M1263" t="s">
        <v>5184</v>
      </c>
      <c r="N1263" t="s">
        <v>5169</v>
      </c>
      <c r="O1263" t="s">
        <v>5170</v>
      </c>
      <c r="P1263">
        <v>13.885</v>
      </c>
      <c r="Q1263" t="s">
        <v>29</v>
      </c>
      <c r="R1263" t="s">
        <v>30</v>
      </c>
      <c r="S1263" t="s">
        <v>6938</v>
      </c>
    </row>
    <row r="1264" spans="1:19" x14ac:dyDescent="0.25">
      <c r="A1264">
        <v>2019</v>
      </c>
      <c r="B1264">
        <v>27978</v>
      </c>
      <c r="C1264" t="s">
        <v>5536</v>
      </c>
      <c r="D1264" t="s">
        <v>1560</v>
      </c>
      <c r="E1264">
        <v>211110</v>
      </c>
      <c r="F1264" t="s">
        <v>233</v>
      </c>
      <c r="G1264" t="s">
        <v>234</v>
      </c>
      <c r="H1264" t="s">
        <v>85</v>
      </c>
      <c r="I1264" t="s">
        <v>923</v>
      </c>
      <c r="J1264" t="s">
        <v>924</v>
      </c>
      <c r="K1264" t="s">
        <v>924</v>
      </c>
      <c r="L1264" t="s">
        <v>5167</v>
      </c>
      <c r="M1264" t="s">
        <v>5168</v>
      </c>
      <c r="N1264" t="s">
        <v>5175</v>
      </c>
      <c r="O1264" t="s">
        <v>5176</v>
      </c>
      <c r="P1264">
        <v>0</v>
      </c>
      <c r="Q1264" t="s">
        <v>29</v>
      </c>
      <c r="R1264" t="s">
        <v>30</v>
      </c>
      <c r="S1264" t="s">
        <v>6938</v>
      </c>
    </row>
    <row r="1265" spans="1:19" x14ac:dyDescent="0.25">
      <c r="A1265">
        <v>2003</v>
      </c>
      <c r="B1265">
        <v>1083</v>
      </c>
      <c r="C1265" t="s">
        <v>5537</v>
      </c>
      <c r="E1265">
        <v>326290</v>
      </c>
      <c r="F1265" t="s">
        <v>451</v>
      </c>
      <c r="G1265" t="s">
        <v>452</v>
      </c>
      <c r="H1265" t="s">
        <v>79</v>
      </c>
      <c r="I1265" t="s">
        <v>5538</v>
      </c>
      <c r="J1265" t="s">
        <v>5539</v>
      </c>
      <c r="K1265" t="s">
        <v>5540</v>
      </c>
      <c r="L1265" t="s">
        <v>5167</v>
      </c>
      <c r="M1265" t="s">
        <v>5168</v>
      </c>
      <c r="N1265" t="s">
        <v>5169</v>
      </c>
      <c r="O1265" t="s">
        <v>5170</v>
      </c>
      <c r="P1265">
        <v>0.6</v>
      </c>
      <c r="Q1265" t="s">
        <v>29</v>
      </c>
      <c r="R1265" t="s">
        <v>50</v>
      </c>
      <c r="S1265" t="s">
        <v>6938</v>
      </c>
    </row>
    <row r="1266" spans="1:19" x14ac:dyDescent="0.25">
      <c r="A1266">
        <v>2022</v>
      </c>
      <c r="B1266">
        <v>5307</v>
      </c>
      <c r="C1266" t="s">
        <v>144</v>
      </c>
      <c r="D1266" t="s">
        <v>5541</v>
      </c>
      <c r="E1266">
        <v>221320</v>
      </c>
      <c r="F1266" t="s">
        <v>146</v>
      </c>
      <c r="G1266" t="s">
        <v>147</v>
      </c>
      <c r="H1266" t="s">
        <v>85</v>
      </c>
      <c r="I1266" t="s">
        <v>244</v>
      </c>
      <c r="J1266" t="s">
        <v>245</v>
      </c>
      <c r="K1266" t="s">
        <v>246</v>
      </c>
      <c r="L1266" t="s">
        <v>5167</v>
      </c>
      <c r="M1266" t="s">
        <v>5168</v>
      </c>
      <c r="N1266" t="s">
        <v>5175</v>
      </c>
      <c r="O1266" t="s">
        <v>5176</v>
      </c>
      <c r="P1266">
        <v>24.018000000000001</v>
      </c>
      <c r="Q1266" t="s">
        <v>40</v>
      </c>
      <c r="R1266" t="s">
        <v>124</v>
      </c>
      <c r="S1266" t="s">
        <v>6938</v>
      </c>
    </row>
    <row r="1267" spans="1:19" x14ac:dyDescent="0.25">
      <c r="A1267">
        <v>2015</v>
      </c>
      <c r="B1267">
        <v>2256</v>
      </c>
      <c r="C1267" t="s">
        <v>5542</v>
      </c>
      <c r="D1267" t="s">
        <v>5543</v>
      </c>
      <c r="E1267">
        <v>331490</v>
      </c>
      <c r="F1267" t="s">
        <v>253</v>
      </c>
      <c r="G1267" t="s">
        <v>254</v>
      </c>
      <c r="H1267" t="s">
        <v>21</v>
      </c>
      <c r="I1267" t="s">
        <v>35</v>
      </c>
      <c r="J1267" t="s">
        <v>36</v>
      </c>
      <c r="K1267" t="s">
        <v>37</v>
      </c>
      <c r="L1267" t="s">
        <v>5167</v>
      </c>
      <c r="M1267" t="s">
        <v>5168</v>
      </c>
      <c r="N1267" t="s">
        <v>5169</v>
      </c>
      <c r="O1267" t="s">
        <v>5170</v>
      </c>
      <c r="P1267">
        <v>700490.60030000005</v>
      </c>
      <c r="Q1267" t="s">
        <v>40</v>
      </c>
      <c r="R1267" t="s">
        <v>50</v>
      </c>
      <c r="S1267" t="s">
        <v>6938</v>
      </c>
    </row>
    <row r="1268" spans="1:19" x14ac:dyDescent="0.25">
      <c r="A1268">
        <v>2016</v>
      </c>
      <c r="B1268">
        <v>5146</v>
      </c>
      <c r="C1268" t="s">
        <v>5544</v>
      </c>
      <c r="D1268" t="s">
        <v>5544</v>
      </c>
      <c r="E1268">
        <v>212233</v>
      </c>
      <c r="F1268" t="s">
        <v>1111</v>
      </c>
      <c r="G1268" t="s">
        <v>441</v>
      </c>
      <c r="H1268" t="s">
        <v>69</v>
      </c>
      <c r="I1268" t="s">
        <v>184</v>
      </c>
      <c r="J1268" t="s">
        <v>185</v>
      </c>
      <c r="K1268" t="s">
        <v>186</v>
      </c>
      <c r="L1268" t="s">
        <v>5183</v>
      </c>
      <c r="M1268" t="s">
        <v>5184</v>
      </c>
      <c r="N1268" t="s">
        <v>5185</v>
      </c>
      <c r="O1268" t="s">
        <v>5186</v>
      </c>
      <c r="P1268">
        <v>24954</v>
      </c>
      <c r="Q1268" t="s">
        <v>40</v>
      </c>
      <c r="R1268" t="s">
        <v>725</v>
      </c>
      <c r="S1268" t="s">
        <v>6938</v>
      </c>
    </row>
    <row r="1269" spans="1:19" x14ac:dyDescent="0.25">
      <c r="A1269">
        <v>2002</v>
      </c>
      <c r="B1269">
        <v>4940</v>
      </c>
      <c r="C1269" t="s">
        <v>5545</v>
      </c>
      <c r="D1269" t="s">
        <v>5546</v>
      </c>
      <c r="E1269">
        <v>326193</v>
      </c>
      <c r="F1269" t="s">
        <v>19</v>
      </c>
      <c r="G1269" t="s">
        <v>20</v>
      </c>
      <c r="H1269" t="s">
        <v>21</v>
      </c>
      <c r="I1269" t="s">
        <v>5547</v>
      </c>
      <c r="J1269" t="s">
        <v>5548</v>
      </c>
      <c r="K1269" t="s">
        <v>5549</v>
      </c>
      <c r="L1269" t="s">
        <v>5167</v>
      </c>
      <c r="M1269" t="s">
        <v>5168</v>
      </c>
      <c r="N1269" t="s">
        <v>5169</v>
      </c>
      <c r="O1269" t="s">
        <v>5170</v>
      </c>
      <c r="P1269">
        <v>0.17</v>
      </c>
      <c r="Q1269" t="s">
        <v>29</v>
      </c>
      <c r="R1269" t="s">
        <v>30</v>
      </c>
      <c r="S1269" t="s">
        <v>6938</v>
      </c>
    </row>
    <row r="1270" spans="1:19" x14ac:dyDescent="0.25">
      <c r="A1270">
        <v>2013</v>
      </c>
      <c r="B1270">
        <v>3903</v>
      </c>
      <c r="C1270" t="s">
        <v>1250</v>
      </c>
      <c r="D1270" t="s">
        <v>5550</v>
      </c>
      <c r="E1270">
        <v>324110</v>
      </c>
      <c r="F1270" t="s">
        <v>196</v>
      </c>
      <c r="G1270" t="s">
        <v>96</v>
      </c>
      <c r="H1270" t="s">
        <v>85</v>
      </c>
      <c r="I1270" t="s">
        <v>1050</v>
      </c>
      <c r="J1270" t="s">
        <v>1051</v>
      </c>
      <c r="K1270" t="s">
        <v>1052</v>
      </c>
      <c r="L1270" t="s">
        <v>5167</v>
      </c>
      <c r="M1270" t="s">
        <v>5168</v>
      </c>
      <c r="N1270" t="s">
        <v>5169</v>
      </c>
      <c r="O1270" t="s">
        <v>5170</v>
      </c>
      <c r="P1270">
        <v>21.966799999999999</v>
      </c>
      <c r="Q1270" t="s">
        <v>40</v>
      </c>
      <c r="R1270" t="s">
        <v>30</v>
      </c>
      <c r="S1270" t="s">
        <v>6938</v>
      </c>
    </row>
    <row r="1271" spans="1:19" x14ac:dyDescent="0.25">
      <c r="A1271">
        <v>2016</v>
      </c>
      <c r="B1271">
        <v>1338</v>
      </c>
      <c r="C1271" t="s">
        <v>212</v>
      </c>
      <c r="D1271" t="s">
        <v>597</v>
      </c>
      <c r="E1271">
        <v>221320</v>
      </c>
      <c r="F1271" t="s">
        <v>146</v>
      </c>
      <c r="G1271" t="s">
        <v>147</v>
      </c>
      <c r="H1271" t="s">
        <v>69</v>
      </c>
      <c r="I1271" t="s">
        <v>35</v>
      </c>
      <c r="J1271" t="s">
        <v>36</v>
      </c>
      <c r="K1271" t="s">
        <v>37</v>
      </c>
      <c r="L1271" t="s">
        <v>5167</v>
      </c>
      <c r="M1271" t="s">
        <v>5168</v>
      </c>
      <c r="N1271" t="s">
        <v>5175</v>
      </c>
      <c r="O1271" t="s">
        <v>5176</v>
      </c>
      <c r="P1271">
        <v>202.96090000000001</v>
      </c>
      <c r="Q1271" t="s">
        <v>40</v>
      </c>
      <c r="R1271" t="s">
        <v>124</v>
      </c>
      <c r="S1271" t="s">
        <v>6938</v>
      </c>
    </row>
    <row r="1272" spans="1:19" x14ac:dyDescent="0.25">
      <c r="A1272">
        <v>2006</v>
      </c>
      <c r="B1272">
        <v>21587</v>
      </c>
      <c r="C1272" t="s">
        <v>122</v>
      </c>
      <c r="D1272" t="s">
        <v>5551</v>
      </c>
      <c r="E1272">
        <v>562920</v>
      </c>
      <c r="F1272" t="s">
        <v>735</v>
      </c>
      <c r="G1272" t="s">
        <v>330</v>
      </c>
      <c r="H1272" t="s">
        <v>69</v>
      </c>
      <c r="I1272" t="s">
        <v>271</v>
      </c>
      <c r="J1272" t="s">
        <v>272</v>
      </c>
      <c r="K1272" t="s">
        <v>273</v>
      </c>
      <c r="L1272" t="s">
        <v>5167</v>
      </c>
      <c r="M1272" t="s">
        <v>5168</v>
      </c>
      <c r="N1272" t="s">
        <v>5169</v>
      </c>
      <c r="O1272" t="s">
        <v>5170</v>
      </c>
      <c r="P1272">
        <v>3.0000000000000001E-3</v>
      </c>
      <c r="Q1272" t="s">
        <v>29</v>
      </c>
      <c r="R1272" t="s">
        <v>30</v>
      </c>
      <c r="S1272" t="s">
        <v>6938</v>
      </c>
    </row>
    <row r="1273" spans="1:19" x14ac:dyDescent="0.25">
      <c r="A1273">
        <v>2006</v>
      </c>
      <c r="B1273">
        <v>1555</v>
      </c>
      <c r="C1273" t="s">
        <v>5552</v>
      </c>
      <c r="D1273" t="s">
        <v>5552</v>
      </c>
      <c r="E1273">
        <v>332999</v>
      </c>
      <c r="F1273" t="s">
        <v>309</v>
      </c>
      <c r="G1273" t="s">
        <v>304</v>
      </c>
      <c r="H1273" t="s">
        <v>21</v>
      </c>
      <c r="I1273" t="s">
        <v>136</v>
      </c>
      <c r="J1273" t="s">
        <v>137</v>
      </c>
      <c r="K1273" t="s">
        <v>138</v>
      </c>
      <c r="L1273" t="s">
        <v>5167</v>
      </c>
      <c r="M1273" t="s">
        <v>5168</v>
      </c>
      <c r="N1273" t="s">
        <v>5169</v>
      </c>
      <c r="O1273" t="s">
        <v>5170</v>
      </c>
      <c r="P1273">
        <v>7.0000000000000007E-2</v>
      </c>
      <c r="Q1273" t="s">
        <v>29</v>
      </c>
      <c r="R1273" t="s">
        <v>30</v>
      </c>
      <c r="S1273" t="s">
        <v>6938</v>
      </c>
    </row>
    <row r="1274" spans="1:19" x14ac:dyDescent="0.25">
      <c r="A1274">
        <v>2005</v>
      </c>
      <c r="B1274">
        <v>271</v>
      </c>
      <c r="C1274" t="s">
        <v>5516</v>
      </c>
      <c r="D1274" t="s">
        <v>5517</v>
      </c>
      <c r="E1274">
        <v>322112</v>
      </c>
      <c r="F1274" t="s">
        <v>620</v>
      </c>
      <c r="G1274" t="s">
        <v>621</v>
      </c>
      <c r="H1274" t="s">
        <v>79</v>
      </c>
      <c r="I1274" t="s">
        <v>55</v>
      </c>
      <c r="J1274" t="s">
        <v>56</v>
      </c>
      <c r="K1274" t="s">
        <v>57</v>
      </c>
      <c r="L1274" t="s">
        <v>5183</v>
      </c>
      <c r="M1274" t="s">
        <v>5184</v>
      </c>
      <c r="N1274" t="s">
        <v>5169</v>
      </c>
      <c r="O1274" t="s">
        <v>5170</v>
      </c>
      <c r="P1274">
        <v>1.214</v>
      </c>
      <c r="Q1274" t="s">
        <v>29</v>
      </c>
      <c r="R1274" t="s">
        <v>430</v>
      </c>
      <c r="S1274" t="s">
        <v>6938</v>
      </c>
    </row>
    <row r="1275" spans="1:19" x14ac:dyDescent="0.25">
      <c r="A1275">
        <v>2009</v>
      </c>
      <c r="B1275">
        <v>5020</v>
      </c>
      <c r="C1275" t="s">
        <v>1552</v>
      </c>
      <c r="D1275" t="s">
        <v>5553</v>
      </c>
      <c r="E1275">
        <v>311410</v>
      </c>
      <c r="F1275" t="s">
        <v>5554</v>
      </c>
      <c r="G1275" t="s">
        <v>5555</v>
      </c>
      <c r="H1275" t="s">
        <v>85</v>
      </c>
      <c r="I1275" t="s">
        <v>402</v>
      </c>
      <c r="J1275" t="s">
        <v>403</v>
      </c>
      <c r="K1275" t="s">
        <v>404</v>
      </c>
      <c r="L1275" t="s">
        <v>5183</v>
      </c>
      <c r="M1275" t="s">
        <v>5184</v>
      </c>
      <c r="N1275" t="s">
        <v>5175</v>
      </c>
      <c r="O1275" t="s">
        <v>5176</v>
      </c>
      <c r="P1275">
        <v>53.368000000000002</v>
      </c>
      <c r="Q1275" t="s">
        <v>29</v>
      </c>
      <c r="R1275" t="s">
        <v>124</v>
      </c>
      <c r="S1275" t="s">
        <v>6938</v>
      </c>
    </row>
    <row r="1276" spans="1:19" x14ac:dyDescent="0.25">
      <c r="A1276">
        <v>2019</v>
      </c>
      <c r="B1276">
        <v>10237</v>
      </c>
      <c r="C1276" t="s">
        <v>125</v>
      </c>
      <c r="D1276" t="s">
        <v>542</v>
      </c>
      <c r="E1276">
        <v>412110</v>
      </c>
      <c r="F1276" t="s">
        <v>127</v>
      </c>
      <c r="G1276" t="s">
        <v>128</v>
      </c>
      <c r="H1276" t="s">
        <v>54</v>
      </c>
      <c r="I1276" t="s">
        <v>367</v>
      </c>
      <c r="J1276" t="s">
        <v>368</v>
      </c>
      <c r="K1276" t="s">
        <v>369</v>
      </c>
      <c r="L1276" t="s">
        <v>5167</v>
      </c>
      <c r="M1276" t="s">
        <v>5168</v>
      </c>
      <c r="N1276" t="s">
        <v>5223</v>
      </c>
      <c r="O1276" t="s">
        <v>5224</v>
      </c>
      <c r="P1276">
        <v>3.6799999999999999E-2</v>
      </c>
      <c r="Q1276" t="s">
        <v>40</v>
      </c>
      <c r="R1276" t="s">
        <v>30</v>
      </c>
      <c r="S1276" t="s">
        <v>6938</v>
      </c>
    </row>
    <row r="1277" spans="1:19" x14ac:dyDescent="0.25">
      <c r="A1277">
        <v>2023</v>
      </c>
      <c r="B1277">
        <v>6652</v>
      </c>
      <c r="C1277" t="s">
        <v>806</v>
      </c>
      <c r="D1277" t="s">
        <v>5556</v>
      </c>
      <c r="E1277">
        <v>412110</v>
      </c>
      <c r="F1277" t="s">
        <v>589</v>
      </c>
      <c r="G1277" t="s">
        <v>590</v>
      </c>
      <c r="H1277" t="s">
        <v>69</v>
      </c>
      <c r="I1277" t="s">
        <v>427</v>
      </c>
      <c r="J1277" t="s">
        <v>428</v>
      </c>
      <c r="K1277" t="s">
        <v>429</v>
      </c>
      <c r="L1277" t="s">
        <v>5167</v>
      </c>
      <c r="M1277" t="s">
        <v>5168</v>
      </c>
      <c r="N1277" t="s">
        <v>5169</v>
      </c>
      <c r="O1277" t="s">
        <v>5170</v>
      </c>
      <c r="P1277">
        <v>3.8400000000000001E-3</v>
      </c>
      <c r="Q1277" t="s">
        <v>29</v>
      </c>
      <c r="R1277" t="s">
        <v>30</v>
      </c>
      <c r="S1277" t="s">
        <v>6938</v>
      </c>
    </row>
    <row r="1278" spans="1:19" x14ac:dyDescent="0.25">
      <c r="A1278">
        <v>2022</v>
      </c>
      <c r="B1278">
        <v>5808</v>
      </c>
      <c r="C1278" t="s">
        <v>5557</v>
      </c>
      <c r="D1278" t="s">
        <v>5557</v>
      </c>
      <c r="E1278">
        <v>325189</v>
      </c>
      <c r="F1278" t="s">
        <v>1660</v>
      </c>
      <c r="G1278" t="s">
        <v>1291</v>
      </c>
      <c r="H1278" t="s">
        <v>21</v>
      </c>
      <c r="I1278" t="s">
        <v>1878</v>
      </c>
      <c r="J1278" t="s">
        <v>1879</v>
      </c>
      <c r="K1278" t="s">
        <v>1880</v>
      </c>
      <c r="L1278" t="s">
        <v>5167</v>
      </c>
      <c r="M1278" t="s">
        <v>5168</v>
      </c>
      <c r="N1278" t="s">
        <v>5169</v>
      </c>
      <c r="O1278" t="s">
        <v>5170</v>
      </c>
      <c r="P1278">
        <v>6.0350000000000001</v>
      </c>
      <c r="Q1278" t="s">
        <v>40</v>
      </c>
      <c r="R1278" t="s">
        <v>30</v>
      </c>
      <c r="S1278" t="s">
        <v>6938</v>
      </c>
    </row>
    <row r="1279" spans="1:19" x14ac:dyDescent="0.25">
      <c r="A1279">
        <v>2013</v>
      </c>
      <c r="B1279">
        <v>24145</v>
      </c>
      <c r="C1279" t="s">
        <v>2335</v>
      </c>
      <c r="D1279" t="s">
        <v>2336</v>
      </c>
      <c r="E1279">
        <v>211114</v>
      </c>
      <c r="F1279" t="s">
        <v>956</v>
      </c>
      <c r="G1279" t="s">
        <v>836</v>
      </c>
      <c r="H1279" t="s">
        <v>85</v>
      </c>
      <c r="I1279" t="s">
        <v>348</v>
      </c>
      <c r="J1279" t="s">
        <v>349</v>
      </c>
      <c r="K1279" t="s">
        <v>350</v>
      </c>
      <c r="L1279" t="s">
        <v>5183</v>
      </c>
      <c r="M1279" t="s">
        <v>5184</v>
      </c>
      <c r="N1279" t="s">
        <v>5195</v>
      </c>
      <c r="O1279" t="s">
        <v>5196</v>
      </c>
      <c r="P1279">
        <v>1E-3</v>
      </c>
      <c r="Q1279" t="s">
        <v>29</v>
      </c>
      <c r="R1279" t="s">
        <v>30</v>
      </c>
      <c r="S1279" t="s">
        <v>6938</v>
      </c>
    </row>
    <row r="1280" spans="1:19" x14ac:dyDescent="0.25">
      <c r="A1280">
        <v>2014</v>
      </c>
      <c r="B1280">
        <v>10217</v>
      </c>
      <c r="C1280" t="s">
        <v>125</v>
      </c>
      <c r="D1280" t="s">
        <v>5558</v>
      </c>
      <c r="E1280">
        <v>412110</v>
      </c>
      <c r="F1280" t="s">
        <v>127</v>
      </c>
      <c r="G1280" t="s">
        <v>128</v>
      </c>
      <c r="H1280" t="s">
        <v>483</v>
      </c>
      <c r="I1280" t="s">
        <v>491</v>
      </c>
      <c r="J1280" t="s">
        <v>492</v>
      </c>
      <c r="K1280" t="s">
        <v>492</v>
      </c>
      <c r="L1280" t="s">
        <v>5167</v>
      </c>
      <c r="M1280" t="s">
        <v>5168</v>
      </c>
      <c r="N1280" t="s">
        <v>5223</v>
      </c>
      <c r="O1280" t="s">
        <v>5224</v>
      </c>
      <c r="P1280">
        <v>8.9999999999999998E-4</v>
      </c>
      <c r="Q1280" t="s">
        <v>29</v>
      </c>
      <c r="R1280" t="s">
        <v>30</v>
      </c>
      <c r="S1280" t="s">
        <v>6938</v>
      </c>
    </row>
    <row r="1281" spans="1:19" x14ac:dyDescent="0.25">
      <c r="A1281">
        <v>2009</v>
      </c>
      <c r="B1281">
        <v>5737</v>
      </c>
      <c r="C1281" t="s">
        <v>5559</v>
      </c>
      <c r="D1281" t="s">
        <v>5560</v>
      </c>
      <c r="E1281">
        <v>332810</v>
      </c>
      <c r="F1281" t="s">
        <v>237</v>
      </c>
      <c r="G1281" t="s">
        <v>238</v>
      </c>
      <c r="H1281" t="s">
        <v>21</v>
      </c>
      <c r="I1281" t="s">
        <v>337</v>
      </c>
      <c r="J1281" t="s">
        <v>338</v>
      </c>
      <c r="K1281" t="s">
        <v>339</v>
      </c>
      <c r="L1281" t="s">
        <v>5167</v>
      </c>
      <c r="M1281" t="s">
        <v>5168</v>
      </c>
      <c r="N1281" t="s">
        <v>5175</v>
      </c>
      <c r="O1281" t="s">
        <v>5176</v>
      </c>
      <c r="P1281">
        <v>0</v>
      </c>
      <c r="Q1281" t="s">
        <v>29</v>
      </c>
      <c r="R1281" t="s">
        <v>258</v>
      </c>
      <c r="S1281" t="s">
        <v>6938</v>
      </c>
    </row>
    <row r="1282" spans="1:19" x14ac:dyDescent="0.25">
      <c r="A1282">
        <v>2005</v>
      </c>
      <c r="B1282">
        <v>3707</v>
      </c>
      <c r="C1282" t="s">
        <v>125</v>
      </c>
      <c r="D1282" t="s">
        <v>2090</v>
      </c>
      <c r="E1282">
        <v>324110</v>
      </c>
      <c r="F1282" t="s">
        <v>95</v>
      </c>
      <c r="G1282" t="s">
        <v>96</v>
      </c>
      <c r="H1282" t="s">
        <v>85</v>
      </c>
      <c r="I1282" t="s">
        <v>197</v>
      </c>
      <c r="J1282" t="s">
        <v>198</v>
      </c>
      <c r="K1282" t="s">
        <v>199</v>
      </c>
      <c r="L1282" t="s">
        <v>5183</v>
      </c>
      <c r="M1282" t="s">
        <v>5184</v>
      </c>
      <c r="N1282" t="s">
        <v>5195</v>
      </c>
      <c r="O1282" t="s">
        <v>5196</v>
      </c>
      <c r="P1282">
        <v>7.62</v>
      </c>
      <c r="Q1282" t="s">
        <v>40</v>
      </c>
      <c r="R1282" t="s">
        <v>124</v>
      </c>
      <c r="S1282" t="s">
        <v>6938</v>
      </c>
    </row>
    <row r="1283" spans="1:19" x14ac:dyDescent="0.25">
      <c r="A1283">
        <v>2004</v>
      </c>
      <c r="B1283">
        <v>5239</v>
      </c>
      <c r="C1283" t="s">
        <v>1439</v>
      </c>
      <c r="D1283" t="s">
        <v>5561</v>
      </c>
      <c r="E1283">
        <v>211113</v>
      </c>
      <c r="F1283" t="s">
        <v>425</v>
      </c>
      <c r="G1283" t="s">
        <v>426</v>
      </c>
      <c r="H1283" t="s">
        <v>85</v>
      </c>
      <c r="I1283" t="s">
        <v>491</v>
      </c>
      <c r="J1283" t="s">
        <v>492</v>
      </c>
      <c r="K1283" t="s">
        <v>492</v>
      </c>
      <c r="L1283" t="s">
        <v>5167</v>
      </c>
      <c r="M1283" t="s">
        <v>5168</v>
      </c>
      <c r="N1283" t="s">
        <v>5195</v>
      </c>
      <c r="O1283" t="s">
        <v>5196</v>
      </c>
      <c r="P1283">
        <v>2.3849999999999998</v>
      </c>
      <c r="Q1283" t="s">
        <v>29</v>
      </c>
      <c r="R1283" t="s">
        <v>124</v>
      </c>
      <c r="S1283" t="s">
        <v>6938</v>
      </c>
    </row>
    <row r="1284" spans="1:19" x14ac:dyDescent="0.25">
      <c r="A1284">
        <v>2019</v>
      </c>
      <c r="B1284">
        <v>1471</v>
      </c>
      <c r="C1284" t="s">
        <v>2096</v>
      </c>
      <c r="D1284" t="s">
        <v>5427</v>
      </c>
      <c r="E1284">
        <v>331410</v>
      </c>
      <c r="F1284" t="s">
        <v>1234</v>
      </c>
      <c r="G1284" t="s">
        <v>1235</v>
      </c>
      <c r="H1284" t="s">
        <v>21</v>
      </c>
      <c r="I1284" t="s">
        <v>500</v>
      </c>
      <c r="J1284" t="s">
        <v>501</v>
      </c>
      <c r="K1284" t="s">
        <v>502</v>
      </c>
      <c r="L1284" t="s">
        <v>5183</v>
      </c>
      <c r="M1284" t="s">
        <v>5184</v>
      </c>
      <c r="N1284" t="s">
        <v>5169</v>
      </c>
      <c r="O1284" t="s">
        <v>5170</v>
      </c>
      <c r="P1284">
        <v>14.9</v>
      </c>
      <c r="Q1284" t="s">
        <v>40</v>
      </c>
      <c r="R1284" t="s">
        <v>157</v>
      </c>
      <c r="S1284" t="s">
        <v>6938</v>
      </c>
    </row>
    <row r="1285" spans="1:19" x14ac:dyDescent="0.25">
      <c r="A1285">
        <v>2003</v>
      </c>
      <c r="B1285">
        <v>1753</v>
      </c>
      <c r="C1285" t="s">
        <v>5562</v>
      </c>
      <c r="D1285" t="s">
        <v>5563</v>
      </c>
      <c r="E1285">
        <v>213118</v>
      </c>
      <c r="F1285" t="s">
        <v>1336</v>
      </c>
      <c r="G1285" t="s">
        <v>1337</v>
      </c>
      <c r="H1285" t="s">
        <v>85</v>
      </c>
      <c r="I1285" t="s">
        <v>55</v>
      </c>
      <c r="J1285" t="s">
        <v>56</v>
      </c>
      <c r="K1285" t="s">
        <v>57</v>
      </c>
      <c r="L1285" t="s">
        <v>5167</v>
      </c>
      <c r="M1285" t="s">
        <v>5168</v>
      </c>
      <c r="N1285" t="s">
        <v>5195</v>
      </c>
      <c r="O1285" t="s">
        <v>5196</v>
      </c>
      <c r="P1285">
        <v>28.776</v>
      </c>
      <c r="Q1285" t="s">
        <v>29</v>
      </c>
      <c r="R1285" t="s">
        <v>50</v>
      </c>
      <c r="S1285" t="s">
        <v>6938</v>
      </c>
    </row>
    <row r="1286" spans="1:19" x14ac:dyDescent="0.25">
      <c r="A1286">
        <v>2007</v>
      </c>
      <c r="B1286">
        <v>4045</v>
      </c>
      <c r="C1286" t="s">
        <v>1836</v>
      </c>
      <c r="D1286" t="s">
        <v>1837</v>
      </c>
      <c r="E1286">
        <v>331222</v>
      </c>
      <c r="F1286" t="s">
        <v>946</v>
      </c>
      <c r="G1286" t="s">
        <v>287</v>
      </c>
      <c r="H1286" t="s">
        <v>21</v>
      </c>
      <c r="I1286" t="s">
        <v>86</v>
      </c>
      <c r="J1286" t="s">
        <v>87</v>
      </c>
      <c r="K1286" t="s">
        <v>88</v>
      </c>
      <c r="L1286" t="s">
        <v>5183</v>
      </c>
      <c r="M1286" t="s">
        <v>5184</v>
      </c>
      <c r="N1286" t="s">
        <v>5169</v>
      </c>
      <c r="O1286" t="s">
        <v>5170</v>
      </c>
      <c r="P1286">
        <v>0</v>
      </c>
      <c r="Q1286" t="s">
        <v>29</v>
      </c>
      <c r="R1286" t="s">
        <v>124</v>
      </c>
      <c r="S1286" t="s">
        <v>6938</v>
      </c>
    </row>
    <row r="1287" spans="1:19" x14ac:dyDescent="0.25">
      <c r="A1287">
        <v>2013</v>
      </c>
      <c r="B1287">
        <v>5390</v>
      </c>
      <c r="C1287" t="s">
        <v>5310</v>
      </c>
      <c r="D1287" t="s">
        <v>5311</v>
      </c>
      <c r="E1287">
        <v>221320</v>
      </c>
      <c r="F1287" t="s">
        <v>146</v>
      </c>
      <c r="G1287" t="s">
        <v>147</v>
      </c>
      <c r="H1287" t="s">
        <v>85</v>
      </c>
      <c r="I1287" t="s">
        <v>106</v>
      </c>
      <c r="J1287" t="s">
        <v>107</v>
      </c>
      <c r="K1287" t="s">
        <v>108</v>
      </c>
      <c r="L1287" t="s">
        <v>5167</v>
      </c>
      <c r="M1287" t="s">
        <v>5168</v>
      </c>
      <c r="N1287" t="s">
        <v>5175</v>
      </c>
      <c r="O1287" t="s">
        <v>5176</v>
      </c>
      <c r="P1287">
        <v>26.946999999999999</v>
      </c>
      <c r="Q1287" t="s">
        <v>40</v>
      </c>
      <c r="R1287" t="s">
        <v>124</v>
      </c>
      <c r="S1287" t="s">
        <v>6938</v>
      </c>
    </row>
    <row r="1288" spans="1:19" x14ac:dyDescent="0.25">
      <c r="A1288">
        <v>2002</v>
      </c>
      <c r="B1288">
        <v>3701</v>
      </c>
      <c r="C1288" t="s">
        <v>344</v>
      </c>
      <c r="D1288" t="s">
        <v>681</v>
      </c>
      <c r="E1288">
        <v>324110</v>
      </c>
      <c r="F1288" t="s">
        <v>95</v>
      </c>
      <c r="G1288" t="s">
        <v>96</v>
      </c>
      <c r="H1288" t="s">
        <v>21</v>
      </c>
      <c r="I1288" t="s">
        <v>535</v>
      </c>
      <c r="J1288" t="s">
        <v>536</v>
      </c>
      <c r="K1288" t="s">
        <v>537</v>
      </c>
      <c r="L1288" t="s">
        <v>5183</v>
      </c>
      <c r="M1288" t="s">
        <v>5184</v>
      </c>
      <c r="N1288" t="s">
        <v>5175</v>
      </c>
      <c r="O1288" t="s">
        <v>5176</v>
      </c>
      <c r="P1288">
        <v>7.0000000000000001E-3</v>
      </c>
      <c r="Q1288" t="s">
        <v>40</v>
      </c>
      <c r="R1288" t="s">
        <v>204</v>
      </c>
      <c r="S1288" t="s">
        <v>6938</v>
      </c>
    </row>
    <row r="1289" spans="1:19" x14ac:dyDescent="0.25">
      <c r="A1289">
        <v>2004</v>
      </c>
      <c r="B1289">
        <v>5471</v>
      </c>
      <c r="C1289" t="s">
        <v>5564</v>
      </c>
      <c r="D1289" t="s">
        <v>5565</v>
      </c>
      <c r="E1289">
        <v>322122</v>
      </c>
      <c r="F1289" t="s">
        <v>1556</v>
      </c>
      <c r="G1289" t="s">
        <v>1062</v>
      </c>
      <c r="H1289" t="s">
        <v>79</v>
      </c>
      <c r="I1289" t="s">
        <v>461</v>
      </c>
      <c r="J1289" t="s">
        <v>462</v>
      </c>
      <c r="K1289" t="s">
        <v>463</v>
      </c>
      <c r="L1289" t="s">
        <v>5183</v>
      </c>
      <c r="M1289" t="s">
        <v>5184</v>
      </c>
      <c r="N1289" t="s">
        <v>5169</v>
      </c>
      <c r="O1289" t="s">
        <v>5170</v>
      </c>
      <c r="P1289">
        <v>3.859</v>
      </c>
      <c r="Q1289" t="s">
        <v>40</v>
      </c>
      <c r="R1289" t="s">
        <v>430</v>
      </c>
      <c r="S1289" t="s">
        <v>6938</v>
      </c>
    </row>
    <row r="1290" spans="1:19" x14ac:dyDescent="0.25">
      <c r="A1290">
        <v>2007</v>
      </c>
      <c r="B1290">
        <v>2100</v>
      </c>
      <c r="C1290" t="s">
        <v>5566</v>
      </c>
      <c r="D1290" t="s">
        <v>5298</v>
      </c>
      <c r="E1290">
        <v>212299</v>
      </c>
      <c r="F1290" t="s">
        <v>5299</v>
      </c>
      <c r="G1290" t="s">
        <v>1435</v>
      </c>
      <c r="H1290" t="s">
        <v>79</v>
      </c>
      <c r="I1290" t="s">
        <v>209</v>
      </c>
      <c r="J1290" t="s">
        <v>210</v>
      </c>
      <c r="K1290" t="s">
        <v>211</v>
      </c>
      <c r="L1290" t="s">
        <v>5183</v>
      </c>
      <c r="M1290" t="s">
        <v>5184</v>
      </c>
      <c r="N1290" t="s">
        <v>5185</v>
      </c>
      <c r="O1290" t="s">
        <v>5186</v>
      </c>
      <c r="P1290">
        <v>10.255599999999999</v>
      </c>
      <c r="Q1290" t="s">
        <v>29</v>
      </c>
      <c r="R1290" t="s">
        <v>50</v>
      </c>
      <c r="S1290" t="s">
        <v>6938</v>
      </c>
    </row>
    <row r="1291" spans="1:19" x14ac:dyDescent="0.25">
      <c r="A1291">
        <v>2021</v>
      </c>
      <c r="B1291">
        <v>32394</v>
      </c>
      <c r="C1291" t="s">
        <v>1043</v>
      </c>
      <c r="D1291" t="s">
        <v>5567</v>
      </c>
      <c r="E1291">
        <v>211110</v>
      </c>
      <c r="F1291" t="s">
        <v>233</v>
      </c>
      <c r="G1291" t="s">
        <v>234</v>
      </c>
      <c r="H1291" t="s">
        <v>243</v>
      </c>
      <c r="I1291" t="s">
        <v>271</v>
      </c>
      <c r="J1291" t="s">
        <v>272</v>
      </c>
      <c r="K1291" t="s">
        <v>273</v>
      </c>
      <c r="L1291" t="s">
        <v>5167</v>
      </c>
      <c r="M1291" t="s">
        <v>5168</v>
      </c>
      <c r="N1291" t="s">
        <v>5195</v>
      </c>
      <c r="O1291" t="s">
        <v>5196</v>
      </c>
      <c r="P1291">
        <v>2.0999999999999999E-3</v>
      </c>
      <c r="Q1291" t="s">
        <v>29</v>
      </c>
      <c r="R1291" t="s">
        <v>30</v>
      </c>
      <c r="S1291" t="s">
        <v>6938</v>
      </c>
    </row>
    <row r="1292" spans="1:19" x14ac:dyDescent="0.25">
      <c r="A1292">
        <v>2020</v>
      </c>
      <c r="B1292">
        <v>29381</v>
      </c>
      <c r="C1292" t="s">
        <v>5568</v>
      </c>
      <c r="D1292" t="s">
        <v>5569</v>
      </c>
      <c r="E1292">
        <v>212231</v>
      </c>
      <c r="F1292" t="s">
        <v>5570</v>
      </c>
      <c r="G1292" t="s">
        <v>1917</v>
      </c>
      <c r="H1292" t="s">
        <v>69</v>
      </c>
      <c r="I1292" t="s">
        <v>35</v>
      </c>
      <c r="J1292" t="s">
        <v>36</v>
      </c>
      <c r="K1292" t="s">
        <v>37</v>
      </c>
      <c r="L1292" t="s">
        <v>5183</v>
      </c>
      <c r="M1292" t="s">
        <v>5184</v>
      </c>
      <c r="N1292" t="s">
        <v>5260</v>
      </c>
      <c r="O1292" t="s">
        <v>5261</v>
      </c>
      <c r="P1292">
        <v>2922.6480000000001</v>
      </c>
      <c r="Q1292" t="s">
        <v>40</v>
      </c>
      <c r="R1292" t="s">
        <v>124</v>
      </c>
      <c r="S1292" t="s">
        <v>6938</v>
      </c>
    </row>
    <row r="1293" spans="1:19" x14ac:dyDescent="0.25">
      <c r="A1293">
        <v>2019</v>
      </c>
      <c r="B1293">
        <v>6647</v>
      </c>
      <c r="C1293" t="s">
        <v>2240</v>
      </c>
      <c r="D1293" t="s">
        <v>2241</v>
      </c>
      <c r="E1293">
        <v>211142</v>
      </c>
      <c r="F1293" t="s">
        <v>357</v>
      </c>
      <c r="G1293" t="s">
        <v>358</v>
      </c>
      <c r="H1293" t="s">
        <v>85</v>
      </c>
      <c r="I1293" t="s">
        <v>500</v>
      </c>
      <c r="J1293" t="s">
        <v>501</v>
      </c>
      <c r="K1293" t="s">
        <v>502</v>
      </c>
      <c r="L1293" t="s">
        <v>5183</v>
      </c>
      <c r="M1293" t="s">
        <v>5184</v>
      </c>
      <c r="N1293" t="s">
        <v>5185</v>
      </c>
      <c r="O1293" t="s">
        <v>5186</v>
      </c>
      <c r="P1293">
        <v>5182.1559999999999</v>
      </c>
      <c r="Q1293" t="s">
        <v>40</v>
      </c>
      <c r="R1293" t="s">
        <v>124</v>
      </c>
      <c r="S1293" t="s">
        <v>6938</v>
      </c>
    </row>
    <row r="1294" spans="1:19" x14ac:dyDescent="0.25">
      <c r="A1294">
        <v>2012</v>
      </c>
      <c r="B1294">
        <v>5370</v>
      </c>
      <c r="C1294" t="s">
        <v>5571</v>
      </c>
      <c r="D1294" t="s">
        <v>5572</v>
      </c>
      <c r="E1294">
        <v>211113</v>
      </c>
      <c r="F1294" t="s">
        <v>786</v>
      </c>
      <c r="G1294" t="s">
        <v>426</v>
      </c>
      <c r="H1294" t="s">
        <v>85</v>
      </c>
      <c r="I1294" t="s">
        <v>486</v>
      </c>
      <c r="J1294" t="s">
        <v>487</v>
      </c>
      <c r="K1294" t="s">
        <v>488</v>
      </c>
      <c r="L1294" t="s">
        <v>5183</v>
      </c>
      <c r="M1294" t="s">
        <v>5184</v>
      </c>
      <c r="N1294" t="s">
        <v>5195</v>
      </c>
      <c r="O1294" t="s">
        <v>5196</v>
      </c>
      <c r="P1294">
        <v>12.599</v>
      </c>
      <c r="Q1294" t="s">
        <v>29</v>
      </c>
      <c r="R1294" t="s">
        <v>50</v>
      </c>
      <c r="S1294" t="s">
        <v>6938</v>
      </c>
    </row>
    <row r="1295" spans="1:19" x14ac:dyDescent="0.25">
      <c r="A1295">
        <v>2011</v>
      </c>
      <c r="B1295">
        <v>21544</v>
      </c>
      <c r="C1295" t="s">
        <v>5573</v>
      </c>
      <c r="D1295" t="s">
        <v>5574</v>
      </c>
      <c r="E1295">
        <v>212233</v>
      </c>
      <c r="F1295" t="s">
        <v>440</v>
      </c>
      <c r="G1295" t="s">
        <v>441</v>
      </c>
      <c r="H1295" t="s">
        <v>54</v>
      </c>
      <c r="I1295" t="s">
        <v>152</v>
      </c>
      <c r="J1295" t="s">
        <v>153</v>
      </c>
      <c r="K1295" t="s">
        <v>154</v>
      </c>
      <c r="L1295" t="s">
        <v>5183</v>
      </c>
      <c r="M1295" t="s">
        <v>5184</v>
      </c>
      <c r="N1295" t="s">
        <v>5185</v>
      </c>
      <c r="O1295" t="s">
        <v>5186</v>
      </c>
      <c r="P1295">
        <v>0</v>
      </c>
      <c r="Q1295" t="s">
        <v>29</v>
      </c>
      <c r="R1295" t="s">
        <v>124</v>
      </c>
      <c r="S1295" t="s">
        <v>6938</v>
      </c>
    </row>
    <row r="1296" spans="1:19" x14ac:dyDescent="0.25">
      <c r="A1296">
        <v>2021</v>
      </c>
      <c r="B1296">
        <v>1776</v>
      </c>
      <c r="C1296" t="s">
        <v>5575</v>
      </c>
      <c r="D1296" t="s">
        <v>5576</v>
      </c>
      <c r="E1296">
        <v>325110</v>
      </c>
      <c r="F1296" t="s">
        <v>444</v>
      </c>
      <c r="G1296" t="s">
        <v>445</v>
      </c>
      <c r="H1296" t="s">
        <v>21</v>
      </c>
      <c r="I1296" t="s">
        <v>129</v>
      </c>
      <c r="J1296" t="s">
        <v>130</v>
      </c>
      <c r="K1296" t="s">
        <v>131</v>
      </c>
      <c r="L1296" t="s">
        <v>5167</v>
      </c>
      <c r="M1296" t="s">
        <v>5168</v>
      </c>
      <c r="N1296" t="s">
        <v>5169</v>
      </c>
      <c r="O1296" t="s">
        <v>5170</v>
      </c>
      <c r="P1296">
        <v>0.14899999999999999</v>
      </c>
      <c r="Q1296" t="s">
        <v>29</v>
      </c>
      <c r="R1296" t="s">
        <v>30</v>
      </c>
      <c r="S1296" t="s">
        <v>6938</v>
      </c>
    </row>
    <row r="1297" spans="1:19" x14ac:dyDescent="0.25">
      <c r="A1297">
        <v>2006</v>
      </c>
      <c r="B1297">
        <v>3751</v>
      </c>
      <c r="C1297" t="s">
        <v>1557</v>
      </c>
      <c r="D1297" t="s">
        <v>5577</v>
      </c>
      <c r="E1297">
        <v>211113</v>
      </c>
      <c r="F1297" t="s">
        <v>425</v>
      </c>
      <c r="G1297" t="s">
        <v>426</v>
      </c>
      <c r="H1297" t="s">
        <v>85</v>
      </c>
      <c r="I1297" t="s">
        <v>1549</v>
      </c>
      <c r="J1297" t="s">
        <v>1550</v>
      </c>
      <c r="K1297" t="s">
        <v>1551</v>
      </c>
      <c r="L1297" t="s">
        <v>5183</v>
      </c>
      <c r="M1297" t="s">
        <v>5184</v>
      </c>
      <c r="N1297" t="s">
        <v>5195</v>
      </c>
      <c r="O1297" t="s">
        <v>5196</v>
      </c>
      <c r="P1297">
        <v>3.21</v>
      </c>
      <c r="Q1297" t="s">
        <v>29</v>
      </c>
      <c r="R1297" t="s">
        <v>30</v>
      </c>
      <c r="S1297" t="s">
        <v>6938</v>
      </c>
    </row>
    <row r="1298" spans="1:19" x14ac:dyDescent="0.25">
      <c r="A1298">
        <v>1994</v>
      </c>
      <c r="B1298">
        <v>3161</v>
      </c>
      <c r="C1298" t="s">
        <v>5578</v>
      </c>
      <c r="D1298" t="s">
        <v>5578</v>
      </c>
      <c r="E1298">
        <v>221113</v>
      </c>
      <c r="F1298" t="s">
        <v>911</v>
      </c>
      <c r="G1298" t="s">
        <v>912</v>
      </c>
      <c r="H1298" t="s">
        <v>21</v>
      </c>
      <c r="I1298" t="s">
        <v>177</v>
      </c>
      <c r="J1298" t="s">
        <v>178</v>
      </c>
      <c r="K1298" t="s">
        <v>179</v>
      </c>
      <c r="L1298" t="s">
        <v>5167</v>
      </c>
      <c r="M1298" t="s">
        <v>5168</v>
      </c>
      <c r="N1298" t="s">
        <v>5223</v>
      </c>
      <c r="O1298" t="s">
        <v>5224</v>
      </c>
      <c r="P1298">
        <v>0.12</v>
      </c>
      <c r="Q1298" t="s">
        <v>29</v>
      </c>
      <c r="R1298" t="s">
        <v>30</v>
      </c>
      <c r="S1298" t="s">
        <v>6938</v>
      </c>
    </row>
    <row r="1299" spans="1:19" x14ac:dyDescent="0.25">
      <c r="A1299">
        <v>2021</v>
      </c>
      <c r="B1299">
        <v>4948</v>
      </c>
      <c r="C1299" t="s">
        <v>370</v>
      </c>
      <c r="D1299" t="s">
        <v>5579</v>
      </c>
      <c r="E1299">
        <v>562210</v>
      </c>
      <c r="F1299" t="s">
        <v>84</v>
      </c>
      <c r="G1299" t="s">
        <v>53</v>
      </c>
      <c r="H1299" t="s">
        <v>21</v>
      </c>
      <c r="I1299" t="s">
        <v>648</v>
      </c>
      <c r="J1299" t="s">
        <v>649</v>
      </c>
      <c r="K1299" t="s">
        <v>650</v>
      </c>
      <c r="L1299" t="s">
        <v>5167</v>
      </c>
      <c r="M1299" t="s">
        <v>5168</v>
      </c>
      <c r="N1299" t="s">
        <v>5169</v>
      </c>
      <c r="O1299" t="s">
        <v>5170</v>
      </c>
      <c r="P1299">
        <v>14.73</v>
      </c>
      <c r="Q1299" t="s">
        <v>29</v>
      </c>
      <c r="R1299" t="s">
        <v>50</v>
      </c>
      <c r="S1299" t="s">
        <v>6938</v>
      </c>
    </row>
    <row r="1300" spans="1:19" x14ac:dyDescent="0.25">
      <c r="A1300">
        <v>2021</v>
      </c>
      <c r="B1300">
        <v>442</v>
      </c>
      <c r="C1300" t="s">
        <v>1323</v>
      </c>
      <c r="D1300" t="s">
        <v>5417</v>
      </c>
      <c r="E1300">
        <v>211141</v>
      </c>
      <c r="F1300" t="s">
        <v>1189</v>
      </c>
      <c r="G1300" t="s">
        <v>1190</v>
      </c>
      <c r="H1300" t="s">
        <v>85</v>
      </c>
      <c r="I1300" t="s">
        <v>337</v>
      </c>
      <c r="J1300" t="s">
        <v>338</v>
      </c>
      <c r="K1300" t="s">
        <v>339</v>
      </c>
      <c r="L1300" t="s">
        <v>5167</v>
      </c>
      <c r="M1300" t="s">
        <v>5168</v>
      </c>
      <c r="N1300" t="s">
        <v>5169</v>
      </c>
      <c r="O1300" t="s">
        <v>5170</v>
      </c>
      <c r="P1300">
        <v>0.5</v>
      </c>
      <c r="Q1300" t="s">
        <v>29</v>
      </c>
      <c r="R1300" t="s">
        <v>124</v>
      </c>
      <c r="S1300" t="s">
        <v>6938</v>
      </c>
    </row>
    <row r="1301" spans="1:19" x14ac:dyDescent="0.25">
      <c r="A1301">
        <v>2020</v>
      </c>
      <c r="B1301">
        <v>3775</v>
      </c>
      <c r="C1301" t="s">
        <v>5580</v>
      </c>
      <c r="D1301" t="s">
        <v>3744</v>
      </c>
      <c r="E1301">
        <v>339990</v>
      </c>
      <c r="F1301" t="s">
        <v>1179</v>
      </c>
      <c r="G1301" t="s">
        <v>872</v>
      </c>
      <c r="H1301" t="s">
        <v>85</v>
      </c>
      <c r="I1301" t="s">
        <v>244</v>
      </c>
      <c r="J1301" t="s">
        <v>245</v>
      </c>
      <c r="K1301" t="s">
        <v>246</v>
      </c>
      <c r="L1301" t="s">
        <v>5167</v>
      </c>
      <c r="M1301" t="s">
        <v>5168</v>
      </c>
      <c r="N1301" t="s">
        <v>5169</v>
      </c>
      <c r="O1301" t="s">
        <v>5170</v>
      </c>
      <c r="P1301">
        <v>337.04</v>
      </c>
      <c r="Q1301" t="s">
        <v>40</v>
      </c>
      <c r="R1301" t="s">
        <v>124</v>
      </c>
      <c r="S1301" t="s">
        <v>6938</v>
      </c>
    </row>
    <row r="1302" spans="1:19" x14ac:dyDescent="0.25">
      <c r="A1302">
        <v>2005</v>
      </c>
      <c r="B1302">
        <v>4048</v>
      </c>
      <c r="C1302" t="s">
        <v>1298</v>
      </c>
      <c r="D1302" t="s">
        <v>1299</v>
      </c>
      <c r="E1302">
        <v>324110</v>
      </c>
      <c r="F1302" t="s">
        <v>95</v>
      </c>
      <c r="G1302" t="s">
        <v>96</v>
      </c>
      <c r="H1302" t="s">
        <v>243</v>
      </c>
      <c r="I1302" t="s">
        <v>844</v>
      </c>
      <c r="J1302" t="s">
        <v>845</v>
      </c>
      <c r="K1302" t="s">
        <v>846</v>
      </c>
      <c r="L1302" t="s">
        <v>5167</v>
      </c>
      <c r="M1302" t="s">
        <v>5168</v>
      </c>
      <c r="N1302" t="s">
        <v>5169</v>
      </c>
      <c r="O1302" t="s">
        <v>5170</v>
      </c>
      <c r="P1302">
        <v>0.13200000000000001</v>
      </c>
      <c r="Q1302" t="s">
        <v>29</v>
      </c>
      <c r="R1302" t="s">
        <v>124</v>
      </c>
      <c r="S1302" t="s">
        <v>6938</v>
      </c>
    </row>
    <row r="1303" spans="1:19" x14ac:dyDescent="0.25">
      <c r="A1303">
        <v>2018</v>
      </c>
      <c r="B1303">
        <v>2230</v>
      </c>
      <c r="C1303" t="s">
        <v>1548</v>
      </c>
      <c r="D1303" t="s">
        <v>1514</v>
      </c>
      <c r="E1303">
        <v>211142</v>
      </c>
      <c r="F1303" t="s">
        <v>357</v>
      </c>
      <c r="G1303" t="s">
        <v>358</v>
      </c>
      <c r="H1303" t="s">
        <v>85</v>
      </c>
      <c r="I1303" t="s">
        <v>500</v>
      </c>
      <c r="J1303" t="s">
        <v>501</v>
      </c>
      <c r="K1303" t="s">
        <v>502</v>
      </c>
      <c r="L1303" t="s">
        <v>5183</v>
      </c>
      <c r="M1303" t="s">
        <v>5184</v>
      </c>
      <c r="N1303" t="s">
        <v>5185</v>
      </c>
      <c r="O1303" t="s">
        <v>5186</v>
      </c>
      <c r="P1303">
        <v>121976.15</v>
      </c>
      <c r="Q1303" t="s">
        <v>40</v>
      </c>
      <c r="R1303" t="s">
        <v>124</v>
      </c>
      <c r="S1303" t="s">
        <v>6938</v>
      </c>
    </row>
    <row r="1304" spans="1:19" x14ac:dyDescent="0.25">
      <c r="A1304">
        <v>1997</v>
      </c>
      <c r="B1304">
        <v>4409</v>
      </c>
      <c r="C1304" t="s">
        <v>5581</v>
      </c>
      <c r="D1304" t="s">
        <v>5582</v>
      </c>
      <c r="E1304">
        <v>326290</v>
      </c>
      <c r="F1304" t="s">
        <v>451</v>
      </c>
      <c r="G1304" t="s">
        <v>452</v>
      </c>
      <c r="H1304" t="s">
        <v>21</v>
      </c>
      <c r="I1304" t="s">
        <v>152</v>
      </c>
      <c r="J1304" t="s">
        <v>153</v>
      </c>
      <c r="K1304" t="s">
        <v>154</v>
      </c>
      <c r="L1304" t="s">
        <v>5167</v>
      </c>
      <c r="M1304" t="s">
        <v>5168</v>
      </c>
      <c r="N1304" t="s">
        <v>5169</v>
      </c>
      <c r="O1304" t="s">
        <v>5170</v>
      </c>
      <c r="P1304">
        <v>39.9</v>
      </c>
      <c r="Q1304" t="s">
        <v>29</v>
      </c>
      <c r="R1304" t="s">
        <v>30</v>
      </c>
      <c r="S1304" t="s">
        <v>6938</v>
      </c>
    </row>
    <row r="1305" spans="1:19" x14ac:dyDescent="0.25">
      <c r="A1305">
        <v>2004</v>
      </c>
      <c r="B1305">
        <v>2855</v>
      </c>
      <c r="C1305" t="s">
        <v>5583</v>
      </c>
      <c r="D1305" t="s">
        <v>5584</v>
      </c>
      <c r="E1305">
        <v>325181</v>
      </c>
      <c r="F1305" t="s">
        <v>1947</v>
      </c>
      <c r="G1305" t="s">
        <v>729</v>
      </c>
      <c r="H1305" t="s">
        <v>79</v>
      </c>
      <c r="I1305" t="s">
        <v>913</v>
      </c>
      <c r="J1305" t="s">
        <v>914</v>
      </c>
      <c r="K1305" t="s">
        <v>915</v>
      </c>
      <c r="L1305" t="s">
        <v>5167</v>
      </c>
      <c r="M1305" t="s">
        <v>5168</v>
      </c>
      <c r="N1305" t="s">
        <v>5169</v>
      </c>
      <c r="O1305" t="s">
        <v>5170</v>
      </c>
      <c r="P1305">
        <v>31.5</v>
      </c>
      <c r="Q1305" t="s">
        <v>29</v>
      </c>
      <c r="R1305" t="s">
        <v>30</v>
      </c>
      <c r="S1305" t="s">
        <v>6938</v>
      </c>
    </row>
    <row r="1306" spans="1:19" x14ac:dyDescent="0.25">
      <c r="A1306">
        <v>1994</v>
      </c>
      <c r="B1306">
        <v>4578</v>
      </c>
      <c r="C1306" t="s">
        <v>5585</v>
      </c>
      <c r="E1306">
        <v>331514</v>
      </c>
      <c r="F1306" t="s">
        <v>1756</v>
      </c>
      <c r="G1306" t="s">
        <v>293</v>
      </c>
      <c r="H1306" t="s">
        <v>85</v>
      </c>
      <c r="I1306" t="s">
        <v>136</v>
      </c>
      <c r="J1306" t="s">
        <v>137</v>
      </c>
      <c r="K1306" t="s">
        <v>138</v>
      </c>
      <c r="L1306" t="s">
        <v>5183</v>
      </c>
      <c r="M1306" t="s">
        <v>5184</v>
      </c>
      <c r="N1306" t="s">
        <v>5169</v>
      </c>
      <c r="O1306" t="s">
        <v>5170</v>
      </c>
      <c r="P1306">
        <v>11.8</v>
      </c>
      <c r="Q1306" t="s">
        <v>29</v>
      </c>
      <c r="R1306" t="s">
        <v>442</v>
      </c>
      <c r="S1306" t="s">
        <v>6938</v>
      </c>
    </row>
    <row r="1307" spans="1:19" x14ac:dyDescent="0.25">
      <c r="A1307">
        <v>2005</v>
      </c>
      <c r="B1307">
        <v>1797</v>
      </c>
      <c r="C1307" t="s">
        <v>2018</v>
      </c>
      <c r="D1307" t="s">
        <v>1377</v>
      </c>
      <c r="E1307">
        <v>322112</v>
      </c>
      <c r="F1307" t="s">
        <v>620</v>
      </c>
      <c r="G1307" t="s">
        <v>621</v>
      </c>
      <c r="H1307" t="s">
        <v>69</v>
      </c>
      <c r="I1307" t="s">
        <v>35</v>
      </c>
      <c r="J1307" t="s">
        <v>36</v>
      </c>
      <c r="K1307" t="s">
        <v>37</v>
      </c>
      <c r="L1307" t="s">
        <v>5183</v>
      </c>
      <c r="M1307" t="s">
        <v>5184</v>
      </c>
      <c r="N1307" t="s">
        <v>5169</v>
      </c>
      <c r="O1307" t="s">
        <v>5170</v>
      </c>
      <c r="P1307">
        <v>132.42599999999999</v>
      </c>
      <c r="Q1307" t="s">
        <v>40</v>
      </c>
      <c r="R1307" t="s">
        <v>430</v>
      </c>
      <c r="S1307" t="s">
        <v>6938</v>
      </c>
    </row>
    <row r="1308" spans="1:19" x14ac:dyDescent="0.25">
      <c r="A1308">
        <v>2022</v>
      </c>
      <c r="B1308">
        <v>5307</v>
      </c>
      <c r="C1308" t="s">
        <v>144</v>
      </c>
      <c r="D1308" t="s">
        <v>5541</v>
      </c>
      <c r="E1308">
        <v>221320</v>
      </c>
      <c r="F1308" t="s">
        <v>146</v>
      </c>
      <c r="G1308" t="s">
        <v>147</v>
      </c>
      <c r="H1308" t="s">
        <v>85</v>
      </c>
      <c r="I1308" t="s">
        <v>184</v>
      </c>
      <c r="J1308" t="s">
        <v>185</v>
      </c>
      <c r="K1308" t="s">
        <v>186</v>
      </c>
      <c r="L1308" t="s">
        <v>5167</v>
      </c>
      <c r="M1308" t="s">
        <v>5168</v>
      </c>
      <c r="N1308" t="s">
        <v>5175</v>
      </c>
      <c r="O1308" t="s">
        <v>5176</v>
      </c>
      <c r="P1308">
        <v>26.53</v>
      </c>
      <c r="Q1308" t="s">
        <v>40</v>
      </c>
      <c r="R1308" t="s">
        <v>124</v>
      </c>
      <c r="S1308" t="s">
        <v>6938</v>
      </c>
    </row>
    <row r="1309" spans="1:19" x14ac:dyDescent="0.25">
      <c r="A1309">
        <v>2006</v>
      </c>
      <c r="B1309">
        <v>1</v>
      </c>
      <c r="C1309" t="s">
        <v>5294</v>
      </c>
      <c r="D1309" t="s">
        <v>5294</v>
      </c>
      <c r="E1309">
        <v>322112</v>
      </c>
      <c r="F1309" t="s">
        <v>620</v>
      </c>
      <c r="G1309" t="s">
        <v>621</v>
      </c>
      <c r="H1309" t="s">
        <v>85</v>
      </c>
      <c r="I1309" t="s">
        <v>97</v>
      </c>
      <c r="J1309" t="s">
        <v>98</v>
      </c>
      <c r="K1309" t="s">
        <v>99</v>
      </c>
      <c r="L1309" t="s">
        <v>5183</v>
      </c>
      <c r="M1309" t="s">
        <v>5184</v>
      </c>
      <c r="N1309" t="s">
        <v>5169</v>
      </c>
      <c r="O1309" t="s">
        <v>5170</v>
      </c>
      <c r="P1309">
        <v>29.92</v>
      </c>
      <c r="Q1309" t="s">
        <v>29</v>
      </c>
      <c r="R1309" t="s">
        <v>124</v>
      </c>
      <c r="S1309" t="s">
        <v>6938</v>
      </c>
    </row>
    <row r="1310" spans="1:19" x14ac:dyDescent="0.25">
      <c r="A1310">
        <v>2013</v>
      </c>
      <c r="B1310">
        <v>21587</v>
      </c>
      <c r="C1310" t="s">
        <v>65</v>
      </c>
      <c r="D1310" t="s">
        <v>5586</v>
      </c>
      <c r="E1310">
        <v>562210</v>
      </c>
      <c r="F1310" t="s">
        <v>84</v>
      </c>
      <c r="G1310" t="s">
        <v>53</v>
      </c>
      <c r="H1310" t="s">
        <v>69</v>
      </c>
      <c r="I1310" t="s">
        <v>70</v>
      </c>
      <c r="J1310" t="s">
        <v>71</v>
      </c>
      <c r="K1310" t="s">
        <v>72</v>
      </c>
      <c r="L1310" t="s">
        <v>5167</v>
      </c>
      <c r="M1310" t="s">
        <v>5168</v>
      </c>
      <c r="N1310" t="s">
        <v>5223</v>
      </c>
      <c r="O1310" t="s">
        <v>5224</v>
      </c>
      <c r="P1310">
        <v>0.432</v>
      </c>
      <c r="Q1310" t="s">
        <v>29</v>
      </c>
      <c r="R1310" t="s">
        <v>50</v>
      </c>
      <c r="S1310" t="s">
        <v>6938</v>
      </c>
    </row>
    <row r="1311" spans="1:19" x14ac:dyDescent="0.25">
      <c r="A1311">
        <v>2004</v>
      </c>
      <c r="B1311">
        <v>279</v>
      </c>
      <c r="C1311" t="s">
        <v>5587</v>
      </c>
      <c r="D1311" t="s">
        <v>5588</v>
      </c>
      <c r="E1311">
        <v>322112</v>
      </c>
      <c r="F1311" t="s">
        <v>620</v>
      </c>
      <c r="G1311" t="s">
        <v>621</v>
      </c>
      <c r="H1311" t="s">
        <v>79</v>
      </c>
      <c r="I1311" t="s">
        <v>324</v>
      </c>
      <c r="J1311" t="s">
        <v>325</v>
      </c>
      <c r="K1311" t="s">
        <v>326</v>
      </c>
      <c r="L1311" t="s">
        <v>5167</v>
      </c>
      <c r="M1311" t="s">
        <v>5168</v>
      </c>
      <c r="N1311" t="s">
        <v>5175</v>
      </c>
      <c r="O1311" t="s">
        <v>5176</v>
      </c>
      <c r="P1311">
        <v>9.94</v>
      </c>
      <c r="Q1311" t="s">
        <v>40</v>
      </c>
      <c r="R1311" t="s">
        <v>124</v>
      </c>
      <c r="S1311" t="s">
        <v>6938</v>
      </c>
    </row>
    <row r="1312" spans="1:19" x14ac:dyDescent="0.25">
      <c r="A1312">
        <v>2023</v>
      </c>
      <c r="B1312">
        <v>25188</v>
      </c>
      <c r="C1312" t="s">
        <v>5589</v>
      </c>
      <c r="D1312" t="s">
        <v>5590</v>
      </c>
      <c r="E1312">
        <v>212220</v>
      </c>
      <c r="F1312" t="s">
        <v>1619</v>
      </c>
      <c r="G1312" t="s">
        <v>1620</v>
      </c>
      <c r="H1312" t="s">
        <v>79</v>
      </c>
      <c r="I1312" t="s">
        <v>152</v>
      </c>
      <c r="J1312" t="s">
        <v>153</v>
      </c>
      <c r="K1312" t="s">
        <v>154</v>
      </c>
      <c r="L1312" t="s">
        <v>5183</v>
      </c>
      <c r="M1312" t="s">
        <v>5184</v>
      </c>
      <c r="N1312" t="s">
        <v>5185</v>
      </c>
      <c r="O1312" t="s">
        <v>5186</v>
      </c>
      <c r="P1312">
        <v>1245</v>
      </c>
      <c r="Q1312" t="s">
        <v>29</v>
      </c>
      <c r="R1312" t="s">
        <v>124</v>
      </c>
      <c r="S1312" t="s">
        <v>6938</v>
      </c>
    </row>
    <row r="1313" spans="1:19" x14ac:dyDescent="0.25">
      <c r="A1313">
        <v>1993</v>
      </c>
      <c r="B1313">
        <v>3279</v>
      </c>
      <c r="C1313" t="s">
        <v>5591</v>
      </c>
      <c r="D1313" t="s">
        <v>5592</v>
      </c>
      <c r="E1313">
        <v>334410</v>
      </c>
      <c r="F1313" t="s">
        <v>604</v>
      </c>
      <c r="G1313" t="s">
        <v>605</v>
      </c>
      <c r="H1313" t="s">
        <v>21</v>
      </c>
      <c r="I1313" t="s">
        <v>80</v>
      </c>
      <c r="J1313" t="s">
        <v>81</v>
      </c>
      <c r="K1313" t="s">
        <v>82</v>
      </c>
      <c r="L1313" t="s">
        <v>5167</v>
      </c>
      <c r="M1313" t="s">
        <v>5168</v>
      </c>
      <c r="N1313" t="s">
        <v>5169</v>
      </c>
      <c r="O1313" t="s">
        <v>5170</v>
      </c>
      <c r="P1313">
        <v>7.0000000000000007E-2</v>
      </c>
      <c r="Q1313" t="s">
        <v>29</v>
      </c>
      <c r="S1313" t="s">
        <v>6938</v>
      </c>
    </row>
    <row r="1314" spans="1:19" x14ac:dyDescent="0.25">
      <c r="A1314">
        <v>1995</v>
      </c>
      <c r="B1314">
        <v>680</v>
      </c>
      <c r="C1314" t="s">
        <v>5593</v>
      </c>
      <c r="D1314" t="s">
        <v>5594</v>
      </c>
      <c r="E1314">
        <v>211113</v>
      </c>
      <c r="F1314" t="s">
        <v>425</v>
      </c>
      <c r="G1314" t="s">
        <v>426</v>
      </c>
      <c r="H1314" t="s">
        <v>85</v>
      </c>
      <c r="I1314" t="s">
        <v>70</v>
      </c>
      <c r="J1314" t="s">
        <v>71</v>
      </c>
      <c r="K1314" t="s">
        <v>72</v>
      </c>
      <c r="L1314" t="s">
        <v>5183</v>
      </c>
      <c r="M1314" t="s">
        <v>5184</v>
      </c>
      <c r="N1314" t="s">
        <v>5195</v>
      </c>
      <c r="O1314" t="s">
        <v>5196</v>
      </c>
      <c r="P1314">
        <v>2.4</v>
      </c>
      <c r="Q1314" t="s">
        <v>29</v>
      </c>
      <c r="R1314" t="s">
        <v>30</v>
      </c>
      <c r="S1314" t="s">
        <v>6938</v>
      </c>
    </row>
    <row r="1315" spans="1:19" x14ac:dyDescent="0.25">
      <c r="A1315">
        <v>2006</v>
      </c>
      <c r="B1315">
        <v>3411</v>
      </c>
      <c r="C1315" t="s">
        <v>5595</v>
      </c>
      <c r="D1315" t="s">
        <v>5596</v>
      </c>
      <c r="E1315">
        <v>212233</v>
      </c>
      <c r="F1315" t="s">
        <v>440</v>
      </c>
      <c r="G1315" t="s">
        <v>441</v>
      </c>
      <c r="H1315" t="s">
        <v>54</v>
      </c>
      <c r="I1315" t="s">
        <v>324</v>
      </c>
      <c r="J1315" t="s">
        <v>325</v>
      </c>
      <c r="K1315" t="s">
        <v>326</v>
      </c>
      <c r="L1315" t="s">
        <v>5183</v>
      </c>
      <c r="M1315" t="s">
        <v>5184</v>
      </c>
      <c r="N1315" t="s">
        <v>5185</v>
      </c>
      <c r="O1315" t="s">
        <v>5186</v>
      </c>
      <c r="P1315">
        <v>2963</v>
      </c>
      <c r="Q1315" t="s">
        <v>40</v>
      </c>
      <c r="R1315" t="s">
        <v>124</v>
      </c>
      <c r="S1315" t="s">
        <v>6938</v>
      </c>
    </row>
    <row r="1316" spans="1:19" x14ac:dyDescent="0.25">
      <c r="A1316">
        <v>2019</v>
      </c>
      <c r="B1316">
        <v>27964</v>
      </c>
      <c r="C1316" t="s">
        <v>1614</v>
      </c>
      <c r="D1316" t="s">
        <v>5597</v>
      </c>
      <c r="E1316">
        <v>211110</v>
      </c>
      <c r="F1316" t="s">
        <v>233</v>
      </c>
      <c r="G1316" t="s">
        <v>234</v>
      </c>
      <c r="H1316" t="s">
        <v>85</v>
      </c>
      <c r="I1316" t="s">
        <v>491</v>
      </c>
      <c r="J1316" t="s">
        <v>492</v>
      </c>
      <c r="K1316" t="s">
        <v>492</v>
      </c>
      <c r="L1316" t="s">
        <v>5167</v>
      </c>
      <c r="M1316" t="s">
        <v>5168</v>
      </c>
      <c r="N1316" t="s">
        <v>5169</v>
      </c>
      <c r="O1316" t="s">
        <v>5170</v>
      </c>
      <c r="P1316">
        <v>2.3E-3</v>
      </c>
      <c r="Q1316" t="s">
        <v>29</v>
      </c>
      <c r="R1316" t="s">
        <v>50</v>
      </c>
      <c r="S1316" t="s">
        <v>6938</v>
      </c>
    </row>
    <row r="1317" spans="1:19" x14ac:dyDescent="0.25">
      <c r="A1317">
        <v>2004</v>
      </c>
      <c r="B1317">
        <v>4771</v>
      </c>
      <c r="C1317" t="s">
        <v>5598</v>
      </c>
      <c r="D1317" t="s">
        <v>5599</v>
      </c>
      <c r="E1317">
        <v>221320</v>
      </c>
      <c r="F1317" t="s">
        <v>390</v>
      </c>
      <c r="G1317" t="s">
        <v>147</v>
      </c>
      <c r="H1317" t="s">
        <v>21</v>
      </c>
      <c r="I1317" t="s">
        <v>504</v>
      </c>
      <c r="J1317" t="s">
        <v>505</v>
      </c>
      <c r="K1317" t="s">
        <v>506</v>
      </c>
      <c r="L1317" t="s">
        <v>5167</v>
      </c>
      <c r="M1317" t="s">
        <v>5168</v>
      </c>
      <c r="N1317" t="s">
        <v>5169</v>
      </c>
      <c r="O1317" t="s">
        <v>5170</v>
      </c>
      <c r="P1317">
        <v>154.124</v>
      </c>
      <c r="Q1317" t="s">
        <v>29</v>
      </c>
      <c r="R1317" t="s">
        <v>258</v>
      </c>
      <c r="S1317" t="s">
        <v>6938</v>
      </c>
    </row>
    <row r="1318" spans="1:19" x14ac:dyDescent="0.25">
      <c r="A1318">
        <v>2021</v>
      </c>
      <c r="B1318">
        <v>1329</v>
      </c>
      <c r="C1318" t="s">
        <v>5600</v>
      </c>
      <c r="D1318" t="s">
        <v>5601</v>
      </c>
      <c r="E1318">
        <v>326220</v>
      </c>
      <c r="F1318" t="s">
        <v>5602</v>
      </c>
      <c r="G1318" t="s">
        <v>803</v>
      </c>
      <c r="H1318" t="s">
        <v>79</v>
      </c>
      <c r="I1318" t="s">
        <v>5603</v>
      </c>
      <c r="J1318" t="s">
        <v>5604</v>
      </c>
      <c r="K1318" t="s">
        <v>5605</v>
      </c>
      <c r="L1318" t="s">
        <v>5167</v>
      </c>
      <c r="M1318" t="s">
        <v>5168</v>
      </c>
      <c r="N1318" t="s">
        <v>5169</v>
      </c>
      <c r="O1318" t="s">
        <v>5170</v>
      </c>
      <c r="P1318">
        <v>2.0299999999999998</v>
      </c>
      <c r="Q1318" t="s">
        <v>29</v>
      </c>
      <c r="R1318" t="s">
        <v>30</v>
      </c>
      <c r="S1318" t="s">
        <v>6938</v>
      </c>
    </row>
    <row r="1319" spans="1:19" x14ac:dyDescent="0.25">
      <c r="A1319">
        <v>2002</v>
      </c>
      <c r="B1319">
        <v>3903</v>
      </c>
      <c r="C1319" t="s">
        <v>634</v>
      </c>
      <c r="D1319" t="s">
        <v>5509</v>
      </c>
      <c r="E1319">
        <v>324110</v>
      </c>
      <c r="F1319" t="s">
        <v>95</v>
      </c>
      <c r="G1319" t="s">
        <v>96</v>
      </c>
      <c r="H1319" t="s">
        <v>85</v>
      </c>
      <c r="I1319" t="s">
        <v>324</v>
      </c>
      <c r="J1319" t="s">
        <v>325</v>
      </c>
      <c r="K1319" t="s">
        <v>326</v>
      </c>
      <c r="L1319" t="s">
        <v>5167</v>
      </c>
      <c r="M1319" t="s">
        <v>5168</v>
      </c>
      <c r="N1319" t="s">
        <v>5169</v>
      </c>
      <c r="O1319" t="s">
        <v>5170</v>
      </c>
      <c r="P1319">
        <v>0.155</v>
      </c>
      <c r="Q1319" t="s">
        <v>40</v>
      </c>
      <c r="R1319" t="s">
        <v>30</v>
      </c>
      <c r="S1319" t="s">
        <v>6938</v>
      </c>
    </row>
    <row r="1320" spans="1:19" x14ac:dyDescent="0.25">
      <c r="A1320">
        <v>1998</v>
      </c>
      <c r="B1320">
        <v>4639</v>
      </c>
      <c r="C1320" t="s">
        <v>5606</v>
      </c>
      <c r="D1320" t="s">
        <v>1476</v>
      </c>
      <c r="E1320">
        <v>332810</v>
      </c>
      <c r="F1320" t="s">
        <v>237</v>
      </c>
      <c r="G1320" t="s">
        <v>238</v>
      </c>
      <c r="H1320" t="s">
        <v>21</v>
      </c>
      <c r="I1320" t="s">
        <v>177</v>
      </c>
      <c r="J1320" t="s">
        <v>178</v>
      </c>
      <c r="K1320" t="s">
        <v>179</v>
      </c>
      <c r="L1320" t="s">
        <v>5167</v>
      </c>
      <c r="M1320" t="s">
        <v>5168</v>
      </c>
      <c r="N1320" t="s">
        <v>5169</v>
      </c>
      <c r="O1320" t="s">
        <v>5170</v>
      </c>
      <c r="P1320">
        <v>0.24</v>
      </c>
      <c r="Q1320" t="s">
        <v>29</v>
      </c>
      <c r="R1320" t="s">
        <v>50</v>
      </c>
      <c r="S1320" t="s">
        <v>6938</v>
      </c>
    </row>
    <row r="1321" spans="1:19" x14ac:dyDescent="0.25">
      <c r="A1321">
        <v>2012</v>
      </c>
      <c r="B1321">
        <v>10215</v>
      </c>
      <c r="C1321" t="s">
        <v>125</v>
      </c>
      <c r="D1321" t="s">
        <v>1161</v>
      </c>
      <c r="E1321">
        <v>412110</v>
      </c>
      <c r="F1321" t="s">
        <v>127</v>
      </c>
      <c r="G1321" t="s">
        <v>128</v>
      </c>
      <c r="H1321" t="s">
        <v>85</v>
      </c>
      <c r="I1321" t="s">
        <v>197</v>
      </c>
      <c r="J1321" t="s">
        <v>198</v>
      </c>
      <c r="K1321" t="s">
        <v>199</v>
      </c>
      <c r="L1321" t="s">
        <v>5167</v>
      </c>
      <c r="M1321" t="s">
        <v>5168</v>
      </c>
      <c r="N1321" t="s">
        <v>5223</v>
      </c>
      <c r="O1321" t="s">
        <v>5224</v>
      </c>
      <c r="P1321">
        <v>2.93E-2</v>
      </c>
      <c r="Q1321" t="s">
        <v>40</v>
      </c>
      <c r="R1321" t="s">
        <v>30</v>
      </c>
      <c r="S1321" t="s">
        <v>6938</v>
      </c>
    </row>
    <row r="1322" spans="1:19" x14ac:dyDescent="0.25">
      <c r="A1322">
        <v>2019</v>
      </c>
      <c r="B1322">
        <v>1236</v>
      </c>
      <c r="C1322" t="s">
        <v>1109</v>
      </c>
      <c r="D1322" t="s">
        <v>2157</v>
      </c>
      <c r="E1322">
        <v>331410</v>
      </c>
      <c r="F1322" t="s">
        <v>1234</v>
      </c>
      <c r="G1322" t="s">
        <v>1235</v>
      </c>
      <c r="H1322" t="s">
        <v>21</v>
      </c>
      <c r="I1322" t="s">
        <v>177</v>
      </c>
      <c r="J1322" t="s">
        <v>178</v>
      </c>
      <c r="K1322" t="s">
        <v>179</v>
      </c>
      <c r="L1322" t="s">
        <v>5183</v>
      </c>
      <c r="M1322" t="s">
        <v>5184</v>
      </c>
      <c r="N1322" t="s">
        <v>5169</v>
      </c>
      <c r="O1322" t="s">
        <v>5170</v>
      </c>
      <c r="P1322">
        <v>7.4999999999999997E-3</v>
      </c>
      <c r="Q1322" t="s">
        <v>29</v>
      </c>
      <c r="R1322" t="s">
        <v>157</v>
      </c>
      <c r="S1322" t="s">
        <v>6938</v>
      </c>
    </row>
    <row r="1323" spans="1:19" x14ac:dyDescent="0.25">
      <c r="A1323">
        <v>2020</v>
      </c>
      <c r="B1323">
        <v>6647</v>
      </c>
      <c r="C1323" t="s">
        <v>2240</v>
      </c>
      <c r="D1323" t="s">
        <v>2241</v>
      </c>
      <c r="E1323">
        <v>211142</v>
      </c>
      <c r="F1323" t="s">
        <v>357</v>
      </c>
      <c r="G1323" t="s">
        <v>358</v>
      </c>
      <c r="H1323" t="s">
        <v>85</v>
      </c>
      <c r="I1323" t="s">
        <v>1050</v>
      </c>
      <c r="J1323" t="s">
        <v>1051</v>
      </c>
      <c r="K1323" t="s">
        <v>1052</v>
      </c>
      <c r="L1323" t="s">
        <v>5183</v>
      </c>
      <c r="M1323" t="s">
        <v>5184</v>
      </c>
      <c r="N1323" t="s">
        <v>5185</v>
      </c>
      <c r="O1323" t="s">
        <v>5186</v>
      </c>
      <c r="P1323">
        <v>4900.1719999999996</v>
      </c>
      <c r="Q1323" t="s">
        <v>40</v>
      </c>
      <c r="R1323" t="s">
        <v>124</v>
      </c>
      <c r="S1323" t="s">
        <v>6938</v>
      </c>
    </row>
    <row r="1324" spans="1:19" x14ac:dyDescent="0.25">
      <c r="A1324">
        <v>2012</v>
      </c>
      <c r="B1324">
        <v>16152</v>
      </c>
      <c r="C1324" t="s">
        <v>1649</v>
      </c>
      <c r="D1324" t="s">
        <v>5607</v>
      </c>
      <c r="E1324">
        <v>211113</v>
      </c>
      <c r="F1324" t="s">
        <v>786</v>
      </c>
      <c r="G1324" t="s">
        <v>426</v>
      </c>
      <c r="H1324" t="s">
        <v>85</v>
      </c>
      <c r="I1324" t="s">
        <v>55</v>
      </c>
      <c r="J1324" t="s">
        <v>56</v>
      </c>
      <c r="K1324" t="s">
        <v>57</v>
      </c>
      <c r="L1324" t="s">
        <v>5183</v>
      </c>
      <c r="M1324" t="s">
        <v>5184</v>
      </c>
      <c r="N1324" t="s">
        <v>5195</v>
      </c>
      <c r="O1324" t="s">
        <v>5196</v>
      </c>
      <c r="P1324">
        <v>21.472000000000001</v>
      </c>
      <c r="Q1324" t="s">
        <v>29</v>
      </c>
      <c r="R1324" t="s">
        <v>50</v>
      </c>
      <c r="S1324" t="s">
        <v>6938</v>
      </c>
    </row>
    <row r="1325" spans="1:19" x14ac:dyDescent="0.25">
      <c r="A1325">
        <v>2018</v>
      </c>
      <c r="B1325">
        <v>29431</v>
      </c>
      <c r="C1325" t="s">
        <v>1043</v>
      </c>
      <c r="D1325" t="s">
        <v>5608</v>
      </c>
      <c r="E1325">
        <v>493190</v>
      </c>
      <c r="F1325" t="s">
        <v>5423</v>
      </c>
      <c r="G1325" t="s">
        <v>5424</v>
      </c>
      <c r="H1325" t="s">
        <v>243</v>
      </c>
      <c r="I1325" t="s">
        <v>70</v>
      </c>
      <c r="J1325" t="s">
        <v>71</v>
      </c>
      <c r="K1325" t="s">
        <v>72</v>
      </c>
      <c r="L1325" t="s">
        <v>5167</v>
      </c>
      <c r="M1325" t="s">
        <v>5168</v>
      </c>
      <c r="N1325" t="s">
        <v>5169</v>
      </c>
      <c r="O1325" t="s">
        <v>5170</v>
      </c>
      <c r="P1325">
        <v>5.04E-2</v>
      </c>
      <c r="Q1325" t="s">
        <v>29</v>
      </c>
      <c r="R1325" t="s">
        <v>30</v>
      </c>
      <c r="S1325" t="s">
        <v>6938</v>
      </c>
    </row>
    <row r="1326" spans="1:19" x14ac:dyDescent="0.25">
      <c r="A1326">
        <v>2015</v>
      </c>
      <c r="B1326">
        <v>11118</v>
      </c>
      <c r="C1326" t="s">
        <v>5609</v>
      </c>
      <c r="D1326" t="s">
        <v>5609</v>
      </c>
      <c r="E1326">
        <v>327910</v>
      </c>
      <c r="F1326" t="s">
        <v>5610</v>
      </c>
      <c r="G1326" t="s">
        <v>794</v>
      </c>
      <c r="H1326" t="s">
        <v>21</v>
      </c>
      <c r="I1326" t="s">
        <v>136</v>
      </c>
      <c r="J1326" t="s">
        <v>137</v>
      </c>
      <c r="K1326" t="s">
        <v>138</v>
      </c>
      <c r="L1326" t="s">
        <v>5167</v>
      </c>
      <c r="M1326" t="s">
        <v>5168</v>
      </c>
      <c r="N1326" t="s">
        <v>5169</v>
      </c>
      <c r="O1326" t="s">
        <v>5170</v>
      </c>
      <c r="P1326">
        <v>122.31</v>
      </c>
      <c r="Q1326" t="s">
        <v>29</v>
      </c>
      <c r="R1326" t="s">
        <v>50</v>
      </c>
      <c r="S1326" t="s">
        <v>6938</v>
      </c>
    </row>
    <row r="1327" spans="1:19" x14ac:dyDescent="0.25">
      <c r="A1327">
        <v>2018</v>
      </c>
      <c r="B1327">
        <v>24216</v>
      </c>
      <c r="C1327" t="s">
        <v>5611</v>
      </c>
      <c r="D1327" t="s">
        <v>5612</v>
      </c>
      <c r="E1327">
        <v>212220</v>
      </c>
      <c r="F1327" t="s">
        <v>1619</v>
      </c>
      <c r="G1327" t="s">
        <v>1620</v>
      </c>
      <c r="H1327" t="s">
        <v>2102</v>
      </c>
      <c r="I1327" t="s">
        <v>877</v>
      </c>
      <c r="J1327" t="s">
        <v>878</v>
      </c>
      <c r="K1327" t="s">
        <v>879</v>
      </c>
      <c r="L1327" t="s">
        <v>5183</v>
      </c>
      <c r="M1327" t="s">
        <v>5184</v>
      </c>
      <c r="N1327" t="s">
        <v>5185</v>
      </c>
      <c r="O1327" t="s">
        <v>5186</v>
      </c>
      <c r="P1327">
        <v>0</v>
      </c>
      <c r="Q1327" t="s">
        <v>880</v>
      </c>
      <c r="R1327" t="s">
        <v>50</v>
      </c>
      <c r="S1327" t="s">
        <v>6938</v>
      </c>
    </row>
    <row r="1328" spans="1:19" x14ac:dyDescent="0.25">
      <c r="A1328">
        <v>2007</v>
      </c>
      <c r="B1328">
        <v>10301</v>
      </c>
      <c r="C1328" t="s">
        <v>5613</v>
      </c>
      <c r="D1328" t="s">
        <v>5614</v>
      </c>
      <c r="E1328">
        <v>336340</v>
      </c>
      <c r="F1328" t="s">
        <v>5615</v>
      </c>
      <c r="G1328" t="s">
        <v>5616</v>
      </c>
      <c r="H1328" t="s">
        <v>21</v>
      </c>
      <c r="I1328" t="s">
        <v>648</v>
      </c>
      <c r="J1328" t="s">
        <v>649</v>
      </c>
      <c r="K1328" t="s">
        <v>650</v>
      </c>
      <c r="L1328" t="s">
        <v>5167</v>
      </c>
      <c r="M1328" t="s">
        <v>5168</v>
      </c>
      <c r="N1328" t="s">
        <v>5169</v>
      </c>
      <c r="O1328" t="s">
        <v>5170</v>
      </c>
      <c r="P1328">
        <v>5.8689999999999998</v>
      </c>
      <c r="Q1328" t="s">
        <v>29</v>
      </c>
      <c r="R1328" t="s">
        <v>50</v>
      </c>
      <c r="S1328" t="s">
        <v>6938</v>
      </c>
    </row>
    <row r="1329" spans="1:19" x14ac:dyDescent="0.25">
      <c r="A1329">
        <v>2011</v>
      </c>
      <c r="B1329">
        <v>199</v>
      </c>
      <c r="C1329" t="s">
        <v>262</v>
      </c>
      <c r="D1329" t="s">
        <v>969</v>
      </c>
      <c r="E1329">
        <v>331523</v>
      </c>
      <c r="F1329" t="s">
        <v>5617</v>
      </c>
      <c r="G1329" t="s">
        <v>34</v>
      </c>
      <c r="H1329" t="s">
        <v>21</v>
      </c>
      <c r="I1329" t="s">
        <v>152</v>
      </c>
      <c r="J1329" t="s">
        <v>153</v>
      </c>
      <c r="K1329" t="s">
        <v>154</v>
      </c>
      <c r="L1329" t="s">
        <v>5167</v>
      </c>
      <c r="M1329" t="s">
        <v>5168</v>
      </c>
      <c r="N1329" t="s">
        <v>5169</v>
      </c>
      <c r="O1329" t="s">
        <v>5170</v>
      </c>
      <c r="P1329">
        <v>1.0999999999999999E-2</v>
      </c>
      <c r="Q1329" t="s">
        <v>29</v>
      </c>
      <c r="R1329" t="s">
        <v>30</v>
      </c>
      <c r="S1329" t="s">
        <v>6938</v>
      </c>
    </row>
    <row r="1330" spans="1:19" x14ac:dyDescent="0.25">
      <c r="A1330">
        <v>2013</v>
      </c>
      <c r="B1330">
        <v>3048</v>
      </c>
      <c r="C1330" t="s">
        <v>5288</v>
      </c>
      <c r="D1330" t="s">
        <v>208</v>
      </c>
      <c r="E1330">
        <v>221112</v>
      </c>
      <c r="F1330" t="s">
        <v>499</v>
      </c>
      <c r="G1330" t="s">
        <v>135</v>
      </c>
      <c r="H1330" t="s">
        <v>21</v>
      </c>
      <c r="I1330" t="s">
        <v>877</v>
      </c>
      <c r="J1330" t="s">
        <v>878</v>
      </c>
      <c r="K1330" t="s">
        <v>879</v>
      </c>
      <c r="L1330" t="s">
        <v>5183</v>
      </c>
      <c r="M1330" t="s">
        <v>5184</v>
      </c>
      <c r="N1330" t="s">
        <v>5169</v>
      </c>
      <c r="O1330" t="s">
        <v>5170</v>
      </c>
      <c r="P1330">
        <v>1E-3</v>
      </c>
      <c r="Q1330" t="s">
        <v>880</v>
      </c>
      <c r="R1330" t="s">
        <v>50</v>
      </c>
      <c r="S1330" t="s">
        <v>6938</v>
      </c>
    </row>
    <row r="1331" spans="1:19" x14ac:dyDescent="0.25">
      <c r="A1331">
        <v>2020</v>
      </c>
      <c r="B1331">
        <v>2240</v>
      </c>
      <c r="C1331" t="s">
        <v>2292</v>
      </c>
      <c r="D1331" t="s">
        <v>5618</v>
      </c>
      <c r="E1331">
        <v>221320</v>
      </c>
      <c r="F1331" t="s">
        <v>146</v>
      </c>
      <c r="G1331" t="s">
        <v>147</v>
      </c>
      <c r="H1331" t="s">
        <v>21</v>
      </c>
      <c r="I1331" t="s">
        <v>543</v>
      </c>
      <c r="J1331" t="s">
        <v>544</v>
      </c>
      <c r="K1331" t="s">
        <v>545</v>
      </c>
      <c r="L1331" t="s">
        <v>5167</v>
      </c>
      <c r="M1331" t="s">
        <v>5168</v>
      </c>
      <c r="N1331" t="s">
        <v>5175</v>
      </c>
      <c r="O1331" t="s">
        <v>5176</v>
      </c>
      <c r="P1331">
        <v>30.7</v>
      </c>
      <c r="Q1331" t="s">
        <v>40</v>
      </c>
      <c r="R1331" t="s">
        <v>124</v>
      </c>
      <c r="S1331" t="s">
        <v>6938</v>
      </c>
    </row>
    <row r="1332" spans="1:19" x14ac:dyDescent="0.25">
      <c r="A1332">
        <v>2006</v>
      </c>
      <c r="B1332">
        <v>1</v>
      </c>
      <c r="C1332" t="s">
        <v>5294</v>
      </c>
      <c r="D1332" t="s">
        <v>5294</v>
      </c>
      <c r="E1332">
        <v>322112</v>
      </c>
      <c r="F1332" t="s">
        <v>620</v>
      </c>
      <c r="G1332" t="s">
        <v>621</v>
      </c>
      <c r="H1332" t="s">
        <v>85</v>
      </c>
      <c r="I1332" t="s">
        <v>391</v>
      </c>
      <c r="J1332" t="s">
        <v>392</v>
      </c>
      <c r="K1332" t="s">
        <v>393</v>
      </c>
      <c r="L1332" t="s">
        <v>5183</v>
      </c>
      <c r="M1332" t="s">
        <v>5184</v>
      </c>
      <c r="N1332" t="s">
        <v>5175</v>
      </c>
      <c r="O1332" t="s">
        <v>5176</v>
      </c>
      <c r="P1332">
        <v>0</v>
      </c>
      <c r="Q1332" t="s">
        <v>40</v>
      </c>
      <c r="R1332" t="s">
        <v>124</v>
      </c>
      <c r="S1332" t="s">
        <v>6938</v>
      </c>
    </row>
    <row r="1333" spans="1:19" x14ac:dyDescent="0.25">
      <c r="A1333">
        <v>2020</v>
      </c>
      <c r="B1333">
        <v>25421</v>
      </c>
      <c r="C1333" t="s">
        <v>5619</v>
      </c>
      <c r="D1333" t="s">
        <v>5620</v>
      </c>
      <c r="E1333">
        <v>221320</v>
      </c>
      <c r="F1333" t="s">
        <v>146</v>
      </c>
      <c r="G1333" t="s">
        <v>147</v>
      </c>
      <c r="H1333" t="s">
        <v>54</v>
      </c>
      <c r="I1333" t="s">
        <v>97</v>
      </c>
      <c r="J1333" t="s">
        <v>98</v>
      </c>
      <c r="K1333" t="s">
        <v>99</v>
      </c>
      <c r="L1333" t="s">
        <v>5167</v>
      </c>
      <c r="M1333" t="s">
        <v>5168</v>
      </c>
      <c r="N1333" t="s">
        <v>5195</v>
      </c>
      <c r="O1333" t="s">
        <v>5196</v>
      </c>
      <c r="P1333">
        <v>7.87</v>
      </c>
      <c r="Q1333" t="s">
        <v>29</v>
      </c>
      <c r="R1333" t="s">
        <v>124</v>
      </c>
      <c r="S1333" t="s">
        <v>6938</v>
      </c>
    </row>
    <row r="1334" spans="1:19" x14ac:dyDescent="0.25">
      <c r="A1334">
        <v>1999</v>
      </c>
      <c r="B1334">
        <v>2909</v>
      </c>
      <c r="C1334" t="s">
        <v>5621</v>
      </c>
      <c r="D1334" t="s">
        <v>5622</v>
      </c>
      <c r="E1334">
        <v>321114</v>
      </c>
      <c r="F1334" t="s">
        <v>365</v>
      </c>
      <c r="G1334" t="s">
        <v>366</v>
      </c>
      <c r="H1334" t="s">
        <v>79</v>
      </c>
      <c r="I1334" t="s">
        <v>244</v>
      </c>
      <c r="J1334" t="s">
        <v>245</v>
      </c>
      <c r="K1334" t="s">
        <v>246</v>
      </c>
      <c r="L1334" t="s">
        <v>5167</v>
      </c>
      <c r="M1334" t="s">
        <v>5168</v>
      </c>
      <c r="N1334" t="s">
        <v>5169</v>
      </c>
      <c r="O1334" t="s">
        <v>5170</v>
      </c>
      <c r="P1334">
        <v>9.1999999999999998E-2</v>
      </c>
      <c r="Q1334" t="s">
        <v>29</v>
      </c>
      <c r="R1334" t="s">
        <v>30</v>
      </c>
      <c r="S1334" t="s">
        <v>6938</v>
      </c>
    </row>
    <row r="1335" spans="1:19" x14ac:dyDescent="0.25">
      <c r="A1335">
        <v>2022</v>
      </c>
      <c r="B1335">
        <v>28667</v>
      </c>
      <c r="C1335" t="s">
        <v>5623</v>
      </c>
      <c r="D1335" t="s">
        <v>5624</v>
      </c>
      <c r="E1335">
        <v>412110</v>
      </c>
      <c r="F1335" t="s">
        <v>589</v>
      </c>
      <c r="G1335" t="s">
        <v>590</v>
      </c>
      <c r="H1335" t="s">
        <v>85</v>
      </c>
      <c r="I1335" t="s">
        <v>348</v>
      </c>
      <c r="J1335" t="s">
        <v>349</v>
      </c>
      <c r="K1335" t="s">
        <v>350</v>
      </c>
      <c r="L1335" t="s">
        <v>5167</v>
      </c>
      <c r="M1335" t="s">
        <v>5168</v>
      </c>
      <c r="N1335" t="s">
        <v>5195</v>
      </c>
      <c r="O1335" t="s">
        <v>5196</v>
      </c>
      <c r="P1335">
        <v>0.433</v>
      </c>
      <c r="Q1335" t="s">
        <v>29</v>
      </c>
      <c r="R1335" t="s">
        <v>430</v>
      </c>
      <c r="S1335" t="s">
        <v>6938</v>
      </c>
    </row>
    <row r="1336" spans="1:19" x14ac:dyDescent="0.25">
      <c r="A1336">
        <v>2010</v>
      </c>
      <c r="B1336">
        <v>4771</v>
      </c>
      <c r="C1336" t="s">
        <v>5345</v>
      </c>
      <c r="D1336" t="s">
        <v>5625</v>
      </c>
      <c r="E1336">
        <v>221320</v>
      </c>
      <c r="F1336" t="s">
        <v>390</v>
      </c>
      <c r="G1336" t="s">
        <v>147</v>
      </c>
      <c r="H1336" t="s">
        <v>21</v>
      </c>
      <c r="I1336" t="s">
        <v>1549</v>
      </c>
      <c r="J1336" t="s">
        <v>1550</v>
      </c>
      <c r="K1336" t="s">
        <v>1551</v>
      </c>
      <c r="L1336" t="s">
        <v>5167</v>
      </c>
      <c r="M1336" t="s">
        <v>5168</v>
      </c>
      <c r="N1336" t="s">
        <v>5223</v>
      </c>
      <c r="O1336" t="s">
        <v>5224</v>
      </c>
      <c r="P1336">
        <v>0.81</v>
      </c>
      <c r="Q1336" t="s">
        <v>29</v>
      </c>
      <c r="R1336" t="s">
        <v>258</v>
      </c>
      <c r="S1336" t="s">
        <v>6938</v>
      </c>
    </row>
    <row r="1337" spans="1:19" x14ac:dyDescent="0.25">
      <c r="A1337">
        <v>2023</v>
      </c>
      <c r="B1337">
        <v>2935</v>
      </c>
      <c r="C1337" t="s">
        <v>5626</v>
      </c>
      <c r="D1337" t="s">
        <v>5627</v>
      </c>
      <c r="E1337">
        <v>212220</v>
      </c>
      <c r="F1337" t="s">
        <v>1619</v>
      </c>
      <c r="G1337" t="s">
        <v>1620</v>
      </c>
      <c r="H1337" t="s">
        <v>79</v>
      </c>
      <c r="I1337" t="s">
        <v>106</v>
      </c>
      <c r="J1337" t="s">
        <v>107</v>
      </c>
      <c r="K1337" t="s">
        <v>108</v>
      </c>
      <c r="L1337" t="s">
        <v>5183</v>
      </c>
      <c r="M1337" t="s">
        <v>5184</v>
      </c>
      <c r="N1337" t="s">
        <v>5260</v>
      </c>
      <c r="O1337" t="s">
        <v>5261</v>
      </c>
      <c r="P1337">
        <v>0.81079999999999997</v>
      </c>
      <c r="Q1337" t="s">
        <v>40</v>
      </c>
      <c r="R1337" t="s">
        <v>124</v>
      </c>
      <c r="S1337" t="s">
        <v>6938</v>
      </c>
    </row>
    <row r="1338" spans="1:19" x14ac:dyDescent="0.25">
      <c r="A1338">
        <v>2002</v>
      </c>
      <c r="B1338">
        <v>1648</v>
      </c>
      <c r="C1338" t="s">
        <v>5628</v>
      </c>
      <c r="D1338" t="s">
        <v>5629</v>
      </c>
      <c r="E1338">
        <v>325999</v>
      </c>
      <c r="F1338" t="s">
        <v>396</v>
      </c>
      <c r="G1338" t="s">
        <v>397</v>
      </c>
      <c r="H1338" t="s">
        <v>79</v>
      </c>
      <c r="I1338" t="s">
        <v>5603</v>
      </c>
      <c r="J1338" t="s">
        <v>5604</v>
      </c>
      <c r="K1338" t="s">
        <v>5605</v>
      </c>
      <c r="L1338" t="s">
        <v>5167</v>
      </c>
      <c r="M1338" t="s">
        <v>5168</v>
      </c>
      <c r="N1338" t="s">
        <v>5169</v>
      </c>
      <c r="O1338" t="s">
        <v>5170</v>
      </c>
      <c r="P1338">
        <v>0.22900000000000001</v>
      </c>
      <c r="Q1338" t="s">
        <v>29</v>
      </c>
      <c r="R1338" t="s">
        <v>30</v>
      </c>
      <c r="S1338" t="s">
        <v>6938</v>
      </c>
    </row>
    <row r="1339" spans="1:19" x14ac:dyDescent="0.25">
      <c r="A1339">
        <v>2007</v>
      </c>
      <c r="B1339">
        <v>6227</v>
      </c>
      <c r="C1339" t="s">
        <v>5630</v>
      </c>
      <c r="D1339" t="s">
        <v>5631</v>
      </c>
      <c r="E1339">
        <v>332999</v>
      </c>
      <c r="F1339" t="s">
        <v>309</v>
      </c>
      <c r="G1339" t="s">
        <v>304</v>
      </c>
      <c r="H1339" t="s">
        <v>79</v>
      </c>
      <c r="I1339" t="s">
        <v>35</v>
      </c>
      <c r="J1339" t="s">
        <v>36</v>
      </c>
      <c r="K1339" t="s">
        <v>37</v>
      </c>
      <c r="L1339" t="s">
        <v>5183</v>
      </c>
      <c r="M1339" t="s">
        <v>5184</v>
      </c>
      <c r="N1339" t="s">
        <v>5169</v>
      </c>
      <c r="O1339" t="s">
        <v>5170</v>
      </c>
      <c r="P1339">
        <v>0</v>
      </c>
      <c r="Q1339" t="s">
        <v>40</v>
      </c>
      <c r="R1339" t="s">
        <v>30</v>
      </c>
      <c r="S1339" t="s">
        <v>6938</v>
      </c>
    </row>
    <row r="1340" spans="1:19" x14ac:dyDescent="0.25">
      <c r="A1340">
        <v>2019</v>
      </c>
      <c r="B1340">
        <v>11867</v>
      </c>
      <c r="C1340" t="s">
        <v>5632</v>
      </c>
      <c r="D1340" t="s">
        <v>5633</v>
      </c>
      <c r="E1340">
        <v>212220</v>
      </c>
      <c r="F1340" t="s">
        <v>1619</v>
      </c>
      <c r="G1340" t="s">
        <v>1620</v>
      </c>
      <c r="H1340" t="s">
        <v>21</v>
      </c>
      <c r="I1340" t="s">
        <v>106</v>
      </c>
      <c r="J1340" t="s">
        <v>107</v>
      </c>
      <c r="K1340" t="s">
        <v>108</v>
      </c>
      <c r="L1340" t="s">
        <v>5183</v>
      </c>
      <c r="M1340" t="s">
        <v>5184</v>
      </c>
      <c r="N1340" t="s">
        <v>5185</v>
      </c>
      <c r="O1340" t="s">
        <v>5186</v>
      </c>
      <c r="P1340">
        <v>947.51</v>
      </c>
      <c r="Q1340" t="s">
        <v>40</v>
      </c>
      <c r="R1340" t="s">
        <v>157</v>
      </c>
      <c r="S1340" t="s">
        <v>6938</v>
      </c>
    </row>
    <row r="1341" spans="1:19" x14ac:dyDescent="0.25">
      <c r="A1341">
        <v>2009</v>
      </c>
      <c r="B1341">
        <v>3769</v>
      </c>
      <c r="C1341" t="s">
        <v>5634</v>
      </c>
      <c r="D1341" t="s">
        <v>5634</v>
      </c>
      <c r="E1341">
        <v>339990</v>
      </c>
      <c r="F1341" t="s">
        <v>871</v>
      </c>
      <c r="G1341" t="s">
        <v>872</v>
      </c>
      <c r="H1341" t="s">
        <v>21</v>
      </c>
      <c r="I1341" t="s">
        <v>209</v>
      </c>
      <c r="J1341" t="s">
        <v>210</v>
      </c>
      <c r="K1341" t="s">
        <v>211</v>
      </c>
      <c r="L1341" t="s">
        <v>5167</v>
      </c>
      <c r="M1341" t="s">
        <v>5168</v>
      </c>
      <c r="N1341" t="s">
        <v>5169</v>
      </c>
      <c r="O1341" t="s">
        <v>5170</v>
      </c>
      <c r="P1341">
        <v>1</v>
      </c>
      <c r="Q1341" t="s">
        <v>29</v>
      </c>
      <c r="R1341" t="s">
        <v>124</v>
      </c>
      <c r="S1341" t="s">
        <v>6938</v>
      </c>
    </row>
    <row r="1342" spans="1:19" x14ac:dyDescent="0.25">
      <c r="A1342">
        <v>1994</v>
      </c>
      <c r="B1342">
        <v>3123</v>
      </c>
      <c r="C1342" t="s">
        <v>5635</v>
      </c>
      <c r="D1342" t="s">
        <v>5636</v>
      </c>
      <c r="E1342">
        <v>334410</v>
      </c>
      <c r="F1342" t="s">
        <v>604</v>
      </c>
      <c r="G1342" t="s">
        <v>605</v>
      </c>
      <c r="H1342" t="s">
        <v>79</v>
      </c>
      <c r="I1342" t="s">
        <v>177</v>
      </c>
      <c r="J1342" t="s">
        <v>178</v>
      </c>
      <c r="K1342" t="s">
        <v>179</v>
      </c>
      <c r="L1342" t="s">
        <v>5167</v>
      </c>
      <c r="M1342" t="s">
        <v>5168</v>
      </c>
      <c r="N1342" t="s">
        <v>5169</v>
      </c>
      <c r="O1342" t="s">
        <v>5170</v>
      </c>
      <c r="P1342">
        <v>14.67</v>
      </c>
      <c r="Q1342" t="s">
        <v>29</v>
      </c>
      <c r="R1342" t="s">
        <v>30</v>
      </c>
      <c r="S1342" t="s">
        <v>6938</v>
      </c>
    </row>
    <row r="1343" spans="1:19" x14ac:dyDescent="0.25">
      <c r="A1343">
        <v>2003</v>
      </c>
      <c r="B1343">
        <v>1797</v>
      </c>
      <c r="C1343" t="s">
        <v>2018</v>
      </c>
      <c r="D1343" t="s">
        <v>1377</v>
      </c>
      <c r="E1343">
        <v>322112</v>
      </c>
      <c r="F1343" t="s">
        <v>620</v>
      </c>
      <c r="G1343" t="s">
        <v>621</v>
      </c>
      <c r="H1343" t="s">
        <v>69</v>
      </c>
      <c r="I1343" t="s">
        <v>5302</v>
      </c>
      <c r="J1343" t="s">
        <v>5303</v>
      </c>
      <c r="K1343" t="s">
        <v>5304</v>
      </c>
      <c r="L1343" t="s">
        <v>5183</v>
      </c>
      <c r="M1343" t="s">
        <v>5184</v>
      </c>
      <c r="N1343" t="s">
        <v>5169</v>
      </c>
      <c r="O1343" t="s">
        <v>5170</v>
      </c>
      <c r="P1343">
        <v>0.38500000000000001</v>
      </c>
      <c r="Q1343" t="s">
        <v>40</v>
      </c>
      <c r="R1343" t="s">
        <v>430</v>
      </c>
      <c r="S1343" t="s">
        <v>6938</v>
      </c>
    </row>
    <row r="1344" spans="1:19" x14ac:dyDescent="0.25">
      <c r="A1344">
        <v>2016</v>
      </c>
      <c r="B1344">
        <v>442</v>
      </c>
      <c r="C1344" t="s">
        <v>1323</v>
      </c>
      <c r="D1344" t="s">
        <v>5417</v>
      </c>
      <c r="E1344">
        <v>211114</v>
      </c>
      <c r="F1344" t="s">
        <v>956</v>
      </c>
      <c r="G1344" t="s">
        <v>836</v>
      </c>
      <c r="H1344" t="s">
        <v>85</v>
      </c>
      <c r="I1344" t="s">
        <v>348</v>
      </c>
      <c r="J1344" t="s">
        <v>349</v>
      </c>
      <c r="K1344" t="s">
        <v>350</v>
      </c>
      <c r="L1344" t="s">
        <v>5183</v>
      </c>
      <c r="M1344" t="s">
        <v>5184</v>
      </c>
      <c r="N1344" t="s">
        <v>5169</v>
      </c>
      <c r="O1344" t="s">
        <v>5170</v>
      </c>
      <c r="P1344">
        <v>3.05</v>
      </c>
      <c r="Q1344" t="s">
        <v>29</v>
      </c>
      <c r="R1344" t="s">
        <v>30</v>
      </c>
      <c r="S1344" t="s">
        <v>6938</v>
      </c>
    </row>
    <row r="1345" spans="1:19" x14ac:dyDescent="0.25">
      <c r="A1345">
        <v>2008</v>
      </c>
      <c r="B1345">
        <v>6426</v>
      </c>
      <c r="C1345" t="s">
        <v>5637</v>
      </c>
      <c r="D1345" t="s">
        <v>5638</v>
      </c>
      <c r="E1345">
        <v>221119</v>
      </c>
      <c r="F1345" t="s">
        <v>1851</v>
      </c>
      <c r="G1345" t="s">
        <v>323</v>
      </c>
      <c r="H1345" t="s">
        <v>79</v>
      </c>
      <c r="I1345" t="s">
        <v>324</v>
      </c>
      <c r="J1345" t="s">
        <v>325</v>
      </c>
      <c r="K1345" t="s">
        <v>326</v>
      </c>
      <c r="L1345" t="s">
        <v>5167</v>
      </c>
      <c r="M1345" t="s">
        <v>5168</v>
      </c>
      <c r="N1345" t="s">
        <v>5175</v>
      </c>
      <c r="O1345" t="s">
        <v>5176</v>
      </c>
      <c r="P1345">
        <v>3.46</v>
      </c>
      <c r="Q1345" t="s">
        <v>40</v>
      </c>
      <c r="R1345" t="s">
        <v>124</v>
      </c>
      <c r="S1345" t="s">
        <v>6938</v>
      </c>
    </row>
    <row r="1346" spans="1:19" x14ac:dyDescent="0.25">
      <c r="A1346">
        <v>1999</v>
      </c>
      <c r="B1346">
        <v>3254</v>
      </c>
      <c r="C1346" t="s">
        <v>1248</v>
      </c>
      <c r="D1346" t="s">
        <v>1249</v>
      </c>
      <c r="E1346">
        <v>336410</v>
      </c>
      <c r="F1346" t="s">
        <v>260</v>
      </c>
      <c r="G1346" t="s">
        <v>261</v>
      </c>
      <c r="H1346" t="s">
        <v>79</v>
      </c>
      <c r="I1346" t="s">
        <v>209</v>
      </c>
      <c r="J1346" t="s">
        <v>210</v>
      </c>
      <c r="K1346" t="s">
        <v>211</v>
      </c>
      <c r="L1346" t="s">
        <v>5167</v>
      </c>
      <c r="M1346" t="s">
        <v>5168</v>
      </c>
      <c r="N1346" t="s">
        <v>5169</v>
      </c>
      <c r="O1346" t="s">
        <v>5170</v>
      </c>
      <c r="P1346">
        <v>7.9</v>
      </c>
      <c r="Q1346" t="s">
        <v>29</v>
      </c>
      <c r="R1346" t="s">
        <v>30</v>
      </c>
      <c r="S1346" t="s">
        <v>6938</v>
      </c>
    </row>
    <row r="1347" spans="1:19" x14ac:dyDescent="0.25">
      <c r="A1347">
        <v>2015</v>
      </c>
      <c r="B1347">
        <v>4823</v>
      </c>
      <c r="C1347" t="s">
        <v>3178</v>
      </c>
      <c r="D1347" t="s">
        <v>5639</v>
      </c>
      <c r="E1347">
        <v>211113</v>
      </c>
      <c r="F1347" t="s">
        <v>786</v>
      </c>
      <c r="G1347" t="s">
        <v>426</v>
      </c>
      <c r="H1347" t="s">
        <v>85</v>
      </c>
      <c r="I1347" t="s">
        <v>427</v>
      </c>
      <c r="J1347" t="s">
        <v>428</v>
      </c>
      <c r="K1347" t="s">
        <v>429</v>
      </c>
      <c r="L1347" t="s">
        <v>5167</v>
      </c>
      <c r="M1347" t="s">
        <v>5168</v>
      </c>
      <c r="N1347" t="s">
        <v>5169</v>
      </c>
      <c r="O1347" t="s">
        <v>5170</v>
      </c>
      <c r="P1347">
        <v>1.0999999999999999E-2</v>
      </c>
      <c r="Q1347" t="s">
        <v>29</v>
      </c>
      <c r="R1347" t="s">
        <v>30</v>
      </c>
      <c r="S1347" t="s">
        <v>6938</v>
      </c>
    </row>
    <row r="1348" spans="1:19" x14ac:dyDescent="0.25">
      <c r="A1348">
        <v>2019</v>
      </c>
      <c r="B1348">
        <v>3140</v>
      </c>
      <c r="C1348" t="s">
        <v>5640</v>
      </c>
      <c r="D1348" t="s">
        <v>5641</v>
      </c>
      <c r="E1348">
        <v>322130</v>
      </c>
      <c r="F1348" t="s">
        <v>5230</v>
      </c>
      <c r="G1348" t="s">
        <v>1646</v>
      </c>
      <c r="H1348" t="s">
        <v>79</v>
      </c>
      <c r="I1348" t="s">
        <v>35</v>
      </c>
      <c r="J1348" t="s">
        <v>36</v>
      </c>
      <c r="K1348" t="s">
        <v>37</v>
      </c>
      <c r="L1348" t="s">
        <v>5167</v>
      </c>
      <c r="M1348" t="s">
        <v>5168</v>
      </c>
      <c r="N1348" t="s">
        <v>5169</v>
      </c>
      <c r="O1348" t="s">
        <v>5170</v>
      </c>
      <c r="P1348">
        <v>20.5</v>
      </c>
      <c r="Q1348" t="s">
        <v>40</v>
      </c>
      <c r="R1348" t="s">
        <v>50</v>
      </c>
      <c r="S1348" t="s">
        <v>6938</v>
      </c>
    </row>
    <row r="1349" spans="1:19" x14ac:dyDescent="0.25">
      <c r="A1349">
        <v>2017</v>
      </c>
      <c r="B1349">
        <v>5286</v>
      </c>
      <c r="C1349" t="s">
        <v>1027</v>
      </c>
      <c r="D1349" t="s">
        <v>5642</v>
      </c>
      <c r="E1349">
        <v>211110</v>
      </c>
      <c r="F1349" t="s">
        <v>233</v>
      </c>
      <c r="G1349" t="s">
        <v>234</v>
      </c>
      <c r="H1349" t="s">
        <v>69</v>
      </c>
      <c r="I1349" t="s">
        <v>348</v>
      </c>
      <c r="J1349" t="s">
        <v>349</v>
      </c>
      <c r="K1349" t="s">
        <v>350</v>
      </c>
      <c r="L1349" t="s">
        <v>5167</v>
      </c>
      <c r="M1349" t="s">
        <v>5168</v>
      </c>
      <c r="N1349" t="s">
        <v>5195</v>
      </c>
      <c r="O1349" t="s">
        <v>5196</v>
      </c>
      <c r="P1349">
        <v>0.49780000000000002</v>
      </c>
      <c r="Q1349" t="s">
        <v>29</v>
      </c>
      <c r="R1349" t="s">
        <v>30</v>
      </c>
      <c r="S1349" t="s">
        <v>6938</v>
      </c>
    </row>
    <row r="1350" spans="1:19" x14ac:dyDescent="0.25">
      <c r="A1350">
        <v>1994</v>
      </c>
      <c r="B1350">
        <v>1080</v>
      </c>
      <c r="C1350" t="s">
        <v>5643</v>
      </c>
      <c r="D1350" t="s">
        <v>5644</v>
      </c>
      <c r="E1350">
        <v>211113</v>
      </c>
      <c r="F1350" t="s">
        <v>425</v>
      </c>
      <c r="G1350" t="s">
        <v>426</v>
      </c>
      <c r="H1350" t="s">
        <v>69</v>
      </c>
      <c r="I1350" t="s">
        <v>70</v>
      </c>
      <c r="J1350" t="s">
        <v>71</v>
      </c>
      <c r="K1350" t="s">
        <v>72</v>
      </c>
      <c r="L1350" t="s">
        <v>5167</v>
      </c>
      <c r="M1350" t="s">
        <v>5168</v>
      </c>
      <c r="N1350" t="s">
        <v>5169</v>
      </c>
      <c r="O1350" t="s">
        <v>5170</v>
      </c>
      <c r="P1350">
        <v>0.01</v>
      </c>
      <c r="Q1350" t="s">
        <v>29</v>
      </c>
      <c r="R1350" t="s">
        <v>30</v>
      </c>
      <c r="S1350" t="s">
        <v>6938</v>
      </c>
    </row>
    <row r="1351" spans="1:19" x14ac:dyDescent="0.25">
      <c r="A1351">
        <v>2004</v>
      </c>
      <c r="B1351">
        <v>3903</v>
      </c>
      <c r="C1351" t="s">
        <v>5645</v>
      </c>
      <c r="D1351" t="s">
        <v>5509</v>
      </c>
      <c r="E1351">
        <v>324110</v>
      </c>
      <c r="F1351" t="s">
        <v>95</v>
      </c>
      <c r="G1351" t="s">
        <v>96</v>
      </c>
      <c r="H1351" t="s">
        <v>85</v>
      </c>
      <c r="I1351" t="s">
        <v>622</v>
      </c>
      <c r="J1351" t="s">
        <v>623</v>
      </c>
      <c r="K1351" t="s">
        <v>624</v>
      </c>
      <c r="L1351" t="s">
        <v>5183</v>
      </c>
      <c r="M1351" t="s">
        <v>5184</v>
      </c>
      <c r="N1351" t="s">
        <v>5195</v>
      </c>
      <c r="O1351" t="s">
        <v>5196</v>
      </c>
      <c r="P1351">
        <v>100.02500000000001</v>
      </c>
      <c r="Q1351" t="s">
        <v>40</v>
      </c>
      <c r="R1351" t="s">
        <v>30</v>
      </c>
      <c r="S1351" t="s">
        <v>6938</v>
      </c>
    </row>
    <row r="1352" spans="1:19" x14ac:dyDescent="0.25">
      <c r="A1352">
        <v>2022</v>
      </c>
      <c r="B1352">
        <v>4566</v>
      </c>
      <c r="C1352" t="s">
        <v>5646</v>
      </c>
      <c r="D1352" t="s">
        <v>2298</v>
      </c>
      <c r="E1352">
        <v>211110</v>
      </c>
      <c r="F1352" t="s">
        <v>233</v>
      </c>
      <c r="G1352" t="s">
        <v>234</v>
      </c>
      <c r="H1352" t="s">
        <v>85</v>
      </c>
      <c r="I1352" t="s">
        <v>70</v>
      </c>
      <c r="J1352" t="s">
        <v>71</v>
      </c>
      <c r="K1352" t="s">
        <v>72</v>
      </c>
      <c r="L1352" t="s">
        <v>5167</v>
      </c>
      <c r="M1352" t="s">
        <v>5168</v>
      </c>
      <c r="N1352" t="s">
        <v>5169</v>
      </c>
      <c r="O1352" t="s">
        <v>5170</v>
      </c>
      <c r="P1352">
        <v>7.8838000000000005E-2</v>
      </c>
      <c r="Q1352" t="s">
        <v>29</v>
      </c>
      <c r="R1352" t="s">
        <v>30</v>
      </c>
      <c r="S1352" t="s">
        <v>6938</v>
      </c>
    </row>
    <row r="1353" spans="1:19" x14ac:dyDescent="0.25">
      <c r="A1353">
        <v>2000</v>
      </c>
      <c r="B1353">
        <v>3266</v>
      </c>
      <c r="C1353" t="s">
        <v>5647</v>
      </c>
      <c r="D1353" t="s">
        <v>5648</v>
      </c>
      <c r="E1353">
        <v>327120</v>
      </c>
      <c r="F1353" t="s">
        <v>5649</v>
      </c>
      <c r="G1353" t="s">
        <v>5650</v>
      </c>
      <c r="H1353" t="s">
        <v>21</v>
      </c>
      <c r="I1353" t="s">
        <v>209</v>
      </c>
      <c r="J1353" t="s">
        <v>210</v>
      </c>
      <c r="K1353" t="s">
        <v>211</v>
      </c>
      <c r="L1353" t="s">
        <v>5167</v>
      </c>
      <c r="M1353" t="s">
        <v>5168</v>
      </c>
      <c r="N1353" t="s">
        <v>5169</v>
      </c>
      <c r="O1353" t="s">
        <v>5170</v>
      </c>
      <c r="P1353">
        <v>0.71899999999999997</v>
      </c>
      <c r="Q1353" t="s">
        <v>29</v>
      </c>
      <c r="R1353" t="s">
        <v>442</v>
      </c>
      <c r="S1353" t="s">
        <v>6938</v>
      </c>
    </row>
    <row r="1354" spans="1:19" x14ac:dyDescent="0.25">
      <c r="A1354">
        <v>2021</v>
      </c>
      <c r="B1354">
        <v>22100</v>
      </c>
      <c r="C1354" t="s">
        <v>4250</v>
      </c>
      <c r="D1354" t="s">
        <v>5651</v>
      </c>
      <c r="E1354">
        <v>562210</v>
      </c>
      <c r="F1354" t="s">
        <v>84</v>
      </c>
      <c r="G1354" t="s">
        <v>53</v>
      </c>
      <c r="H1354" t="s">
        <v>85</v>
      </c>
      <c r="I1354" t="s">
        <v>55</v>
      </c>
      <c r="J1354" t="s">
        <v>56</v>
      </c>
      <c r="K1354" t="s">
        <v>57</v>
      </c>
      <c r="L1354" t="s">
        <v>5183</v>
      </c>
      <c r="M1354" t="s">
        <v>5184</v>
      </c>
      <c r="N1354" t="s">
        <v>5195</v>
      </c>
      <c r="O1354" t="s">
        <v>5196</v>
      </c>
      <c r="P1354">
        <v>117.93322000000001</v>
      </c>
      <c r="Q1354" t="s">
        <v>29</v>
      </c>
      <c r="R1354" t="s">
        <v>50</v>
      </c>
      <c r="S1354" t="s">
        <v>6938</v>
      </c>
    </row>
    <row r="1355" spans="1:19" x14ac:dyDescent="0.25">
      <c r="A1355">
        <v>2012</v>
      </c>
      <c r="B1355">
        <v>6093</v>
      </c>
      <c r="C1355" t="s">
        <v>5471</v>
      </c>
      <c r="D1355" t="s">
        <v>5652</v>
      </c>
      <c r="E1355">
        <v>212232</v>
      </c>
      <c r="F1355" t="s">
        <v>2003</v>
      </c>
      <c r="G1355" t="s">
        <v>2004</v>
      </c>
      <c r="H1355" t="s">
        <v>1625</v>
      </c>
      <c r="I1355" t="s">
        <v>136</v>
      </c>
      <c r="J1355" t="s">
        <v>137</v>
      </c>
      <c r="K1355" t="s">
        <v>138</v>
      </c>
      <c r="L1355" t="s">
        <v>5183</v>
      </c>
      <c r="M1355" t="s">
        <v>5184</v>
      </c>
      <c r="N1355" t="s">
        <v>5185</v>
      </c>
      <c r="O1355" t="s">
        <v>5186</v>
      </c>
      <c r="P1355">
        <v>1352.2449999999999</v>
      </c>
      <c r="Q1355" t="s">
        <v>29</v>
      </c>
      <c r="R1355" t="s">
        <v>124</v>
      </c>
      <c r="S1355" t="s">
        <v>6938</v>
      </c>
    </row>
    <row r="1356" spans="1:19" x14ac:dyDescent="0.25">
      <c r="A1356">
        <v>2010</v>
      </c>
      <c r="B1356">
        <v>10237</v>
      </c>
      <c r="C1356" t="s">
        <v>125</v>
      </c>
      <c r="D1356" t="s">
        <v>542</v>
      </c>
      <c r="E1356">
        <v>412110</v>
      </c>
      <c r="F1356" t="s">
        <v>346</v>
      </c>
      <c r="G1356" t="s">
        <v>347</v>
      </c>
      <c r="H1356" t="s">
        <v>54</v>
      </c>
      <c r="I1356" t="s">
        <v>70</v>
      </c>
      <c r="J1356" t="s">
        <v>71</v>
      </c>
      <c r="K1356" t="s">
        <v>72</v>
      </c>
      <c r="L1356" t="s">
        <v>5167</v>
      </c>
      <c r="M1356" t="s">
        <v>5168</v>
      </c>
      <c r="N1356" t="s">
        <v>5169</v>
      </c>
      <c r="O1356" t="s">
        <v>5170</v>
      </c>
      <c r="P1356">
        <v>6.88E-2</v>
      </c>
      <c r="Q1356" t="s">
        <v>29</v>
      </c>
      <c r="R1356" t="s">
        <v>30</v>
      </c>
      <c r="S1356" t="s">
        <v>6938</v>
      </c>
    </row>
    <row r="1357" spans="1:19" x14ac:dyDescent="0.25">
      <c r="A1357">
        <v>2002</v>
      </c>
      <c r="B1357">
        <v>2512</v>
      </c>
      <c r="C1357" t="s">
        <v>5653</v>
      </c>
      <c r="D1357" t="s">
        <v>5654</v>
      </c>
      <c r="E1357">
        <v>326220</v>
      </c>
      <c r="F1357" t="s">
        <v>802</v>
      </c>
      <c r="G1357" t="s">
        <v>803</v>
      </c>
      <c r="H1357" t="s">
        <v>21</v>
      </c>
      <c r="I1357" t="s">
        <v>152</v>
      </c>
      <c r="J1357" t="s">
        <v>153</v>
      </c>
      <c r="K1357" t="s">
        <v>154</v>
      </c>
      <c r="L1357" t="s">
        <v>5167</v>
      </c>
      <c r="M1357" t="s">
        <v>5168</v>
      </c>
      <c r="N1357" t="s">
        <v>5169</v>
      </c>
      <c r="O1357" t="s">
        <v>5170</v>
      </c>
      <c r="P1357">
        <v>0.23300000000000001</v>
      </c>
      <c r="Q1357" t="s">
        <v>29</v>
      </c>
      <c r="R1357" t="s">
        <v>30</v>
      </c>
      <c r="S1357" t="s">
        <v>6938</v>
      </c>
    </row>
    <row r="1358" spans="1:19" x14ac:dyDescent="0.25">
      <c r="A1358">
        <v>2019</v>
      </c>
      <c r="B1358">
        <v>29805</v>
      </c>
      <c r="C1358" t="s">
        <v>5655</v>
      </c>
      <c r="D1358" t="s">
        <v>5656</v>
      </c>
      <c r="E1358">
        <v>486110</v>
      </c>
      <c r="F1358" t="s">
        <v>1616</v>
      </c>
      <c r="G1358" t="s">
        <v>541</v>
      </c>
      <c r="H1358" t="s">
        <v>54</v>
      </c>
      <c r="I1358" t="s">
        <v>491</v>
      </c>
      <c r="J1358" t="s">
        <v>492</v>
      </c>
      <c r="K1358" t="s">
        <v>492</v>
      </c>
      <c r="L1358" t="s">
        <v>5167</v>
      </c>
      <c r="M1358" t="s">
        <v>5168</v>
      </c>
      <c r="N1358" t="s">
        <v>5169</v>
      </c>
      <c r="O1358" t="s">
        <v>5170</v>
      </c>
      <c r="P1358">
        <v>7.0000000000000001E-3</v>
      </c>
      <c r="Q1358" t="s">
        <v>29</v>
      </c>
      <c r="R1358" t="s">
        <v>30</v>
      </c>
      <c r="S1358" t="s">
        <v>6938</v>
      </c>
    </row>
    <row r="1359" spans="1:19" x14ac:dyDescent="0.25">
      <c r="A1359">
        <v>2013</v>
      </c>
      <c r="B1359">
        <v>2587</v>
      </c>
      <c r="C1359" t="s">
        <v>936</v>
      </c>
      <c r="D1359" t="s">
        <v>937</v>
      </c>
      <c r="E1359">
        <v>322121</v>
      </c>
      <c r="F1359" t="s">
        <v>938</v>
      </c>
      <c r="G1359" t="s">
        <v>765</v>
      </c>
      <c r="H1359" t="s">
        <v>79</v>
      </c>
      <c r="I1359" t="s">
        <v>35</v>
      </c>
      <c r="J1359" t="s">
        <v>36</v>
      </c>
      <c r="K1359" t="s">
        <v>37</v>
      </c>
      <c r="L1359" t="s">
        <v>5167</v>
      </c>
      <c r="M1359" t="s">
        <v>5168</v>
      </c>
      <c r="N1359" t="s">
        <v>5175</v>
      </c>
      <c r="O1359" t="s">
        <v>5176</v>
      </c>
      <c r="P1359">
        <v>43.003999999999998</v>
      </c>
      <c r="Q1359" t="s">
        <v>40</v>
      </c>
      <c r="R1359" t="s">
        <v>124</v>
      </c>
      <c r="S1359" t="s">
        <v>6938</v>
      </c>
    </row>
    <row r="1360" spans="1:19" x14ac:dyDescent="0.25">
      <c r="A1360">
        <v>2004</v>
      </c>
      <c r="B1360">
        <v>1861</v>
      </c>
      <c r="C1360" t="s">
        <v>909</v>
      </c>
      <c r="D1360" t="s">
        <v>825</v>
      </c>
      <c r="E1360">
        <v>221112</v>
      </c>
      <c r="F1360" t="s">
        <v>134</v>
      </c>
      <c r="G1360" t="s">
        <v>135</v>
      </c>
      <c r="H1360" t="s">
        <v>21</v>
      </c>
      <c r="I1360" t="s">
        <v>106</v>
      </c>
      <c r="J1360" t="s">
        <v>107</v>
      </c>
      <c r="K1360" t="s">
        <v>108</v>
      </c>
      <c r="L1360" t="s">
        <v>5183</v>
      </c>
      <c r="M1360" t="s">
        <v>5184</v>
      </c>
      <c r="N1360" t="s">
        <v>5169</v>
      </c>
      <c r="O1360" t="s">
        <v>5170</v>
      </c>
      <c r="P1360">
        <v>91</v>
      </c>
      <c r="Q1360" t="s">
        <v>40</v>
      </c>
      <c r="R1360" t="s">
        <v>50</v>
      </c>
      <c r="S1360" t="s">
        <v>6938</v>
      </c>
    </row>
    <row r="1361" spans="1:19" x14ac:dyDescent="0.25">
      <c r="A1361">
        <v>2002</v>
      </c>
      <c r="B1361">
        <v>4138</v>
      </c>
      <c r="C1361" t="s">
        <v>5657</v>
      </c>
      <c r="D1361" t="s">
        <v>5658</v>
      </c>
      <c r="E1361">
        <v>211113</v>
      </c>
      <c r="F1361" t="s">
        <v>425</v>
      </c>
      <c r="G1361" t="s">
        <v>426</v>
      </c>
      <c r="H1361" t="s">
        <v>85</v>
      </c>
      <c r="I1361" t="s">
        <v>331</v>
      </c>
      <c r="J1361" t="s">
        <v>332</v>
      </c>
      <c r="K1361" t="s">
        <v>333</v>
      </c>
      <c r="L1361" t="s">
        <v>5183</v>
      </c>
      <c r="M1361" t="s">
        <v>5184</v>
      </c>
      <c r="N1361" t="s">
        <v>5195</v>
      </c>
      <c r="O1361" t="s">
        <v>5196</v>
      </c>
      <c r="P1361">
        <v>19.2</v>
      </c>
      <c r="Q1361" t="s">
        <v>29</v>
      </c>
      <c r="R1361" t="s">
        <v>30</v>
      </c>
      <c r="S1361" t="s">
        <v>6938</v>
      </c>
    </row>
    <row r="1362" spans="1:19" x14ac:dyDescent="0.25">
      <c r="A1362">
        <v>1993</v>
      </c>
      <c r="B1362">
        <v>2129</v>
      </c>
      <c r="C1362" t="s">
        <v>5659</v>
      </c>
      <c r="E1362">
        <v>321114</v>
      </c>
      <c r="F1362" t="s">
        <v>365</v>
      </c>
      <c r="G1362" t="s">
        <v>366</v>
      </c>
      <c r="H1362" t="s">
        <v>21</v>
      </c>
      <c r="I1362" t="s">
        <v>177</v>
      </c>
      <c r="J1362" t="s">
        <v>178</v>
      </c>
      <c r="K1362" t="s">
        <v>179</v>
      </c>
      <c r="L1362" t="s">
        <v>5167</v>
      </c>
      <c r="M1362" t="s">
        <v>5168</v>
      </c>
      <c r="N1362" t="s">
        <v>5169</v>
      </c>
      <c r="O1362" t="s">
        <v>5170</v>
      </c>
      <c r="P1362">
        <v>0.50700000000000001</v>
      </c>
      <c r="Q1362" t="s">
        <v>29</v>
      </c>
      <c r="S1362" t="s">
        <v>6938</v>
      </c>
    </row>
    <row r="1363" spans="1:19" x14ac:dyDescent="0.25">
      <c r="A1363">
        <v>2008</v>
      </c>
      <c r="B1363">
        <v>3897</v>
      </c>
      <c r="C1363" t="s">
        <v>5645</v>
      </c>
      <c r="D1363" t="s">
        <v>5660</v>
      </c>
      <c r="E1363">
        <v>324110</v>
      </c>
      <c r="F1363" t="s">
        <v>95</v>
      </c>
      <c r="G1363" t="s">
        <v>96</v>
      </c>
      <c r="H1363" t="s">
        <v>79</v>
      </c>
      <c r="I1363" t="s">
        <v>152</v>
      </c>
      <c r="J1363" t="s">
        <v>153</v>
      </c>
      <c r="K1363" t="s">
        <v>154</v>
      </c>
      <c r="L1363" t="s">
        <v>5167</v>
      </c>
      <c r="M1363" t="s">
        <v>5168</v>
      </c>
      <c r="N1363" t="s">
        <v>5223</v>
      </c>
      <c r="O1363" t="s">
        <v>5224</v>
      </c>
      <c r="P1363">
        <v>1.4999999999999999E-2</v>
      </c>
      <c r="Q1363" t="s">
        <v>29</v>
      </c>
      <c r="R1363" t="s">
        <v>30</v>
      </c>
      <c r="S1363" t="s">
        <v>6938</v>
      </c>
    </row>
    <row r="1364" spans="1:19" x14ac:dyDescent="0.25">
      <c r="A1364">
        <v>2012</v>
      </c>
      <c r="B1364">
        <v>6907</v>
      </c>
      <c r="C1364" t="s">
        <v>2064</v>
      </c>
      <c r="D1364" t="s">
        <v>534</v>
      </c>
      <c r="E1364">
        <v>486110</v>
      </c>
      <c r="F1364" t="s">
        <v>1616</v>
      </c>
      <c r="G1364" t="s">
        <v>541</v>
      </c>
      <c r="H1364" t="s">
        <v>85</v>
      </c>
      <c r="I1364" t="s">
        <v>70</v>
      </c>
      <c r="J1364" t="s">
        <v>71</v>
      </c>
      <c r="K1364" t="s">
        <v>72</v>
      </c>
      <c r="L1364" t="s">
        <v>5167</v>
      </c>
      <c r="M1364" t="s">
        <v>5168</v>
      </c>
      <c r="N1364" t="s">
        <v>5169</v>
      </c>
      <c r="O1364" t="s">
        <v>5170</v>
      </c>
      <c r="P1364">
        <v>1.1619999999999999</v>
      </c>
      <c r="Q1364" t="s">
        <v>29</v>
      </c>
      <c r="R1364" t="s">
        <v>30</v>
      </c>
      <c r="S1364" t="s">
        <v>6938</v>
      </c>
    </row>
    <row r="1365" spans="1:19" x14ac:dyDescent="0.25">
      <c r="A1365">
        <v>2014</v>
      </c>
      <c r="B1365">
        <v>20030</v>
      </c>
      <c r="C1365" t="s">
        <v>5661</v>
      </c>
      <c r="D1365" t="s">
        <v>5662</v>
      </c>
      <c r="E1365">
        <v>336410</v>
      </c>
      <c r="F1365" t="s">
        <v>280</v>
      </c>
      <c r="G1365" t="s">
        <v>261</v>
      </c>
      <c r="H1365" t="s">
        <v>69</v>
      </c>
      <c r="I1365" t="s">
        <v>324</v>
      </c>
      <c r="J1365" t="s">
        <v>325</v>
      </c>
      <c r="K1365" t="s">
        <v>326</v>
      </c>
      <c r="L1365" t="s">
        <v>5167</v>
      </c>
      <c r="M1365" t="s">
        <v>5168</v>
      </c>
      <c r="N1365" t="s">
        <v>5175</v>
      </c>
      <c r="O1365" t="s">
        <v>5176</v>
      </c>
      <c r="P1365">
        <v>8.0934000000000008</v>
      </c>
      <c r="Q1365" t="s">
        <v>40</v>
      </c>
      <c r="R1365" t="s">
        <v>124</v>
      </c>
      <c r="S1365" t="s">
        <v>6938</v>
      </c>
    </row>
    <row r="1366" spans="1:19" x14ac:dyDescent="0.25">
      <c r="A1366">
        <v>1993</v>
      </c>
      <c r="B1366">
        <v>3877</v>
      </c>
      <c r="C1366" t="s">
        <v>5663</v>
      </c>
      <c r="D1366" t="s">
        <v>5664</v>
      </c>
      <c r="E1366">
        <v>326220</v>
      </c>
      <c r="F1366" t="s">
        <v>802</v>
      </c>
      <c r="G1366" t="s">
        <v>803</v>
      </c>
      <c r="H1366" t="s">
        <v>21</v>
      </c>
      <c r="I1366" t="s">
        <v>5665</v>
      </c>
      <c r="J1366" t="s">
        <v>5666</v>
      </c>
      <c r="K1366" t="s">
        <v>5667</v>
      </c>
      <c r="L1366" t="s">
        <v>5167</v>
      </c>
      <c r="M1366" t="s">
        <v>5168</v>
      </c>
      <c r="N1366" t="s">
        <v>5169</v>
      </c>
      <c r="O1366" t="s">
        <v>5170</v>
      </c>
      <c r="P1366">
        <v>1.9E-2</v>
      </c>
      <c r="Q1366" t="s">
        <v>29</v>
      </c>
      <c r="S1366" t="s">
        <v>6938</v>
      </c>
    </row>
    <row r="1367" spans="1:19" x14ac:dyDescent="0.25">
      <c r="A1367">
        <v>2005</v>
      </c>
      <c r="B1367">
        <v>2924</v>
      </c>
      <c r="C1367" t="s">
        <v>5468</v>
      </c>
      <c r="D1367" t="s">
        <v>5668</v>
      </c>
      <c r="E1367">
        <v>322112</v>
      </c>
      <c r="F1367" t="s">
        <v>620</v>
      </c>
      <c r="G1367" t="s">
        <v>621</v>
      </c>
      <c r="H1367" t="s">
        <v>69</v>
      </c>
      <c r="I1367" t="s">
        <v>469</v>
      </c>
      <c r="J1367" t="s">
        <v>470</v>
      </c>
      <c r="K1367" t="s">
        <v>471</v>
      </c>
      <c r="L1367" t="s">
        <v>5167</v>
      </c>
      <c r="M1367" t="s">
        <v>5168</v>
      </c>
      <c r="N1367" t="s">
        <v>5169</v>
      </c>
      <c r="O1367" t="s">
        <v>5170</v>
      </c>
      <c r="P1367">
        <v>2.74</v>
      </c>
      <c r="Q1367" t="s">
        <v>40</v>
      </c>
      <c r="R1367" t="s">
        <v>430</v>
      </c>
      <c r="S1367" t="s">
        <v>6938</v>
      </c>
    </row>
    <row r="1368" spans="1:19" x14ac:dyDescent="0.25">
      <c r="A1368">
        <v>2009</v>
      </c>
      <c r="B1368">
        <v>3710</v>
      </c>
      <c r="C1368" t="s">
        <v>125</v>
      </c>
      <c r="D1368" t="s">
        <v>5669</v>
      </c>
      <c r="E1368">
        <v>412110</v>
      </c>
      <c r="F1368" t="s">
        <v>346</v>
      </c>
      <c r="G1368" t="s">
        <v>347</v>
      </c>
      <c r="H1368" t="s">
        <v>69</v>
      </c>
      <c r="I1368" t="s">
        <v>491</v>
      </c>
      <c r="J1368" t="s">
        <v>492</v>
      </c>
      <c r="K1368" t="s">
        <v>492</v>
      </c>
      <c r="L1368" t="s">
        <v>5167</v>
      </c>
      <c r="M1368" t="s">
        <v>5168</v>
      </c>
      <c r="N1368" t="s">
        <v>5223</v>
      </c>
      <c r="O1368" t="s">
        <v>5224</v>
      </c>
      <c r="P1368">
        <v>0.13700000000000001</v>
      </c>
      <c r="Q1368" t="s">
        <v>29</v>
      </c>
      <c r="R1368" t="s">
        <v>30</v>
      </c>
      <c r="S1368" t="s">
        <v>6938</v>
      </c>
    </row>
    <row r="1369" spans="1:19" x14ac:dyDescent="0.25">
      <c r="A1369">
        <v>2001</v>
      </c>
      <c r="B1369">
        <v>5647</v>
      </c>
      <c r="C1369" t="s">
        <v>1166</v>
      </c>
      <c r="D1369" t="s">
        <v>1313</v>
      </c>
      <c r="E1369">
        <v>562210</v>
      </c>
      <c r="F1369" t="s">
        <v>52</v>
      </c>
      <c r="G1369" t="s">
        <v>53</v>
      </c>
      <c r="H1369" t="s">
        <v>21</v>
      </c>
      <c r="I1369" t="s">
        <v>22</v>
      </c>
      <c r="J1369" t="s">
        <v>23</v>
      </c>
      <c r="K1369" t="s">
        <v>24</v>
      </c>
      <c r="L1369" t="s">
        <v>5167</v>
      </c>
      <c r="M1369" t="s">
        <v>5168</v>
      </c>
      <c r="N1369" t="s">
        <v>5223</v>
      </c>
      <c r="O1369" t="s">
        <v>5224</v>
      </c>
      <c r="P1369">
        <v>0.67</v>
      </c>
      <c r="Q1369" t="s">
        <v>29</v>
      </c>
      <c r="R1369" t="s">
        <v>442</v>
      </c>
      <c r="S1369" t="s">
        <v>6938</v>
      </c>
    </row>
    <row r="1370" spans="1:19" x14ac:dyDescent="0.25">
      <c r="A1370">
        <v>2004</v>
      </c>
      <c r="B1370">
        <v>2134</v>
      </c>
      <c r="C1370" t="s">
        <v>1697</v>
      </c>
      <c r="D1370" t="s">
        <v>5670</v>
      </c>
      <c r="E1370">
        <v>325313</v>
      </c>
      <c r="F1370" t="s">
        <v>1585</v>
      </c>
      <c r="G1370" t="s">
        <v>1055</v>
      </c>
      <c r="H1370" t="s">
        <v>85</v>
      </c>
      <c r="I1370" t="s">
        <v>331</v>
      </c>
      <c r="J1370" t="s">
        <v>332</v>
      </c>
      <c r="K1370" t="s">
        <v>333</v>
      </c>
      <c r="L1370" t="s">
        <v>5183</v>
      </c>
      <c r="M1370" t="s">
        <v>5184</v>
      </c>
      <c r="N1370" t="s">
        <v>5195</v>
      </c>
      <c r="O1370" t="s">
        <v>5196</v>
      </c>
      <c r="P1370">
        <v>0</v>
      </c>
      <c r="Q1370" t="s">
        <v>29</v>
      </c>
      <c r="R1370" t="s">
        <v>50</v>
      </c>
      <c r="S1370" t="s">
        <v>6938</v>
      </c>
    </row>
    <row r="1371" spans="1:19" x14ac:dyDescent="0.25">
      <c r="A1371">
        <v>2005</v>
      </c>
      <c r="B1371">
        <v>1195</v>
      </c>
      <c r="C1371" t="s">
        <v>5587</v>
      </c>
      <c r="D1371" t="s">
        <v>5671</v>
      </c>
      <c r="E1371">
        <v>322112</v>
      </c>
      <c r="F1371" t="s">
        <v>620</v>
      </c>
      <c r="G1371" t="s">
        <v>621</v>
      </c>
      <c r="H1371" t="s">
        <v>79</v>
      </c>
      <c r="I1371" t="s">
        <v>469</v>
      </c>
      <c r="J1371" t="s">
        <v>470</v>
      </c>
      <c r="K1371" t="s">
        <v>471</v>
      </c>
      <c r="L1371" t="s">
        <v>5183</v>
      </c>
      <c r="M1371" t="s">
        <v>5184</v>
      </c>
      <c r="N1371" t="s">
        <v>5175</v>
      </c>
      <c r="O1371" t="s">
        <v>5176</v>
      </c>
      <c r="P1371">
        <v>0.09</v>
      </c>
      <c r="Q1371" t="s">
        <v>40</v>
      </c>
      <c r="R1371" t="s">
        <v>430</v>
      </c>
      <c r="S1371" t="s">
        <v>6938</v>
      </c>
    </row>
    <row r="1372" spans="1:19" x14ac:dyDescent="0.25">
      <c r="A1372">
        <v>1999</v>
      </c>
      <c r="B1372">
        <v>2984</v>
      </c>
      <c r="C1372" t="s">
        <v>2299</v>
      </c>
      <c r="D1372" t="s">
        <v>2300</v>
      </c>
      <c r="E1372">
        <v>331110</v>
      </c>
      <c r="F1372" t="s">
        <v>335</v>
      </c>
      <c r="G1372" t="s">
        <v>336</v>
      </c>
      <c r="H1372" t="s">
        <v>21</v>
      </c>
      <c r="I1372" t="s">
        <v>5672</v>
      </c>
      <c r="J1372" t="s">
        <v>5673</v>
      </c>
      <c r="K1372" t="s">
        <v>5674</v>
      </c>
      <c r="L1372" t="s">
        <v>5167</v>
      </c>
      <c r="M1372" t="s">
        <v>5168</v>
      </c>
      <c r="N1372" t="s">
        <v>5169</v>
      </c>
      <c r="O1372" t="s">
        <v>5170</v>
      </c>
      <c r="P1372">
        <v>0.8</v>
      </c>
      <c r="Q1372" t="s">
        <v>29</v>
      </c>
      <c r="R1372" t="s">
        <v>204</v>
      </c>
      <c r="S1372" t="s">
        <v>6938</v>
      </c>
    </row>
    <row r="1373" spans="1:19" x14ac:dyDescent="0.25">
      <c r="A1373">
        <v>2015</v>
      </c>
      <c r="B1373">
        <v>15778</v>
      </c>
      <c r="C1373" t="s">
        <v>1027</v>
      </c>
      <c r="D1373" t="s">
        <v>5675</v>
      </c>
      <c r="E1373">
        <v>211114</v>
      </c>
      <c r="F1373" t="s">
        <v>956</v>
      </c>
      <c r="G1373" t="s">
        <v>836</v>
      </c>
      <c r="H1373" t="s">
        <v>243</v>
      </c>
      <c r="I1373" t="s">
        <v>1549</v>
      </c>
      <c r="J1373" t="s">
        <v>1550</v>
      </c>
      <c r="K1373" t="s">
        <v>1551</v>
      </c>
      <c r="L1373" t="s">
        <v>5183</v>
      </c>
      <c r="M1373" t="s">
        <v>5184</v>
      </c>
      <c r="N1373" t="s">
        <v>5195</v>
      </c>
      <c r="O1373" t="s">
        <v>5196</v>
      </c>
      <c r="P1373">
        <v>29.279</v>
      </c>
      <c r="Q1373" t="s">
        <v>29</v>
      </c>
      <c r="R1373" t="s">
        <v>157</v>
      </c>
      <c r="S1373" t="s">
        <v>6938</v>
      </c>
    </row>
    <row r="1374" spans="1:19" x14ac:dyDescent="0.25">
      <c r="A1374">
        <v>2014</v>
      </c>
      <c r="B1374">
        <v>1340</v>
      </c>
      <c r="C1374" t="s">
        <v>212</v>
      </c>
      <c r="D1374" t="s">
        <v>213</v>
      </c>
      <c r="E1374">
        <v>221320</v>
      </c>
      <c r="F1374" t="s">
        <v>146</v>
      </c>
      <c r="G1374" t="s">
        <v>147</v>
      </c>
      <c r="H1374" t="s">
        <v>69</v>
      </c>
      <c r="I1374" t="s">
        <v>35</v>
      </c>
      <c r="J1374" t="s">
        <v>36</v>
      </c>
      <c r="K1374" t="s">
        <v>37</v>
      </c>
      <c r="L1374" t="s">
        <v>5167</v>
      </c>
      <c r="M1374" t="s">
        <v>5168</v>
      </c>
      <c r="N1374" t="s">
        <v>5169</v>
      </c>
      <c r="O1374" t="s">
        <v>5170</v>
      </c>
      <c r="P1374">
        <v>25.971800000000002</v>
      </c>
      <c r="Q1374" t="s">
        <v>40</v>
      </c>
      <c r="R1374" t="s">
        <v>124</v>
      </c>
      <c r="S1374" t="s">
        <v>6938</v>
      </c>
    </row>
    <row r="1375" spans="1:19" x14ac:dyDescent="0.25">
      <c r="A1375">
        <v>2022</v>
      </c>
      <c r="B1375">
        <v>683</v>
      </c>
      <c r="C1375" t="s">
        <v>1937</v>
      </c>
      <c r="D1375" t="s">
        <v>1632</v>
      </c>
      <c r="E1375">
        <v>211110</v>
      </c>
      <c r="F1375" t="s">
        <v>233</v>
      </c>
      <c r="G1375" t="s">
        <v>234</v>
      </c>
      <c r="H1375" t="s">
        <v>85</v>
      </c>
      <c r="I1375" t="s">
        <v>271</v>
      </c>
      <c r="J1375" t="s">
        <v>272</v>
      </c>
      <c r="K1375" t="s">
        <v>273</v>
      </c>
      <c r="L1375" t="s">
        <v>5183</v>
      </c>
      <c r="M1375" t="s">
        <v>5184</v>
      </c>
      <c r="N1375" t="s">
        <v>5195</v>
      </c>
      <c r="O1375" t="s">
        <v>5196</v>
      </c>
      <c r="P1375">
        <v>3.4209999999999998</v>
      </c>
      <c r="Q1375" t="s">
        <v>29</v>
      </c>
      <c r="R1375" t="s">
        <v>50</v>
      </c>
      <c r="S1375" t="s">
        <v>6938</v>
      </c>
    </row>
    <row r="1376" spans="1:19" x14ac:dyDescent="0.25">
      <c r="A1376">
        <v>2004</v>
      </c>
      <c r="B1376">
        <v>6370</v>
      </c>
      <c r="C1376" t="s">
        <v>5676</v>
      </c>
      <c r="D1376" t="s">
        <v>5677</v>
      </c>
      <c r="E1376">
        <v>562990</v>
      </c>
      <c r="F1376" t="s">
        <v>104</v>
      </c>
      <c r="G1376" t="s">
        <v>105</v>
      </c>
      <c r="H1376" t="s">
        <v>79</v>
      </c>
      <c r="I1376" t="s">
        <v>913</v>
      </c>
      <c r="J1376" t="s">
        <v>914</v>
      </c>
      <c r="K1376" t="s">
        <v>915</v>
      </c>
      <c r="L1376" t="s">
        <v>5183</v>
      </c>
      <c r="M1376" t="s">
        <v>5184</v>
      </c>
      <c r="N1376" t="s">
        <v>5169</v>
      </c>
      <c r="O1376" t="s">
        <v>5170</v>
      </c>
      <c r="P1376">
        <v>4167.43</v>
      </c>
      <c r="Q1376" t="s">
        <v>29</v>
      </c>
      <c r="R1376" t="s">
        <v>50</v>
      </c>
      <c r="S1376" t="s">
        <v>6938</v>
      </c>
    </row>
    <row r="1377" spans="1:19" x14ac:dyDescent="0.25">
      <c r="A1377">
        <v>2008</v>
      </c>
      <c r="B1377">
        <v>7858</v>
      </c>
      <c r="C1377" t="s">
        <v>5352</v>
      </c>
      <c r="D1377" t="s">
        <v>5353</v>
      </c>
      <c r="E1377">
        <v>221320</v>
      </c>
      <c r="F1377" t="s">
        <v>390</v>
      </c>
      <c r="G1377" t="s">
        <v>147</v>
      </c>
      <c r="H1377" t="s">
        <v>69</v>
      </c>
      <c r="I1377" t="s">
        <v>97</v>
      </c>
      <c r="J1377" t="s">
        <v>98</v>
      </c>
      <c r="K1377" t="s">
        <v>99</v>
      </c>
      <c r="L1377" t="s">
        <v>5167</v>
      </c>
      <c r="M1377" t="s">
        <v>5168</v>
      </c>
      <c r="N1377" t="s">
        <v>5175</v>
      </c>
      <c r="O1377" t="s">
        <v>5176</v>
      </c>
      <c r="P1377">
        <v>0.91700000000000004</v>
      </c>
      <c r="Q1377" t="s">
        <v>29</v>
      </c>
      <c r="R1377" t="s">
        <v>124</v>
      </c>
      <c r="S1377" t="s">
        <v>6938</v>
      </c>
    </row>
    <row r="1378" spans="1:19" x14ac:dyDescent="0.25">
      <c r="A1378">
        <v>2021</v>
      </c>
      <c r="B1378">
        <v>23273</v>
      </c>
      <c r="C1378" t="s">
        <v>5678</v>
      </c>
      <c r="D1378" t="s">
        <v>5679</v>
      </c>
      <c r="E1378">
        <v>212220</v>
      </c>
      <c r="F1378" t="s">
        <v>1619</v>
      </c>
      <c r="G1378" t="s">
        <v>1620</v>
      </c>
      <c r="H1378" t="s">
        <v>243</v>
      </c>
      <c r="I1378" t="s">
        <v>97</v>
      </c>
      <c r="J1378" t="s">
        <v>98</v>
      </c>
      <c r="K1378" t="s">
        <v>99</v>
      </c>
      <c r="L1378" t="s">
        <v>5183</v>
      </c>
      <c r="M1378" t="s">
        <v>5184</v>
      </c>
      <c r="N1378" t="s">
        <v>5185</v>
      </c>
      <c r="O1378" t="s">
        <v>5186</v>
      </c>
      <c r="P1378">
        <v>237.13</v>
      </c>
      <c r="Q1378" t="s">
        <v>29</v>
      </c>
      <c r="R1378" t="s">
        <v>124</v>
      </c>
      <c r="S1378" t="s">
        <v>6938</v>
      </c>
    </row>
    <row r="1379" spans="1:19" x14ac:dyDescent="0.25">
      <c r="A1379">
        <v>2019</v>
      </c>
      <c r="B1379">
        <v>29897</v>
      </c>
      <c r="C1379" t="s">
        <v>1773</v>
      </c>
      <c r="D1379" t="s">
        <v>1774</v>
      </c>
      <c r="E1379">
        <v>212220</v>
      </c>
      <c r="F1379" t="s">
        <v>1619</v>
      </c>
      <c r="G1379" t="s">
        <v>1620</v>
      </c>
      <c r="H1379" t="s">
        <v>21</v>
      </c>
      <c r="I1379" t="s">
        <v>62</v>
      </c>
      <c r="J1379" t="s">
        <v>63</v>
      </c>
      <c r="K1379" t="s">
        <v>64</v>
      </c>
      <c r="L1379" t="s">
        <v>5183</v>
      </c>
      <c r="M1379" t="s">
        <v>5184</v>
      </c>
      <c r="N1379" t="s">
        <v>5260</v>
      </c>
      <c r="O1379" t="s">
        <v>5261</v>
      </c>
      <c r="P1379">
        <v>3.91</v>
      </c>
      <c r="Q1379" t="s">
        <v>29</v>
      </c>
      <c r="R1379" t="s">
        <v>30</v>
      </c>
      <c r="S1379" t="s">
        <v>6938</v>
      </c>
    </row>
    <row r="1380" spans="1:19" x14ac:dyDescent="0.25">
      <c r="A1380">
        <v>2001</v>
      </c>
      <c r="B1380">
        <v>3701</v>
      </c>
      <c r="C1380" t="s">
        <v>344</v>
      </c>
      <c r="D1380" t="s">
        <v>681</v>
      </c>
      <c r="E1380">
        <v>324110</v>
      </c>
      <c r="F1380" t="s">
        <v>95</v>
      </c>
      <c r="G1380" t="s">
        <v>96</v>
      </c>
      <c r="H1380" t="s">
        <v>21</v>
      </c>
      <c r="I1380" t="s">
        <v>70</v>
      </c>
      <c r="J1380" t="s">
        <v>71</v>
      </c>
      <c r="K1380" t="s">
        <v>72</v>
      </c>
      <c r="L1380" t="s">
        <v>5167</v>
      </c>
      <c r="M1380" t="s">
        <v>5168</v>
      </c>
      <c r="N1380" t="s">
        <v>5169</v>
      </c>
      <c r="O1380" t="s">
        <v>5170</v>
      </c>
      <c r="P1380">
        <v>6.0000000000000001E-3</v>
      </c>
      <c r="Q1380" t="s">
        <v>29</v>
      </c>
      <c r="R1380" t="s">
        <v>442</v>
      </c>
      <c r="S1380" t="s">
        <v>6938</v>
      </c>
    </row>
    <row r="1381" spans="1:19" x14ac:dyDescent="0.25">
      <c r="A1381">
        <v>2009</v>
      </c>
      <c r="B1381">
        <v>1812</v>
      </c>
      <c r="C1381" t="s">
        <v>909</v>
      </c>
      <c r="D1381" t="s">
        <v>5680</v>
      </c>
      <c r="E1381">
        <v>221112</v>
      </c>
      <c r="F1381" t="s">
        <v>134</v>
      </c>
      <c r="G1381" t="s">
        <v>135</v>
      </c>
      <c r="H1381" t="s">
        <v>21</v>
      </c>
      <c r="I1381" t="s">
        <v>324</v>
      </c>
      <c r="J1381" t="s">
        <v>325</v>
      </c>
      <c r="K1381" t="s">
        <v>326</v>
      </c>
      <c r="L1381" t="s">
        <v>5183</v>
      </c>
      <c r="M1381" t="s">
        <v>5184</v>
      </c>
      <c r="N1381" t="s">
        <v>5169</v>
      </c>
      <c r="O1381" t="s">
        <v>5170</v>
      </c>
      <c r="P1381">
        <v>0.49</v>
      </c>
      <c r="Q1381" t="s">
        <v>40</v>
      </c>
      <c r="R1381" t="s">
        <v>50</v>
      </c>
      <c r="S1381" t="s">
        <v>6938</v>
      </c>
    </row>
    <row r="1382" spans="1:19" x14ac:dyDescent="0.25">
      <c r="A1382">
        <v>2005</v>
      </c>
      <c r="B1382">
        <v>2282</v>
      </c>
      <c r="C1382" t="s">
        <v>1057</v>
      </c>
      <c r="D1382" t="s">
        <v>5681</v>
      </c>
      <c r="E1382">
        <v>221112</v>
      </c>
      <c r="F1382" t="s">
        <v>134</v>
      </c>
      <c r="G1382" t="s">
        <v>135</v>
      </c>
      <c r="H1382" t="s">
        <v>85</v>
      </c>
      <c r="I1382" t="s">
        <v>35</v>
      </c>
      <c r="J1382" t="s">
        <v>36</v>
      </c>
      <c r="K1382" t="s">
        <v>37</v>
      </c>
      <c r="L1382" t="s">
        <v>5183</v>
      </c>
      <c r="M1382" t="s">
        <v>5184</v>
      </c>
      <c r="N1382" t="s">
        <v>5169</v>
      </c>
      <c r="O1382" t="s">
        <v>5170</v>
      </c>
      <c r="P1382">
        <v>426.52800000000002</v>
      </c>
      <c r="Q1382" t="s">
        <v>40</v>
      </c>
      <c r="R1382" t="s">
        <v>30</v>
      </c>
      <c r="S1382" t="s">
        <v>6938</v>
      </c>
    </row>
    <row r="1383" spans="1:19" x14ac:dyDescent="0.25">
      <c r="A1383">
        <v>1994</v>
      </c>
      <c r="B1383">
        <v>1990</v>
      </c>
      <c r="C1383" t="s">
        <v>5682</v>
      </c>
      <c r="D1383" t="s">
        <v>4723</v>
      </c>
      <c r="E1383">
        <v>325190</v>
      </c>
      <c r="F1383" t="s">
        <v>832</v>
      </c>
      <c r="G1383" t="s">
        <v>601</v>
      </c>
      <c r="H1383" t="s">
        <v>85</v>
      </c>
      <c r="I1383" t="s">
        <v>264</v>
      </c>
      <c r="J1383" t="s">
        <v>265</v>
      </c>
      <c r="K1383" t="s">
        <v>266</v>
      </c>
      <c r="L1383" t="s">
        <v>5167</v>
      </c>
      <c r="M1383" t="s">
        <v>5168</v>
      </c>
      <c r="N1383" t="s">
        <v>5195</v>
      </c>
      <c r="O1383" t="s">
        <v>5196</v>
      </c>
      <c r="P1383">
        <v>0.05</v>
      </c>
      <c r="Q1383" t="s">
        <v>29</v>
      </c>
      <c r="R1383" t="s">
        <v>30</v>
      </c>
      <c r="S1383" t="s">
        <v>6938</v>
      </c>
    </row>
    <row r="1384" spans="1:19" x14ac:dyDescent="0.25">
      <c r="A1384">
        <v>2009</v>
      </c>
      <c r="B1384">
        <v>1779</v>
      </c>
      <c r="C1384" t="s">
        <v>247</v>
      </c>
      <c r="D1384" t="s">
        <v>2332</v>
      </c>
      <c r="E1384">
        <v>325110</v>
      </c>
      <c r="F1384" t="s">
        <v>1194</v>
      </c>
      <c r="G1384" t="s">
        <v>445</v>
      </c>
      <c r="H1384" t="s">
        <v>85</v>
      </c>
      <c r="I1384" t="s">
        <v>331</v>
      </c>
      <c r="J1384" t="s">
        <v>332</v>
      </c>
      <c r="K1384" t="s">
        <v>333</v>
      </c>
      <c r="L1384" t="s">
        <v>5167</v>
      </c>
      <c r="M1384" t="s">
        <v>5168</v>
      </c>
      <c r="N1384" t="s">
        <v>5169</v>
      </c>
      <c r="O1384" t="s">
        <v>5170</v>
      </c>
      <c r="P1384">
        <v>0.128</v>
      </c>
      <c r="Q1384" t="s">
        <v>29</v>
      </c>
      <c r="R1384" t="s">
        <v>30</v>
      </c>
      <c r="S1384" t="s">
        <v>6938</v>
      </c>
    </row>
    <row r="1385" spans="1:19" x14ac:dyDescent="0.25">
      <c r="A1385">
        <v>2015</v>
      </c>
      <c r="B1385">
        <v>6664</v>
      </c>
      <c r="C1385" t="s">
        <v>806</v>
      </c>
      <c r="D1385" t="s">
        <v>5465</v>
      </c>
      <c r="E1385">
        <v>412110</v>
      </c>
      <c r="F1385" t="s">
        <v>127</v>
      </c>
      <c r="G1385" t="s">
        <v>128</v>
      </c>
      <c r="H1385" t="s">
        <v>21</v>
      </c>
      <c r="I1385" t="s">
        <v>129</v>
      </c>
      <c r="J1385" t="s">
        <v>130</v>
      </c>
      <c r="K1385" t="s">
        <v>131</v>
      </c>
      <c r="L1385" t="s">
        <v>5167</v>
      </c>
      <c r="M1385" t="s">
        <v>5168</v>
      </c>
      <c r="N1385" t="s">
        <v>5169</v>
      </c>
      <c r="O1385" t="s">
        <v>5170</v>
      </c>
      <c r="P1385">
        <v>1.5800000000000002E-2</v>
      </c>
      <c r="Q1385" t="s">
        <v>29</v>
      </c>
      <c r="R1385" t="s">
        <v>30</v>
      </c>
      <c r="S1385" t="s">
        <v>6938</v>
      </c>
    </row>
    <row r="1386" spans="1:19" x14ac:dyDescent="0.25">
      <c r="A1386">
        <v>2022</v>
      </c>
      <c r="B1386">
        <v>29011</v>
      </c>
      <c r="C1386" t="s">
        <v>2064</v>
      </c>
      <c r="D1386" t="s">
        <v>5683</v>
      </c>
      <c r="E1386">
        <v>486110</v>
      </c>
      <c r="F1386" t="s">
        <v>1616</v>
      </c>
      <c r="G1386" t="s">
        <v>541</v>
      </c>
      <c r="H1386" t="s">
        <v>85</v>
      </c>
      <c r="I1386" t="s">
        <v>271</v>
      </c>
      <c r="J1386" t="s">
        <v>272</v>
      </c>
      <c r="K1386" t="s">
        <v>273</v>
      </c>
      <c r="L1386" t="s">
        <v>5167</v>
      </c>
      <c r="M1386" t="s">
        <v>5168</v>
      </c>
      <c r="N1386" t="s">
        <v>5169</v>
      </c>
      <c r="O1386" t="s">
        <v>5170</v>
      </c>
      <c r="P1386">
        <v>6.6000000000000005E-5</v>
      </c>
      <c r="Q1386" t="s">
        <v>29</v>
      </c>
      <c r="R1386" t="s">
        <v>30</v>
      </c>
      <c r="S1386" t="s">
        <v>6938</v>
      </c>
    </row>
    <row r="1387" spans="1:19" x14ac:dyDescent="0.25">
      <c r="A1387">
        <v>2010</v>
      </c>
      <c r="B1387">
        <v>31</v>
      </c>
      <c r="C1387" t="s">
        <v>5684</v>
      </c>
      <c r="D1387" t="s">
        <v>215</v>
      </c>
      <c r="E1387">
        <v>325510</v>
      </c>
      <c r="F1387" t="s">
        <v>143</v>
      </c>
      <c r="G1387" t="s">
        <v>112</v>
      </c>
      <c r="H1387" t="s">
        <v>21</v>
      </c>
      <c r="I1387" t="s">
        <v>271</v>
      </c>
      <c r="J1387" t="s">
        <v>272</v>
      </c>
      <c r="K1387" t="s">
        <v>273</v>
      </c>
      <c r="L1387" t="s">
        <v>5167</v>
      </c>
      <c r="M1387" t="s">
        <v>5168</v>
      </c>
      <c r="N1387" t="s">
        <v>5169</v>
      </c>
      <c r="O1387" t="s">
        <v>5170</v>
      </c>
      <c r="P1387">
        <v>0.11</v>
      </c>
      <c r="Q1387" t="s">
        <v>29</v>
      </c>
      <c r="R1387" t="s">
        <v>30</v>
      </c>
      <c r="S1387" t="s">
        <v>6938</v>
      </c>
    </row>
    <row r="1388" spans="1:19" x14ac:dyDescent="0.25">
      <c r="A1388">
        <v>2016</v>
      </c>
      <c r="B1388">
        <v>27767</v>
      </c>
      <c r="C1388" t="s">
        <v>4250</v>
      </c>
      <c r="D1388" t="s">
        <v>5685</v>
      </c>
      <c r="E1388">
        <v>562210</v>
      </c>
      <c r="F1388" t="s">
        <v>84</v>
      </c>
      <c r="G1388" t="s">
        <v>53</v>
      </c>
      <c r="H1388" t="s">
        <v>85</v>
      </c>
      <c r="I1388" t="s">
        <v>129</v>
      </c>
      <c r="J1388" t="s">
        <v>130</v>
      </c>
      <c r="K1388" t="s">
        <v>131</v>
      </c>
      <c r="L1388" t="s">
        <v>5183</v>
      </c>
      <c r="M1388" t="s">
        <v>5184</v>
      </c>
      <c r="N1388" t="s">
        <v>5169</v>
      </c>
      <c r="O1388" t="s">
        <v>5170</v>
      </c>
      <c r="P1388">
        <v>2.0000000000000001E-4</v>
      </c>
      <c r="Q1388" t="s">
        <v>29</v>
      </c>
      <c r="R1388" t="s">
        <v>430</v>
      </c>
      <c r="S1388" t="s">
        <v>6938</v>
      </c>
    </row>
    <row r="1389" spans="1:19" x14ac:dyDescent="0.25">
      <c r="A1389">
        <v>2018</v>
      </c>
      <c r="B1389">
        <v>3701</v>
      </c>
      <c r="C1389" t="s">
        <v>194</v>
      </c>
      <c r="D1389" t="s">
        <v>681</v>
      </c>
      <c r="E1389">
        <v>324110</v>
      </c>
      <c r="F1389" t="s">
        <v>196</v>
      </c>
      <c r="G1389" t="s">
        <v>96</v>
      </c>
      <c r="H1389" t="s">
        <v>21</v>
      </c>
      <c r="I1389" t="s">
        <v>703</v>
      </c>
      <c r="J1389" t="s">
        <v>1127</v>
      </c>
      <c r="K1389" t="s">
        <v>1128</v>
      </c>
      <c r="L1389" t="s">
        <v>5167</v>
      </c>
      <c r="M1389" t="s">
        <v>5168</v>
      </c>
      <c r="N1389" t="s">
        <v>5169</v>
      </c>
      <c r="O1389" t="s">
        <v>5170</v>
      </c>
      <c r="P1389">
        <v>0.01</v>
      </c>
      <c r="Q1389" t="s">
        <v>29</v>
      </c>
      <c r="R1389" t="s">
        <v>30</v>
      </c>
      <c r="S1389" t="s">
        <v>6938</v>
      </c>
    </row>
    <row r="1390" spans="1:19" x14ac:dyDescent="0.25">
      <c r="A1390">
        <v>2023</v>
      </c>
      <c r="B1390">
        <v>4197</v>
      </c>
      <c r="C1390" t="s">
        <v>5686</v>
      </c>
      <c r="D1390" t="s">
        <v>5687</v>
      </c>
      <c r="E1390">
        <v>331317</v>
      </c>
      <c r="F1390" t="s">
        <v>768</v>
      </c>
      <c r="G1390" t="s">
        <v>769</v>
      </c>
      <c r="H1390" t="s">
        <v>21</v>
      </c>
      <c r="I1390" t="s">
        <v>136</v>
      </c>
      <c r="J1390" t="s">
        <v>137</v>
      </c>
      <c r="K1390" t="s">
        <v>138</v>
      </c>
      <c r="L1390" t="s">
        <v>5167</v>
      </c>
      <c r="M1390" t="s">
        <v>5168</v>
      </c>
      <c r="N1390" t="s">
        <v>5169</v>
      </c>
      <c r="O1390" t="s">
        <v>5170</v>
      </c>
      <c r="P1390">
        <v>2.41E-2</v>
      </c>
      <c r="Q1390" t="s">
        <v>29</v>
      </c>
      <c r="R1390" t="s">
        <v>50</v>
      </c>
      <c r="S1390" t="s">
        <v>6938</v>
      </c>
    </row>
    <row r="1391" spans="1:19" x14ac:dyDescent="0.25">
      <c r="A1391">
        <v>2011</v>
      </c>
      <c r="B1391">
        <v>22544</v>
      </c>
      <c r="C1391" t="s">
        <v>5688</v>
      </c>
      <c r="D1391" t="s">
        <v>5689</v>
      </c>
      <c r="E1391">
        <v>211114</v>
      </c>
      <c r="F1391" t="s">
        <v>835</v>
      </c>
      <c r="G1391" t="s">
        <v>836</v>
      </c>
      <c r="H1391" t="s">
        <v>85</v>
      </c>
      <c r="I1391" t="s">
        <v>1549</v>
      </c>
      <c r="J1391" t="s">
        <v>1550</v>
      </c>
      <c r="K1391" t="s">
        <v>1551</v>
      </c>
      <c r="L1391" t="s">
        <v>5167</v>
      </c>
      <c r="M1391" t="s">
        <v>5168</v>
      </c>
      <c r="N1391" t="s">
        <v>5169</v>
      </c>
      <c r="O1391" t="s">
        <v>5170</v>
      </c>
      <c r="P1391">
        <v>8.6E-3</v>
      </c>
      <c r="Q1391" t="s">
        <v>29</v>
      </c>
      <c r="R1391" t="s">
        <v>30</v>
      </c>
      <c r="S1391" t="s">
        <v>6938</v>
      </c>
    </row>
    <row r="1392" spans="1:19" x14ac:dyDescent="0.25">
      <c r="A1392">
        <v>2007</v>
      </c>
      <c r="B1392">
        <v>1042</v>
      </c>
      <c r="C1392" t="s">
        <v>1468</v>
      </c>
      <c r="D1392" t="s">
        <v>1469</v>
      </c>
      <c r="E1392">
        <v>562210</v>
      </c>
      <c r="F1392" t="s">
        <v>52</v>
      </c>
      <c r="G1392" t="s">
        <v>53</v>
      </c>
      <c r="H1392" t="s">
        <v>85</v>
      </c>
      <c r="I1392" t="s">
        <v>35</v>
      </c>
      <c r="J1392" t="s">
        <v>36</v>
      </c>
      <c r="K1392" t="s">
        <v>37</v>
      </c>
      <c r="L1392" t="s">
        <v>5183</v>
      </c>
      <c r="M1392" t="s">
        <v>5184</v>
      </c>
      <c r="N1392" t="s">
        <v>5195</v>
      </c>
      <c r="O1392" t="s">
        <v>5196</v>
      </c>
      <c r="P1392">
        <v>0.42199999999999999</v>
      </c>
      <c r="Q1392" t="s">
        <v>40</v>
      </c>
      <c r="R1392" t="s">
        <v>157</v>
      </c>
      <c r="S1392" t="s">
        <v>6938</v>
      </c>
    </row>
    <row r="1393" spans="1:19" x14ac:dyDescent="0.25">
      <c r="A1393">
        <v>2005</v>
      </c>
      <c r="B1393">
        <v>3498</v>
      </c>
      <c r="C1393" t="s">
        <v>5690</v>
      </c>
      <c r="D1393" t="s">
        <v>5691</v>
      </c>
      <c r="E1393">
        <v>335223</v>
      </c>
      <c r="F1393" t="s">
        <v>5692</v>
      </c>
      <c r="G1393" t="s">
        <v>5693</v>
      </c>
      <c r="H1393" t="s">
        <v>79</v>
      </c>
      <c r="I1393" t="s">
        <v>97</v>
      </c>
      <c r="J1393" t="s">
        <v>98</v>
      </c>
      <c r="K1393" t="s">
        <v>99</v>
      </c>
      <c r="L1393" t="s">
        <v>5167</v>
      </c>
      <c r="M1393" t="s">
        <v>5168</v>
      </c>
      <c r="N1393" t="s">
        <v>5169</v>
      </c>
      <c r="O1393" t="s">
        <v>5170</v>
      </c>
      <c r="P1393">
        <v>30.02</v>
      </c>
      <c r="Q1393" t="s">
        <v>29</v>
      </c>
      <c r="R1393" t="s">
        <v>50</v>
      </c>
      <c r="S1393" t="s">
        <v>6938</v>
      </c>
    </row>
    <row r="1394" spans="1:19" x14ac:dyDescent="0.25">
      <c r="A1394">
        <v>2014</v>
      </c>
      <c r="B1394">
        <v>4781</v>
      </c>
      <c r="C1394" t="s">
        <v>856</v>
      </c>
      <c r="D1394" t="s">
        <v>774</v>
      </c>
      <c r="E1394">
        <v>336310</v>
      </c>
      <c r="F1394" t="s">
        <v>857</v>
      </c>
      <c r="G1394" t="s">
        <v>776</v>
      </c>
      <c r="H1394" t="s">
        <v>21</v>
      </c>
      <c r="I1394" t="s">
        <v>35</v>
      </c>
      <c r="J1394" t="s">
        <v>36</v>
      </c>
      <c r="K1394" t="s">
        <v>37</v>
      </c>
      <c r="L1394" t="s">
        <v>5167</v>
      </c>
      <c r="M1394" t="s">
        <v>5168</v>
      </c>
      <c r="N1394" t="s">
        <v>5169</v>
      </c>
      <c r="O1394" t="s">
        <v>5170</v>
      </c>
      <c r="P1394">
        <v>1.5</v>
      </c>
      <c r="Q1394" t="s">
        <v>40</v>
      </c>
      <c r="R1394" t="s">
        <v>30</v>
      </c>
      <c r="S1394" t="s">
        <v>6938</v>
      </c>
    </row>
    <row r="1395" spans="1:19" x14ac:dyDescent="0.25">
      <c r="A1395">
        <v>2009</v>
      </c>
      <c r="B1395">
        <v>3707</v>
      </c>
      <c r="C1395" t="s">
        <v>125</v>
      </c>
      <c r="D1395" t="s">
        <v>2090</v>
      </c>
      <c r="E1395">
        <v>324110</v>
      </c>
      <c r="F1395" t="s">
        <v>95</v>
      </c>
      <c r="G1395" t="s">
        <v>96</v>
      </c>
      <c r="H1395" t="s">
        <v>85</v>
      </c>
      <c r="I1395" t="s">
        <v>504</v>
      </c>
      <c r="J1395" t="s">
        <v>505</v>
      </c>
      <c r="K1395" t="s">
        <v>506</v>
      </c>
      <c r="L1395" t="s">
        <v>5183</v>
      </c>
      <c r="M1395" t="s">
        <v>5184</v>
      </c>
      <c r="N1395" t="s">
        <v>5195</v>
      </c>
      <c r="O1395" t="s">
        <v>5196</v>
      </c>
      <c r="P1395">
        <v>1099.519</v>
      </c>
      <c r="Q1395" t="s">
        <v>29</v>
      </c>
      <c r="R1395" t="s">
        <v>124</v>
      </c>
      <c r="S1395" t="s">
        <v>6938</v>
      </c>
    </row>
    <row r="1396" spans="1:19" x14ac:dyDescent="0.25">
      <c r="A1396">
        <v>2005</v>
      </c>
      <c r="B1396">
        <v>5229</v>
      </c>
      <c r="C1396" t="s">
        <v>5694</v>
      </c>
      <c r="D1396" t="s">
        <v>5695</v>
      </c>
      <c r="E1396">
        <v>331221</v>
      </c>
      <c r="F1396" t="s">
        <v>418</v>
      </c>
      <c r="G1396" t="s">
        <v>419</v>
      </c>
      <c r="H1396" t="s">
        <v>85</v>
      </c>
      <c r="I1396" t="s">
        <v>209</v>
      </c>
      <c r="J1396" t="s">
        <v>210</v>
      </c>
      <c r="K1396" t="s">
        <v>211</v>
      </c>
      <c r="L1396" t="s">
        <v>5183</v>
      </c>
      <c r="M1396" t="s">
        <v>5184</v>
      </c>
      <c r="N1396" t="s">
        <v>5195</v>
      </c>
      <c r="O1396" t="s">
        <v>5196</v>
      </c>
      <c r="P1396">
        <v>0</v>
      </c>
      <c r="Q1396" t="s">
        <v>29</v>
      </c>
      <c r="R1396" t="s">
        <v>50</v>
      </c>
      <c r="S1396" t="s">
        <v>6938</v>
      </c>
    </row>
    <row r="1397" spans="1:19" x14ac:dyDescent="0.25">
      <c r="A1397">
        <v>2010</v>
      </c>
      <c r="B1397">
        <v>7746</v>
      </c>
      <c r="C1397" t="s">
        <v>5696</v>
      </c>
      <c r="D1397" t="s">
        <v>5697</v>
      </c>
      <c r="E1397">
        <v>327215</v>
      </c>
      <c r="F1397" t="s">
        <v>5698</v>
      </c>
      <c r="G1397" t="s">
        <v>5699</v>
      </c>
      <c r="H1397" t="s">
        <v>69</v>
      </c>
      <c r="I1397" t="s">
        <v>35</v>
      </c>
      <c r="J1397" t="s">
        <v>36</v>
      </c>
      <c r="K1397" t="s">
        <v>37</v>
      </c>
      <c r="L1397" t="s">
        <v>5167</v>
      </c>
      <c r="M1397" t="s">
        <v>5168</v>
      </c>
      <c r="N1397" t="s">
        <v>5169</v>
      </c>
      <c r="O1397" t="s">
        <v>5170</v>
      </c>
      <c r="P1397">
        <v>19.3</v>
      </c>
      <c r="Q1397" t="s">
        <v>40</v>
      </c>
      <c r="R1397" t="s">
        <v>50</v>
      </c>
      <c r="S1397" t="s">
        <v>6938</v>
      </c>
    </row>
    <row r="1398" spans="1:19" x14ac:dyDescent="0.25">
      <c r="A1398">
        <v>2013</v>
      </c>
      <c r="B1398">
        <v>2537</v>
      </c>
      <c r="C1398" t="s">
        <v>5700</v>
      </c>
      <c r="D1398" t="s">
        <v>5701</v>
      </c>
      <c r="E1398">
        <v>562210</v>
      </c>
      <c r="F1398" t="s">
        <v>84</v>
      </c>
      <c r="G1398" t="s">
        <v>53</v>
      </c>
      <c r="H1398" t="s">
        <v>21</v>
      </c>
      <c r="I1398" t="s">
        <v>62</v>
      </c>
      <c r="J1398" t="s">
        <v>63</v>
      </c>
      <c r="K1398" t="s">
        <v>64</v>
      </c>
      <c r="L1398" t="s">
        <v>5183</v>
      </c>
      <c r="M1398" t="s">
        <v>5184</v>
      </c>
      <c r="N1398" t="s">
        <v>5169</v>
      </c>
      <c r="O1398" t="s">
        <v>5170</v>
      </c>
      <c r="P1398">
        <v>53.835000000000001</v>
      </c>
      <c r="Q1398" t="s">
        <v>29</v>
      </c>
      <c r="R1398" t="s">
        <v>50</v>
      </c>
      <c r="S1398" t="s">
        <v>6938</v>
      </c>
    </row>
    <row r="1399" spans="1:19" x14ac:dyDescent="0.25">
      <c r="A1399">
        <v>2018</v>
      </c>
      <c r="B1399">
        <v>442</v>
      </c>
      <c r="C1399" t="s">
        <v>1323</v>
      </c>
      <c r="D1399" t="s">
        <v>5417</v>
      </c>
      <c r="E1399">
        <v>211141</v>
      </c>
      <c r="F1399" t="s">
        <v>1189</v>
      </c>
      <c r="G1399" t="s">
        <v>1190</v>
      </c>
      <c r="H1399" t="s">
        <v>85</v>
      </c>
      <c r="I1399" t="s">
        <v>55</v>
      </c>
      <c r="J1399" t="s">
        <v>56</v>
      </c>
      <c r="K1399" t="s">
        <v>57</v>
      </c>
      <c r="L1399" t="s">
        <v>5183</v>
      </c>
      <c r="M1399" t="s">
        <v>5184</v>
      </c>
      <c r="N1399" t="s">
        <v>5169</v>
      </c>
      <c r="O1399" t="s">
        <v>5170</v>
      </c>
      <c r="P1399">
        <v>1.8E-3</v>
      </c>
      <c r="Q1399" t="s">
        <v>29</v>
      </c>
      <c r="R1399" t="s">
        <v>30</v>
      </c>
      <c r="S1399" t="s">
        <v>6938</v>
      </c>
    </row>
    <row r="1400" spans="1:19" x14ac:dyDescent="0.25">
      <c r="A1400">
        <v>2016</v>
      </c>
      <c r="B1400">
        <v>407</v>
      </c>
      <c r="C1400" t="s">
        <v>1043</v>
      </c>
      <c r="D1400" t="s">
        <v>5459</v>
      </c>
      <c r="E1400">
        <v>211113</v>
      </c>
      <c r="F1400" t="s">
        <v>786</v>
      </c>
      <c r="G1400" t="s">
        <v>426</v>
      </c>
      <c r="H1400" t="s">
        <v>85</v>
      </c>
      <c r="I1400" t="s">
        <v>70</v>
      </c>
      <c r="J1400" t="s">
        <v>71</v>
      </c>
      <c r="K1400" t="s">
        <v>72</v>
      </c>
      <c r="L1400" t="s">
        <v>5167</v>
      </c>
      <c r="M1400" t="s">
        <v>5168</v>
      </c>
      <c r="N1400" t="s">
        <v>5195</v>
      </c>
      <c r="O1400" t="s">
        <v>5196</v>
      </c>
      <c r="P1400">
        <v>8.1245999999999992</v>
      </c>
      <c r="Q1400" t="s">
        <v>29</v>
      </c>
      <c r="R1400" t="s">
        <v>30</v>
      </c>
      <c r="S1400" t="s">
        <v>6938</v>
      </c>
    </row>
    <row r="1401" spans="1:19" x14ac:dyDescent="0.25">
      <c r="A1401">
        <v>2020</v>
      </c>
      <c r="B1401">
        <v>10215</v>
      </c>
      <c r="C1401" t="s">
        <v>125</v>
      </c>
      <c r="D1401" t="s">
        <v>1161</v>
      </c>
      <c r="E1401">
        <v>412110</v>
      </c>
      <c r="F1401" t="s">
        <v>127</v>
      </c>
      <c r="G1401" t="s">
        <v>128</v>
      </c>
      <c r="H1401" t="s">
        <v>85</v>
      </c>
      <c r="I1401" t="s">
        <v>348</v>
      </c>
      <c r="J1401" t="s">
        <v>349</v>
      </c>
      <c r="K1401" t="s">
        <v>350</v>
      </c>
      <c r="L1401" t="s">
        <v>5167</v>
      </c>
      <c r="M1401" t="s">
        <v>5168</v>
      </c>
      <c r="N1401" t="s">
        <v>5223</v>
      </c>
      <c r="O1401" t="s">
        <v>5224</v>
      </c>
      <c r="P1401">
        <v>0.14835999999999999</v>
      </c>
      <c r="Q1401" t="s">
        <v>29</v>
      </c>
      <c r="R1401" t="s">
        <v>30</v>
      </c>
      <c r="S1401" t="s">
        <v>6938</v>
      </c>
    </row>
    <row r="1402" spans="1:19" x14ac:dyDescent="0.25">
      <c r="A1402">
        <v>2009</v>
      </c>
      <c r="B1402">
        <v>7170</v>
      </c>
      <c r="C1402" t="s">
        <v>5702</v>
      </c>
      <c r="D1402" t="s">
        <v>5702</v>
      </c>
      <c r="E1402">
        <v>321217</v>
      </c>
      <c r="F1402" t="s">
        <v>1702</v>
      </c>
      <c r="G1402" t="s">
        <v>151</v>
      </c>
      <c r="H1402" t="s">
        <v>21</v>
      </c>
      <c r="I1402" t="s">
        <v>35</v>
      </c>
      <c r="J1402" t="s">
        <v>36</v>
      </c>
      <c r="K1402" t="s">
        <v>37</v>
      </c>
      <c r="L1402" t="s">
        <v>5167</v>
      </c>
      <c r="M1402" t="s">
        <v>5168</v>
      </c>
      <c r="N1402" t="s">
        <v>5169</v>
      </c>
      <c r="O1402" t="s">
        <v>5170</v>
      </c>
      <c r="P1402">
        <v>156.1</v>
      </c>
      <c r="Q1402" t="s">
        <v>40</v>
      </c>
      <c r="R1402" t="s">
        <v>430</v>
      </c>
      <c r="S1402" t="s">
        <v>6938</v>
      </c>
    </row>
    <row r="1403" spans="1:19" x14ac:dyDescent="0.25">
      <c r="A1403">
        <v>2005</v>
      </c>
      <c r="B1403">
        <v>6097</v>
      </c>
      <c r="C1403" t="s">
        <v>5703</v>
      </c>
      <c r="D1403" t="s">
        <v>1011</v>
      </c>
      <c r="E1403">
        <v>325410</v>
      </c>
      <c r="F1403" t="s">
        <v>218</v>
      </c>
      <c r="G1403" t="s">
        <v>219</v>
      </c>
      <c r="H1403" t="s">
        <v>1012</v>
      </c>
      <c r="I1403" t="s">
        <v>520</v>
      </c>
      <c r="J1403" t="s">
        <v>521</v>
      </c>
      <c r="K1403" t="s">
        <v>522</v>
      </c>
      <c r="L1403" t="s">
        <v>5183</v>
      </c>
      <c r="M1403" t="s">
        <v>5184</v>
      </c>
      <c r="N1403" t="s">
        <v>5175</v>
      </c>
      <c r="O1403" t="s">
        <v>5176</v>
      </c>
      <c r="P1403">
        <v>0</v>
      </c>
      <c r="Q1403" t="s">
        <v>29</v>
      </c>
      <c r="R1403" t="s">
        <v>30</v>
      </c>
      <c r="S1403" t="s">
        <v>6938</v>
      </c>
    </row>
    <row r="1404" spans="1:19" x14ac:dyDescent="0.25">
      <c r="A1404">
        <v>2022</v>
      </c>
      <c r="B1404">
        <v>4771</v>
      </c>
      <c r="C1404" t="s">
        <v>5704</v>
      </c>
      <c r="D1404" t="s">
        <v>5705</v>
      </c>
      <c r="E1404">
        <v>221320</v>
      </c>
      <c r="F1404" t="s">
        <v>146</v>
      </c>
      <c r="G1404" t="s">
        <v>147</v>
      </c>
      <c r="H1404" t="s">
        <v>21</v>
      </c>
      <c r="I1404" t="s">
        <v>97</v>
      </c>
      <c r="J1404" t="s">
        <v>98</v>
      </c>
      <c r="K1404" t="s">
        <v>99</v>
      </c>
      <c r="L1404" t="s">
        <v>5167</v>
      </c>
      <c r="M1404" t="s">
        <v>5168</v>
      </c>
      <c r="N1404" t="s">
        <v>5175</v>
      </c>
      <c r="O1404" t="s">
        <v>5176</v>
      </c>
      <c r="P1404">
        <v>38.604999999999997</v>
      </c>
      <c r="Q1404" t="s">
        <v>29</v>
      </c>
      <c r="R1404" t="s">
        <v>124</v>
      </c>
      <c r="S1404" t="s">
        <v>6938</v>
      </c>
    </row>
    <row r="1405" spans="1:19" x14ac:dyDescent="0.25">
      <c r="A1405">
        <v>2004</v>
      </c>
      <c r="B1405">
        <v>2286</v>
      </c>
      <c r="C1405" t="s">
        <v>1057</v>
      </c>
      <c r="D1405" t="s">
        <v>5706</v>
      </c>
      <c r="E1405">
        <v>221112</v>
      </c>
      <c r="F1405" t="s">
        <v>134</v>
      </c>
      <c r="G1405" t="s">
        <v>135</v>
      </c>
      <c r="H1405" t="s">
        <v>85</v>
      </c>
      <c r="I1405" t="s">
        <v>136</v>
      </c>
      <c r="J1405" t="s">
        <v>137</v>
      </c>
      <c r="K1405" t="s">
        <v>138</v>
      </c>
      <c r="L1405" t="s">
        <v>5183</v>
      </c>
      <c r="M1405" t="s">
        <v>5184</v>
      </c>
      <c r="N1405" t="s">
        <v>5169</v>
      </c>
      <c r="O1405" t="s">
        <v>5170</v>
      </c>
      <c r="P1405">
        <v>39.494</v>
      </c>
      <c r="Q1405" t="s">
        <v>29</v>
      </c>
      <c r="R1405" t="s">
        <v>30</v>
      </c>
      <c r="S1405" t="s">
        <v>6938</v>
      </c>
    </row>
    <row r="1406" spans="1:19" x14ac:dyDescent="0.25">
      <c r="A1406">
        <v>2014</v>
      </c>
      <c r="B1406">
        <v>1287</v>
      </c>
      <c r="C1406" t="s">
        <v>5707</v>
      </c>
      <c r="D1406" t="s">
        <v>5708</v>
      </c>
      <c r="E1406">
        <v>339990</v>
      </c>
      <c r="F1406" t="s">
        <v>1179</v>
      </c>
      <c r="G1406" t="s">
        <v>872</v>
      </c>
      <c r="H1406" t="s">
        <v>21</v>
      </c>
      <c r="I1406" t="s">
        <v>136</v>
      </c>
      <c r="J1406" t="s">
        <v>137</v>
      </c>
      <c r="K1406" t="s">
        <v>138</v>
      </c>
      <c r="L1406" t="s">
        <v>5183</v>
      </c>
      <c r="M1406" t="s">
        <v>5184</v>
      </c>
      <c r="N1406" t="s">
        <v>5169</v>
      </c>
      <c r="O1406" t="s">
        <v>5170</v>
      </c>
      <c r="P1406">
        <v>4.7600000000000003E-2</v>
      </c>
      <c r="Q1406" t="s">
        <v>29</v>
      </c>
      <c r="R1406" t="s">
        <v>50</v>
      </c>
      <c r="S1406" t="s">
        <v>6938</v>
      </c>
    </row>
    <row r="1407" spans="1:19" x14ac:dyDescent="0.25">
      <c r="A1407">
        <v>2010</v>
      </c>
      <c r="B1407">
        <v>1338</v>
      </c>
      <c r="C1407" t="s">
        <v>212</v>
      </c>
      <c r="D1407" t="s">
        <v>389</v>
      </c>
      <c r="E1407">
        <v>221320</v>
      </c>
      <c r="F1407" t="s">
        <v>390</v>
      </c>
      <c r="G1407" t="s">
        <v>147</v>
      </c>
      <c r="H1407" t="s">
        <v>69</v>
      </c>
      <c r="I1407" t="s">
        <v>97</v>
      </c>
      <c r="J1407" t="s">
        <v>98</v>
      </c>
      <c r="K1407" t="s">
        <v>99</v>
      </c>
      <c r="L1407" t="s">
        <v>5167</v>
      </c>
      <c r="M1407" t="s">
        <v>5168</v>
      </c>
      <c r="N1407" t="s">
        <v>5175</v>
      </c>
      <c r="O1407" t="s">
        <v>5176</v>
      </c>
      <c r="P1407">
        <v>164.512</v>
      </c>
      <c r="Q1407" t="s">
        <v>29</v>
      </c>
      <c r="R1407" t="s">
        <v>124</v>
      </c>
      <c r="S1407" t="s">
        <v>6938</v>
      </c>
    </row>
    <row r="1408" spans="1:19" x14ac:dyDescent="0.25">
      <c r="A1408">
        <v>1997</v>
      </c>
      <c r="B1408">
        <v>931</v>
      </c>
      <c r="C1408" t="s">
        <v>5709</v>
      </c>
      <c r="D1408" t="s">
        <v>5710</v>
      </c>
      <c r="E1408">
        <v>326198</v>
      </c>
      <c r="F1408" t="s">
        <v>249</v>
      </c>
      <c r="G1408" t="s">
        <v>250</v>
      </c>
      <c r="H1408" t="s">
        <v>21</v>
      </c>
      <c r="I1408" t="s">
        <v>35</v>
      </c>
      <c r="J1408" t="s">
        <v>36</v>
      </c>
      <c r="K1408" t="s">
        <v>37</v>
      </c>
      <c r="L1408" t="s">
        <v>5167</v>
      </c>
      <c r="M1408" t="s">
        <v>5168</v>
      </c>
      <c r="N1408" t="s">
        <v>5169</v>
      </c>
      <c r="O1408" t="s">
        <v>5170</v>
      </c>
      <c r="P1408">
        <v>0.09</v>
      </c>
      <c r="Q1408" t="s">
        <v>29</v>
      </c>
      <c r="R1408" t="s">
        <v>30</v>
      </c>
      <c r="S1408" t="s">
        <v>6938</v>
      </c>
    </row>
    <row r="1409" spans="1:19" x14ac:dyDescent="0.25">
      <c r="A1409">
        <v>2006</v>
      </c>
      <c r="B1409">
        <v>928</v>
      </c>
      <c r="C1409" t="s">
        <v>5711</v>
      </c>
      <c r="D1409" t="s">
        <v>5712</v>
      </c>
      <c r="E1409">
        <v>322112</v>
      </c>
      <c r="F1409" t="s">
        <v>620</v>
      </c>
      <c r="G1409" t="s">
        <v>621</v>
      </c>
      <c r="H1409" t="s">
        <v>21</v>
      </c>
      <c r="I1409" t="s">
        <v>55</v>
      </c>
      <c r="J1409" t="s">
        <v>56</v>
      </c>
      <c r="K1409" t="s">
        <v>57</v>
      </c>
      <c r="L1409" t="s">
        <v>5183</v>
      </c>
      <c r="M1409" t="s">
        <v>5184</v>
      </c>
      <c r="N1409" t="s">
        <v>5169</v>
      </c>
      <c r="O1409" t="s">
        <v>5170</v>
      </c>
      <c r="P1409">
        <v>1.7769999999999999</v>
      </c>
      <c r="Q1409" t="s">
        <v>29</v>
      </c>
      <c r="R1409" t="s">
        <v>430</v>
      </c>
      <c r="S1409" t="s">
        <v>6938</v>
      </c>
    </row>
    <row r="1410" spans="1:19" x14ac:dyDescent="0.25">
      <c r="A1410">
        <v>2023</v>
      </c>
      <c r="B1410">
        <v>1303</v>
      </c>
      <c r="C1410" t="s">
        <v>1745</v>
      </c>
      <c r="D1410" t="s">
        <v>1746</v>
      </c>
      <c r="E1410">
        <v>212233</v>
      </c>
      <c r="F1410" t="s">
        <v>1111</v>
      </c>
      <c r="G1410" t="s">
        <v>441</v>
      </c>
      <c r="H1410" t="s">
        <v>69</v>
      </c>
      <c r="I1410" t="s">
        <v>152</v>
      </c>
      <c r="J1410" t="s">
        <v>153</v>
      </c>
      <c r="K1410" t="s">
        <v>154</v>
      </c>
      <c r="L1410" t="s">
        <v>5183</v>
      </c>
      <c r="M1410" t="s">
        <v>5184</v>
      </c>
      <c r="N1410" t="s">
        <v>5260</v>
      </c>
      <c r="O1410" t="s">
        <v>5261</v>
      </c>
      <c r="P1410">
        <v>1455.5197370000001</v>
      </c>
      <c r="Q1410" t="s">
        <v>29</v>
      </c>
      <c r="R1410" t="s">
        <v>124</v>
      </c>
      <c r="S1410" t="s">
        <v>6938</v>
      </c>
    </row>
    <row r="1411" spans="1:19" x14ac:dyDescent="0.25">
      <c r="A1411">
        <v>2017</v>
      </c>
      <c r="B1411">
        <v>6532</v>
      </c>
      <c r="C1411" t="s">
        <v>65</v>
      </c>
      <c r="D1411" t="s">
        <v>5713</v>
      </c>
      <c r="E1411">
        <v>213118</v>
      </c>
      <c r="F1411" t="s">
        <v>5179</v>
      </c>
      <c r="G1411" t="s">
        <v>1337</v>
      </c>
      <c r="H1411" t="s">
        <v>85</v>
      </c>
      <c r="I1411" t="s">
        <v>70</v>
      </c>
      <c r="J1411" t="s">
        <v>71</v>
      </c>
      <c r="K1411" t="s">
        <v>72</v>
      </c>
      <c r="L1411" t="s">
        <v>5183</v>
      </c>
      <c r="M1411" t="s">
        <v>5184</v>
      </c>
      <c r="N1411" t="s">
        <v>5195</v>
      </c>
      <c r="O1411" t="s">
        <v>5196</v>
      </c>
      <c r="P1411">
        <v>0.32269999999999999</v>
      </c>
      <c r="Q1411" t="s">
        <v>29</v>
      </c>
      <c r="R1411" t="s">
        <v>50</v>
      </c>
      <c r="S1411" t="s">
        <v>6938</v>
      </c>
    </row>
    <row r="1412" spans="1:19" x14ac:dyDescent="0.25">
      <c r="A1412">
        <v>2006</v>
      </c>
      <c r="B1412">
        <v>818</v>
      </c>
      <c r="C1412" t="s">
        <v>5714</v>
      </c>
      <c r="D1412" t="s">
        <v>5715</v>
      </c>
      <c r="E1412">
        <v>326114</v>
      </c>
      <c r="F1412" t="s">
        <v>5239</v>
      </c>
      <c r="G1412" t="s">
        <v>982</v>
      </c>
      <c r="H1412" t="s">
        <v>21</v>
      </c>
      <c r="I1412" t="s">
        <v>461</v>
      </c>
      <c r="J1412" t="s">
        <v>462</v>
      </c>
      <c r="K1412" t="s">
        <v>463</v>
      </c>
      <c r="L1412" t="s">
        <v>5167</v>
      </c>
      <c r="M1412" t="s">
        <v>5168</v>
      </c>
      <c r="N1412" t="s">
        <v>5169</v>
      </c>
      <c r="O1412" t="s">
        <v>5170</v>
      </c>
      <c r="P1412">
        <v>3.3</v>
      </c>
      <c r="Q1412" t="s">
        <v>40</v>
      </c>
      <c r="R1412" t="s">
        <v>50</v>
      </c>
      <c r="S1412" t="s">
        <v>6938</v>
      </c>
    </row>
    <row r="1413" spans="1:19" x14ac:dyDescent="0.25">
      <c r="A1413">
        <v>2016</v>
      </c>
      <c r="B1413">
        <v>1221</v>
      </c>
      <c r="C1413" t="s">
        <v>5321</v>
      </c>
      <c r="D1413" t="s">
        <v>5322</v>
      </c>
      <c r="E1413">
        <v>322112</v>
      </c>
      <c r="F1413" t="s">
        <v>660</v>
      </c>
      <c r="G1413" t="s">
        <v>621</v>
      </c>
      <c r="H1413" t="s">
        <v>661</v>
      </c>
      <c r="I1413" t="s">
        <v>106</v>
      </c>
      <c r="J1413" t="s">
        <v>107</v>
      </c>
      <c r="K1413" t="s">
        <v>108</v>
      </c>
      <c r="L1413" t="s">
        <v>5183</v>
      </c>
      <c r="M1413" t="s">
        <v>5184</v>
      </c>
      <c r="N1413" t="s">
        <v>5175</v>
      </c>
      <c r="O1413" t="s">
        <v>5176</v>
      </c>
      <c r="P1413">
        <v>0.05</v>
      </c>
      <c r="Q1413" t="s">
        <v>40</v>
      </c>
      <c r="R1413" t="s">
        <v>124</v>
      </c>
      <c r="S1413" t="s">
        <v>6938</v>
      </c>
    </row>
    <row r="1414" spans="1:19" x14ac:dyDescent="0.25">
      <c r="A1414">
        <v>2007</v>
      </c>
      <c r="B1414">
        <v>6118</v>
      </c>
      <c r="C1414" t="s">
        <v>5716</v>
      </c>
      <c r="D1414" t="s">
        <v>5717</v>
      </c>
      <c r="E1414">
        <v>221320</v>
      </c>
      <c r="F1414" t="s">
        <v>390</v>
      </c>
      <c r="G1414" t="s">
        <v>147</v>
      </c>
      <c r="H1414" t="s">
        <v>79</v>
      </c>
      <c r="I1414" t="s">
        <v>504</v>
      </c>
      <c r="J1414" t="s">
        <v>505</v>
      </c>
      <c r="K1414" t="s">
        <v>506</v>
      </c>
      <c r="L1414" t="s">
        <v>5167</v>
      </c>
      <c r="M1414" t="s">
        <v>5168</v>
      </c>
      <c r="N1414" t="s">
        <v>5175</v>
      </c>
      <c r="O1414" t="s">
        <v>5176</v>
      </c>
      <c r="P1414">
        <v>2.9710000000000001</v>
      </c>
      <c r="Q1414" t="s">
        <v>29</v>
      </c>
      <c r="R1414" t="s">
        <v>124</v>
      </c>
      <c r="S1414" t="s">
        <v>6938</v>
      </c>
    </row>
    <row r="1415" spans="1:19" x14ac:dyDescent="0.25">
      <c r="A1415">
        <v>2004</v>
      </c>
      <c r="B1415">
        <v>4980</v>
      </c>
      <c r="C1415" t="s">
        <v>5718</v>
      </c>
      <c r="E1415">
        <v>339990</v>
      </c>
      <c r="F1415" t="s">
        <v>871</v>
      </c>
      <c r="G1415" t="s">
        <v>872</v>
      </c>
      <c r="H1415" t="s">
        <v>21</v>
      </c>
      <c r="I1415" t="s">
        <v>152</v>
      </c>
      <c r="J1415" t="s">
        <v>153</v>
      </c>
      <c r="K1415" t="s">
        <v>154</v>
      </c>
      <c r="L1415" t="s">
        <v>5167</v>
      </c>
      <c r="M1415" t="s">
        <v>5168</v>
      </c>
      <c r="N1415" t="s">
        <v>5169</v>
      </c>
      <c r="O1415" t="s">
        <v>5170</v>
      </c>
      <c r="P1415">
        <v>3.883</v>
      </c>
      <c r="Q1415" t="s">
        <v>29</v>
      </c>
      <c r="R1415" t="s">
        <v>258</v>
      </c>
      <c r="S1415" t="s">
        <v>6938</v>
      </c>
    </row>
    <row r="1416" spans="1:19" x14ac:dyDescent="0.25">
      <c r="A1416">
        <v>2008</v>
      </c>
      <c r="B1416">
        <v>1071</v>
      </c>
      <c r="C1416" t="s">
        <v>1523</v>
      </c>
      <c r="D1416" t="s">
        <v>1523</v>
      </c>
      <c r="E1416">
        <v>331313</v>
      </c>
      <c r="F1416" t="s">
        <v>1131</v>
      </c>
      <c r="G1416" t="s">
        <v>1132</v>
      </c>
      <c r="H1416" t="s">
        <v>79</v>
      </c>
      <c r="I1416" t="s">
        <v>209</v>
      </c>
      <c r="J1416" t="s">
        <v>210</v>
      </c>
      <c r="K1416" t="s">
        <v>211</v>
      </c>
      <c r="L1416" t="s">
        <v>5167</v>
      </c>
      <c r="M1416" t="s">
        <v>5168</v>
      </c>
      <c r="N1416" t="s">
        <v>5169</v>
      </c>
      <c r="O1416" t="s">
        <v>5170</v>
      </c>
      <c r="P1416">
        <v>5.6</v>
      </c>
      <c r="Q1416" t="s">
        <v>29</v>
      </c>
      <c r="R1416" t="s">
        <v>50</v>
      </c>
      <c r="S1416" t="s">
        <v>6938</v>
      </c>
    </row>
    <row r="1417" spans="1:19" x14ac:dyDescent="0.25">
      <c r="A1417">
        <v>2006</v>
      </c>
      <c r="B1417">
        <v>2587</v>
      </c>
      <c r="C1417" t="s">
        <v>5719</v>
      </c>
      <c r="D1417" t="s">
        <v>5720</v>
      </c>
      <c r="E1417">
        <v>322121</v>
      </c>
      <c r="F1417" t="s">
        <v>764</v>
      </c>
      <c r="G1417" t="s">
        <v>765</v>
      </c>
      <c r="H1417" t="s">
        <v>79</v>
      </c>
      <c r="I1417" t="s">
        <v>106</v>
      </c>
      <c r="J1417" t="s">
        <v>107</v>
      </c>
      <c r="K1417" t="s">
        <v>108</v>
      </c>
      <c r="L1417" t="s">
        <v>5167</v>
      </c>
      <c r="M1417" t="s">
        <v>5168</v>
      </c>
      <c r="N1417" t="s">
        <v>5175</v>
      </c>
      <c r="O1417" t="s">
        <v>5176</v>
      </c>
      <c r="P1417">
        <v>1.702</v>
      </c>
      <c r="Q1417" t="s">
        <v>40</v>
      </c>
      <c r="R1417" t="s">
        <v>430</v>
      </c>
      <c r="S1417" t="s">
        <v>6938</v>
      </c>
    </row>
    <row r="1418" spans="1:19" x14ac:dyDescent="0.25">
      <c r="A1418">
        <v>2018</v>
      </c>
      <c r="B1418">
        <v>442</v>
      </c>
      <c r="C1418" t="s">
        <v>1323</v>
      </c>
      <c r="D1418" t="s">
        <v>5417</v>
      </c>
      <c r="E1418">
        <v>211141</v>
      </c>
      <c r="F1418" t="s">
        <v>1189</v>
      </c>
      <c r="G1418" t="s">
        <v>1190</v>
      </c>
      <c r="H1418" t="s">
        <v>85</v>
      </c>
      <c r="I1418" t="s">
        <v>331</v>
      </c>
      <c r="J1418" t="s">
        <v>332</v>
      </c>
      <c r="K1418" t="s">
        <v>333</v>
      </c>
      <c r="L1418" t="s">
        <v>5183</v>
      </c>
      <c r="M1418" t="s">
        <v>5184</v>
      </c>
      <c r="N1418" t="s">
        <v>5169</v>
      </c>
      <c r="O1418" t="s">
        <v>5170</v>
      </c>
      <c r="P1418">
        <v>1E-4</v>
      </c>
      <c r="Q1418" t="s">
        <v>29</v>
      </c>
      <c r="R1418" t="s">
        <v>30</v>
      </c>
      <c r="S1418" t="s">
        <v>6938</v>
      </c>
    </row>
    <row r="1419" spans="1:19" x14ac:dyDescent="0.25">
      <c r="A1419">
        <v>2009</v>
      </c>
      <c r="B1419">
        <v>6157</v>
      </c>
      <c r="C1419" t="s">
        <v>1444</v>
      </c>
      <c r="D1419" t="s">
        <v>5721</v>
      </c>
      <c r="E1419">
        <v>412110</v>
      </c>
      <c r="F1419" t="s">
        <v>346</v>
      </c>
      <c r="G1419" t="s">
        <v>347</v>
      </c>
      <c r="H1419" t="s">
        <v>661</v>
      </c>
      <c r="I1419" t="s">
        <v>70</v>
      </c>
      <c r="J1419" t="s">
        <v>71</v>
      </c>
      <c r="K1419" t="s">
        <v>72</v>
      </c>
      <c r="L1419" t="s">
        <v>5167</v>
      </c>
      <c r="M1419" t="s">
        <v>5168</v>
      </c>
      <c r="N1419" t="s">
        <v>5169</v>
      </c>
      <c r="O1419" t="s">
        <v>5170</v>
      </c>
      <c r="P1419">
        <v>7.0000000000000001E-3</v>
      </c>
      <c r="Q1419" t="s">
        <v>29</v>
      </c>
      <c r="R1419" t="s">
        <v>30</v>
      </c>
      <c r="S1419" t="s">
        <v>6938</v>
      </c>
    </row>
    <row r="1420" spans="1:19" x14ac:dyDescent="0.25">
      <c r="A1420">
        <v>2002</v>
      </c>
      <c r="B1420">
        <v>2948</v>
      </c>
      <c r="C1420" t="s">
        <v>5722</v>
      </c>
      <c r="D1420" t="s">
        <v>5723</v>
      </c>
      <c r="E1420">
        <v>322112</v>
      </c>
      <c r="F1420" t="s">
        <v>620</v>
      </c>
      <c r="G1420" t="s">
        <v>621</v>
      </c>
      <c r="H1420" t="s">
        <v>79</v>
      </c>
      <c r="I1420" t="s">
        <v>35</v>
      </c>
      <c r="J1420" t="s">
        <v>36</v>
      </c>
      <c r="K1420" t="s">
        <v>37</v>
      </c>
      <c r="L1420" t="s">
        <v>5183</v>
      </c>
      <c r="M1420" t="s">
        <v>5184</v>
      </c>
      <c r="N1420" t="s">
        <v>5169</v>
      </c>
      <c r="O1420" t="s">
        <v>5170</v>
      </c>
      <c r="P1420">
        <v>327.25</v>
      </c>
      <c r="Q1420" t="s">
        <v>40</v>
      </c>
      <c r="R1420" t="s">
        <v>204</v>
      </c>
      <c r="S1420" t="s">
        <v>6938</v>
      </c>
    </row>
    <row r="1421" spans="1:19" x14ac:dyDescent="0.25">
      <c r="A1421">
        <v>2005</v>
      </c>
      <c r="B1421">
        <v>17141</v>
      </c>
      <c r="C1421" t="s">
        <v>5724</v>
      </c>
      <c r="D1421" t="s">
        <v>5725</v>
      </c>
      <c r="E1421">
        <v>562210</v>
      </c>
      <c r="F1421" t="s">
        <v>52</v>
      </c>
      <c r="G1421" t="s">
        <v>53</v>
      </c>
      <c r="H1421" t="s">
        <v>85</v>
      </c>
      <c r="I1421" t="s">
        <v>913</v>
      </c>
      <c r="J1421" t="s">
        <v>914</v>
      </c>
      <c r="K1421" t="s">
        <v>915</v>
      </c>
      <c r="L1421" t="s">
        <v>5183</v>
      </c>
      <c r="M1421" t="s">
        <v>5184</v>
      </c>
      <c r="N1421" t="s">
        <v>5169</v>
      </c>
      <c r="O1421" t="s">
        <v>5170</v>
      </c>
      <c r="P1421">
        <v>106.15</v>
      </c>
      <c r="Q1421" t="s">
        <v>29</v>
      </c>
      <c r="R1421" t="s">
        <v>50</v>
      </c>
      <c r="S1421" t="s">
        <v>6938</v>
      </c>
    </row>
    <row r="1422" spans="1:19" x14ac:dyDescent="0.25">
      <c r="A1422">
        <v>2012</v>
      </c>
      <c r="B1422">
        <v>3430</v>
      </c>
      <c r="C1422" t="s">
        <v>5726</v>
      </c>
      <c r="D1422" t="s">
        <v>5727</v>
      </c>
      <c r="E1422">
        <v>325510</v>
      </c>
      <c r="F1422" t="s">
        <v>111</v>
      </c>
      <c r="G1422" t="s">
        <v>112</v>
      </c>
      <c r="H1422" t="s">
        <v>21</v>
      </c>
      <c r="I1422" t="s">
        <v>461</v>
      </c>
      <c r="J1422" t="s">
        <v>462</v>
      </c>
      <c r="K1422" t="s">
        <v>463</v>
      </c>
      <c r="L1422" t="s">
        <v>5167</v>
      </c>
      <c r="M1422" t="s">
        <v>5168</v>
      </c>
      <c r="N1422" t="s">
        <v>5169</v>
      </c>
      <c r="O1422" t="s">
        <v>5170</v>
      </c>
      <c r="P1422">
        <v>8.9812999999999992</v>
      </c>
      <c r="Q1422" t="s">
        <v>40</v>
      </c>
      <c r="R1422" t="s">
        <v>50</v>
      </c>
      <c r="S1422" t="s">
        <v>6938</v>
      </c>
    </row>
    <row r="1423" spans="1:19" x14ac:dyDescent="0.25">
      <c r="A1423">
        <v>2023</v>
      </c>
      <c r="B1423">
        <v>31595</v>
      </c>
      <c r="C1423" t="s">
        <v>1649</v>
      </c>
      <c r="D1423" t="s">
        <v>5728</v>
      </c>
      <c r="E1423">
        <v>211110</v>
      </c>
      <c r="F1423" t="s">
        <v>233</v>
      </c>
      <c r="G1423" t="s">
        <v>234</v>
      </c>
      <c r="H1423" t="s">
        <v>85</v>
      </c>
      <c r="I1423" t="s">
        <v>923</v>
      </c>
      <c r="J1423" t="s">
        <v>924</v>
      </c>
      <c r="K1423" t="s">
        <v>924</v>
      </c>
      <c r="L1423" t="s">
        <v>5167</v>
      </c>
      <c r="M1423" t="s">
        <v>5168</v>
      </c>
      <c r="N1423" t="s">
        <v>5169</v>
      </c>
      <c r="O1423" t="s">
        <v>5170</v>
      </c>
      <c r="P1423">
        <v>7.0590000000000002E-3</v>
      </c>
      <c r="Q1423" t="s">
        <v>29</v>
      </c>
      <c r="R1423" t="s">
        <v>30</v>
      </c>
      <c r="S1423" t="s">
        <v>6938</v>
      </c>
    </row>
    <row r="1424" spans="1:19" x14ac:dyDescent="0.25">
      <c r="A1424">
        <v>2022</v>
      </c>
      <c r="B1424">
        <v>7838</v>
      </c>
      <c r="C1424" t="s">
        <v>2057</v>
      </c>
      <c r="D1424" t="s">
        <v>2252</v>
      </c>
      <c r="E1424">
        <v>212114</v>
      </c>
      <c r="F1424" t="s">
        <v>2059</v>
      </c>
      <c r="G1424" t="s">
        <v>2060</v>
      </c>
      <c r="H1424" t="s">
        <v>69</v>
      </c>
      <c r="I1424" t="s">
        <v>209</v>
      </c>
      <c r="J1424" t="s">
        <v>210</v>
      </c>
      <c r="K1424" t="s">
        <v>211</v>
      </c>
      <c r="L1424" t="s">
        <v>5183</v>
      </c>
      <c r="M1424" t="s">
        <v>5184</v>
      </c>
      <c r="N1424" t="s">
        <v>5185</v>
      </c>
      <c r="O1424" t="s">
        <v>5186</v>
      </c>
      <c r="P1424">
        <v>118.32599999999999</v>
      </c>
      <c r="Q1424" t="s">
        <v>29</v>
      </c>
      <c r="R1424" t="s">
        <v>124</v>
      </c>
      <c r="S1424" t="s">
        <v>6938</v>
      </c>
    </row>
    <row r="1425" spans="1:19" x14ac:dyDescent="0.25">
      <c r="A1425">
        <v>2017</v>
      </c>
      <c r="B1425">
        <v>27123</v>
      </c>
      <c r="C1425" t="s">
        <v>4937</v>
      </c>
      <c r="D1425" t="s">
        <v>5729</v>
      </c>
      <c r="E1425">
        <v>418410</v>
      </c>
      <c r="F1425" t="s">
        <v>433</v>
      </c>
      <c r="G1425" t="s">
        <v>434</v>
      </c>
      <c r="H1425" t="s">
        <v>243</v>
      </c>
      <c r="I1425" t="s">
        <v>55</v>
      </c>
      <c r="J1425" t="s">
        <v>56</v>
      </c>
      <c r="K1425" t="s">
        <v>57</v>
      </c>
      <c r="L1425" t="s">
        <v>5167</v>
      </c>
      <c r="M1425" t="s">
        <v>5168</v>
      </c>
      <c r="N1425" t="s">
        <v>5195</v>
      </c>
      <c r="O1425" t="s">
        <v>5196</v>
      </c>
      <c r="P1425">
        <v>10.203900000000001</v>
      </c>
      <c r="Q1425" t="s">
        <v>29</v>
      </c>
      <c r="R1425" t="s">
        <v>50</v>
      </c>
      <c r="S1425" t="s">
        <v>6938</v>
      </c>
    </row>
    <row r="1426" spans="1:19" x14ac:dyDescent="0.25">
      <c r="A1426">
        <v>2013</v>
      </c>
      <c r="B1426">
        <v>10219</v>
      </c>
      <c r="C1426" t="s">
        <v>125</v>
      </c>
      <c r="D1426" t="s">
        <v>746</v>
      </c>
      <c r="E1426">
        <v>412110</v>
      </c>
      <c r="F1426" t="s">
        <v>127</v>
      </c>
      <c r="G1426" t="s">
        <v>128</v>
      </c>
      <c r="H1426" t="s">
        <v>21</v>
      </c>
      <c r="I1426" t="s">
        <v>1251</v>
      </c>
      <c r="J1426" t="s">
        <v>1252</v>
      </c>
      <c r="K1426" t="s">
        <v>1253</v>
      </c>
      <c r="L1426" t="s">
        <v>5167</v>
      </c>
      <c r="M1426" t="s">
        <v>5168</v>
      </c>
      <c r="N1426" t="s">
        <v>5223</v>
      </c>
      <c r="O1426" t="s">
        <v>5224</v>
      </c>
      <c r="P1426">
        <v>0.01</v>
      </c>
      <c r="Q1426" t="s">
        <v>40</v>
      </c>
      <c r="R1426" t="s">
        <v>30</v>
      </c>
      <c r="S1426" t="s">
        <v>6938</v>
      </c>
    </row>
    <row r="1427" spans="1:19" x14ac:dyDescent="0.25">
      <c r="A1427">
        <v>2006</v>
      </c>
      <c r="B1427">
        <v>267</v>
      </c>
      <c r="C1427" t="s">
        <v>5730</v>
      </c>
      <c r="D1427" t="s">
        <v>5731</v>
      </c>
      <c r="E1427">
        <v>221112</v>
      </c>
      <c r="F1427" t="s">
        <v>134</v>
      </c>
      <c r="G1427" t="s">
        <v>135</v>
      </c>
      <c r="H1427" t="s">
        <v>85</v>
      </c>
      <c r="I1427" t="s">
        <v>152</v>
      </c>
      <c r="J1427" t="s">
        <v>153</v>
      </c>
      <c r="K1427" t="s">
        <v>154</v>
      </c>
      <c r="L1427" t="s">
        <v>5167</v>
      </c>
      <c r="M1427" t="s">
        <v>5168</v>
      </c>
      <c r="N1427" t="s">
        <v>5223</v>
      </c>
      <c r="O1427" t="s">
        <v>5224</v>
      </c>
      <c r="P1427">
        <v>87</v>
      </c>
      <c r="Q1427" t="s">
        <v>29</v>
      </c>
      <c r="R1427" t="s">
        <v>30</v>
      </c>
      <c r="S1427" t="s">
        <v>6938</v>
      </c>
    </row>
    <row r="1428" spans="1:19" x14ac:dyDescent="0.25">
      <c r="A1428">
        <v>2006</v>
      </c>
      <c r="B1428">
        <v>3127</v>
      </c>
      <c r="C1428" t="s">
        <v>5732</v>
      </c>
      <c r="D1428" t="s">
        <v>5733</v>
      </c>
      <c r="E1428">
        <v>324110</v>
      </c>
      <c r="F1428" t="s">
        <v>95</v>
      </c>
      <c r="G1428" t="s">
        <v>96</v>
      </c>
      <c r="H1428" t="s">
        <v>79</v>
      </c>
      <c r="I1428" t="s">
        <v>1050</v>
      </c>
      <c r="J1428" t="s">
        <v>1051</v>
      </c>
      <c r="K1428" t="s">
        <v>1052</v>
      </c>
      <c r="L1428" t="s">
        <v>5167</v>
      </c>
      <c r="M1428" t="s">
        <v>5168</v>
      </c>
      <c r="N1428" t="s">
        <v>5169</v>
      </c>
      <c r="O1428" t="s">
        <v>5170</v>
      </c>
      <c r="P1428">
        <v>0.7</v>
      </c>
      <c r="Q1428" t="s">
        <v>40</v>
      </c>
      <c r="R1428" t="s">
        <v>30</v>
      </c>
      <c r="S1428" t="s">
        <v>6938</v>
      </c>
    </row>
    <row r="1429" spans="1:19" x14ac:dyDescent="0.25">
      <c r="A1429">
        <v>2009</v>
      </c>
      <c r="B1429">
        <v>799</v>
      </c>
      <c r="C1429" t="s">
        <v>5734</v>
      </c>
      <c r="D1429" t="s">
        <v>5734</v>
      </c>
      <c r="E1429">
        <v>325520</v>
      </c>
      <c r="F1429" t="s">
        <v>1147</v>
      </c>
      <c r="G1429" t="s">
        <v>1122</v>
      </c>
      <c r="H1429" t="s">
        <v>21</v>
      </c>
      <c r="I1429" t="s">
        <v>35</v>
      </c>
      <c r="J1429" t="s">
        <v>36</v>
      </c>
      <c r="K1429" t="s">
        <v>37</v>
      </c>
      <c r="L1429" t="s">
        <v>5167</v>
      </c>
      <c r="M1429" t="s">
        <v>5168</v>
      </c>
      <c r="N1429" t="s">
        <v>5169</v>
      </c>
      <c r="O1429" t="s">
        <v>5170</v>
      </c>
      <c r="P1429">
        <v>485</v>
      </c>
      <c r="Q1429" t="s">
        <v>40</v>
      </c>
      <c r="R1429" t="s">
        <v>50</v>
      </c>
      <c r="S1429" t="s">
        <v>6938</v>
      </c>
    </row>
    <row r="1430" spans="1:19" x14ac:dyDescent="0.25">
      <c r="A1430">
        <v>2003</v>
      </c>
      <c r="B1430">
        <v>3775</v>
      </c>
      <c r="C1430" t="s">
        <v>5735</v>
      </c>
      <c r="E1430">
        <v>339990</v>
      </c>
      <c r="F1430" t="s">
        <v>871</v>
      </c>
      <c r="G1430" t="s">
        <v>872</v>
      </c>
      <c r="H1430" t="s">
        <v>85</v>
      </c>
      <c r="I1430" t="s">
        <v>244</v>
      </c>
      <c r="J1430" t="s">
        <v>245</v>
      </c>
      <c r="K1430" t="s">
        <v>246</v>
      </c>
      <c r="L1430" t="s">
        <v>5167</v>
      </c>
      <c r="M1430" t="s">
        <v>5168</v>
      </c>
      <c r="N1430" t="s">
        <v>5169</v>
      </c>
      <c r="O1430" t="s">
        <v>5170</v>
      </c>
      <c r="P1430">
        <v>160.30000000000001</v>
      </c>
      <c r="Q1430" t="s">
        <v>40</v>
      </c>
      <c r="R1430" t="s">
        <v>124</v>
      </c>
      <c r="S1430" t="s">
        <v>6938</v>
      </c>
    </row>
    <row r="1431" spans="1:19" x14ac:dyDescent="0.25">
      <c r="A1431">
        <v>2022</v>
      </c>
      <c r="B1431">
        <v>24183</v>
      </c>
      <c r="C1431" t="s">
        <v>4250</v>
      </c>
      <c r="D1431" t="s">
        <v>5736</v>
      </c>
      <c r="E1431">
        <v>562210</v>
      </c>
      <c r="F1431" t="s">
        <v>84</v>
      </c>
      <c r="G1431" t="s">
        <v>53</v>
      </c>
      <c r="H1431" t="s">
        <v>85</v>
      </c>
      <c r="I1431" t="s">
        <v>55</v>
      </c>
      <c r="J1431" t="s">
        <v>56</v>
      </c>
      <c r="K1431" t="s">
        <v>57</v>
      </c>
      <c r="L1431" t="s">
        <v>5183</v>
      </c>
      <c r="M1431" t="s">
        <v>5184</v>
      </c>
      <c r="N1431" t="s">
        <v>5195</v>
      </c>
      <c r="O1431" t="s">
        <v>5196</v>
      </c>
      <c r="P1431">
        <v>93.703999999999994</v>
      </c>
      <c r="Q1431" t="s">
        <v>29</v>
      </c>
      <c r="R1431" t="s">
        <v>50</v>
      </c>
      <c r="S1431" t="s">
        <v>6938</v>
      </c>
    </row>
    <row r="1432" spans="1:19" x14ac:dyDescent="0.25">
      <c r="A1432">
        <v>2000</v>
      </c>
      <c r="B1432">
        <v>3939</v>
      </c>
      <c r="C1432" t="s">
        <v>5737</v>
      </c>
      <c r="D1432" t="s">
        <v>5738</v>
      </c>
      <c r="E1432">
        <v>211113</v>
      </c>
      <c r="F1432" t="s">
        <v>425</v>
      </c>
      <c r="G1432" t="s">
        <v>426</v>
      </c>
      <c r="H1432" t="s">
        <v>85</v>
      </c>
      <c r="I1432" t="s">
        <v>331</v>
      </c>
      <c r="J1432" t="s">
        <v>332</v>
      </c>
      <c r="K1432" t="s">
        <v>333</v>
      </c>
      <c r="L1432" t="s">
        <v>5167</v>
      </c>
      <c r="M1432" t="s">
        <v>5168</v>
      </c>
      <c r="N1432" t="s">
        <v>5195</v>
      </c>
      <c r="O1432" t="s">
        <v>5196</v>
      </c>
      <c r="P1432">
        <v>6.2E-2</v>
      </c>
      <c r="Q1432" t="s">
        <v>29</v>
      </c>
      <c r="R1432" t="s">
        <v>442</v>
      </c>
      <c r="S1432" t="s">
        <v>6938</v>
      </c>
    </row>
    <row r="1433" spans="1:19" x14ac:dyDescent="0.25">
      <c r="A1433">
        <v>2007</v>
      </c>
      <c r="B1433">
        <v>6895</v>
      </c>
      <c r="C1433" t="s">
        <v>5739</v>
      </c>
      <c r="D1433" t="s">
        <v>5740</v>
      </c>
      <c r="E1433">
        <v>212114</v>
      </c>
      <c r="F1433" t="s">
        <v>5276</v>
      </c>
      <c r="G1433" t="s">
        <v>2060</v>
      </c>
      <c r="H1433" t="s">
        <v>85</v>
      </c>
      <c r="I1433" t="s">
        <v>152</v>
      </c>
      <c r="J1433" t="s">
        <v>153</v>
      </c>
      <c r="K1433" t="s">
        <v>154</v>
      </c>
      <c r="L1433" t="s">
        <v>5183</v>
      </c>
      <c r="M1433" t="s">
        <v>5184</v>
      </c>
      <c r="N1433" t="s">
        <v>5185</v>
      </c>
      <c r="O1433" t="s">
        <v>5186</v>
      </c>
      <c r="P1433">
        <v>31.773</v>
      </c>
      <c r="Q1433" t="s">
        <v>29</v>
      </c>
      <c r="R1433" t="s">
        <v>30</v>
      </c>
      <c r="S1433" t="s">
        <v>6938</v>
      </c>
    </row>
    <row r="1434" spans="1:19" x14ac:dyDescent="0.25">
      <c r="A1434">
        <v>2020</v>
      </c>
      <c r="B1434">
        <v>4978</v>
      </c>
      <c r="C1434" t="s">
        <v>5741</v>
      </c>
      <c r="D1434" t="s">
        <v>5742</v>
      </c>
      <c r="E1434">
        <v>331529</v>
      </c>
      <c r="F1434" t="s">
        <v>5743</v>
      </c>
      <c r="G1434" t="s">
        <v>761</v>
      </c>
      <c r="H1434" t="s">
        <v>21</v>
      </c>
      <c r="I1434" t="s">
        <v>62</v>
      </c>
      <c r="J1434" t="s">
        <v>63</v>
      </c>
      <c r="K1434" t="s">
        <v>64</v>
      </c>
      <c r="L1434" t="s">
        <v>5167</v>
      </c>
      <c r="M1434" t="s">
        <v>5168</v>
      </c>
      <c r="N1434" t="s">
        <v>5169</v>
      </c>
      <c r="O1434" t="s">
        <v>5170</v>
      </c>
      <c r="P1434">
        <v>0</v>
      </c>
      <c r="Q1434" t="s">
        <v>29</v>
      </c>
      <c r="R1434" t="s">
        <v>30</v>
      </c>
      <c r="S1434" t="s">
        <v>6938</v>
      </c>
    </row>
    <row r="1435" spans="1:19" x14ac:dyDescent="0.25">
      <c r="A1435">
        <v>2012</v>
      </c>
      <c r="B1435">
        <v>1251</v>
      </c>
      <c r="C1435" t="s">
        <v>5744</v>
      </c>
      <c r="D1435" t="s">
        <v>5745</v>
      </c>
      <c r="E1435">
        <v>327990</v>
      </c>
      <c r="F1435" t="s">
        <v>5746</v>
      </c>
      <c r="G1435" t="s">
        <v>2171</v>
      </c>
      <c r="H1435" t="s">
        <v>85</v>
      </c>
      <c r="I1435" t="s">
        <v>209</v>
      </c>
      <c r="J1435" t="s">
        <v>210</v>
      </c>
      <c r="K1435" t="s">
        <v>211</v>
      </c>
      <c r="L1435" t="s">
        <v>5167</v>
      </c>
      <c r="M1435" t="s">
        <v>5168</v>
      </c>
      <c r="N1435" t="s">
        <v>5169</v>
      </c>
      <c r="O1435" t="s">
        <v>5170</v>
      </c>
      <c r="P1435">
        <v>5.8299999999999998E-2</v>
      </c>
      <c r="Q1435" t="s">
        <v>29</v>
      </c>
      <c r="R1435" t="s">
        <v>50</v>
      </c>
      <c r="S1435" t="s">
        <v>6938</v>
      </c>
    </row>
    <row r="1436" spans="1:19" x14ac:dyDescent="0.25">
      <c r="A1436">
        <v>2011</v>
      </c>
      <c r="B1436">
        <v>21533</v>
      </c>
      <c r="C1436" t="s">
        <v>5747</v>
      </c>
      <c r="D1436" t="s">
        <v>5748</v>
      </c>
      <c r="E1436">
        <v>486110</v>
      </c>
      <c r="F1436" t="s">
        <v>540</v>
      </c>
      <c r="G1436" t="s">
        <v>541</v>
      </c>
      <c r="H1436" t="s">
        <v>85</v>
      </c>
      <c r="I1436" t="s">
        <v>70</v>
      </c>
      <c r="J1436" t="s">
        <v>71</v>
      </c>
      <c r="K1436" t="s">
        <v>72</v>
      </c>
      <c r="L1436" t="s">
        <v>5167</v>
      </c>
      <c r="M1436" t="s">
        <v>5168</v>
      </c>
      <c r="N1436" t="s">
        <v>5169</v>
      </c>
      <c r="O1436" t="s">
        <v>5170</v>
      </c>
      <c r="P1436">
        <v>2.7E-2</v>
      </c>
      <c r="Q1436" t="s">
        <v>29</v>
      </c>
      <c r="R1436" t="s">
        <v>30</v>
      </c>
      <c r="S1436" t="s">
        <v>6938</v>
      </c>
    </row>
    <row r="1437" spans="1:19" x14ac:dyDescent="0.25">
      <c r="A1437">
        <v>2016</v>
      </c>
      <c r="B1437">
        <v>3754</v>
      </c>
      <c r="C1437" t="s">
        <v>818</v>
      </c>
      <c r="D1437" t="s">
        <v>635</v>
      </c>
      <c r="E1437">
        <v>211113</v>
      </c>
      <c r="F1437" t="s">
        <v>786</v>
      </c>
      <c r="G1437" t="s">
        <v>426</v>
      </c>
      <c r="H1437" t="s">
        <v>85</v>
      </c>
      <c r="I1437" t="s">
        <v>427</v>
      </c>
      <c r="J1437" t="s">
        <v>428</v>
      </c>
      <c r="K1437" t="s">
        <v>429</v>
      </c>
      <c r="L1437" t="s">
        <v>5167</v>
      </c>
      <c r="M1437" t="s">
        <v>5168</v>
      </c>
      <c r="N1437" t="s">
        <v>5169</v>
      </c>
      <c r="O1437" t="s">
        <v>5170</v>
      </c>
      <c r="P1437">
        <v>3.9100000000000003E-2</v>
      </c>
      <c r="Q1437" t="s">
        <v>29</v>
      </c>
      <c r="R1437" t="s">
        <v>30</v>
      </c>
      <c r="S1437" t="s">
        <v>6938</v>
      </c>
    </row>
    <row r="1438" spans="1:19" x14ac:dyDescent="0.25">
      <c r="A1438">
        <v>2007</v>
      </c>
      <c r="B1438">
        <v>2815</v>
      </c>
      <c r="C1438" t="s">
        <v>2255</v>
      </c>
      <c r="D1438" t="s">
        <v>5749</v>
      </c>
      <c r="E1438">
        <v>331410</v>
      </c>
      <c r="F1438" t="s">
        <v>1453</v>
      </c>
      <c r="G1438" t="s">
        <v>1235</v>
      </c>
      <c r="H1438" t="s">
        <v>21</v>
      </c>
      <c r="I1438" t="s">
        <v>255</v>
      </c>
      <c r="J1438" t="s">
        <v>256</v>
      </c>
      <c r="K1438" t="s">
        <v>257</v>
      </c>
      <c r="L1438" t="s">
        <v>5183</v>
      </c>
      <c r="M1438" t="s">
        <v>5184</v>
      </c>
      <c r="N1438" t="s">
        <v>5185</v>
      </c>
      <c r="O1438" t="s">
        <v>5186</v>
      </c>
      <c r="P1438">
        <v>34.97</v>
      </c>
      <c r="Q1438" t="s">
        <v>29</v>
      </c>
      <c r="R1438" t="s">
        <v>50</v>
      </c>
      <c r="S1438" t="s">
        <v>6938</v>
      </c>
    </row>
    <row r="1439" spans="1:19" x14ac:dyDescent="0.25">
      <c r="A1439">
        <v>2002</v>
      </c>
      <c r="B1439">
        <v>3756</v>
      </c>
      <c r="C1439" t="s">
        <v>5750</v>
      </c>
      <c r="D1439" t="s">
        <v>5751</v>
      </c>
      <c r="E1439">
        <v>211113</v>
      </c>
      <c r="F1439" t="s">
        <v>425</v>
      </c>
      <c r="G1439" t="s">
        <v>426</v>
      </c>
      <c r="H1439" t="s">
        <v>85</v>
      </c>
      <c r="I1439" t="s">
        <v>70</v>
      </c>
      <c r="J1439" t="s">
        <v>71</v>
      </c>
      <c r="K1439" t="s">
        <v>72</v>
      </c>
      <c r="L1439" t="s">
        <v>5183</v>
      </c>
      <c r="M1439" t="s">
        <v>5184</v>
      </c>
      <c r="N1439" t="s">
        <v>5195</v>
      </c>
      <c r="O1439" t="s">
        <v>5196</v>
      </c>
      <c r="P1439">
        <v>1.18</v>
      </c>
      <c r="Q1439" t="s">
        <v>29</v>
      </c>
      <c r="R1439" t="s">
        <v>30</v>
      </c>
      <c r="S1439" t="s">
        <v>6938</v>
      </c>
    </row>
    <row r="1440" spans="1:19" x14ac:dyDescent="0.25">
      <c r="A1440">
        <v>2014</v>
      </c>
      <c r="B1440">
        <v>22267</v>
      </c>
      <c r="C1440" t="s">
        <v>1995</v>
      </c>
      <c r="D1440" t="s">
        <v>5295</v>
      </c>
      <c r="E1440">
        <v>211114</v>
      </c>
      <c r="F1440" t="s">
        <v>956</v>
      </c>
      <c r="G1440" t="s">
        <v>836</v>
      </c>
      <c r="H1440" t="s">
        <v>85</v>
      </c>
      <c r="I1440" t="s">
        <v>70</v>
      </c>
      <c r="J1440" t="s">
        <v>71</v>
      </c>
      <c r="K1440" t="s">
        <v>72</v>
      </c>
      <c r="L1440" t="s">
        <v>5167</v>
      </c>
      <c r="M1440" t="s">
        <v>5168</v>
      </c>
      <c r="N1440" t="s">
        <v>5169</v>
      </c>
      <c r="O1440" t="s">
        <v>5170</v>
      </c>
      <c r="P1440">
        <v>0.97050000000000003</v>
      </c>
      <c r="Q1440" t="s">
        <v>29</v>
      </c>
      <c r="R1440" t="s">
        <v>30</v>
      </c>
      <c r="S1440" t="s">
        <v>6938</v>
      </c>
    </row>
    <row r="1441" spans="1:19" x14ac:dyDescent="0.25">
      <c r="A1441">
        <v>2015</v>
      </c>
      <c r="B1441">
        <v>24145</v>
      </c>
      <c r="C1441" t="s">
        <v>2335</v>
      </c>
      <c r="D1441" t="s">
        <v>2336</v>
      </c>
      <c r="E1441">
        <v>211114</v>
      </c>
      <c r="F1441" t="s">
        <v>956</v>
      </c>
      <c r="G1441" t="s">
        <v>836</v>
      </c>
      <c r="H1441" t="s">
        <v>85</v>
      </c>
      <c r="I1441" t="s">
        <v>129</v>
      </c>
      <c r="J1441" t="s">
        <v>130</v>
      </c>
      <c r="K1441" t="s">
        <v>131</v>
      </c>
      <c r="L1441" t="s">
        <v>5167</v>
      </c>
      <c r="M1441" t="s">
        <v>5168</v>
      </c>
      <c r="N1441" t="s">
        <v>5195</v>
      </c>
      <c r="O1441" t="s">
        <v>5196</v>
      </c>
      <c r="P1441">
        <v>5.0000000000000001E-4</v>
      </c>
      <c r="Q1441" t="s">
        <v>29</v>
      </c>
      <c r="R1441" t="s">
        <v>30</v>
      </c>
      <c r="S1441" t="s">
        <v>6938</v>
      </c>
    </row>
    <row r="1442" spans="1:19" x14ac:dyDescent="0.25">
      <c r="A1442">
        <v>2006</v>
      </c>
      <c r="B1442">
        <v>2230</v>
      </c>
      <c r="C1442" t="s">
        <v>5752</v>
      </c>
      <c r="D1442" t="s">
        <v>5753</v>
      </c>
      <c r="E1442">
        <v>211114</v>
      </c>
      <c r="F1442" t="s">
        <v>835</v>
      </c>
      <c r="G1442" t="s">
        <v>836</v>
      </c>
      <c r="H1442" t="s">
        <v>85</v>
      </c>
      <c r="I1442" t="s">
        <v>391</v>
      </c>
      <c r="J1442" t="s">
        <v>392</v>
      </c>
      <c r="K1442" t="s">
        <v>393</v>
      </c>
      <c r="L1442" t="s">
        <v>5183</v>
      </c>
      <c r="M1442" t="s">
        <v>5184</v>
      </c>
      <c r="N1442" t="s">
        <v>5185</v>
      </c>
      <c r="O1442" t="s">
        <v>5186</v>
      </c>
      <c r="P1442">
        <v>2712.6570000000002</v>
      </c>
      <c r="Q1442" t="s">
        <v>40</v>
      </c>
      <c r="R1442" t="s">
        <v>157</v>
      </c>
      <c r="S1442" t="s">
        <v>6938</v>
      </c>
    </row>
    <row r="1443" spans="1:19" x14ac:dyDescent="0.25">
      <c r="A1443">
        <v>1993</v>
      </c>
      <c r="B1443">
        <v>1471</v>
      </c>
      <c r="C1443" t="s">
        <v>5754</v>
      </c>
      <c r="D1443" t="s">
        <v>5427</v>
      </c>
      <c r="E1443">
        <v>331410</v>
      </c>
      <c r="F1443" t="s">
        <v>1453</v>
      </c>
      <c r="G1443" t="s">
        <v>5755</v>
      </c>
      <c r="H1443" t="s">
        <v>21</v>
      </c>
      <c r="I1443" t="s">
        <v>177</v>
      </c>
      <c r="J1443" t="s">
        <v>178</v>
      </c>
      <c r="K1443" t="s">
        <v>179</v>
      </c>
      <c r="L1443" t="s">
        <v>5167</v>
      </c>
      <c r="M1443" t="s">
        <v>5168</v>
      </c>
      <c r="N1443" t="s">
        <v>5169</v>
      </c>
      <c r="O1443" t="s">
        <v>5170</v>
      </c>
      <c r="P1443">
        <v>1.0999999999999999E-2</v>
      </c>
      <c r="Q1443" t="s">
        <v>29</v>
      </c>
      <c r="S1443" t="s">
        <v>6938</v>
      </c>
    </row>
    <row r="1444" spans="1:19" x14ac:dyDescent="0.25">
      <c r="A1444">
        <v>2001</v>
      </c>
      <c r="B1444">
        <v>689</v>
      </c>
      <c r="C1444" t="s">
        <v>5756</v>
      </c>
      <c r="D1444" t="s">
        <v>5757</v>
      </c>
      <c r="E1444">
        <v>211113</v>
      </c>
      <c r="F1444" t="s">
        <v>425</v>
      </c>
      <c r="G1444" t="s">
        <v>426</v>
      </c>
      <c r="H1444" t="s">
        <v>85</v>
      </c>
      <c r="I1444" t="s">
        <v>55</v>
      </c>
      <c r="J1444" t="s">
        <v>56</v>
      </c>
      <c r="K1444" t="s">
        <v>57</v>
      </c>
      <c r="L1444" t="s">
        <v>5183</v>
      </c>
      <c r="M1444" t="s">
        <v>5184</v>
      </c>
      <c r="N1444" t="s">
        <v>5195</v>
      </c>
      <c r="O1444" t="s">
        <v>5196</v>
      </c>
      <c r="P1444">
        <v>5.5E-2</v>
      </c>
      <c r="Q1444" t="s">
        <v>29</v>
      </c>
      <c r="R1444" t="s">
        <v>30</v>
      </c>
      <c r="S1444" t="s">
        <v>6938</v>
      </c>
    </row>
    <row r="1445" spans="1:19" x14ac:dyDescent="0.25">
      <c r="A1445">
        <v>2018</v>
      </c>
      <c r="B1445">
        <v>442</v>
      </c>
      <c r="C1445" t="s">
        <v>1323</v>
      </c>
      <c r="D1445" t="s">
        <v>5417</v>
      </c>
      <c r="E1445">
        <v>211141</v>
      </c>
      <c r="F1445" t="s">
        <v>1189</v>
      </c>
      <c r="G1445" t="s">
        <v>1190</v>
      </c>
      <c r="H1445" t="s">
        <v>85</v>
      </c>
      <c r="I1445" t="s">
        <v>337</v>
      </c>
      <c r="J1445" t="s">
        <v>338</v>
      </c>
      <c r="K1445" t="s">
        <v>339</v>
      </c>
      <c r="L1445" t="s">
        <v>5167</v>
      </c>
      <c r="M1445" t="s">
        <v>5168</v>
      </c>
      <c r="N1445" t="s">
        <v>5195</v>
      </c>
      <c r="O1445" t="s">
        <v>5196</v>
      </c>
      <c r="P1445">
        <v>46.38</v>
      </c>
      <c r="Q1445" t="s">
        <v>29</v>
      </c>
      <c r="R1445" t="s">
        <v>30</v>
      </c>
      <c r="S1445" t="s">
        <v>6938</v>
      </c>
    </row>
    <row r="1446" spans="1:19" x14ac:dyDescent="0.25">
      <c r="A1446">
        <v>2015</v>
      </c>
      <c r="B1446">
        <v>6279</v>
      </c>
      <c r="C1446" t="s">
        <v>5758</v>
      </c>
      <c r="D1446" t="s">
        <v>5759</v>
      </c>
      <c r="E1446">
        <v>331317</v>
      </c>
      <c r="F1446" t="s">
        <v>768</v>
      </c>
      <c r="G1446" t="s">
        <v>769</v>
      </c>
      <c r="H1446" t="s">
        <v>79</v>
      </c>
      <c r="I1446" t="s">
        <v>35</v>
      </c>
      <c r="J1446" t="s">
        <v>36</v>
      </c>
      <c r="K1446" t="s">
        <v>37</v>
      </c>
      <c r="L1446" t="s">
        <v>5167</v>
      </c>
      <c r="M1446" t="s">
        <v>5168</v>
      </c>
      <c r="N1446" t="s">
        <v>5169</v>
      </c>
      <c r="O1446" t="s">
        <v>5170</v>
      </c>
      <c r="P1446">
        <v>0.13</v>
      </c>
      <c r="Q1446" t="s">
        <v>40</v>
      </c>
      <c r="R1446" t="s">
        <v>50</v>
      </c>
      <c r="S1446" t="s">
        <v>6938</v>
      </c>
    </row>
    <row r="1447" spans="1:19" x14ac:dyDescent="0.25">
      <c r="A1447">
        <v>2009</v>
      </c>
      <c r="B1447">
        <v>5646</v>
      </c>
      <c r="C1447" t="s">
        <v>5760</v>
      </c>
      <c r="D1447" t="s">
        <v>65</v>
      </c>
      <c r="E1447">
        <v>541990</v>
      </c>
      <c r="F1447" t="s">
        <v>5351</v>
      </c>
      <c r="G1447" t="s">
        <v>1786</v>
      </c>
      <c r="H1447" t="s">
        <v>21</v>
      </c>
      <c r="I1447" t="s">
        <v>97</v>
      </c>
      <c r="J1447" t="s">
        <v>98</v>
      </c>
      <c r="K1447" t="s">
        <v>99</v>
      </c>
      <c r="L1447" t="s">
        <v>5167</v>
      </c>
      <c r="M1447" t="s">
        <v>5168</v>
      </c>
      <c r="N1447" t="s">
        <v>5195</v>
      </c>
      <c r="O1447" t="s">
        <v>5196</v>
      </c>
      <c r="P1447">
        <v>7.1130000000000004</v>
      </c>
      <c r="Q1447" t="s">
        <v>29</v>
      </c>
      <c r="R1447" t="s">
        <v>50</v>
      </c>
      <c r="S1447" t="s">
        <v>6938</v>
      </c>
    </row>
    <row r="1448" spans="1:19" x14ac:dyDescent="0.25">
      <c r="A1448">
        <v>2017</v>
      </c>
      <c r="B1448">
        <v>18972</v>
      </c>
      <c r="C1448" t="s">
        <v>5761</v>
      </c>
      <c r="D1448" t="s">
        <v>534</v>
      </c>
      <c r="E1448">
        <v>211110</v>
      </c>
      <c r="F1448" t="s">
        <v>233</v>
      </c>
      <c r="G1448" t="s">
        <v>234</v>
      </c>
      <c r="H1448" t="s">
        <v>85</v>
      </c>
      <c r="I1448" t="s">
        <v>70</v>
      </c>
      <c r="J1448" t="s">
        <v>71</v>
      </c>
      <c r="K1448" t="s">
        <v>72</v>
      </c>
      <c r="L1448" t="s">
        <v>5167</v>
      </c>
      <c r="M1448" t="s">
        <v>5168</v>
      </c>
      <c r="N1448" t="s">
        <v>5175</v>
      </c>
      <c r="O1448" t="s">
        <v>5176</v>
      </c>
      <c r="P1448">
        <v>1.6199999999999999E-2</v>
      </c>
      <c r="Q1448" t="s">
        <v>29</v>
      </c>
      <c r="R1448" t="s">
        <v>30</v>
      </c>
      <c r="S1448" t="s">
        <v>6938</v>
      </c>
    </row>
    <row r="1449" spans="1:19" x14ac:dyDescent="0.25">
      <c r="A1449">
        <v>2001</v>
      </c>
      <c r="B1449">
        <v>4157</v>
      </c>
      <c r="C1449" t="s">
        <v>5657</v>
      </c>
      <c r="D1449" t="s">
        <v>5762</v>
      </c>
      <c r="E1449">
        <v>211113</v>
      </c>
      <c r="F1449" t="s">
        <v>425</v>
      </c>
      <c r="G1449" t="s">
        <v>426</v>
      </c>
      <c r="H1449" t="s">
        <v>243</v>
      </c>
      <c r="I1449" t="s">
        <v>486</v>
      </c>
      <c r="J1449" t="s">
        <v>487</v>
      </c>
      <c r="K1449" t="s">
        <v>488</v>
      </c>
      <c r="L1449" t="s">
        <v>5167</v>
      </c>
      <c r="M1449" t="s">
        <v>5168</v>
      </c>
      <c r="N1449" t="s">
        <v>5195</v>
      </c>
      <c r="O1449" t="s">
        <v>5196</v>
      </c>
      <c r="P1449">
        <v>6.29</v>
      </c>
      <c r="Q1449" t="s">
        <v>29</v>
      </c>
      <c r="R1449" t="s">
        <v>30</v>
      </c>
      <c r="S1449" t="s">
        <v>6938</v>
      </c>
    </row>
    <row r="1450" spans="1:19" x14ac:dyDescent="0.25">
      <c r="A1450">
        <v>2017</v>
      </c>
      <c r="B1450">
        <v>3713</v>
      </c>
      <c r="C1450" t="s">
        <v>685</v>
      </c>
      <c r="D1450" t="s">
        <v>686</v>
      </c>
      <c r="E1450">
        <v>331110</v>
      </c>
      <c r="F1450" t="s">
        <v>627</v>
      </c>
      <c r="G1450" t="s">
        <v>336</v>
      </c>
      <c r="H1450" t="s">
        <v>21</v>
      </c>
      <c r="I1450" t="s">
        <v>184</v>
      </c>
      <c r="J1450" t="s">
        <v>185</v>
      </c>
      <c r="K1450" t="s">
        <v>186</v>
      </c>
      <c r="L1450" t="s">
        <v>5167</v>
      </c>
      <c r="M1450" t="s">
        <v>5168</v>
      </c>
      <c r="N1450" t="s">
        <v>5169</v>
      </c>
      <c r="O1450" t="s">
        <v>5170</v>
      </c>
      <c r="P1450">
        <v>715.58839999999998</v>
      </c>
      <c r="Q1450" t="s">
        <v>40</v>
      </c>
      <c r="R1450" t="s">
        <v>50</v>
      </c>
      <c r="S1450" t="s">
        <v>6938</v>
      </c>
    </row>
    <row r="1451" spans="1:19" x14ac:dyDescent="0.25">
      <c r="A1451">
        <v>2022</v>
      </c>
      <c r="B1451">
        <v>30798</v>
      </c>
      <c r="C1451" t="s">
        <v>5763</v>
      </c>
      <c r="D1451" t="s">
        <v>5764</v>
      </c>
      <c r="E1451">
        <v>212233</v>
      </c>
      <c r="F1451" t="s">
        <v>1111</v>
      </c>
      <c r="G1451" t="s">
        <v>441</v>
      </c>
      <c r="H1451" t="s">
        <v>69</v>
      </c>
      <c r="I1451" t="s">
        <v>177</v>
      </c>
      <c r="J1451" t="s">
        <v>178</v>
      </c>
      <c r="K1451" t="s">
        <v>179</v>
      </c>
      <c r="L1451" t="s">
        <v>5183</v>
      </c>
      <c r="M1451" t="s">
        <v>5184</v>
      </c>
      <c r="N1451" t="s">
        <v>5185</v>
      </c>
      <c r="O1451" t="s">
        <v>5186</v>
      </c>
      <c r="P1451">
        <v>6811.0102999999999</v>
      </c>
      <c r="Q1451" t="s">
        <v>29</v>
      </c>
      <c r="R1451" t="s">
        <v>124</v>
      </c>
      <c r="S1451" t="s">
        <v>6938</v>
      </c>
    </row>
    <row r="1452" spans="1:19" x14ac:dyDescent="0.25">
      <c r="A1452">
        <v>2014</v>
      </c>
      <c r="B1452">
        <v>3962</v>
      </c>
      <c r="C1452" t="s">
        <v>507</v>
      </c>
      <c r="D1452" t="s">
        <v>508</v>
      </c>
      <c r="E1452">
        <v>324110</v>
      </c>
      <c r="F1452" t="s">
        <v>196</v>
      </c>
      <c r="G1452" t="s">
        <v>96</v>
      </c>
      <c r="H1452" t="s">
        <v>21</v>
      </c>
      <c r="I1452" t="s">
        <v>1050</v>
      </c>
      <c r="J1452" t="s">
        <v>1051</v>
      </c>
      <c r="K1452" t="s">
        <v>1052</v>
      </c>
      <c r="L1452" t="s">
        <v>5167</v>
      </c>
      <c r="M1452" t="s">
        <v>5168</v>
      </c>
      <c r="N1452" t="s">
        <v>5169</v>
      </c>
      <c r="O1452" t="s">
        <v>5170</v>
      </c>
      <c r="P1452">
        <v>9.6557999999999993</v>
      </c>
      <c r="Q1452" t="s">
        <v>40</v>
      </c>
      <c r="R1452" t="s">
        <v>124</v>
      </c>
      <c r="S1452" t="s">
        <v>6938</v>
      </c>
    </row>
    <row r="1453" spans="1:19" x14ac:dyDescent="0.25">
      <c r="A1453">
        <v>2023</v>
      </c>
      <c r="B1453">
        <v>3269</v>
      </c>
      <c r="C1453" t="s">
        <v>5515</v>
      </c>
      <c r="D1453" t="s">
        <v>5765</v>
      </c>
      <c r="E1453">
        <v>325313</v>
      </c>
      <c r="F1453" t="s">
        <v>1054</v>
      </c>
      <c r="G1453" t="s">
        <v>1055</v>
      </c>
      <c r="H1453" t="s">
        <v>85</v>
      </c>
      <c r="I1453" t="s">
        <v>331</v>
      </c>
      <c r="J1453" t="s">
        <v>332</v>
      </c>
      <c r="K1453" t="s">
        <v>333</v>
      </c>
      <c r="L1453" t="s">
        <v>5167</v>
      </c>
      <c r="M1453" t="s">
        <v>5168</v>
      </c>
      <c r="N1453" t="s">
        <v>5195</v>
      </c>
      <c r="O1453" t="s">
        <v>5196</v>
      </c>
      <c r="P1453">
        <v>0.08</v>
      </c>
      <c r="Q1453" t="s">
        <v>29</v>
      </c>
      <c r="R1453" t="s">
        <v>50</v>
      </c>
      <c r="S1453" t="s">
        <v>6938</v>
      </c>
    </row>
    <row r="1454" spans="1:19" x14ac:dyDescent="0.25">
      <c r="A1454">
        <v>2015</v>
      </c>
      <c r="B1454">
        <v>5386</v>
      </c>
      <c r="C1454" t="s">
        <v>5766</v>
      </c>
      <c r="D1454" t="s">
        <v>5767</v>
      </c>
      <c r="E1454">
        <v>221320</v>
      </c>
      <c r="F1454" t="s">
        <v>146</v>
      </c>
      <c r="G1454" t="s">
        <v>147</v>
      </c>
      <c r="H1454" t="s">
        <v>54</v>
      </c>
      <c r="I1454" t="s">
        <v>324</v>
      </c>
      <c r="J1454" t="s">
        <v>325</v>
      </c>
      <c r="K1454" t="s">
        <v>326</v>
      </c>
      <c r="L1454" t="s">
        <v>5167</v>
      </c>
      <c r="M1454" t="s">
        <v>5168</v>
      </c>
      <c r="N1454" t="s">
        <v>5169</v>
      </c>
      <c r="O1454" t="s">
        <v>5170</v>
      </c>
      <c r="P1454">
        <v>23.994199999999999</v>
      </c>
      <c r="Q1454" t="s">
        <v>40</v>
      </c>
      <c r="R1454" t="s">
        <v>124</v>
      </c>
      <c r="S1454" t="s">
        <v>6938</v>
      </c>
    </row>
    <row r="1455" spans="1:19" x14ac:dyDescent="0.25">
      <c r="A1455">
        <v>2002</v>
      </c>
      <c r="B1455">
        <v>3698</v>
      </c>
      <c r="C1455" t="s">
        <v>125</v>
      </c>
      <c r="D1455" t="s">
        <v>1097</v>
      </c>
      <c r="E1455">
        <v>324110</v>
      </c>
      <c r="F1455" t="s">
        <v>95</v>
      </c>
      <c r="G1455" t="s">
        <v>96</v>
      </c>
      <c r="H1455" t="s">
        <v>483</v>
      </c>
      <c r="I1455" t="s">
        <v>622</v>
      </c>
      <c r="J1455" t="s">
        <v>623</v>
      </c>
      <c r="K1455" t="s">
        <v>624</v>
      </c>
      <c r="L1455" t="s">
        <v>5183</v>
      </c>
      <c r="M1455" t="s">
        <v>5184</v>
      </c>
      <c r="N1455" t="s">
        <v>5175</v>
      </c>
      <c r="O1455" t="s">
        <v>5176</v>
      </c>
      <c r="P1455">
        <v>9.109</v>
      </c>
      <c r="Q1455" t="s">
        <v>40</v>
      </c>
      <c r="R1455" t="s">
        <v>204</v>
      </c>
      <c r="S1455" t="s">
        <v>6938</v>
      </c>
    </row>
    <row r="1456" spans="1:19" x14ac:dyDescent="0.25">
      <c r="A1456">
        <v>2020</v>
      </c>
      <c r="B1456">
        <v>3754</v>
      </c>
      <c r="C1456" t="s">
        <v>1529</v>
      </c>
      <c r="D1456" t="s">
        <v>635</v>
      </c>
      <c r="E1456">
        <v>211110</v>
      </c>
      <c r="F1456" t="s">
        <v>233</v>
      </c>
      <c r="G1456" t="s">
        <v>234</v>
      </c>
      <c r="H1456" t="s">
        <v>85</v>
      </c>
      <c r="I1456" t="s">
        <v>348</v>
      </c>
      <c r="J1456" t="s">
        <v>349</v>
      </c>
      <c r="K1456" t="s">
        <v>350</v>
      </c>
      <c r="L1456" t="s">
        <v>5167</v>
      </c>
      <c r="M1456" t="s">
        <v>5168</v>
      </c>
      <c r="N1456" t="s">
        <v>5175</v>
      </c>
      <c r="O1456" t="s">
        <v>5176</v>
      </c>
      <c r="P1456">
        <v>0.1241</v>
      </c>
      <c r="Q1456" t="s">
        <v>29</v>
      </c>
      <c r="R1456" t="s">
        <v>30</v>
      </c>
      <c r="S1456" t="s">
        <v>6938</v>
      </c>
    </row>
    <row r="1457" spans="1:19" x14ac:dyDescent="0.25">
      <c r="A1457">
        <v>2022</v>
      </c>
      <c r="B1457">
        <v>10218</v>
      </c>
      <c r="C1457" t="s">
        <v>125</v>
      </c>
      <c r="D1457" t="s">
        <v>534</v>
      </c>
      <c r="E1457">
        <v>412110</v>
      </c>
      <c r="F1457" t="s">
        <v>589</v>
      </c>
      <c r="G1457" t="s">
        <v>590</v>
      </c>
      <c r="H1457" t="s">
        <v>85</v>
      </c>
      <c r="I1457" t="s">
        <v>348</v>
      </c>
      <c r="J1457" t="s">
        <v>349</v>
      </c>
      <c r="K1457" t="s">
        <v>350</v>
      </c>
      <c r="L1457" t="s">
        <v>5167</v>
      </c>
      <c r="M1457" t="s">
        <v>5168</v>
      </c>
      <c r="N1457" t="s">
        <v>5223</v>
      </c>
      <c r="O1457" t="s">
        <v>5224</v>
      </c>
      <c r="P1457">
        <v>1.2999999999999999E-3</v>
      </c>
      <c r="Q1457" t="s">
        <v>29</v>
      </c>
      <c r="R1457" t="s">
        <v>30</v>
      </c>
      <c r="S1457" t="s">
        <v>6938</v>
      </c>
    </row>
    <row r="1458" spans="1:19" x14ac:dyDescent="0.25">
      <c r="A1458">
        <v>2014</v>
      </c>
      <c r="B1458">
        <v>5647</v>
      </c>
      <c r="C1458" t="s">
        <v>65</v>
      </c>
      <c r="D1458" t="s">
        <v>691</v>
      </c>
      <c r="E1458">
        <v>562210</v>
      </c>
      <c r="F1458" t="s">
        <v>84</v>
      </c>
      <c r="G1458" t="s">
        <v>53</v>
      </c>
      <c r="H1458" t="s">
        <v>21</v>
      </c>
      <c r="I1458" t="s">
        <v>244</v>
      </c>
      <c r="J1458" t="s">
        <v>245</v>
      </c>
      <c r="K1458" t="s">
        <v>246</v>
      </c>
      <c r="L1458" t="s">
        <v>5167</v>
      </c>
      <c r="M1458" t="s">
        <v>5168</v>
      </c>
      <c r="N1458" t="s">
        <v>5169</v>
      </c>
      <c r="O1458" t="s">
        <v>5170</v>
      </c>
      <c r="P1458">
        <v>40</v>
      </c>
      <c r="Q1458" t="s">
        <v>40</v>
      </c>
      <c r="R1458" t="s">
        <v>50</v>
      </c>
      <c r="S1458" t="s">
        <v>6938</v>
      </c>
    </row>
    <row r="1459" spans="1:19" x14ac:dyDescent="0.25">
      <c r="A1459">
        <v>2009</v>
      </c>
      <c r="B1459">
        <v>8600</v>
      </c>
      <c r="C1459" t="s">
        <v>5768</v>
      </c>
      <c r="D1459" t="s">
        <v>5769</v>
      </c>
      <c r="E1459">
        <v>212220</v>
      </c>
      <c r="F1459" t="s">
        <v>1980</v>
      </c>
      <c r="G1459" t="s">
        <v>1620</v>
      </c>
      <c r="H1459" t="s">
        <v>79</v>
      </c>
      <c r="I1459" t="s">
        <v>136</v>
      </c>
      <c r="J1459" t="s">
        <v>137</v>
      </c>
      <c r="K1459" t="s">
        <v>138</v>
      </c>
      <c r="L1459" t="s">
        <v>5183</v>
      </c>
      <c r="M1459" t="s">
        <v>5184</v>
      </c>
      <c r="N1459" t="s">
        <v>5185</v>
      </c>
      <c r="O1459" t="s">
        <v>5186</v>
      </c>
      <c r="P1459">
        <v>470</v>
      </c>
      <c r="Q1459" t="s">
        <v>29</v>
      </c>
      <c r="R1459" t="s">
        <v>50</v>
      </c>
      <c r="S1459" t="s">
        <v>6938</v>
      </c>
    </row>
    <row r="1460" spans="1:19" x14ac:dyDescent="0.25">
      <c r="A1460">
        <v>1997</v>
      </c>
      <c r="B1460">
        <v>695</v>
      </c>
      <c r="C1460" t="s">
        <v>5756</v>
      </c>
      <c r="D1460" t="s">
        <v>5770</v>
      </c>
      <c r="E1460">
        <v>211113</v>
      </c>
      <c r="F1460" t="s">
        <v>425</v>
      </c>
      <c r="G1460" t="s">
        <v>426</v>
      </c>
      <c r="H1460" t="s">
        <v>85</v>
      </c>
      <c r="I1460" t="s">
        <v>331</v>
      </c>
      <c r="J1460" t="s">
        <v>332</v>
      </c>
      <c r="K1460" t="s">
        <v>333</v>
      </c>
      <c r="L1460" t="s">
        <v>5183</v>
      </c>
      <c r="M1460" t="s">
        <v>5184</v>
      </c>
      <c r="N1460" t="s">
        <v>5195</v>
      </c>
      <c r="O1460" t="s">
        <v>5196</v>
      </c>
      <c r="P1460">
        <v>0.48799999999999999</v>
      </c>
      <c r="Q1460" t="s">
        <v>29</v>
      </c>
      <c r="R1460" t="s">
        <v>30</v>
      </c>
      <c r="S1460" t="s">
        <v>6938</v>
      </c>
    </row>
    <row r="1461" spans="1:19" x14ac:dyDescent="0.25">
      <c r="A1461">
        <v>2016</v>
      </c>
      <c r="B1461">
        <v>6118</v>
      </c>
      <c r="C1461" t="s">
        <v>5771</v>
      </c>
      <c r="D1461" t="s">
        <v>5772</v>
      </c>
      <c r="E1461">
        <v>221320</v>
      </c>
      <c r="F1461" t="s">
        <v>146</v>
      </c>
      <c r="G1461" t="s">
        <v>147</v>
      </c>
      <c r="H1461" t="s">
        <v>79</v>
      </c>
      <c r="I1461" t="s">
        <v>35</v>
      </c>
      <c r="J1461" t="s">
        <v>36</v>
      </c>
      <c r="K1461" t="s">
        <v>37</v>
      </c>
      <c r="L1461" t="s">
        <v>5167</v>
      </c>
      <c r="M1461" t="s">
        <v>5168</v>
      </c>
      <c r="N1461" t="s">
        <v>5175</v>
      </c>
      <c r="O1461" t="s">
        <v>5176</v>
      </c>
      <c r="P1461">
        <v>24.4</v>
      </c>
      <c r="Q1461" t="s">
        <v>40</v>
      </c>
      <c r="R1461" t="s">
        <v>124</v>
      </c>
      <c r="S1461" t="s">
        <v>6938</v>
      </c>
    </row>
    <row r="1462" spans="1:19" x14ac:dyDescent="0.25">
      <c r="A1462">
        <v>2013</v>
      </c>
      <c r="B1462">
        <v>5339</v>
      </c>
      <c r="C1462" t="s">
        <v>65</v>
      </c>
      <c r="D1462" t="s">
        <v>5773</v>
      </c>
      <c r="E1462">
        <v>562210</v>
      </c>
      <c r="F1462" t="s">
        <v>84</v>
      </c>
      <c r="G1462" t="s">
        <v>53</v>
      </c>
      <c r="H1462" t="s">
        <v>85</v>
      </c>
      <c r="I1462" t="s">
        <v>152</v>
      </c>
      <c r="J1462" t="s">
        <v>153</v>
      </c>
      <c r="K1462" t="s">
        <v>154</v>
      </c>
      <c r="L1462" t="s">
        <v>5167</v>
      </c>
      <c r="M1462" t="s">
        <v>5168</v>
      </c>
      <c r="N1462" t="s">
        <v>5195</v>
      </c>
      <c r="O1462" t="s">
        <v>5196</v>
      </c>
      <c r="P1462">
        <v>36.44</v>
      </c>
      <c r="Q1462" t="s">
        <v>29</v>
      </c>
      <c r="R1462" t="s">
        <v>50</v>
      </c>
      <c r="S1462" t="s">
        <v>6938</v>
      </c>
    </row>
    <row r="1463" spans="1:19" x14ac:dyDescent="0.25">
      <c r="A1463">
        <v>2014</v>
      </c>
      <c r="B1463">
        <v>27894</v>
      </c>
      <c r="C1463" t="s">
        <v>1027</v>
      </c>
      <c r="D1463" t="s">
        <v>5774</v>
      </c>
      <c r="E1463">
        <v>211113</v>
      </c>
      <c r="F1463" t="s">
        <v>786</v>
      </c>
      <c r="G1463" t="s">
        <v>426</v>
      </c>
      <c r="H1463" t="s">
        <v>69</v>
      </c>
      <c r="I1463" t="s">
        <v>271</v>
      </c>
      <c r="J1463" t="s">
        <v>272</v>
      </c>
      <c r="K1463" t="s">
        <v>273</v>
      </c>
      <c r="L1463" t="s">
        <v>5167</v>
      </c>
      <c r="M1463" t="s">
        <v>5168</v>
      </c>
      <c r="N1463" t="s">
        <v>5169</v>
      </c>
      <c r="O1463" t="s">
        <v>5170</v>
      </c>
      <c r="P1463">
        <v>0</v>
      </c>
      <c r="Q1463" t="s">
        <v>29</v>
      </c>
      <c r="R1463" t="s">
        <v>30</v>
      </c>
      <c r="S1463" t="s">
        <v>6938</v>
      </c>
    </row>
    <row r="1464" spans="1:19" x14ac:dyDescent="0.25">
      <c r="A1464">
        <v>2013</v>
      </c>
      <c r="B1464">
        <v>6797</v>
      </c>
      <c r="C1464" t="s">
        <v>65</v>
      </c>
      <c r="D1464" t="s">
        <v>580</v>
      </c>
      <c r="E1464">
        <v>562990</v>
      </c>
      <c r="F1464" t="s">
        <v>581</v>
      </c>
      <c r="G1464" t="s">
        <v>105</v>
      </c>
      <c r="H1464" t="s">
        <v>85</v>
      </c>
      <c r="I1464" t="s">
        <v>520</v>
      </c>
      <c r="J1464" t="s">
        <v>521</v>
      </c>
      <c r="K1464" t="s">
        <v>522</v>
      </c>
      <c r="L1464" t="s">
        <v>5167</v>
      </c>
      <c r="M1464" t="s">
        <v>5168</v>
      </c>
      <c r="N1464" t="s">
        <v>5169</v>
      </c>
      <c r="O1464" t="s">
        <v>5170</v>
      </c>
      <c r="P1464">
        <v>0.4</v>
      </c>
      <c r="Q1464" t="s">
        <v>29</v>
      </c>
      <c r="R1464" t="s">
        <v>50</v>
      </c>
      <c r="S1464" t="s">
        <v>6938</v>
      </c>
    </row>
    <row r="1465" spans="1:19" x14ac:dyDescent="0.25">
      <c r="A1465">
        <v>2016</v>
      </c>
      <c r="B1465">
        <v>6530</v>
      </c>
      <c r="C1465" t="s">
        <v>65</v>
      </c>
      <c r="D1465" t="s">
        <v>5775</v>
      </c>
      <c r="E1465">
        <v>213118</v>
      </c>
      <c r="F1465" t="s">
        <v>5179</v>
      </c>
      <c r="G1465" t="s">
        <v>1337</v>
      </c>
      <c r="H1465" t="s">
        <v>85</v>
      </c>
      <c r="I1465" t="s">
        <v>271</v>
      </c>
      <c r="J1465" t="s">
        <v>272</v>
      </c>
      <c r="K1465" t="s">
        <v>273</v>
      </c>
      <c r="L1465" t="s">
        <v>5183</v>
      </c>
      <c r="M1465" t="s">
        <v>5184</v>
      </c>
      <c r="N1465" t="s">
        <v>5195</v>
      </c>
      <c r="O1465" t="s">
        <v>5196</v>
      </c>
      <c r="P1465">
        <v>1.1499999999999999</v>
      </c>
      <c r="Q1465" t="s">
        <v>29</v>
      </c>
      <c r="R1465" t="s">
        <v>50</v>
      </c>
      <c r="S1465" t="s">
        <v>6938</v>
      </c>
    </row>
    <row r="1466" spans="1:19" x14ac:dyDescent="0.25">
      <c r="A1466">
        <v>2016</v>
      </c>
      <c r="B1466">
        <v>1266</v>
      </c>
      <c r="C1466" t="s">
        <v>5776</v>
      </c>
      <c r="D1466" t="s">
        <v>5777</v>
      </c>
      <c r="E1466">
        <v>322112</v>
      </c>
      <c r="F1466" t="s">
        <v>660</v>
      </c>
      <c r="G1466" t="s">
        <v>621</v>
      </c>
      <c r="H1466" t="s">
        <v>69</v>
      </c>
      <c r="I1466" t="s">
        <v>97</v>
      </c>
      <c r="J1466" t="s">
        <v>98</v>
      </c>
      <c r="K1466" t="s">
        <v>99</v>
      </c>
      <c r="L1466" t="s">
        <v>5183</v>
      </c>
      <c r="M1466" t="s">
        <v>5184</v>
      </c>
      <c r="N1466" t="s">
        <v>5169</v>
      </c>
      <c r="O1466" t="s">
        <v>5170</v>
      </c>
      <c r="P1466">
        <v>134.84</v>
      </c>
      <c r="Q1466" t="s">
        <v>29</v>
      </c>
      <c r="R1466" t="s">
        <v>124</v>
      </c>
      <c r="S1466" t="s">
        <v>6938</v>
      </c>
    </row>
    <row r="1467" spans="1:19" x14ac:dyDescent="0.25">
      <c r="A1467">
        <v>2016</v>
      </c>
      <c r="B1467">
        <v>409</v>
      </c>
      <c r="C1467" t="s">
        <v>1043</v>
      </c>
      <c r="D1467" t="s">
        <v>5778</v>
      </c>
      <c r="E1467">
        <v>211114</v>
      </c>
      <c r="F1467" t="s">
        <v>956</v>
      </c>
      <c r="G1467" t="s">
        <v>836</v>
      </c>
      <c r="H1467" t="s">
        <v>243</v>
      </c>
      <c r="I1467" t="s">
        <v>348</v>
      </c>
      <c r="J1467" t="s">
        <v>349</v>
      </c>
      <c r="K1467" t="s">
        <v>350</v>
      </c>
      <c r="L1467" t="s">
        <v>5167</v>
      </c>
      <c r="M1467" t="s">
        <v>5168</v>
      </c>
      <c r="N1467" t="s">
        <v>5169</v>
      </c>
      <c r="O1467" t="s">
        <v>5170</v>
      </c>
      <c r="P1467">
        <v>61.350999999999999</v>
      </c>
      <c r="Q1467" t="s">
        <v>29</v>
      </c>
      <c r="R1467" t="s">
        <v>30</v>
      </c>
      <c r="S1467" t="s">
        <v>6938</v>
      </c>
    </row>
    <row r="1468" spans="1:19" x14ac:dyDescent="0.25">
      <c r="A1468">
        <v>2000</v>
      </c>
      <c r="B1468">
        <v>3013</v>
      </c>
      <c r="C1468" t="s">
        <v>5779</v>
      </c>
      <c r="D1468" t="s">
        <v>5780</v>
      </c>
      <c r="E1468">
        <v>322130</v>
      </c>
      <c r="F1468" t="s">
        <v>1645</v>
      </c>
      <c r="G1468" t="s">
        <v>1646</v>
      </c>
      <c r="H1468" t="s">
        <v>21</v>
      </c>
      <c r="I1468" t="s">
        <v>55</v>
      </c>
      <c r="J1468" t="s">
        <v>56</v>
      </c>
      <c r="K1468" t="s">
        <v>57</v>
      </c>
      <c r="L1468" t="s">
        <v>5183</v>
      </c>
      <c r="M1468" t="s">
        <v>5184</v>
      </c>
      <c r="N1468" t="s">
        <v>5169</v>
      </c>
      <c r="O1468" t="s">
        <v>5170</v>
      </c>
      <c r="P1468">
        <v>3.891</v>
      </c>
      <c r="Q1468" t="s">
        <v>29</v>
      </c>
      <c r="R1468" t="s">
        <v>204</v>
      </c>
      <c r="S1468" t="s">
        <v>6938</v>
      </c>
    </row>
    <row r="1469" spans="1:19" x14ac:dyDescent="0.25">
      <c r="A1469">
        <v>2023</v>
      </c>
      <c r="B1469">
        <v>23544</v>
      </c>
      <c r="C1469" t="s">
        <v>370</v>
      </c>
      <c r="D1469" t="s">
        <v>1340</v>
      </c>
      <c r="E1469">
        <v>562990</v>
      </c>
      <c r="F1469" t="s">
        <v>581</v>
      </c>
      <c r="G1469" t="s">
        <v>105</v>
      </c>
      <c r="H1469" t="s">
        <v>85</v>
      </c>
      <c r="I1469" t="s">
        <v>778</v>
      </c>
      <c r="J1469" t="s">
        <v>779</v>
      </c>
      <c r="K1469" t="s">
        <v>780</v>
      </c>
      <c r="L1469" t="s">
        <v>5167</v>
      </c>
      <c r="M1469" t="s">
        <v>5168</v>
      </c>
      <c r="N1469" t="s">
        <v>5223</v>
      </c>
      <c r="O1469" t="s">
        <v>5224</v>
      </c>
      <c r="P1469">
        <v>121.732</v>
      </c>
      <c r="Q1469" t="s">
        <v>29</v>
      </c>
      <c r="R1469" t="s">
        <v>30</v>
      </c>
      <c r="S1469" t="s">
        <v>6938</v>
      </c>
    </row>
    <row r="1470" spans="1:19" x14ac:dyDescent="0.25">
      <c r="A1470">
        <v>2003</v>
      </c>
      <c r="B1470">
        <v>4980</v>
      </c>
      <c r="C1470" t="s">
        <v>5781</v>
      </c>
      <c r="D1470" t="s">
        <v>5718</v>
      </c>
      <c r="E1470">
        <v>339990</v>
      </c>
      <c r="F1470" t="s">
        <v>871</v>
      </c>
      <c r="G1470" t="s">
        <v>872</v>
      </c>
      <c r="H1470" t="s">
        <v>21</v>
      </c>
      <c r="I1470" t="s">
        <v>62</v>
      </c>
      <c r="J1470" t="s">
        <v>63</v>
      </c>
      <c r="K1470" t="s">
        <v>64</v>
      </c>
      <c r="L1470" t="s">
        <v>5167</v>
      </c>
      <c r="M1470" t="s">
        <v>5168</v>
      </c>
      <c r="N1470" t="s">
        <v>5223</v>
      </c>
      <c r="O1470" t="s">
        <v>5224</v>
      </c>
      <c r="P1470">
        <v>1E-3</v>
      </c>
      <c r="Q1470" t="s">
        <v>29</v>
      </c>
      <c r="R1470" t="s">
        <v>258</v>
      </c>
      <c r="S1470" t="s">
        <v>6938</v>
      </c>
    </row>
    <row r="1471" spans="1:19" x14ac:dyDescent="0.25">
      <c r="A1471">
        <v>2001</v>
      </c>
      <c r="B1471">
        <v>3962</v>
      </c>
      <c r="C1471" t="s">
        <v>806</v>
      </c>
      <c r="D1471" t="s">
        <v>508</v>
      </c>
      <c r="E1471">
        <v>324110</v>
      </c>
      <c r="F1471" t="s">
        <v>95</v>
      </c>
      <c r="G1471" t="s">
        <v>96</v>
      </c>
      <c r="H1471" t="s">
        <v>21</v>
      </c>
      <c r="I1471" t="s">
        <v>348</v>
      </c>
      <c r="J1471" t="s">
        <v>349</v>
      </c>
      <c r="K1471" t="s">
        <v>350</v>
      </c>
      <c r="L1471" t="s">
        <v>5167</v>
      </c>
      <c r="M1471" t="s">
        <v>5168</v>
      </c>
      <c r="N1471" t="s">
        <v>5169</v>
      </c>
      <c r="O1471" t="s">
        <v>5170</v>
      </c>
      <c r="P1471">
        <v>1.2E-2</v>
      </c>
      <c r="Q1471" t="s">
        <v>29</v>
      </c>
      <c r="R1471" t="s">
        <v>30</v>
      </c>
      <c r="S1471" t="s">
        <v>6938</v>
      </c>
    </row>
    <row r="1472" spans="1:19" x14ac:dyDescent="0.25">
      <c r="A1472">
        <v>2002</v>
      </c>
      <c r="B1472">
        <v>1755</v>
      </c>
      <c r="C1472" t="s">
        <v>5782</v>
      </c>
      <c r="D1472" t="s">
        <v>2274</v>
      </c>
      <c r="E1472">
        <v>211113</v>
      </c>
      <c r="F1472" t="s">
        <v>425</v>
      </c>
      <c r="G1472" t="s">
        <v>426</v>
      </c>
      <c r="H1472" t="s">
        <v>85</v>
      </c>
      <c r="I1472" t="s">
        <v>271</v>
      </c>
      <c r="J1472" t="s">
        <v>272</v>
      </c>
      <c r="K1472" t="s">
        <v>273</v>
      </c>
      <c r="L1472" t="s">
        <v>5167</v>
      </c>
      <c r="M1472" t="s">
        <v>5168</v>
      </c>
      <c r="N1472" t="s">
        <v>5195</v>
      </c>
      <c r="O1472" t="s">
        <v>5196</v>
      </c>
      <c r="P1472">
        <v>1.1870000000000001</v>
      </c>
      <c r="Q1472" t="s">
        <v>29</v>
      </c>
      <c r="R1472" t="s">
        <v>30</v>
      </c>
      <c r="S1472" t="s">
        <v>6938</v>
      </c>
    </row>
    <row r="1473" spans="1:19" x14ac:dyDescent="0.25">
      <c r="A1473">
        <v>2004</v>
      </c>
      <c r="B1473">
        <v>106</v>
      </c>
      <c r="C1473" t="s">
        <v>947</v>
      </c>
      <c r="D1473" t="s">
        <v>5783</v>
      </c>
      <c r="E1473">
        <v>211113</v>
      </c>
      <c r="F1473" t="s">
        <v>425</v>
      </c>
      <c r="G1473" t="s">
        <v>426</v>
      </c>
      <c r="H1473" t="s">
        <v>85</v>
      </c>
      <c r="I1473" t="s">
        <v>271</v>
      </c>
      <c r="J1473" t="s">
        <v>272</v>
      </c>
      <c r="K1473" t="s">
        <v>273</v>
      </c>
      <c r="L1473" t="s">
        <v>5183</v>
      </c>
      <c r="M1473" t="s">
        <v>5184</v>
      </c>
      <c r="N1473" t="s">
        <v>5195</v>
      </c>
      <c r="O1473" t="s">
        <v>5196</v>
      </c>
      <c r="P1473">
        <v>0.441</v>
      </c>
      <c r="Q1473" t="s">
        <v>29</v>
      </c>
      <c r="R1473" t="s">
        <v>124</v>
      </c>
      <c r="S1473" t="s">
        <v>6938</v>
      </c>
    </row>
    <row r="1474" spans="1:19" x14ac:dyDescent="0.25">
      <c r="A1474">
        <v>2023</v>
      </c>
      <c r="B1474">
        <v>33049</v>
      </c>
      <c r="C1474" t="s">
        <v>5784</v>
      </c>
      <c r="D1474" t="s">
        <v>5785</v>
      </c>
      <c r="E1474">
        <v>212220</v>
      </c>
      <c r="F1474" t="s">
        <v>1619</v>
      </c>
      <c r="G1474" t="s">
        <v>1620</v>
      </c>
      <c r="H1474" t="s">
        <v>21</v>
      </c>
      <c r="I1474" t="s">
        <v>35</v>
      </c>
      <c r="J1474" t="s">
        <v>36</v>
      </c>
      <c r="K1474" t="s">
        <v>37</v>
      </c>
      <c r="L1474" t="s">
        <v>5183</v>
      </c>
      <c r="M1474" t="s">
        <v>5184</v>
      </c>
      <c r="N1474" t="s">
        <v>5185</v>
      </c>
      <c r="O1474" t="s">
        <v>5186</v>
      </c>
      <c r="P1474">
        <v>5119.0569999999998</v>
      </c>
      <c r="Q1474" t="s">
        <v>40</v>
      </c>
      <c r="R1474" t="s">
        <v>124</v>
      </c>
      <c r="S1474" t="s">
        <v>6938</v>
      </c>
    </row>
    <row r="1475" spans="1:19" x14ac:dyDescent="0.25">
      <c r="A1475">
        <v>2005</v>
      </c>
      <c r="B1475">
        <v>1383</v>
      </c>
      <c r="C1475" t="s">
        <v>5786</v>
      </c>
      <c r="D1475" t="s">
        <v>5787</v>
      </c>
      <c r="E1475">
        <v>322112</v>
      </c>
      <c r="F1475" t="s">
        <v>620</v>
      </c>
      <c r="G1475" t="s">
        <v>621</v>
      </c>
      <c r="H1475" t="s">
        <v>69</v>
      </c>
      <c r="I1475" t="s">
        <v>1050</v>
      </c>
      <c r="J1475" t="s">
        <v>1051</v>
      </c>
      <c r="K1475" t="s">
        <v>1052</v>
      </c>
      <c r="L1475" t="s">
        <v>5183</v>
      </c>
      <c r="M1475" t="s">
        <v>5184</v>
      </c>
      <c r="N1475" t="s">
        <v>5169</v>
      </c>
      <c r="O1475" t="s">
        <v>5170</v>
      </c>
      <c r="P1475">
        <v>1.036</v>
      </c>
      <c r="Q1475" t="s">
        <v>40</v>
      </c>
      <c r="R1475" t="s">
        <v>430</v>
      </c>
      <c r="S1475" t="s">
        <v>6938</v>
      </c>
    </row>
    <row r="1476" spans="1:19" x14ac:dyDescent="0.25">
      <c r="A1476">
        <v>2015</v>
      </c>
      <c r="B1476">
        <v>2230</v>
      </c>
      <c r="C1476" t="s">
        <v>1548</v>
      </c>
      <c r="D1476" t="s">
        <v>1514</v>
      </c>
      <c r="E1476">
        <v>211114</v>
      </c>
      <c r="F1476" t="s">
        <v>956</v>
      </c>
      <c r="G1476" t="s">
        <v>836</v>
      </c>
      <c r="H1476" t="s">
        <v>85</v>
      </c>
      <c r="I1476" t="s">
        <v>391</v>
      </c>
      <c r="J1476" t="s">
        <v>392</v>
      </c>
      <c r="K1476" t="s">
        <v>393</v>
      </c>
      <c r="L1476" t="s">
        <v>5183</v>
      </c>
      <c r="M1476" t="s">
        <v>5184</v>
      </c>
      <c r="N1476" t="s">
        <v>5185</v>
      </c>
      <c r="O1476" t="s">
        <v>5186</v>
      </c>
      <c r="P1476">
        <v>570.14599999999996</v>
      </c>
      <c r="Q1476" t="s">
        <v>40</v>
      </c>
      <c r="R1476" t="s">
        <v>124</v>
      </c>
      <c r="S1476" t="s">
        <v>6938</v>
      </c>
    </row>
    <row r="1477" spans="1:19" x14ac:dyDescent="0.25">
      <c r="A1477">
        <v>2000</v>
      </c>
      <c r="B1477">
        <v>4307</v>
      </c>
      <c r="C1477" t="s">
        <v>5788</v>
      </c>
      <c r="E1477">
        <v>331222</v>
      </c>
      <c r="F1477" t="s">
        <v>946</v>
      </c>
      <c r="G1477" t="s">
        <v>287</v>
      </c>
      <c r="H1477" t="s">
        <v>69</v>
      </c>
      <c r="I1477" t="s">
        <v>152</v>
      </c>
      <c r="J1477" t="s">
        <v>153</v>
      </c>
      <c r="K1477" t="s">
        <v>154</v>
      </c>
      <c r="L1477" t="s">
        <v>5167</v>
      </c>
      <c r="M1477" t="s">
        <v>5168</v>
      </c>
      <c r="N1477" t="s">
        <v>5169</v>
      </c>
      <c r="O1477" t="s">
        <v>5170</v>
      </c>
      <c r="P1477">
        <v>7.3</v>
      </c>
      <c r="Q1477" t="s">
        <v>29</v>
      </c>
      <c r="R1477" t="s">
        <v>30</v>
      </c>
      <c r="S1477" t="s">
        <v>6938</v>
      </c>
    </row>
    <row r="1478" spans="1:19" x14ac:dyDescent="0.25">
      <c r="A1478">
        <v>2012</v>
      </c>
      <c r="B1478">
        <v>3769</v>
      </c>
      <c r="C1478" t="s">
        <v>5580</v>
      </c>
      <c r="D1478" t="s">
        <v>5789</v>
      </c>
      <c r="E1478">
        <v>339990</v>
      </c>
      <c r="F1478" t="s">
        <v>1179</v>
      </c>
      <c r="G1478" t="s">
        <v>872</v>
      </c>
      <c r="H1478" t="s">
        <v>21</v>
      </c>
      <c r="I1478" t="s">
        <v>152</v>
      </c>
      <c r="J1478" t="s">
        <v>153</v>
      </c>
      <c r="K1478" t="s">
        <v>154</v>
      </c>
      <c r="L1478" t="s">
        <v>5167</v>
      </c>
      <c r="M1478" t="s">
        <v>5168</v>
      </c>
      <c r="N1478" t="s">
        <v>5169</v>
      </c>
      <c r="O1478" t="s">
        <v>5170</v>
      </c>
      <c r="P1478">
        <v>109</v>
      </c>
      <c r="Q1478" t="s">
        <v>29</v>
      </c>
      <c r="R1478" t="s">
        <v>124</v>
      </c>
      <c r="S1478" t="s">
        <v>6938</v>
      </c>
    </row>
    <row r="1479" spans="1:19" x14ac:dyDescent="0.25">
      <c r="A1479">
        <v>2010</v>
      </c>
      <c r="B1479">
        <v>3229</v>
      </c>
      <c r="C1479" t="s">
        <v>5790</v>
      </c>
      <c r="D1479" t="s">
        <v>5791</v>
      </c>
      <c r="E1479">
        <v>336390</v>
      </c>
      <c r="F1479" t="s">
        <v>60</v>
      </c>
      <c r="G1479" t="s">
        <v>61</v>
      </c>
      <c r="H1479" t="s">
        <v>21</v>
      </c>
      <c r="I1479" t="s">
        <v>177</v>
      </c>
      <c r="J1479" t="s">
        <v>178</v>
      </c>
      <c r="K1479" t="s">
        <v>179</v>
      </c>
      <c r="L1479" t="s">
        <v>5167</v>
      </c>
      <c r="M1479" t="s">
        <v>5168</v>
      </c>
      <c r="N1479" t="s">
        <v>5169</v>
      </c>
      <c r="O1479" t="s">
        <v>5170</v>
      </c>
      <c r="P1479">
        <v>2.5999999999999999E-2</v>
      </c>
      <c r="Q1479" t="s">
        <v>29</v>
      </c>
      <c r="R1479" t="s">
        <v>50</v>
      </c>
      <c r="S1479" t="s">
        <v>6938</v>
      </c>
    </row>
    <row r="1480" spans="1:19" x14ac:dyDescent="0.25">
      <c r="A1480">
        <v>2014</v>
      </c>
      <c r="B1480">
        <v>4068</v>
      </c>
      <c r="C1480" t="s">
        <v>5792</v>
      </c>
      <c r="D1480" t="s">
        <v>5793</v>
      </c>
      <c r="E1480">
        <v>322122</v>
      </c>
      <c r="F1480" t="s">
        <v>1061</v>
      </c>
      <c r="G1480" t="s">
        <v>1062</v>
      </c>
      <c r="H1480" t="s">
        <v>79</v>
      </c>
      <c r="I1480" t="s">
        <v>152</v>
      </c>
      <c r="J1480" t="s">
        <v>153</v>
      </c>
      <c r="K1480" t="s">
        <v>154</v>
      </c>
      <c r="L1480" t="s">
        <v>5167</v>
      </c>
      <c r="M1480" t="s">
        <v>5168</v>
      </c>
      <c r="N1480" t="s">
        <v>5175</v>
      </c>
      <c r="O1480" t="s">
        <v>5176</v>
      </c>
      <c r="P1480">
        <v>1.573</v>
      </c>
      <c r="Q1480" t="s">
        <v>29</v>
      </c>
      <c r="R1480" t="s">
        <v>124</v>
      </c>
      <c r="S1480" t="s">
        <v>6938</v>
      </c>
    </row>
    <row r="1481" spans="1:19" x14ac:dyDescent="0.25">
      <c r="A1481">
        <v>2007</v>
      </c>
      <c r="B1481">
        <v>10256</v>
      </c>
      <c r="C1481" t="s">
        <v>5598</v>
      </c>
      <c r="D1481" t="s">
        <v>5794</v>
      </c>
      <c r="E1481">
        <v>221320</v>
      </c>
      <c r="F1481" t="s">
        <v>390</v>
      </c>
      <c r="G1481" t="s">
        <v>147</v>
      </c>
      <c r="H1481" t="s">
        <v>21</v>
      </c>
      <c r="I1481" t="s">
        <v>504</v>
      </c>
      <c r="J1481" t="s">
        <v>505</v>
      </c>
      <c r="K1481" t="s">
        <v>506</v>
      </c>
      <c r="L1481" t="s">
        <v>5167</v>
      </c>
      <c r="M1481" t="s">
        <v>5168</v>
      </c>
      <c r="N1481" t="s">
        <v>5175</v>
      </c>
      <c r="O1481" t="s">
        <v>5176</v>
      </c>
      <c r="P1481">
        <v>1.177</v>
      </c>
      <c r="Q1481" t="s">
        <v>29</v>
      </c>
      <c r="R1481" t="s">
        <v>258</v>
      </c>
      <c r="S1481" t="s">
        <v>6938</v>
      </c>
    </row>
    <row r="1482" spans="1:19" x14ac:dyDescent="0.25">
      <c r="A1482">
        <v>2009</v>
      </c>
      <c r="B1482">
        <v>5351</v>
      </c>
      <c r="C1482" t="s">
        <v>5795</v>
      </c>
      <c r="D1482" t="s">
        <v>5796</v>
      </c>
      <c r="E1482">
        <v>213118</v>
      </c>
      <c r="F1482" t="s">
        <v>1336</v>
      </c>
      <c r="G1482" t="s">
        <v>1337</v>
      </c>
      <c r="H1482" t="s">
        <v>85</v>
      </c>
      <c r="I1482" t="s">
        <v>5797</v>
      </c>
      <c r="J1482" t="s">
        <v>5798</v>
      </c>
      <c r="K1482" t="s">
        <v>5799</v>
      </c>
      <c r="L1482" t="s">
        <v>5167</v>
      </c>
      <c r="M1482" t="s">
        <v>5168</v>
      </c>
      <c r="N1482" t="s">
        <v>5195</v>
      </c>
      <c r="O1482" t="s">
        <v>5196</v>
      </c>
      <c r="P1482">
        <v>0.57499999999999996</v>
      </c>
      <c r="Q1482" t="s">
        <v>29</v>
      </c>
      <c r="R1482" t="s">
        <v>30</v>
      </c>
      <c r="S1482" t="s">
        <v>6938</v>
      </c>
    </row>
    <row r="1483" spans="1:19" x14ac:dyDescent="0.25">
      <c r="A1483">
        <v>2022</v>
      </c>
      <c r="B1483">
        <v>4333</v>
      </c>
      <c r="C1483" t="s">
        <v>5800</v>
      </c>
      <c r="D1483" t="s">
        <v>5801</v>
      </c>
      <c r="E1483">
        <v>325910</v>
      </c>
      <c r="F1483" t="s">
        <v>5802</v>
      </c>
      <c r="G1483" t="s">
        <v>2234</v>
      </c>
      <c r="H1483" t="s">
        <v>79</v>
      </c>
      <c r="I1483" t="s">
        <v>80</v>
      </c>
      <c r="J1483" t="s">
        <v>81</v>
      </c>
      <c r="K1483" t="s">
        <v>82</v>
      </c>
      <c r="L1483" t="s">
        <v>5167</v>
      </c>
      <c r="M1483" t="s">
        <v>5168</v>
      </c>
      <c r="N1483" t="s">
        <v>5223</v>
      </c>
      <c r="O1483" t="s">
        <v>5224</v>
      </c>
      <c r="P1483">
        <v>1.3859999999999999</v>
      </c>
      <c r="Q1483" t="s">
        <v>29</v>
      </c>
      <c r="R1483" t="s">
        <v>50</v>
      </c>
      <c r="S1483" t="s">
        <v>6938</v>
      </c>
    </row>
    <row r="1484" spans="1:19" x14ac:dyDescent="0.25">
      <c r="A1484">
        <v>2005</v>
      </c>
      <c r="B1484">
        <v>2776</v>
      </c>
      <c r="C1484" t="s">
        <v>93</v>
      </c>
      <c r="D1484" t="s">
        <v>1199</v>
      </c>
      <c r="E1484">
        <v>324110</v>
      </c>
      <c r="F1484" t="s">
        <v>95</v>
      </c>
      <c r="G1484" t="s">
        <v>96</v>
      </c>
      <c r="H1484" t="s">
        <v>69</v>
      </c>
      <c r="I1484" t="s">
        <v>1878</v>
      </c>
      <c r="J1484" t="s">
        <v>1879</v>
      </c>
      <c r="K1484" t="s">
        <v>1880</v>
      </c>
      <c r="L1484" t="s">
        <v>5167</v>
      </c>
      <c r="M1484" t="s">
        <v>5168</v>
      </c>
      <c r="N1484" t="s">
        <v>5169</v>
      </c>
      <c r="O1484" t="s">
        <v>5170</v>
      </c>
      <c r="P1484">
        <v>8.9999999999999993E-3</v>
      </c>
      <c r="Q1484" t="s">
        <v>40</v>
      </c>
      <c r="R1484" t="s">
        <v>30</v>
      </c>
      <c r="S1484" t="s">
        <v>6938</v>
      </c>
    </row>
    <row r="1485" spans="1:19" x14ac:dyDescent="0.25">
      <c r="A1485">
        <v>2010</v>
      </c>
      <c r="B1485">
        <v>5236</v>
      </c>
      <c r="C1485" t="s">
        <v>2082</v>
      </c>
      <c r="D1485" t="s">
        <v>2083</v>
      </c>
      <c r="E1485">
        <v>212392</v>
      </c>
      <c r="F1485" t="s">
        <v>2084</v>
      </c>
      <c r="G1485" t="s">
        <v>2085</v>
      </c>
      <c r="H1485" t="s">
        <v>379</v>
      </c>
      <c r="I1485" t="s">
        <v>177</v>
      </c>
      <c r="J1485" t="s">
        <v>178</v>
      </c>
      <c r="K1485" t="s">
        <v>179</v>
      </c>
      <c r="L1485" t="s">
        <v>5183</v>
      </c>
      <c r="M1485" t="s">
        <v>5184</v>
      </c>
      <c r="N1485" t="s">
        <v>5185</v>
      </c>
      <c r="O1485" t="s">
        <v>5186</v>
      </c>
      <c r="P1485">
        <v>128.09129999999999</v>
      </c>
      <c r="Q1485" t="s">
        <v>29</v>
      </c>
      <c r="R1485" t="s">
        <v>124</v>
      </c>
      <c r="S1485" t="s">
        <v>6938</v>
      </c>
    </row>
    <row r="1486" spans="1:19" x14ac:dyDescent="0.25">
      <c r="A1486">
        <v>2010</v>
      </c>
      <c r="B1486">
        <v>6669</v>
      </c>
      <c r="C1486" t="s">
        <v>2057</v>
      </c>
      <c r="D1486" t="s">
        <v>5275</v>
      </c>
      <c r="E1486">
        <v>212114</v>
      </c>
      <c r="F1486" t="s">
        <v>5276</v>
      </c>
      <c r="G1486" t="s">
        <v>2060</v>
      </c>
      <c r="H1486" t="s">
        <v>69</v>
      </c>
      <c r="I1486" t="s">
        <v>97</v>
      </c>
      <c r="J1486" t="s">
        <v>98</v>
      </c>
      <c r="K1486" t="s">
        <v>99</v>
      </c>
      <c r="L1486" t="s">
        <v>5183</v>
      </c>
      <c r="M1486" t="s">
        <v>5184</v>
      </c>
      <c r="N1486" t="s">
        <v>5185</v>
      </c>
      <c r="O1486" t="s">
        <v>5186</v>
      </c>
      <c r="P1486">
        <v>6171.25</v>
      </c>
      <c r="Q1486" t="s">
        <v>29</v>
      </c>
      <c r="R1486" t="s">
        <v>30</v>
      </c>
      <c r="S1486" t="s">
        <v>6938</v>
      </c>
    </row>
    <row r="1487" spans="1:19" x14ac:dyDescent="0.25">
      <c r="A1487">
        <v>1997</v>
      </c>
      <c r="B1487">
        <v>656</v>
      </c>
      <c r="C1487" t="s">
        <v>5803</v>
      </c>
      <c r="D1487" t="s">
        <v>5804</v>
      </c>
      <c r="E1487">
        <v>325210</v>
      </c>
      <c r="F1487" t="s">
        <v>1752</v>
      </c>
      <c r="G1487" t="s">
        <v>415</v>
      </c>
      <c r="H1487" t="s">
        <v>21</v>
      </c>
      <c r="I1487" t="s">
        <v>648</v>
      </c>
      <c r="J1487" t="s">
        <v>649</v>
      </c>
      <c r="K1487" t="s">
        <v>650</v>
      </c>
      <c r="L1487" t="s">
        <v>5167</v>
      </c>
      <c r="M1487" t="s">
        <v>5168</v>
      </c>
      <c r="N1487" t="s">
        <v>5169</v>
      </c>
      <c r="O1487" t="s">
        <v>5170</v>
      </c>
      <c r="P1487">
        <v>0.98499999999999999</v>
      </c>
      <c r="Q1487" t="s">
        <v>29</v>
      </c>
      <c r="R1487" t="s">
        <v>30</v>
      </c>
      <c r="S1487" t="s">
        <v>6938</v>
      </c>
    </row>
    <row r="1488" spans="1:19" x14ac:dyDescent="0.25">
      <c r="A1488">
        <v>2004</v>
      </c>
      <c r="B1488">
        <v>1812</v>
      </c>
      <c r="C1488" t="s">
        <v>909</v>
      </c>
      <c r="D1488" t="s">
        <v>5680</v>
      </c>
      <c r="E1488">
        <v>221112</v>
      </c>
      <c r="F1488" t="s">
        <v>134</v>
      </c>
      <c r="G1488" t="s">
        <v>135</v>
      </c>
      <c r="H1488" t="s">
        <v>21</v>
      </c>
      <c r="I1488" t="s">
        <v>35</v>
      </c>
      <c r="J1488" t="s">
        <v>36</v>
      </c>
      <c r="K1488" t="s">
        <v>37</v>
      </c>
      <c r="L1488" t="s">
        <v>5167</v>
      </c>
      <c r="M1488" t="s">
        <v>5168</v>
      </c>
      <c r="N1488" t="s">
        <v>5169</v>
      </c>
      <c r="O1488" t="s">
        <v>5170</v>
      </c>
      <c r="P1488">
        <v>45.7</v>
      </c>
      <c r="Q1488" t="s">
        <v>40</v>
      </c>
      <c r="R1488" t="s">
        <v>50</v>
      </c>
      <c r="S1488" t="s">
        <v>6938</v>
      </c>
    </row>
    <row r="1489" spans="1:19" x14ac:dyDescent="0.25">
      <c r="A1489">
        <v>2005</v>
      </c>
      <c r="B1489">
        <v>1411</v>
      </c>
      <c r="C1489" t="s">
        <v>1777</v>
      </c>
      <c r="D1489" t="s">
        <v>5805</v>
      </c>
      <c r="E1489">
        <v>211113</v>
      </c>
      <c r="F1489" t="s">
        <v>425</v>
      </c>
      <c r="G1489" t="s">
        <v>426</v>
      </c>
      <c r="H1489" t="s">
        <v>85</v>
      </c>
      <c r="I1489" t="s">
        <v>348</v>
      </c>
      <c r="J1489" t="s">
        <v>349</v>
      </c>
      <c r="K1489" t="s">
        <v>350</v>
      </c>
      <c r="L1489" t="s">
        <v>5183</v>
      </c>
      <c r="M1489" t="s">
        <v>5184</v>
      </c>
      <c r="N1489" t="s">
        <v>5195</v>
      </c>
      <c r="O1489" t="s">
        <v>5196</v>
      </c>
      <c r="P1489">
        <v>5.8410000000000002</v>
      </c>
      <c r="Q1489" t="s">
        <v>29</v>
      </c>
      <c r="R1489" t="s">
        <v>30</v>
      </c>
      <c r="S1489" t="s">
        <v>6938</v>
      </c>
    </row>
    <row r="1490" spans="1:19" x14ac:dyDescent="0.25">
      <c r="A1490">
        <v>2007</v>
      </c>
      <c r="B1490">
        <v>54</v>
      </c>
      <c r="C1490" t="s">
        <v>2255</v>
      </c>
      <c r="D1490" t="s">
        <v>5806</v>
      </c>
      <c r="E1490">
        <v>212231</v>
      </c>
      <c r="F1490" t="s">
        <v>1916</v>
      </c>
      <c r="G1490" t="s">
        <v>1917</v>
      </c>
      <c r="H1490" t="s">
        <v>661</v>
      </c>
      <c r="I1490" t="s">
        <v>152</v>
      </c>
      <c r="J1490" t="s">
        <v>153</v>
      </c>
      <c r="K1490" t="s">
        <v>154</v>
      </c>
      <c r="L1490" t="s">
        <v>5183</v>
      </c>
      <c r="M1490" t="s">
        <v>5184</v>
      </c>
      <c r="N1490" t="s">
        <v>5185</v>
      </c>
      <c r="O1490" t="s">
        <v>5186</v>
      </c>
      <c r="P1490">
        <v>16610.099999999999</v>
      </c>
      <c r="Q1490" t="s">
        <v>29</v>
      </c>
      <c r="R1490" t="s">
        <v>258</v>
      </c>
      <c r="S1490" t="s">
        <v>6938</v>
      </c>
    </row>
    <row r="1491" spans="1:19" x14ac:dyDescent="0.25">
      <c r="A1491">
        <v>2008</v>
      </c>
      <c r="B1491">
        <v>1408</v>
      </c>
      <c r="C1491" t="s">
        <v>5807</v>
      </c>
      <c r="D1491" t="s">
        <v>5808</v>
      </c>
      <c r="E1491">
        <v>111190</v>
      </c>
      <c r="F1491" t="s">
        <v>5809</v>
      </c>
      <c r="G1491" t="s">
        <v>5810</v>
      </c>
      <c r="H1491" t="s">
        <v>243</v>
      </c>
      <c r="I1491" t="s">
        <v>264</v>
      </c>
      <c r="J1491" t="s">
        <v>265</v>
      </c>
      <c r="K1491" t="s">
        <v>266</v>
      </c>
      <c r="L1491" t="s">
        <v>5183</v>
      </c>
      <c r="M1491" t="s">
        <v>5184</v>
      </c>
      <c r="N1491" t="s">
        <v>5175</v>
      </c>
      <c r="O1491" t="s">
        <v>5176</v>
      </c>
      <c r="P1491">
        <v>0</v>
      </c>
      <c r="Q1491" t="s">
        <v>29</v>
      </c>
      <c r="R1491" t="s">
        <v>50</v>
      </c>
      <c r="S1491" t="s">
        <v>6938</v>
      </c>
    </row>
    <row r="1492" spans="1:19" x14ac:dyDescent="0.25">
      <c r="A1492">
        <v>2020</v>
      </c>
      <c r="B1492">
        <v>30937</v>
      </c>
      <c r="C1492" t="s">
        <v>5811</v>
      </c>
      <c r="D1492" t="s">
        <v>5812</v>
      </c>
      <c r="E1492">
        <v>486110</v>
      </c>
      <c r="F1492" t="s">
        <v>1616</v>
      </c>
      <c r="G1492" t="s">
        <v>541</v>
      </c>
      <c r="H1492" t="s">
        <v>85</v>
      </c>
      <c r="I1492" t="s">
        <v>197</v>
      </c>
      <c r="J1492" t="s">
        <v>198</v>
      </c>
      <c r="K1492" t="s">
        <v>199</v>
      </c>
      <c r="L1492" t="s">
        <v>5167</v>
      </c>
      <c r="M1492" t="s">
        <v>5168</v>
      </c>
      <c r="N1492" t="s">
        <v>5169</v>
      </c>
      <c r="O1492" t="s">
        <v>5170</v>
      </c>
      <c r="P1492">
        <v>0.3</v>
      </c>
      <c r="Q1492" t="s">
        <v>40</v>
      </c>
      <c r="R1492" t="s">
        <v>30</v>
      </c>
      <c r="S1492" t="s">
        <v>6938</v>
      </c>
    </row>
    <row r="1493" spans="1:19" x14ac:dyDescent="0.25">
      <c r="A1493">
        <v>2016</v>
      </c>
      <c r="B1493">
        <v>8645</v>
      </c>
      <c r="C1493" t="s">
        <v>642</v>
      </c>
      <c r="D1493" t="s">
        <v>712</v>
      </c>
      <c r="E1493">
        <v>562110</v>
      </c>
      <c r="F1493" t="s">
        <v>644</v>
      </c>
      <c r="G1493" t="s">
        <v>645</v>
      </c>
      <c r="H1493" t="s">
        <v>79</v>
      </c>
      <c r="I1493" t="s">
        <v>5813</v>
      </c>
      <c r="J1493" t="s">
        <v>5814</v>
      </c>
      <c r="K1493" t="s">
        <v>5815</v>
      </c>
      <c r="L1493" t="s">
        <v>5167</v>
      </c>
      <c r="M1493" t="s">
        <v>5168</v>
      </c>
      <c r="N1493" t="s">
        <v>5169</v>
      </c>
      <c r="O1493" t="s">
        <v>5170</v>
      </c>
      <c r="P1493">
        <v>30.8691</v>
      </c>
      <c r="Q1493" t="s">
        <v>29</v>
      </c>
      <c r="R1493" t="s">
        <v>50</v>
      </c>
      <c r="S1493" t="s">
        <v>6938</v>
      </c>
    </row>
    <row r="1494" spans="1:19" x14ac:dyDescent="0.25">
      <c r="A1494">
        <v>2021</v>
      </c>
      <c r="B1494">
        <v>27915</v>
      </c>
      <c r="C1494" t="s">
        <v>5406</v>
      </c>
      <c r="D1494" t="s">
        <v>5816</v>
      </c>
      <c r="E1494">
        <v>562210</v>
      </c>
      <c r="F1494" t="s">
        <v>84</v>
      </c>
      <c r="G1494" t="s">
        <v>53</v>
      </c>
      <c r="H1494" t="s">
        <v>79</v>
      </c>
      <c r="I1494" t="s">
        <v>543</v>
      </c>
      <c r="J1494" t="s">
        <v>544</v>
      </c>
      <c r="K1494" t="s">
        <v>545</v>
      </c>
      <c r="L1494" t="s">
        <v>5183</v>
      </c>
      <c r="M1494" t="s">
        <v>5184</v>
      </c>
      <c r="N1494" t="s">
        <v>5175</v>
      </c>
      <c r="O1494" t="s">
        <v>5176</v>
      </c>
      <c r="P1494">
        <v>250.75</v>
      </c>
      <c r="Q1494" t="s">
        <v>40</v>
      </c>
      <c r="R1494" t="s">
        <v>124</v>
      </c>
      <c r="S1494" t="s">
        <v>6938</v>
      </c>
    </row>
    <row r="1495" spans="1:19" x14ac:dyDescent="0.25">
      <c r="A1495">
        <v>2010</v>
      </c>
      <c r="B1495">
        <v>3838</v>
      </c>
      <c r="C1495" t="s">
        <v>5817</v>
      </c>
      <c r="D1495" t="s">
        <v>5818</v>
      </c>
      <c r="E1495">
        <v>488190</v>
      </c>
      <c r="F1495" t="s">
        <v>1302</v>
      </c>
      <c r="G1495" t="s">
        <v>1303</v>
      </c>
      <c r="H1495" t="s">
        <v>1625</v>
      </c>
      <c r="I1495" t="s">
        <v>331</v>
      </c>
      <c r="J1495" t="s">
        <v>332</v>
      </c>
      <c r="K1495" t="s">
        <v>333</v>
      </c>
      <c r="L1495" t="s">
        <v>5183</v>
      </c>
      <c r="M1495" t="s">
        <v>5184</v>
      </c>
      <c r="N1495" t="s">
        <v>5175</v>
      </c>
      <c r="O1495" t="s">
        <v>5176</v>
      </c>
      <c r="P1495">
        <v>25.486799999999999</v>
      </c>
      <c r="Q1495" t="s">
        <v>29</v>
      </c>
      <c r="R1495" t="s">
        <v>258</v>
      </c>
      <c r="S1495" t="s">
        <v>6938</v>
      </c>
    </row>
    <row r="1496" spans="1:19" x14ac:dyDescent="0.25">
      <c r="A1496">
        <v>2017</v>
      </c>
      <c r="B1496">
        <v>11796</v>
      </c>
      <c r="C1496" t="s">
        <v>5819</v>
      </c>
      <c r="D1496" t="s">
        <v>5820</v>
      </c>
      <c r="E1496">
        <v>212220</v>
      </c>
      <c r="F1496" t="s">
        <v>1619</v>
      </c>
      <c r="G1496" t="s">
        <v>1620</v>
      </c>
      <c r="H1496" t="s">
        <v>21</v>
      </c>
      <c r="I1496" t="s">
        <v>184</v>
      </c>
      <c r="J1496" t="s">
        <v>185</v>
      </c>
      <c r="K1496" t="s">
        <v>186</v>
      </c>
      <c r="L1496" t="s">
        <v>5183</v>
      </c>
      <c r="M1496" t="s">
        <v>5184</v>
      </c>
      <c r="N1496" t="s">
        <v>5185</v>
      </c>
      <c r="O1496" t="s">
        <v>5186</v>
      </c>
      <c r="P1496">
        <v>39676.461000000003</v>
      </c>
      <c r="Q1496" t="s">
        <v>40</v>
      </c>
      <c r="R1496" t="s">
        <v>124</v>
      </c>
      <c r="S1496" t="s">
        <v>6938</v>
      </c>
    </row>
    <row r="1497" spans="1:19" x14ac:dyDescent="0.25">
      <c r="A1497">
        <v>2006</v>
      </c>
      <c r="B1497">
        <v>2539</v>
      </c>
      <c r="C1497" t="s">
        <v>5821</v>
      </c>
      <c r="D1497" t="s">
        <v>5822</v>
      </c>
      <c r="E1497">
        <v>321114</v>
      </c>
      <c r="F1497" t="s">
        <v>365</v>
      </c>
      <c r="G1497" t="s">
        <v>366</v>
      </c>
      <c r="H1497" t="s">
        <v>21</v>
      </c>
      <c r="I1497" t="s">
        <v>177</v>
      </c>
      <c r="J1497" t="s">
        <v>178</v>
      </c>
      <c r="K1497" t="s">
        <v>179</v>
      </c>
      <c r="L1497" t="s">
        <v>5167</v>
      </c>
      <c r="M1497" t="s">
        <v>5168</v>
      </c>
      <c r="N1497" t="s">
        <v>5169</v>
      </c>
      <c r="O1497" t="s">
        <v>5170</v>
      </c>
      <c r="P1497">
        <v>1.4999999999999999E-2</v>
      </c>
      <c r="Q1497" t="s">
        <v>29</v>
      </c>
      <c r="R1497" t="s">
        <v>50</v>
      </c>
      <c r="S1497" t="s">
        <v>6938</v>
      </c>
    </row>
    <row r="1498" spans="1:19" x14ac:dyDescent="0.25">
      <c r="A1498">
        <v>2018</v>
      </c>
      <c r="B1498">
        <v>5351</v>
      </c>
      <c r="C1498" t="s">
        <v>5177</v>
      </c>
      <c r="D1498" t="s">
        <v>1335</v>
      </c>
      <c r="E1498">
        <v>213118</v>
      </c>
      <c r="F1498" t="s">
        <v>5179</v>
      </c>
      <c r="G1498" t="s">
        <v>1337</v>
      </c>
      <c r="H1498" t="s">
        <v>85</v>
      </c>
      <c r="I1498" t="s">
        <v>129</v>
      </c>
      <c r="J1498" t="s">
        <v>130</v>
      </c>
      <c r="K1498" t="s">
        <v>131</v>
      </c>
      <c r="L1498" t="s">
        <v>5167</v>
      </c>
      <c r="M1498" t="s">
        <v>5168</v>
      </c>
      <c r="N1498" t="s">
        <v>5169</v>
      </c>
      <c r="O1498" t="s">
        <v>5170</v>
      </c>
      <c r="P1498">
        <v>1.2E-2</v>
      </c>
      <c r="Q1498" t="s">
        <v>29</v>
      </c>
      <c r="R1498" t="s">
        <v>30</v>
      </c>
      <c r="S1498" t="s">
        <v>6938</v>
      </c>
    </row>
    <row r="1499" spans="1:19" x14ac:dyDescent="0.25">
      <c r="A1499">
        <v>2023</v>
      </c>
      <c r="B1499">
        <v>11454</v>
      </c>
      <c r="C1499" t="s">
        <v>1741</v>
      </c>
      <c r="D1499" t="s">
        <v>1742</v>
      </c>
      <c r="E1499">
        <v>212220</v>
      </c>
      <c r="F1499" t="s">
        <v>1619</v>
      </c>
      <c r="G1499" t="s">
        <v>1620</v>
      </c>
      <c r="H1499" t="s">
        <v>21</v>
      </c>
      <c r="I1499" t="s">
        <v>152</v>
      </c>
      <c r="J1499" t="s">
        <v>153</v>
      </c>
      <c r="K1499" t="s">
        <v>154</v>
      </c>
      <c r="L1499" t="s">
        <v>5183</v>
      </c>
      <c r="M1499" t="s">
        <v>5184</v>
      </c>
      <c r="N1499" t="s">
        <v>5185</v>
      </c>
      <c r="O1499" t="s">
        <v>5186</v>
      </c>
      <c r="P1499">
        <v>22.027000000000001</v>
      </c>
      <c r="Q1499" t="s">
        <v>29</v>
      </c>
      <c r="R1499" t="s">
        <v>124</v>
      </c>
      <c r="S1499" t="s">
        <v>6938</v>
      </c>
    </row>
    <row r="1500" spans="1:19" x14ac:dyDescent="0.25">
      <c r="A1500">
        <v>2018</v>
      </c>
      <c r="B1500">
        <v>26259</v>
      </c>
      <c r="C1500" t="s">
        <v>5466</v>
      </c>
      <c r="D1500" t="s">
        <v>5823</v>
      </c>
      <c r="E1500">
        <v>212396</v>
      </c>
      <c r="F1500" t="s">
        <v>1419</v>
      </c>
      <c r="G1500" t="s">
        <v>1420</v>
      </c>
      <c r="H1500" t="s">
        <v>243</v>
      </c>
      <c r="I1500" t="s">
        <v>106</v>
      </c>
      <c r="J1500" t="s">
        <v>107</v>
      </c>
      <c r="K1500" t="s">
        <v>108</v>
      </c>
      <c r="L1500" t="s">
        <v>5183</v>
      </c>
      <c r="M1500" t="s">
        <v>5184</v>
      </c>
      <c r="N1500" t="s">
        <v>5260</v>
      </c>
      <c r="O1500" t="s">
        <v>5261</v>
      </c>
      <c r="P1500">
        <v>0.20200000000000001</v>
      </c>
      <c r="Q1500" t="s">
        <v>40</v>
      </c>
      <c r="R1500" t="s">
        <v>30</v>
      </c>
      <c r="S1500" t="s">
        <v>6938</v>
      </c>
    </row>
    <row r="1501" spans="1:19" x14ac:dyDescent="0.25">
      <c r="A1501">
        <v>2008</v>
      </c>
      <c r="B1501">
        <v>333</v>
      </c>
      <c r="C1501" t="s">
        <v>5246</v>
      </c>
      <c r="D1501" t="s">
        <v>5247</v>
      </c>
      <c r="E1501">
        <v>322122</v>
      </c>
      <c r="F1501" t="s">
        <v>1556</v>
      </c>
      <c r="G1501" t="s">
        <v>1062</v>
      </c>
      <c r="H1501" t="s">
        <v>69</v>
      </c>
      <c r="I1501" t="s">
        <v>837</v>
      </c>
      <c r="J1501" t="s">
        <v>838</v>
      </c>
      <c r="K1501" t="s">
        <v>839</v>
      </c>
      <c r="L1501" t="s">
        <v>5167</v>
      </c>
      <c r="M1501" t="s">
        <v>5168</v>
      </c>
      <c r="N1501" t="s">
        <v>5169</v>
      </c>
      <c r="O1501" t="s">
        <v>5170</v>
      </c>
      <c r="P1501">
        <v>0.108</v>
      </c>
      <c r="Q1501" t="s">
        <v>40</v>
      </c>
      <c r="R1501" t="s">
        <v>124</v>
      </c>
      <c r="S1501" t="s">
        <v>6938</v>
      </c>
    </row>
  </sheetData>
  <sheetProtection algorithmName="SHA-512" hashValue="5pkbAkR/gnQACI/+2LYjAE3XiA5+Dn1+Z6aRt/Kmu3rGef3fWNb4ydRfROol0clpQfj7nNEptzWwavh4ZRBx6Q==" saltValue="lQlLeTTvNuxWDUwO7b2SnA==" spinCount="100000"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D390-66F6-4630-A797-5FE70DE52A07}">
  <sheetPr>
    <tabColor theme="8" tint="0.79998168889431442"/>
  </sheetPr>
  <dimension ref="A1:R501"/>
  <sheetViews>
    <sheetView workbookViewId="0"/>
  </sheetViews>
  <sheetFormatPr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1998</v>
      </c>
      <c r="B2">
        <v>2521</v>
      </c>
      <c r="C2" t="s">
        <v>18</v>
      </c>
      <c r="E2">
        <v>326193</v>
      </c>
      <c r="F2" t="s">
        <v>19</v>
      </c>
      <c r="G2" t="s">
        <v>20</v>
      </c>
      <c r="H2" t="s">
        <v>21</v>
      </c>
      <c r="I2" t="s">
        <v>22</v>
      </c>
      <c r="J2" t="s">
        <v>23</v>
      </c>
      <c r="K2" t="s">
        <v>24</v>
      </c>
      <c r="L2" t="s">
        <v>25</v>
      </c>
      <c r="M2" t="s">
        <v>26</v>
      </c>
      <c r="N2" t="s">
        <v>27</v>
      </c>
      <c r="O2" t="s">
        <v>28</v>
      </c>
      <c r="P2">
        <v>127.22</v>
      </c>
      <c r="Q2" t="s">
        <v>29</v>
      </c>
      <c r="R2" t="s">
        <v>30</v>
      </c>
    </row>
    <row r="3" spans="1:18" x14ac:dyDescent="0.25">
      <c r="A3">
        <v>2015</v>
      </c>
      <c r="B3">
        <v>4748</v>
      </c>
      <c r="C3" t="s">
        <v>31</v>
      </c>
      <c r="D3" t="s">
        <v>32</v>
      </c>
      <c r="E3">
        <v>331523</v>
      </c>
      <c r="F3" t="s">
        <v>33</v>
      </c>
      <c r="G3" t="s">
        <v>34</v>
      </c>
      <c r="H3" t="s">
        <v>21</v>
      </c>
      <c r="I3" t="s">
        <v>35</v>
      </c>
      <c r="J3" t="s">
        <v>36</v>
      </c>
      <c r="K3" t="s">
        <v>37</v>
      </c>
      <c r="L3" t="s">
        <v>25</v>
      </c>
      <c r="M3" t="s">
        <v>26</v>
      </c>
      <c r="N3" t="s">
        <v>38</v>
      </c>
      <c r="O3" t="s">
        <v>39</v>
      </c>
      <c r="P3">
        <v>2528.6999999999998</v>
      </c>
      <c r="Q3" t="s">
        <v>40</v>
      </c>
      <c r="R3" t="s">
        <v>30</v>
      </c>
    </row>
    <row r="4" spans="1:18" x14ac:dyDescent="0.25">
      <c r="A4">
        <v>2016</v>
      </c>
      <c r="B4">
        <v>397</v>
      </c>
      <c r="C4" t="s">
        <v>41</v>
      </c>
      <c r="D4" t="s">
        <v>42</v>
      </c>
      <c r="E4">
        <v>336110</v>
      </c>
      <c r="F4" t="s">
        <v>43</v>
      </c>
      <c r="G4" t="s">
        <v>44</v>
      </c>
      <c r="H4" t="s">
        <v>21</v>
      </c>
      <c r="I4" t="s">
        <v>45</v>
      </c>
      <c r="J4" t="s">
        <v>46</v>
      </c>
      <c r="K4" t="s">
        <v>47</v>
      </c>
      <c r="L4" t="s">
        <v>25</v>
      </c>
      <c r="M4" t="s">
        <v>26</v>
      </c>
      <c r="N4" t="s">
        <v>48</v>
      </c>
      <c r="O4" t="s">
        <v>49</v>
      </c>
      <c r="P4">
        <v>6.3019999999999996</v>
      </c>
      <c r="Q4" t="s">
        <v>29</v>
      </c>
      <c r="R4" t="s">
        <v>50</v>
      </c>
    </row>
    <row r="5" spans="1:18" x14ac:dyDescent="0.25">
      <c r="A5">
        <v>2001</v>
      </c>
      <c r="B5">
        <v>5392</v>
      </c>
      <c r="C5" t="s">
        <v>51</v>
      </c>
      <c r="E5">
        <v>562210</v>
      </c>
      <c r="F5" t="s">
        <v>52</v>
      </c>
      <c r="G5" t="s">
        <v>53</v>
      </c>
      <c r="H5" t="s">
        <v>54</v>
      </c>
      <c r="I5" t="s">
        <v>55</v>
      </c>
      <c r="J5" t="s">
        <v>56</v>
      </c>
      <c r="K5" t="s">
        <v>57</v>
      </c>
      <c r="L5" t="s">
        <v>25</v>
      </c>
      <c r="M5" t="s">
        <v>26</v>
      </c>
      <c r="N5" t="s">
        <v>48</v>
      </c>
      <c r="O5" t="s">
        <v>49</v>
      </c>
      <c r="P5">
        <v>14.43</v>
      </c>
      <c r="Q5" t="s">
        <v>29</v>
      </c>
      <c r="R5" t="s">
        <v>30</v>
      </c>
    </row>
    <row r="6" spans="1:18" x14ac:dyDescent="0.25">
      <c r="A6">
        <v>1999</v>
      </c>
      <c r="B6">
        <v>5672</v>
      </c>
      <c r="C6" t="s">
        <v>58</v>
      </c>
      <c r="D6" t="s">
        <v>59</v>
      </c>
      <c r="E6">
        <v>336390</v>
      </c>
      <c r="F6" t="s">
        <v>60</v>
      </c>
      <c r="G6" t="s">
        <v>61</v>
      </c>
      <c r="H6" t="s">
        <v>21</v>
      </c>
      <c r="I6" t="s">
        <v>62</v>
      </c>
      <c r="J6" t="s">
        <v>63</v>
      </c>
      <c r="K6" t="s">
        <v>64</v>
      </c>
      <c r="L6" t="s">
        <v>25</v>
      </c>
      <c r="M6" t="s">
        <v>26</v>
      </c>
      <c r="N6" t="s">
        <v>38</v>
      </c>
      <c r="O6" t="s">
        <v>39</v>
      </c>
      <c r="P6">
        <v>143</v>
      </c>
      <c r="Q6" t="s">
        <v>29</v>
      </c>
      <c r="R6" t="s">
        <v>30</v>
      </c>
    </row>
    <row r="7" spans="1:18" x14ac:dyDescent="0.25">
      <c r="A7">
        <v>2011</v>
      </c>
      <c r="B7">
        <v>21585</v>
      </c>
      <c r="C7" t="s">
        <v>65</v>
      </c>
      <c r="D7" t="s">
        <v>66</v>
      </c>
      <c r="E7">
        <v>562110</v>
      </c>
      <c r="F7" t="s">
        <v>67</v>
      </c>
      <c r="G7" t="s">
        <v>68</v>
      </c>
      <c r="H7" t="s">
        <v>69</v>
      </c>
      <c r="I7" t="s">
        <v>70</v>
      </c>
      <c r="J7" t="s">
        <v>71</v>
      </c>
      <c r="K7" t="s">
        <v>72</v>
      </c>
      <c r="L7" t="s">
        <v>25</v>
      </c>
      <c r="M7" t="s">
        <v>26</v>
      </c>
      <c r="N7" t="s">
        <v>73</v>
      </c>
      <c r="O7" t="s">
        <v>74</v>
      </c>
      <c r="P7">
        <v>25.236000000000001</v>
      </c>
      <c r="Q7" t="s">
        <v>29</v>
      </c>
      <c r="R7" t="s">
        <v>50</v>
      </c>
    </row>
    <row r="8" spans="1:18" x14ac:dyDescent="0.25">
      <c r="A8">
        <v>2006</v>
      </c>
      <c r="B8">
        <v>1263</v>
      </c>
      <c r="C8" t="s">
        <v>75</v>
      </c>
      <c r="D8" t="s">
        <v>76</v>
      </c>
      <c r="E8">
        <v>326111</v>
      </c>
      <c r="F8" t="s">
        <v>77</v>
      </c>
      <c r="G8" t="s">
        <v>78</v>
      </c>
      <c r="H8" t="s">
        <v>79</v>
      </c>
      <c r="I8" t="s">
        <v>80</v>
      </c>
      <c r="J8" t="s">
        <v>81</v>
      </c>
      <c r="K8" t="s">
        <v>82</v>
      </c>
      <c r="L8" t="s">
        <v>25</v>
      </c>
      <c r="M8" t="s">
        <v>26</v>
      </c>
      <c r="N8" t="s">
        <v>27</v>
      </c>
      <c r="O8" t="s">
        <v>28</v>
      </c>
      <c r="P8">
        <v>0.59</v>
      </c>
      <c r="Q8" t="s">
        <v>29</v>
      </c>
      <c r="R8" t="s">
        <v>50</v>
      </c>
    </row>
    <row r="9" spans="1:18" x14ac:dyDescent="0.25">
      <c r="A9">
        <v>2020</v>
      </c>
      <c r="B9">
        <v>19114</v>
      </c>
      <c r="C9" t="s">
        <v>83</v>
      </c>
      <c r="D9" t="s">
        <v>83</v>
      </c>
      <c r="E9">
        <v>562210</v>
      </c>
      <c r="F9" t="s">
        <v>84</v>
      </c>
      <c r="G9" t="s">
        <v>53</v>
      </c>
      <c r="H9" t="s">
        <v>85</v>
      </c>
      <c r="I9" t="s">
        <v>86</v>
      </c>
      <c r="J9" t="s">
        <v>87</v>
      </c>
      <c r="K9" t="s">
        <v>88</v>
      </c>
      <c r="L9" t="s">
        <v>89</v>
      </c>
      <c r="M9" t="s">
        <v>90</v>
      </c>
      <c r="N9" t="s">
        <v>91</v>
      </c>
      <c r="O9" t="s">
        <v>92</v>
      </c>
      <c r="P9">
        <v>1.369</v>
      </c>
      <c r="Q9" t="s">
        <v>29</v>
      </c>
      <c r="R9" t="s">
        <v>50</v>
      </c>
    </row>
    <row r="10" spans="1:18" x14ac:dyDescent="0.25">
      <c r="A10">
        <v>2006</v>
      </c>
      <c r="B10">
        <v>2776</v>
      </c>
      <c r="C10" t="s">
        <v>93</v>
      </c>
      <c r="D10" t="s">
        <v>94</v>
      </c>
      <c r="E10">
        <v>324110</v>
      </c>
      <c r="F10" t="s">
        <v>95</v>
      </c>
      <c r="G10" t="s">
        <v>96</v>
      </c>
      <c r="H10" t="s">
        <v>69</v>
      </c>
      <c r="I10" t="s">
        <v>97</v>
      </c>
      <c r="J10" t="s">
        <v>98</v>
      </c>
      <c r="K10" t="s">
        <v>99</v>
      </c>
      <c r="L10" t="s">
        <v>89</v>
      </c>
      <c r="M10" t="s">
        <v>90</v>
      </c>
      <c r="N10" t="s">
        <v>100</v>
      </c>
      <c r="O10" t="s">
        <v>101</v>
      </c>
      <c r="P10">
        <v>0.84799999999999998</v>
      </c>
      <c r="Q10" t="s">
        <v>29</v>
      </c>
      <c r="R10" t="s">
        <v>30</v>
      </c>
    </row>
    <row r="11" spans="1:18" x14ac:dyDescent="0.25">
      <c r="A11">
        <v>2007</v>
      </c>
      <c r="B11">
        <v>8661</v>
      </c>
      <c r="C11" t="s">
        <v>102</v>
      </c>
      <c r="D11" t="s">
        <v>103</v>
      </c>
      <c r="E11">
        <v>562990</v>
      </c>
      <c r="F11" t="s">
        <v>104</v>
      </c>
      <c r="G11" t="s">
        <v>105</v>
      </c>
      <c r="H11" t="s">
        <v>79</v>
      </c>
      <c r="I11" t="s">
        <v>106</v>
      </c>
      <c r="J11" t="s">
        <v>107</v>
      </c>
      <c r="K11" t="s">
        <v>108</v>
      </c>
      <c r="L11" t="s">
        <v>25</v>
      </c>
      <c r="M11" t="s">
        <v>26</v>
      </c>
      <c r="N11" t="s">
        <v>38</v>
      </c>
      <c r="O11" t="s">
        <v>39</v>
      </c>
      <c r="P11">
        <v>0</v>
      </c>
      <c r="Q11" t="s">
        <v>40</v>
      </c>
      <c r="R11" t="s">
        <v>30</v>
      </c>
    </row>
    <row r="12" spans="1:18" x14ac:dyDescent="0.25">
      <c r="A12">
        <v>2014</v>
      </c>
      <c r="B12">
        <v>10082</v>
      </c>
      <c r="C12" t="s">
        <v>109</v>
      </c>
      <c r="D12" t="s">
        <v>110</v>
      </c>
      <c r="E12">
        <v>325510</v>
      </c>
      <c r="F12" t="s">
        <v>111</v>
      </c>
      <c r="G12" t="s">
        <v>112</v>
      </c>
      <c r="H12" t="s">
        <v>21</v>
      </c>
      <c r="I12" t="s">
        <v>22</v>
      </c>
      <c r="J12" t="s">
        <v>23</v>
      </c>
      <c r="K12" t="s">
        <v>24</v>
      </c>
      <c r="L12" t="s">
        <v>25</v>
      </c>
      <c r="M12" t="s">
        <v>26</v>
      </c>
      <c r="N12" t="s">
        <v>27</v>
      </c>
      <c r="O12" t="s">
        <v>28</v>
      </c>
      <c r="P12">
        <v>2.2963</v>
      </c>
      <c r="Q12" t="s">
        <v>29</v>
      </c>
      <c r="R12" t="s">
        <v>50</v>
      </c>
    </row>
    <row r="13" spans="1:18" x14ac:dyDescent="0.25">
      <c r="A13">
        <v>2016</v>
      </c>
      <c r="B13">
        <v>4797</v>
      </c>
      <c r="C13" t="s">
        <v>113</v>
      </c>
      <c r="D13" t="s">
        <v>114</v>
      </c>
      <c r="E13">
        <v>332113</v>
      </c>
      <c r="F13" t="s">
        <v>115</v>
      </c>
      <c r="G13" t="s">
        <v>116</v>
      </c>
      <c r="H13" t="s">
        <v>79</v>
      </c>
      <c r="I13" t="s">
        <v>117</v>
      </c>
      <c r="J13" t="s">
        <v>118</v>
      </c>
      <c r="K13" t="s">
        <v>119</v>
      </c>
      <c r="L13" t="s">
        <v>89</v>
      </c>
      <c r="M13" t="s">
        <v>90</v>
      </c>
      <c r="N13" t="s">
        <v>120</v>
      </c>
      <c r="O13" t="s">
        <v>121</v>
      </c>
      <c r="P13">
        <v>3.31</v>
      </c>
      <c r="Q13" t="s">
        <v>29</v>
      </c>
      <c r="R13" t="s">
        <v>30</v>
      </c>
    </row>
    <row r="14" spans="1:18" x14ac:dyDescent="0.25">
      <c r="A14">
        <v>2007</v>
      </c>
      <c r="B14">
        <v>4627</v>
      </c>
      <c r="C14" t="s">
        <v>122</v>
      </c>
      <c r="D14" t="s">
        <v>123</v>
      </c>
      <c r="E14">
        <v>562210</v>
      </c>
      <c r="F14" t="s">
        <v>52</v>
      </c>
      <c r="G14" t="s">
        <v>53</v>
      </c>
      <c r="H14" t="s">
        <v>21</v>
      </c>
      <c r="I14" t="s">
        <v>70</v>
      </c>
      <c r="J14" t="s">
        <v>71</v>
      </c>
      <c r="K14" t="s">
        <v>72</v>
      </c>
      <c r="L14" t="s">
        <v>89</v>
      </c>
      <c r="M14" t="s">
        <v>90</v>
      </c>
      <c r="N14" t="s">
        <v>91</v>
      </c>
      <c r="O14" t="s">
        <v>92</v>
      </c>
      <c r="P14">
        <v>1.95</v>
      </c>
      <c r="Q14" t="s">
        <v>29</v>
      </c>
      <c r="R14" t="s">
        <v>124</v>
      </c>
    </row>
    <row r="15" spans="1:18" x14ac:dyDescent="0.25">
      <c r="A15">
        <v>2016</v>
      </c>
      <c r="B15">
        <v>10238</v>
      </c>
      <c r="C15" t="s">
        <v>125</v>
      </c>
      <c r="D15" t="s">
        <v>126</v>
      </c>
      <c r="E15">
        <v>412110</v>
      </c>
      <c r="F15" t="s">
        <v>127</v>
      </c>
      <c r="G15" t="s">
        <v>128</v>
      </c>
      <c r="H15" t="s">
        <v>69</v>
      </c>
      <c r="I15" t="s">
        <v>129</v>
      </c>
      <c r="J15" t="s">
        <v>130</v>
      </c>
      <c r="K15" t="s">
        <v>131</v>
      </c>
      <c r="L15" t="s">
        <v>89</v>
      </c>
      <c r="M15" t="s">
        <v>90</v>
      </c>
      <c r="N15" t="s">
        <v>120</v>
      </c>
      <c r="O15" t="s">
        <v>121</v>
      </c>
      <c r="P15">
        <v>4.1000000000000003E-3</v>
      </c>
      <c r="Q15" t="s">
        <v>29</v>
      </c>
      <c r="R15" t="s">
        <v>30</v>
      </c>
    </row>
    <row r="16" spans="1:18" x14ac:dyDescent="0.25">
      <c r="A16">
        <v>2002</v>
      </c>
      <c r="B16">
        <v>2282</v>
      </c>
      <c r="C16" t="s">
        <v>132</v>
      </c>
      <c r="D16" t="s">
        <v>133</v>
      </c>
      <c r="E16">
        <v>221112</v>
      </c>
      <c r="F16" t="s">
        <v>134</v>
      </c>
      <c r="G16" t="s">
        <v>135</v>
      </c>
      <c r="H16" t="s">
        <v>85</v>
      </c>
      <c r="I16" t="s">
        <v>136</v>
      </c>
      <c r="J16" t="s">
        <v>137</v>
      </c>
      <c r="K16" t="s">
        <v>138</v>
      </c>
      <c r="L16" t="s">
        <v>25</v>
      </c>
      <c r="M16" t="s">
        <v>26</v>
      </c>
      <c r="N16" t="s">
        <v>139</v>
      </c>
      <c r="O16" t="s">
        <v>140</v>
      </c>
      <c r="P16">
        <v>45.404000000000003</v>
      </c>
      <c r="Q16" t="s">
        <v>29</v>
      </c>
      <c r="R16" t="s">
        <v>30</v>
      </c>
    </row>
    <row r="17" spans="1:18" x14ac:dyDescent="0.25">
      <c r="A17">
        <v>2007</v>
      </c>
      <c r="B17">
        <v>814</v>
      </c>
      <c r="C17" t="s">
        <v>141</v>
      </c>
      <c r="D17" t="s">
        <v>142</v>
      </c>
      <c r="E17">
        <v>325510</v>
      </c>
      <c r="F17" t="s">
        <v>143</v>
      </c>
      <c r="G17" t="s">
        <v>112</v>
      </c>
      <c r="H17" t="s">
        <v>21</v>
      </c>
      <c r="I17" t="s">
        <v>22</v>
      </c>
      <c r="J17" t="s">
        <v>23</v>
      </c>
      <c r="K17" t="s">
        <v>24</v>
      </c>
      <c r="L17" t="s">
        <v>89</v>
      </c>
      <c r="M17" t="s">
        <v>90</v>
      </c>
      <c r="N17" t="s">
        <v>120</v>
      </c>
      <c r="O17" t="s">
        <v>121</v>
      </c>
      <c r="P17">
        <v>2</v>
      </c>
      <c r="Q17" t="s">
        <v>29</v>
      </c>
      <c r="R17" t="s">
        <v>50</v>
      </c>
    </row>
    <row r="18" spans="1:18" x14ac:dyDescent="0.25">
      <c r="A18">
        <v>2012</v>
      </c>
      <c r="B18">
        <v>22740</v>
      </c>
      <c r="C18" t="s">
        <v>144</v>
      </c>
      <c r="D18" t="s">
        <v>145</v>
      </c>
      <c r="E18">
        <v>221320</v>
      </c>
      <c r="F18" t="s">
        <v>146</v>
      </c>
      <c r="G18" t="s">
        <v>147</v>
      </c>
      <c r="H18" t="s">
        <v>85</v>
      </c>
      <c r="I18" t="s">
        <v>35</v>
      </c>
      <c r="J18" t="s">
        <v>36</v>
      </c>
      <c r="K18" t="s">
        <v>37</v>
      </c>
      <c r="L18" t="s">
        <v>89</v>
      </c>
      <c r="M18" t="s">
        <v>90</v>
      </c>
      <c r="N18" t="s">
        <v>120</v>
      </c>
      <c r="O18" t="s">
        <v>121</v>
      </c>
      <c r="P18">
        <v>125.84399999999999</v>
      </c>
      <c r="Q18" t="s">
        <v>40</v>
      </c>
      <c r="R18" t="s">
        <v>124</v>
      </c>
    </row>
    <row r="19" spans="1:18" x14ac:dyDescent="0.25">
      <c r="A19">
        <v>2018</v>
      </c>
      <c r="B19">
        <v>4881</v>
      </c>
      <c r="C19" t="s">
        <v>148</v>
      </c>
      <c r="D19" t="s">
        <v>149</v>
      </c>
      <c r="E19">
        <v>321217</v>
      </c>
      <c r="F19" t="s">
        <v>150</v>
      </c>
      <c r="G19" t="s">
        <v>151</v>
      </c>
      <c r="H19" t="s">
        <v>54</v>
      </c>
      <c r="I19" t="s">
        <v>152</v>
      </c>
      <c r="J19" t="s">
        <v>153</v>
      </c>
      <c r="K19" t="s">
        <v>154</v>
      </c>
      <c r="L19" t="s">
        <v>25</v>
      </c>
      <c r="M19" t="s">
        <v>26</v>
      </c>
      <c r="N19" t="s">
        <v>155</v>
      </c>
      <c r="O19" t="s">
        <v>156</v>
      </c>
      <c r="P19">
        <v>2.5739999999999998</v>
      </c>
      <c r="Q19" t="s">
        <v>29</v>
      </c>
      <c r="R19" t="s">
        <v>157</v>
      </c>
    </row>
    <row r="20" spans="1:18" x14ac:dyDescent="0.25">
      <c r="A20">
        <v>2006</v>
      </c>
      <c r="B20">
        <v>5812</v>
      </c>
      <c r="C20" t="s">
        <v>158</v>
      </c>
      <c r="D20" t="s">
        <v>159</v>
      </c>
      <c r="E20">
        <v>331511</v>
      </c>
      <c r="F20" t="s">
        <v>160</v>
      </c>
      <c r="G20" t="s">
        <v>161</v>
      </c>
      <c r="H20" t="s">
        <v>21</v>
      </c>
      <c r="I20" t="s">
        <v>136</v>
      </c>
      <c r="J20" t="s">
        <v>137</v>
      </c>
      <c r="K20" t="s">
        <v>138</v>
      </c>
      <c r="L20" t="s">
        <v>25</v>
      </c>
      <c r="M20" t="s">
        <v>26</v>
      </c>
      <c r="N20" t="s">
        <v>38</v>
      </c>
      <c r="O20" t="s">
        <v>39</v>
      </c>
      <c r="P20">
        <v>0.59599999999999997</v>
      </c>
      <c r="Q20" t="s">
        <v>29</v>
      </c>
      <c r="R20" t="s">
        <v>50</v>
      </c>
    </row>
    <row r="21" spans="1:18" x14ac:dyDescent="0.25">
      <c r="A21">
        <v>2004</v>
      </c>
      <c r="B21">
        <v>4407</v>
      </c>
      <c r="C21" t="s">
        <v>162</v>
      </c>
      <c r="D21" t="s">
        <v>163</v>
      </c>
      <c r="E21">
        <v>326130</v>
      </c>
      <c r="F21" t="s">
        <v>164</v>
      </c>
      <c r="G21" t="s">
        <v>165</v>
      </c>
      <c r="H21" t="s">
        <v>79</v>
      </c>
      <c r="I21" t="s">
        <v>55</v>
      </c>
      <c r="J21" t="s">
        <v>56</v>
      </c>
      <c r="K21" t="s">
        <v>57</v>
      </c>
      <c r="L21" t="s">
        <v>89</v>
      </c>
      <c r="M21" t="s">
        <v>90</v>
      </c>
      <c r="N21" t="s">
        <v>166</v>
      </c>
      <c r="O21" t="s">
        <v>167</v>
      </c>
      <c r="P21">
        <v>0.14399999999999999</v>
      </c>
      <c r="Q21" t="s">
        <v>29</v>
      </c>
      <c r="R21" t="s">
        <v>30</v>
      </c>
    </row>
    <row r="22" spans="1:18" x14ac:dyDescent="0.25">
      <c r="A22">
        <v>2021</v>
      </c>
      <c r="B22">
        <v>3422</v>
      </c>
      <c r="C22" t="s">
        <v>168</v>
      </c>
      <c r="D22" t="s">
        <v>169</v>
      </c>
      <c r="E22">
        <v>325220</v>
      </c>
      <c r="F22" t="s">
        <v>170</v>
      </c>
      <c r="G22" t="s">
        <v>171</v>
      </c>
      <c r="H22" t="s">
        <v>21</v>
      </c>
      <c r="I22" t="s">
        <v>172</v>
      </c>
      <c r="J22" t="s">
        <v>173</v>
      </c>
      <c r="K22" t="s">
        <v>174</v>
      </c>
      <c r="L22" t="s">
        <v>89</v>
      </c>
      <c r="M22" t="s">
        <v>90</v>
      </c>
      <c r="N22" t="s">
        <v>166</v>
      </c>
      <c r="O22" t="s">
        <v>167</v>
      </c>
      <c r="P22">
        <v>0.75885000000000002</v>
      </c>
      <c r="Q22" t="s">
        <v>29</v>
      </c>
      <c r="R22" t="s">
        <v>30</v>
      </c>
    </row>
    <row r="23" spans="1:18" x14ac:dyDescent="0.25">
      <c r="A23">
        <v>2016</v>
      </c>
      <c r="B23">
        <v>26445</v>
      </c>
      <c r="C23" t="s">
        <v>175</v>
      </c>
      <c r="D23" t="s">
        <v>176</v>
      </c>
      <c r="E23">
        <v>562210</v>
      </c>
      <c r="F23" t="s">
        <v>84</v>
      </c>
      <c r="G23" t="s">
        <v>53</v>
      </c>
      <c r="H23" t="s">
        <v>69</v>
      </c>
      <c r="I23" t="s">
        <v>177</v>
      </c>
      <c r="J23" t="s">
        <v>178</v>
      </c>
      <c r="K23" t="s">
        <v>179</v>
      </c>
      <c r="L23" t="s">
        <v>25</v>
      </c>
      <c r="M23" t="s">
        <v>26</v>
      </c>
      <c r="N23" t="s">
        <v>73</v>
      </c>
      <c r="O23" t="s">
        <v>74</v>
      </c>
      <c r="P23">
        <v>11.141</v>
      </c>
      <c r="Q23" t="s">
        <v>29</v>
      </c>
      <c r="R23" t="s">
        <v>50</v>
      </c>
    </row>
    <row r="24" spans="1:18" x14ac:dyDescent="0.25">
      <c r="A24">
        <v>2017</v>
      </c>
      <c r="B24">
        <v>29458</v>
      </c>
      <c r="C24" t="s">
        <v>180</v>
      </c>
      <c r="D24" t="s">
        <v>181</v>
      </c>
      <c r="E24">
        <v>336390</v>
      </c>
      <c r="F24" t="s">
        <v>182</v>
      </c>
      <c r="G24" t="s">
        <v>61</v>
      </c>
      <c r="H24" t="s">
        <v>21</v>
      </c>
      <c r="I24" t="s">
        <v>136</v>
      </c>
      <c r="J24" t="s">
        <v>137</v>
      </c>
      <c r="K24" t="s">
        <v>138</v>
      </c>
      <c r="L24" t="s">
        <v>25</v>
      </c>
      <c r="M24" t="s">
        <v>26</v>
      </c>
      <c r="N24" t="s">
        <v>38</v>
      </c>
      <c r="O24" t="s">
        <v>39</v>
      </c>
      <c r="P24">
        <v>4.4699999999999997E-2</v>
      </c>
      <c r="Q24" t="s">
        <v>29</v>
      </c>
      <c r="R24" t="s">
        <v>50</v>
      </c>
    </row>
    <row r="25" spans="1:18" x14ac:dyDescent="0.25">
      <c r="A25">
        <v>2016</v>
      </c>
      <c r="B25">
        <v>5135</v>
      </c>
      <c r="C25" t="s">
        <v>183</v>
      </c>
      <c r="D25" t="s">
        <v>183</v>
      </c>
      <c r="E25">
        <v>562210</v>
      </c>
      <c r="F25" t="s">
        <v>84</v>
      </c>
      <c r="G25" t="s">
        <v>53</v>
      </c>
      <c r="H25" t="s">
        <v>69</v>
      </c>
      <c r="I25" t="s">
        <v>184</v>
      </c>
      <c r="J25" t="s">
        <v>185</v>
      </c>
      <c r="K25" t="s">
        <v>186</v>
      </c>
      <c r="L25" t="s">
        <v>25</v>
      </c>
      <c r="M25" t="s">
        <v>26</v>
      </c>
      <c r="N25" t="s">
        <v>38</v>
      </c>
      <c r="O25" t="s">
        <v>39</v>
      </c>
      <c r="P25">
        <v>37666.384899999997</v>
      </c>
      <c r="Q25" t="s">
        <v>40</v>
      </c>
      <c r="R25" t="s">
        <v>30</v>
      </c>
    </row>
    <row r="26" spans="1:18" x14ac:dyDescent="0.25">
      <c r="A26">
        <v>2008</v>
      </c>
      <c r="B26">
        <v>3198</v>
      </c>
      <c r="C26" t="s">
        <v>187</v>
      </c>
      <c r="D26" t="s">
        <v>188</v>
      </c>
      <c r="E26">
        <v>322220</v>
      </c>
      <c r="F26" t="s">
        <v>189</v>
      </c>
      <c r="G26" t="s">
        <v>190</v>
      </c>
      <c r="H26" t="s">
        <v>21</v>
      </c>
      <c r="I26" t="s">
        <v>191</v>
      </c>
      <c r="J26" t="s">
        <v>192</v>
      </c>
      <c r="K26" t="s">
        <v>193</v>
      </c>
      <c r="L26" t="s">
        <v>89</v>
      </c>
      <c r="M26" t="s">
        <v>90</v>
      </c>
      <c r="N26" t="s">
        <v>91</v>
      </c>
      <c r="O26" t="s">
        <v>92</v>
      </c>
      <c r="P26">
        <v>4.806</v>
      </c>
      <c r="Q26" t="s">
        <v>29</v>
      </c>
      <c r="R26" t="s">
        <v>30</v>
      </c>
    </row>
    <row r="27" spans="1:18" x14ac:dyDescent="0.25">
      <c r="A27">
        <v>2015</v>
      </c>
      <c r="B27">
        <v>3707</v>
      </c>
      <c r="C27" t="s">
        <v>194</v>
      </c>
      <c r="D27" t="s">
        <v>195</v>
      </c>
      <c r="E27">
        <v>324110</v>
      </c>
      <c r="F27" t="s">
        <v>196</v>
      </c>
      <c r="G27" t="s">
        <v>96</v>
      </c>
      <c r="H27" t="s">
        <v>85</v>
      </c>
      <c r="I27" t="s">
        <v>197</v>
      </c>
      <c r="J27" t="s">
        <v>198</v>
      </c>
      <c r="K27" t="s">
        <v>199</v>
      </c>
      <c r="L27" t="s">
        <v>25</v>
      </c>
      <c r="M27" t="s">
        <v>26</v>
      </c>
      <c r="N27" t="s">
        <v>200</v>
      </c>
      <c r="O27" t="s">
        <v>201</v>
      </c>
      <c r="P27">
        <v>3.0000000000000001E-3</v>
      </c>
      <c r="Q27" t="s">
        <v>40</v>
      </c>
      <c r="R27" t="s">
        <v>30</v>
      </c>
    </row>
    <row r="28" spans="1:18" x14ac:dyDescent="0.25">
      <c r="A28">
        <v>1998</v>
      </c>
      <c r="B28">
        <v>1033</v>
      </c>
      <c r="C28" t="s">
        <v>202</v>
      </c>
      <c r="D28" t="s">
        <v>203</v>
      </c>
      <c r="E28">
        <v>221112</v>
      </c>
      <c r="F28" t="s">
        <v>134</v>
      </c>
      <c r="G28" t="s">
        <v>135</v>
      </c>
      <c r="H28" t="s">
        <v>85</v>
      </c>
      <c r="I28" t="s">
        <v>62</v>
      </c>
      <c r="J28" t="s">
        <v>63</v>
      </c>
      <c r="K28" t="s">
        <v>64</v>
      </c>
      <c r="L28" t="s">
        <v>25</v>
      </c>
      <c r="M28" t="s">
        <v>26</v>
      </c>
      <c r="N28" t="s">
        <v>155</v>
      </c>
      <c r="O28" t="s">
        <v>156</v>
      </c>
      <c r="P28">
        <v>2.8660000000000001</v>
      </c>
      <c r="Q28" t="s">
        <v>29</v>
      </c>
      <c r="R28" t="s">
        <v>204</v>
      </c>
    </row>
    <row r="29" spans="1:18" x14ac:dyDescent="0.25">
      <c r="A29">
        <v>2023</v>
      </c>
      <c r="B29">
        <v>5647</v>
      </c>
      <c r="C29" t="s">
        <v>205</v>
      </c>
      <c r="D29" t="s">
        <v>206</v>
      </c>
      <c r="E29">
        <v>562210</v>
      </c>
      <c r="F29" t="s">
        <v>84</v>
      </c>
      <c r="G29" t="s">
        <v>53</v>
      </c>
      <c r="H29" t="s">
        <v>21</v>
      </c>
      <c r="I29" t="s">
        <v>152</v>
      </c>
      <c r="J29" t="s">
        <v>153</v>
      </c>
      <c r="K29" t="s">
        <v>154</v>
      </c>
      <c r="L29" t="s">
        <v>89</v>
      </c>
      <c r="M29" t="s">
        <v>90</v>
      </c>
      <c r="N29" t="s">
        <v>120</v>
      </c>
      <c r="O29" t="s">
        <v>121</v>
      </c>
      <c r="P29">
        <v>0.34</v>
      </c>
      <c r="Q29" t="s">
        <v>29</v>
      </c>
      <c r="R29" t="s">
        <v>50</v>
      </c>
    </row>
    <row r="30" spans="1:18" x14ac:dyDescent="0.25">
      <c r="A30">
        <v>1998</v>
      </c>
      <c r="B30">
        <v>3048</v>
      </c>
      <c r="C30" t="s">
        <v>207</v>
      </c>
      <c r="D30" t="s">
        <v>208</v>
      </c>
      <c r="E30">
        <v>221112</v>
      </c>
      <c r="F30" t="s">
        <v>134</v>
      </c>
      <c r="G30" t="s">
        <v>135</v>
      </c>
      <c r="H30" t="s">
        <v>21</v>
      </c>
      <c r="I30" t="s">
        <v>209</v>
      </c>
      <c r="J30" t="s">
        <v>210</v>
      </c>
      <c r="K30" t="s">
        <v>211</v>
      </c>
      <c r="L30" t="s">
        <v>25</v>
      </c>
      <c r="M30" t="s">
        <v>26</v>
      </c>
      <c r="N30" t="s">
        <v>155</v>
      </c>
      <c r="O30" t="s">
        <v>156</v>
      </c>
      <c r="P30">
        <v>5.76</v>
      </c>
      <c r="Q30" t="s">
        <v>29</v>
      </c>
      <c r="R30" t="s">
        <v>204</v>
      </c>
    </row>
    <row r="31" spans="1:18" x14ac:dyDescent="0.25">
      <c r="A31">
        <v>2017</v>
      </c>
      <c r="B31">
        <v>1340</v>
      </c>
      <c r="C31" t="s">
        <v>212</v>
      </c>
      <c r="D31" t="s">
        <v>213</v>
      </c>
      <c r="E31">
        <v>221320</v>
      </c>
      <c r="F31" t="s">
        <v>146</v>
      </c>
      <c r="G31" t="s">
        <v>147</v>
      </c>
      <c r="H31" t="s">
        <v>69</v>
      </c>
      <c r="I31" t="s">
        <v>97</v>
      </c>
      <c r="J31" t="s">
        <v>98</v>
      </c>
      <c r="K31" t="s">
        <v>99</v>
      </c>
      <c r="L31" t="s">
        <v>89</v>
      </c>
      <c r="M31" t="s">
        <v>90</v>
      </c>
      <c r="N31" t="s">
        <v>166</v>
      </c>
      <c r="O31" t="s">
        <v>167</v>
      </c>
      <c r="P31">
        <v>1.0945</v>
      </c>
      <c r="Q31" t="s">
        <v>29</v>
      </c>
      <c r="R31" t="s">
        <v>124</v>
      </c>
    </row>
    <row r="32" spans="1:18" x14ac:dyDescent="0.25">
      <c r="A32">
        <v>2013</v>
      </c>
      <c r="B32">
        <v>31</v>
      </c>
      <c r="C32" t="s">
        <v>214</v>
      </c>
      <c r="D32" t="s">
        <v>215</v>
      </c>
      <c r="E32">
        <v>325510</v>
      </c>
      <c r="F32" t="s">
        <v>111</v>
      </c>
      <c r="G32" t="s">
        <v>112</v>
      </c>
      <c r="H32" t="s">
        <v>21</v>
      </c>
      <c r="I32" t="s">
        <v>80</v>
      </c>
      <c r="J32" t="s">
        <v>81</v>
      </c>
      <c r="K32" t="s">
        <v>82</v>
      </c>
      <c r="L32" t="s">
        <v>89</v>
      </c>
      <c r="M32" t="s">
        <v>90</v>
      </c>
      <c r="N32" t="s">
        <v>166</v>
      </c>
      <c r="O32" t="s">
        <v>167</v>
      </c>
      <c r="P32">
        <v>0.57999999999999996</v>
      </c>
      <c r="Q32" t="s">
        <v>29</v>
      </c>
      <c r="R32" t="s">
        <v>30</v>
      </c>
    </row>
    <row r="33" spans="1:18" x14ac:dyDescent="0.25">
      <c r="A33">
        <v>2006</v>
      </c>
      <c r="B33">
        <v>5965</v>
      </c>
      <c r="C33" t="s">
        <v>216</v>
      </c>
      <c r="D33" t="s">
        <v>217</v>
      </c>
      <c r="E33">
        <v>325410</v>
      </c>
      <c r="F33" t="s">
        <v>218</v>
      </c>
      <c r="G33" t="s">
        <v>219</v>
      </c>
      <c r="H33" t="s">
        <v>21</v>
      </c>
      <c r="I33" t="s">
        <v>220</v>
      </c>
      <c r="J33" t="s">
        <v>221</v>
      </c>
      <c r="K33" t="s">
        <v>222</v>
      </c>
      <c r="L33" t="s">
        <v>89</v>
      </c>
      <c r="M33" t="s">
        <v>90</v>
      </c>
      <c r="N33" t="s">
        <v>166</v>
      </c>
      <c r="O33" t="s">
        <v>167</v>
      </c>
      <c r="P33">
        <v>10.8</v>
      </c>
      <c r="Q33" t="s">
        <v>29</v>
      </c>
      <c r="R33" t="s">
        <v>50</v>
      </c>
    </row>
    <row r="34" spans="1:18" x14ac:dyDescent="0.25">
      <c r="A34">
        <v>2020</v>
      </c>
      <c r="B34">
        <v>30961</v>
      </c>
      <c r="C34" t="s">
        <v>223</v>
      </c>
      <c r="D34" t="s">
        <v>224</v>
      </c>
      <c r="E34">
        <v>335312</v>
      </c>
      <c r="F34" t="s">
        <v>225</v>
      </c>
      <c r="G34" t="s">
        <v>226</v>
      </c>
      <c r="H34" t="s">
        <v>79</v>
      </c>
      <c r="I34" t="s">
        <v>177</v>
      </c>
      <c r="J34" t="s">
        <v>178</v>
      </c>
      <c r="K34" t="s">
        <v>179</v>
      </c>
      <c r="L34" t="s">
        <v>25</v>
      </c>
      <c r="M34" t="s">
        <v>26</v>
      </c>
      <c r="N34" t="s">
        <v>38</v>
      </c>
      <c r="O34" t="s">
        <v>39</v>
      </c>
      <c r="P34">
        <v>10.6</v>
      </c>
      <c r="Q34" t="s">
        <v>29</v>
      </c>
      <c r="R34" t="s">
        <v>50</v>
      </c>
    </row>
    <row r="35" spans="1:18" x14ac:dyDescent="0.25">
      <c r="A35">
        <v>2021</v>
      </c>
      <c r="B35">
        <v>3928</v>
      </c>
      <c r="C35" t="s">
        <v>227</v>
      </c>
      <c r="D35" t="s">
        <v>228</v>
      </c>
      <c r="E35">
        <v>324110</v>
      </c>
      <c r="F35" t="s">
        <v>196</v>
      </c>
      <c r="G35" t="s">
        <v>96</v>
      </c>
      <c r="H35" t="s">
        <v>79</v>
      </c>
      <c r="I35" t="s">
        <v>184</v>
      </c>
      <c r="J35" t="s">
        <v>185</v>
      </c>
      <c r="K35" t="s">
        <v>186</v>
      </c>
      <c r="L35" t="s">
        <v>25</v>
      </c>
      <c r="M35" t="s">
        <v>26</v>
      </c>
      <c r="N35" t="s">
        <v>200</v>
      </c>
      <c r="O35" t="s">
        <v>201</v>
      </c>
      <c r="P35">
        <v>145.15600000000001</v>
      </c>
      <c r="Q35" t="s">
        <v>40</v>
      </c>
      <c r="R35" t="s">
        <v>124</v>
      </c>
    </row>
    <row r="36" spans="1:18" x14ac:dyDescent="0.25">
      <c r="A36">
        <v>2003</v>
      </c>
      <c r="B36">
        <v>4598</v>
      </c>
      <c r="C36" t="s">
        <v>229</v>
      </c>
      <c r="D36" t="s">
        <v>230</v>
      </c>
      <c r="E36">
        <v>336390</v>
      </c>
      <c r="F36" t="s">
        <v>60</v>
      </c>
      <c r="G36" t="s">
        <v>61</v>
      </c>
      <c r="H36" t="s">
        <v>21</v>
      </c>
      <c r="I36" t="s">
        <v>62</v>
      </c>
      <c r="J36" t="s">
        <v>63</v>
      </c>
      <c r="K36" t="s">
        <v>64</v>
      </c>
      <c r="L36" t="s">
        <v>25</v>
      </c>
      <c r="M36" t="s">
        <v>26</v>
      </c>
      <c r="N36" t="s">
        <v>38</v>
      </c>
      <c r="O36" t="s">
        <v>39</v>
      </c>
      <c r="P36">
        <v>25.7</v>
      </c>
      <c r="Q36" t="s">
        <v>29</v>
      </c>
      <c r="R36" t="s">
        <v>124</v>
      </c>
    </row>
    <row r="37" spans="1:18" x14ac:dyDescent="0.25">
      <c r="A37">
        <v>2023</v>
      </c>
      <c r="B37">
        <v>29399</v>
      </c>
      <c r="C37" t="s">
        <v>231</v>
      </c>
      <c r="D37" t="s">
        <v>232</v>
      </c>
      <c r="E37">
        <v>211110</v>
      </c>
      <c r="F37" t="s">
        <v>233</v>
      </c>
      <c r="G37" t="s">
        <v>234</v>
      </c>
      <c r="H37" t="s">
        <v>69</v>
      </c>
      <c r="I37" t="s">
        <v>70</v>
      </c>
      <c r="J37" t="s">
        <v>71</v>
      </c>
      <c r="K37" t="s">
        <v>72</v>
      </c>
      <c r="L37" t="s">
        <v>89</v>
      </c>
      <c r="M37" t="s">
        <v>90</v>
      </c>
      <c r="N37" t="s">
        <v>91</v>
      </c>
      <c r="O37" t="s">
        <v>92</v>
      </c>
      <c r="P37">
        <v>0.24628900000000001</v>
      </c>
      <c r="Q37" t="s">
        <v>29</v>
      </c>
      <c r="R37" t="s">
        <v>30</v>
      </c>
    </row>
    <row r="38" spans="1:18" x14ac:dyDescent="0.25">
      <c r="A38">
        <v>2007</v>
      </c>
      <c r="B38">
        <v>5712</v>
      </c>
      <c r="C38" t="s">
        <v>235</v>
      </c>
      <c r="D38" t="s">
        <v>236</v>
      </c>
      <c r="E38">
        <v>332810</v>
      </c>
      <c r="F38" t="s">
        <v>237</v>
      </c>
      <c r="G38" t="s">
        <v>238</v>
      </c>
      <c r="H38" t="s">
        <v>21</v>
      </c>
      <c r="I38" t="s">
        <v>62</v>
      </c>
      <c r="J38" t="s">
        <v>63</v>
      </c>
      <c r="K38" t="s">
        <v>64</v>
      </c>
      <c r="L38" t="s">
        <v>89</v>
      </c>
      <c r="M38" t="s">
        <v>90</v>
      </c>
      <c r="N38" t="s">
        <v>100</v>
      </c>
      <c r="O38" t="s">
        <v>101</v>
      </c>
      <c r="P38">
        <v>2.7E-2</v>
      </c>
      <c r="Q38" t="s">
        <v>29</v>
      </c>
      <c r="R38" t="s">
        <v>50</v>
      </c>
    </row>
    <row r="39" spans="1:18" x14ac:dyDescent="0.25">
      <c r="A39">
        <v>2023</v>
      </c>
      <c r="B39">
        <v>1148</v>
      </c>
      <c r="C39" t="s">
        <v>239</v>
      </c>
      <c r="D39" t="s">
        <v>240</v>
      </c>
      <c r="E39">
        <v>212291</v>
      </c>
      <c r="F39" t="s">
        <v>241</v>
      </c>
      <c r="G39" t="s">
        <v>242</v>
      </c>
      <c r="H39" t="s">
        <v>243</v>
      </c>
      <c r="I39" t="s">
        <v>244</v>
      </c>
      <c r="J39" t="s">
        <v>245</v>
      </c>
      <c r="K39" t="s">
        <v>246</v>
      </c>
      <c r="L39" t="s">
        <v>25</v>
      </c>
      <c r="M39" t="s">
        <v>26</v>
      </c>
      <c r="N39" t="s">
        <v>73</v>
      </c>
      <c r="O39" t="s">
        <v>74</v>
      </c>
      <c r="P39">
        <v>556.24</v>
      </c>
      <c r="Q39" t="s">
        <v>40</v>
      </c>
      <c r="R39" t="s">
        <v>50</v>
      </c>
    </row>
    <row r="40" spans="1:18" x14ac:dyDescent="0.25">
      <c r="A40">
        <v>1999</v>
      </c>
      <c r="B40">
        <v>1788</v>
      </c>
      <c r="C40" t="s">
        <v>247</v>
      </c>
      <c r="D40" t="s">
        <v>248</v>
      </c>
      <c r="E40">
        <v>326198</v>
      </c>
      <c r="F40" t="s">
        <v>249</v>
      </c>
      <c r="G40" t="s">
        <v>250</v>
      </c>
      <c r="H40" t="s">
        <v>21</v>
      </c>
      <c r="I40" t="s">
        <v>80</v>
      </c>
      <c r="J40" t="s">
        <v>81</v>
      </c>
      <c r="K40" t="s">
        <v>82</v>
      </c>
      <c r="L40" t="s">
        <v>89</v>
      </c>
      <c r="M40" t="s">
        <v>90</v>
      </c>
      <c r="N40" t="s">
        <v>166</v>
      </c>
      <c r="O40" t="s">
        <v>167</v>
      </c>
      <c r="P40">
        <v>79.248000000000005</v>
      </c>
      <c r="Q40" t="s">
        <v>29</v>
      </c>
      <c r="R40" t="s">
        <v>30</v>
      </c>
    </row>
    <row r="41" spans="1:18" x14ac:dyDescent="0.25">
      <c r="A41">
        <v>2013</v>
      </c>
      <c r="B41">
        <v>188</v>
      </c>
      <c r="C41" t="s">
        <v>251</v>
      </c>
      <c r="D41" t="s">
        <v>252</v>
      </c>
      <c r="E41">
        <v>331490</v>
      </c>
      <c r="F41" t="s">
        <v>253</v>
      </c>
      <c r="G41" t="s">
        <v>254</v>
      </c>
      <c r="H41" t="s">
        <v>79</v>
      </c>
      <c r="I41" t="s">
        <v>255</v>
      </c>
      <c r="J41" t="s">
        <v>256</v>
      </c>
      <c r="K41" t="s">
        <v>257</v>
      </c>
      <c r="L41" t="s">
        <v>25</v>
      </c>
      <c r="M41" t="s">
        <v>26</v>
      </c>
      <c r="N41" t="s">
        <v>38</v>
      </c>
      <c r="O41" t="s">
        <v>39</v>
      </c>
      <c r="P41">
        <v>2</v>
      </c>
      <c r="Q41" t="s">
        <v>29</v>
      </c>
      <c r="R41" t="s">
        <v>258</v>
      </c>
    </row>
    <row r="42" spans="1:18" x14ac:dyDescent="0.25">
      <c r="A42">
        <v>2002</v>
      </c>
      <c r="B42">
        <v>862</v>
      </c>
      <c r="C42" t="s">
        <v>259</v>
      </c>
      <c r="E42">
        <v>336410</v>
      </c>
      <c r="F42" t="s">
        <v>260</v>
      </c>
      <c r="G42" t="s">
        <v>261</v>
      </c>
      <c r="H42" t="s">
        <v>21</v>
      </c>
      <c r="I42" t="s">
        <v>209</v>
      </c>
      <c r="J42" t="s">
        <v>210</v>
      </c>
      <c r="K42" t="s">
        <v>211</v>
      </c>
      <c r="L42" t="s">
        <v>89</v>
      </c>
      <c r="M42" t="s">
        <v>90</v>
      </c>
      <c r="N42" t="s">
        <v>100</v>
      </c>
      <c r="O42" t="s">
        <v>101</v>
      </c>
      <c r="P42">
        <v>4.7E-2</v>
      </c>
      <c r="Q42" t="s">
        <v>29</v>
      </c>
      <c r="R42" t="s">
        <v>30</v>
      </c>
    </row>
    <row r="43" spans="1:18" x14ac:dyDescent="0.25">
      <c r="A43">
        <v>2012</v>
      </c>
      <c r="B43">
        <v>4173</v>
      </c>
      <c r="C43" t="s">
        <v>262</v>
      </c>
      <c r="D43" t="s">
        <v>263</v>
      </c>
      <c r="E43">
        <v>336110</v>
      </c>
      <c r="F43" t="s">
        <v>43</v>
      </c>
      <c r="G43" t="s">
        <v>44</v>
      </c>
      <c r="H43" t="s">
        <v>21</v>
      </c>
      <c r="I43" t="s">
        <v>264</v>
      </c>
      <c r="J43" t="s">
        <v>265</v>
      </c>
      <c r="K43" t="s">
        <v>266</v>
      </c>
      <c r="L43" t="s">
        <v>89</v>
      </c>
      <c r="M43" t="s">
        <v>90</v>
      </c>
      <c r="N43" t="s">
        <v>100</v>
      </c>
      <c r="O43" t="s">
        <v>101</v>
      </c>
      <c r="P43">
        <v>0</v>
      </c>
      <c r="Q43" t="s">
        <v>29</v>
      </c>
      <c r="R43" t="s">
        <v>30</v>
      </c>
    </row>
    <row r="44" spans="1:18" x14ac:dyDescent="0.25">
      <c r="A44">
        <v>2005</v>
      </c>
      <c r="B44">
        <v>5881</v>
      </c>
      <c r="C44" t="s">
        <v>267</v>
      </c>
      <c r="D44" t="s">
        <v>268</v>
      </c>
      <c r="E44">
        <v>337213</v>
      </c>
      <c r="F44" t="s">
        <v>269</v>
      </c>
      <c r="G44" t="s">
        <v>270</v>
      </c>
      <c r="H44" t="s">
        <v>21</v>
      </c>
      <c r="I44" t="s">
        <v>271</v>
      </c>
      <c r="J44" t="s">
        <v>272</v>
      </c>
      <c r="K44" t="s">
        <v>273</v>
      </c>
      <c r="L44" t="s">
        <v>89</v>
      </c>
      <c r="M44" t="s">
        <v>90</v>
      </c>
      <c r="N44" t="s">
        <v>166</v>
      </c>
      <c r="O44" t="s">
        <v>167</v>
      </c>
      <c r="P44">
        <v>1.0449999999999999</v>
      </c>
      <c r="Q44" t="s">
        <v>29</v>
      </c>
      <c r="R44" t="s">
        <v>50</v>
      </c>
    </row>
    <row r="45" spans="1:18" x14ac:dyDescent="0.25">
      <c r="A45">
        <v>2020</v>
      </c>
      <c r="B45">
        <v>3897</v>
      </c>
      <c r="C45" t="s">
        <v>274</v>
      </c>
      <c r="D45" t="s">
        <v>275</v>
      </c>
      <c r="E45">
        <v>324110</v>
      </c>
      <c r="F45" t="s">
        <v>196</v>
      </c>
      <c r="G45" t="s">
        <v>96</v>
      </c>
      <c r="H45" t="s">
        <v>79</v>
      </c>
      <c r="I45" t="s">
        <v>55</v>
      </c>
      <c r="J45" t="s">
        <v>56</v>
      </c>
      <c r="K45" t="s">
        <v>57</v>
      </c>
      <c r="L45" t="s">
        <v>89</v>
      </c>
      <c r="M45" t="s">
        <v>90</v>
      </c>
      <c r="N45" t="s">
        <v>120</v>
      </c>
      <c r="O45" t="s">
        <v>121</v>
      </c>
      <c r="P45">
        <v>8.5000000000000006E-5</v>
      </c>
      <c r="Q45" t="s">
        <v>29</v>
      </c>
      <c r="R45" t="s">
        <v>30</v>
      </c>
    </row>
    <row r="46" spans="1:18" x14ac:dyDescent="0.25">
      <c r="A46">
        <v>2016</v>
      </c>
      <c r="B46">
        <v>11576</v>
      </c>
      <c r="C46" t="s">
        <v>276</v>
      </c>
      <c r="D46" t="s">
        <v>277</v>
      </c>
      <c r="E46">
        <v>336110</v>
      </c>
      <c r="F46" t="s">
        <v>43</v>
      </c>
      <c r="G46" t="s">
        <v>44</v>
      </c>
      <c r="H46" t="s">
        <v>21</v>
      </c>
      <c r="I46" t="s">
        <v>97</v>
      </c>
      <c r="J46" t="s">
        <v>98</v>
      </c>
      <c r="K46" t="s">
        <v>99</v>
      </c>
      <c r="L46" t="s">
        <v>89</v>
      </c>
      <c r="M46" t="s">
        <v>90</v>
      </c>
      <c r="N46" t="s">
        <v>166</v>
      </c>
      <c r="O46" t="s">
        <v>167</v>
      </c>
      <c r="P46">
        <v>1E-3</v>
      </c>
      <c r="Q46" t="s">
        <v>29</v>
      </c>
      <c r="R46" t="s">
        <v>30</v>
      </c>
    </row>
    <row r="47" spans="1:18" x14ac:dyDescent="0.25">
      <c r="A47">
        <v>2021</v>
      </c>
      <c r="B47">
        <v>4383</v>
      </c>
      <c r="C47" t="s">
        <v>278</v>
      </c>
      <c r="D47" t="s">
        <v>279</v>
      </c>
      <c r="E47">
        <v>336410</v>
      </c>
      <c r="F47" t="s">
        <v>280</v>
      </c>
      <c r="G47" t="s">
        <v>261</v>
      </c>
      <c r="H47" t="s">
        <v>79</v>
      </c>
      <c r="I47" t="s">
        <v>281</v>
      </c>
      <c r="J47" t="s">
        <v>282</v>
      </c>
      <c r="K47" t="s">
        <v>283</v>
      </c>
      <c r="L47" t="s">
        <v>89</v>
      </c>
      <c r="M47" t="s">
        <v>90</v>
      </c>
      <c r="N47" t="s">
        <v>91</v>
      </c>
      <c r="O47" t="s">
        <v>92</v>
      </c>
      <c r="P47">
        <v>5.0640000000000001</v>
      </c>
      <c r="Q47" t="s">
        <v>29</v>
      </c>
      <c r="R47" t="s">
        <v>50</v>
      </c>
    </row>
    <row r="48" spans="1:18" x14ac:dyDescent="0.25">
      <c r="A48">
        <v>2013</v>
      </c>
      <c r="B48">
        <v>4642</v>
      </c>
      <c r="C48" t="s">
        <v>284</v>
      </c>
      <c r="D48" t="s">
        <v>285</v>
      </c>
      <c r="E48">
        <v>331222</v>
      </c>
      <c r="F48" t="s">
        <v>286</v>
      </c>
      <c r="G48" t="s">
        <v>287</v>
      </c>
      <c r="H48" t="s">
        <v>21</v>
      </c>
      <c r="I48" t="s">
        <v>209</v>
      </c>
      <c r="J48" t="s">
        <v>210</v>
      </c>
      <c r="K48" t="s">
        <v>211</v>
      </c>
      <c r="L48" t="s">
        <v>25</v>
      </c>
      <c r="M48" t="s">
        <v>26</v>
      </c>
      <c r="N48" t="s">
        <v>288</v>
      </c>
      <c r="O48" t="s">
        <v>289</v>
      </c>
      <c r="P48">
        <v>17.62</v>
      </c>
      <c r="Q48" t="s">
        <v>29</v>
      </c>
      <c r="R48" t="s">
        <v>30</v>
      </c>
    </row>
    <row r="49" spans="1:18" x14ac:dyDescent="0.25">
      <c r="A49">
        <v>2019</v>
      </c>
      <c r="B49">
        <v>1344</v>
      </c>
      <c r="C49" t="s">
        <v>290</v>
      </c>
      <c r="D49" t="s">
        <v>291</v>
      </c>
      <c r="E49">
        <v>331514</v>
      </c>
      <c r="F49" t="s">
        <v>292</v>
      </c>
      <c r="G49" t="s">
        <v>293</v>
      </c>
      <c r="H49" t="s">
        <v>54</v>
      </c>
      <c r="I49" t="s">
        <v>35</v>
      </c>
      <c r="J49" t="s">
        <v>36</v>
      </c>
      <c r="K49" t="s">
        <v>37</v>
      </c>
      <c r="L49" t="s">
        <v>25</v>
      </c>
      <c r="M49" t="s">
        <v>26</v>
      </c>
      <c r="N49" t="s">
        <v>38</v>
      </c>
      <c r="O49" t="s">
        <v>39</v>
      </c>
      <c r="P49">
        <v>37329</v>
      </c>
      <c r="Q49" t="s">
        <v>40</v>
      </c>
      <c r="R49" t="s">
        <v>30</v>
      </c>
    </row>
    <row r="50" spans="1:18" x14ac:dyDescent="0.25">
      <c r="A50">
        <v>2021</v>
      </c>
      <c r="B50">
        <v>5310</v>
      </c>
      <c r="C50" t="s">
        <v>294</v>
      </c>
      <c r="D50" t="s">
        <v>295</v>
      </c>
      <c r="E50">
        <v>321999</v>
      </c>
      <c r="F50" t="s">
        <v>296</v>
      </c>
      <c r="G50" t="s">
        <v>297</v>
      </c>
      <c r="H50" t="s">
        <v>54</v>
      </c>
      <c r="I50" t="s">
        <v>264</v>
      </c>
      <c r="J50" t="s">
        <v>265</v>
      </c>
      <c r="K50" t="s">
        <v>266</v>
      </c>
      <c r="L50" t="s">
        <v>25</v>
      </c>
      <c r="M50" t="s">
        <v>26</v>
      </c>
      <c r="N50" t="s">
        <v>27</v>
      </c>
      <c r="O50" t="s">
        <v>28</v>
      </c>
      <c r="P50">
        <v>15.65</v>
      </c>
      <c r="Q50" t="s">
        <v>29</v>
      </c>
      <c r="R50" t="s">
        <v>30</v>
      </c>
    </row>
    <row r="51" spans="1:18" x14ac:dyDescent="0.25">
      <c r="A51">
        <v>2020</v>
      </c>
      <c r="B51">
        <v>1565</v>
      </c>
      <c r="C51" t="s">
        <v>298</v>
      </c>
      <c r="D51" t="s">
        <v>299</v>
      </c>
      <c r="E51">
        <v>325610</v>
      </c>
      <c r="F51" t="s">
        <v>300</v>
      </c>
      <c r="G51" t="s">
        <v>301</v>
      </c>
      <c r="H51" t="s">
        <v>79</v>
      </c>
      <c r="I51" t="s">
        <v>80</v>
      </c>
      <c r="J51" t="s">
        <v>81</v>
      </c>
      <c r="K51" t="s">
        <v>82</v>
      </c>
      <c r="L51" t="s">
        <v>89</v>
      </c>
      <c r="M51" t="s">
        <v>90</v>
      </c>
      <c r="N51" t="s">
        <v>100</v>
      </c>
      <c r="O51" t="s">
        <v>101</v>
      </c>
      <c r="P51">
        <v>0.44</v>
      </c>
      <c r="Q51" t="s">
        <v>29</v>
      </c>
      <c r="R51" t="s">
        <v>30</v>
      </c>
    </row>
    <row r="52" spans="1:18" x14ac:dyDescent="0.25">
      <c r="A52">
        <v>2018</v>
      </c>
      <c r="B52">
        <v>8526</v>
      </c>
      <c r="C52" t="s">
        <v>302</v>
      </c>
      <c r="D52" t="s">
        <v>302</v>
      </c>
      <c r="E52">
        <v>332999</v>
      </c>
      <c r="F52" t="s">
        <v>303</v>
      </c>
      <c r="G52" t="s">
        <v>304</v>
      </c>
      <c r="H52" t="s">
        <v>79</v>
      </c>
      <c r="I52" t="s">
        <v>209</v>
      </c>
      <c r="J52" t="s">
        <v>210</v>
      </c>
      <c r="K52" t="s">
        <v>211</v>
      </c>
      <c r="L52" t="s">
        <v>89</v>
      </c>
      <c r="M52" t="s">
        <v>90</v>
      </c>
      <c r="N52" t="s">
        <v>120</v>
      </c>
      <c r="O52" t="s">
        <v>121</v>
      </c>
      <c r="P52">
        <v>20.440000000000001</v>
      </c>
      <c r="Q52" t="s">
        <v>29</v>
      </c>
      <c r="R52" t="s">
        <v>30</v>
      </c>
    </row>
    <row r="53" spans="1:18" x14ac:dyDescent="0.25">
      <c r="A53">
        <v>2000</v>
      </c>
      <c r="B53">
        <v>1953</v>
      </c>
      <c r="C53" t="s">
        <v>305</v>
      </c>
      <c r="D53" t="s">
        <v>306</v>
      </c>
      <c r="E53">
        <v>325510</v>
      </c>
      <c r="F53" t="s">
        <v>143</v>
      </c>
      <c r="G53" t="s">
        <v>112</v>
      </c>
      <c r="H53" t="s">
        <v>21</v>
      </c>
      <c r="I53" t="s">
        <v>264</v>
      </c>
      <c r="J53" t="s">
        <v>265</v>
      </c>
      <c r="K53" t="s">
        <v>266</v>
      </c>
      <c r="L53" t="s">
        <v>25</v>
      </c>
      <c r="M53" t="s">
        <v>26</v>
      </c>
      <c r="N53" t="s">
        <v>48</v>
      </c>
      <c r="O53" t="s">
        <v>49</v>
      </c>
      <c r="P53">
        <v>1E-3</v>
      </c>
      <c r="Q53" t="s">
        <v>29</v>
      </c>
      <c r="R53" t="s">
        <v>30</v>
      </c>
    </row>
    <row r="54" spans="1:18" x14ac:dyDescent="0.25">
      <c r="A54">
        <v>1999</v>
      </c>
      <c r="B54">
        <v>3361</v>
      </c>
      <c r="C54" t="s">
        <v>307</v>
      </c>
      <c r="D54" t="s">
        <v>308</v>
      </c>
      <c r="E54">
        <v>332999</v>
      </c>
      <c r="F54" t="s">
        <v>309</v>
      </c>
      <c r="G54" t="s">
        <v>304</v>
      </c>
      <c r="H54" t="s">
        <v>21</v>
      </c>
      <c r="I54" t="s">
        <v>310</v>
      </c>
      <c r="J54" t="s">
        <v>311</v>
      </c>
      <c r="K54" t="s">
        <v>312</v>
      </c>
      <c r="L54" t="s">
        <v>25</v>
      </c>
      <c r="M54" t="s">
        <v>26</v>
      </c>
      <c r="N54" t="s">
        <v>38</v>
      </c>
      <c r="O54" t="s">
        <v>39</v>
      </c>
      <c r="P54">
        <v>0.35</v>
      </c>
      <c r="Q54" t="s">
        <v>29</v>
      </c>
      <c r="R54" t="s">
        <v>30</v>
      </c>
    </row>
    <row r="55" spans="1:18" x14ac:dyDescent="0.25">
      <c r="A55">
        <v>1997</v>
      </c>
      <c r="B55">
        <v>1096</v>
      </c>
      <c r="C55" t="s">
        <v>313</v>
      </c>
      <c r="D55" t="s">
        <v>314</v>
      </c>
      <c r="E55">
        <v>418410</v>
      </c>
      <c r="F55" t="s">
        <v>315</v>
      </c>
      <c r="G55" t="s">
        <v>316</v>
      </c>
      <c r="H55" t="s">
        <v>21</v>
      </c>
      <c r="I55" t="s">
        <v>317</v>
      </c>
      <c r="J55" t="s">
        <v>318</v>
      </c>
      <c r="K55" t="s">
        <v>319</v>
      </c>
      <c r="L55" t="s">
        <v>25</v>
      </c>
      <c r="M55" t="s">
        <v>26</v>
      </c>
      <c r="N55" t="s">
        <v>48</v>
      </c>
      <c r="O55" t="s">
        <v>49</v>
      </c>
      <c r="P55">
        <v>0.61199999999999999</v>
      </c>
      <c r="Q55" t="s">
        <v>29</v>
      </c>
      <c r="R55" t="s">
        <v>30</v>
      </c>
    </row>
    <row r="56" spans="1:18" x14ac:dyDescent="0.25">
      <c r="A56">
        <v>2021</v>
      </c>
      <c r="B56">
        <v>6444</v>
      </c>
      <c r="C56" t="s">
        <v>320</v>
      </c>
      <c r="D56" t="s">
        <v>321</v>
      </c>
      <c r="E56">
        <v>221119</v>
      </c>
      <c r="F56" t="s">
        <v>322</v>
      </c>
      <c r="G56" t="s">
        <v>323</v>
      </c>
      <c r="H56" t="s">
        <v>79</v>
      </c>
      <c r="I56" t="s">
        <v>324</v>
      </c>
      <c r="J56" t="s">
        <v>325</v>
      </c>
      <c r="K56" t="s">
        <v>326</v>
      </c>
      <c r="L56" t="s">
        <v>25</v>
      </c>
      <c r="M56" t="s">
        <v>26</v>
      </c>
      <c r="N56" t="s">
        <v>38</v>
      </c>
      <c r="O56" t="s">
        <v>39</v>
      </c>
      <c r="P56">
        <v>32.9</v>
      </c>
      <c r="Q56" t="s">
        <v>40</v>
      </c>
      <c r="R56" t="s">
        <v>124</v>
      </c>
    </row>
    <row r="57" spans="1:18" x14ac:dyDescent="0.25">
      <c r="A57">
        <v>2018</v>
      </c>
      <c r="B57">
        <v>6792</v>
      </c>
      <c r="C57" t="s">
        <v>327</v>
      </c>
      <c r="D57" t="s">
        <v>328</v>
      </c>
      <c r="E57">
        <v>562920</v>
      </c>
      <c r="F57" t="s">
        <v>329</v>
      </c>
      <c r="G57" t="s">
        <v>330</v>
      </c>
      <c r="H57" t="s">
        <v>69</v>
      </c>
      <c r="I57" t="s">
        <v>331</v>
      </c>
      <c r="J57" t="s">
        <v>332</v>
      </c>
      <c r="K57" t="s">
        <v>333</v>
      </c>
      <c r="L57" t="s">
        <v>25</v>
      </c>
      <c r="M57" t="s">
        <v>26</v>
      </c>
      <c r="N57" t="s">
        <v>27</v>
      </c>
      <c r="O57" t="s">
        <v>28</v>
      </c>
      <c r="P57">
        <v>63.963999999999999</v>
      </c>
      <c r="Q57" t="s">
        <v>29</v>
      </c>
      <c r="R57" t="s">
        <v>50</v>
      </c>
    </row>
    <row r="58" spans="1:18" x14ac:dyDescent="0.25">
      <c r="A58">
        <v>1997</v>
      </c>
      <c r="B58">
        <v>3713</v>
      </c>
      <c r="C58" t="s">
        <v>334</v>
      </c>
      <c r="E58">
        <v>331110</v>
      </c>
      <c r="F58" t="s">
        <v>335</v>
      </c>
      <c r="G58" t="s">
        <v>336</v>
      </c>
      <c r="H58" t="s">
        <v>21</v>
      </c>
      <c r="I58" t="s">
        <v>337</v>
      </c>
      <c r="J58" t="s">
        <v>338</v>
      </c>
      <c r="K58" t="s">
        <v>339</v>
      </c>
      <c r="L58" t="s">
        <v>89</v>
      </c>
      <c r="M58" t="s">
        <v>90</v>
      </c>
      <c r="N58" t="s">
        <v>100</v>
      </c>
      <c r="O58" t="s">
        <v>101</v>
      </c>
      <c r="P58">
        <v>0.01</v>
      </c>
      <c r="Q58" t="s">
        <v>29</v>
      </c>
      <c r="R58" t="s">
        <v>30</v>
      </c>
    </row>
    <row r="59" spans="1:18" x14ac:dyDescent="0.25">
      <c r="A59">
        <v>2013</v>
      </c>
      <c r="B59">
        <v>6400</v>
      </c>
      <c r="C59" t="s">
        <v>340</v>
      </c>
      <c r="D59" t="s">
        <v>341</v>
      </c>
      <c r="E59">
        <v>311515</v>
      </c>
      <c r="F59" t="s">
        <v>342</v>
      </c>
      <c r="G59" t="s">
        <v>343</v>
      </c>
      <c r="H59" t="s">
        <v>79</v>
      </c>
      <c r="I59" t="s">
        <v>281</v>
      </c>
      <c r="J59" t="s">
        <v>282</v>
      </c>
      <c r="K59" t="s">
        <v>283</v>
      </c>
      <c r="L59" t="s">
        <v>89</v>
      </c>
      <c r="M59" t="s">
        <v>90</v>
      </c>
      <c r="N59" t="s">
        <v>100</v>
      </c>
      <c r="O59" t="s">
        <v>101</v>
      </c>
      <c r="P59">
        <v>0</v>
      </c>
      <c r="Q59" t="s">
        <v>29</v>
      </c>
      <c r="R59" t="s">
        <v>30</v>
      </c>
    </row>
    <row r="60" spans="1:18" x14ac:dyDescent="0.25">
      <c r="A60">
        <v>2002</v>
      </c>
      <c r="B60">
        <v>10219</v>
      </c>
      <c r="C60" t="s">
        <v>344</v>
      </c>
      <c r="D60" t="s">
        <v>345</v>
      </c>
      <c r="E60">
        <v>412110</v>
      </c>
      <c r="F60" t="s">
        <v>346</v>
      </c>
      <c r="G60" t="s">
        <v>347</v>
      </c>
      <c r="H60" t="s">
        <v>21</v>
      </c>
      <c r="I60" t="s">
        <v>348</v>
      </c>
      <c r="J60" t="s">
        <v>349</v>
      </c>
      <c r="K60" t="s">
        <v>350</v>
      </c>
      <c r="L60" t="s">
        <v>89</v>
      </c>
      <c r="M60" t="s">
        <v>90</v>
      </c>
      <c r="N60" t="s">
        <v>166</v>
      </c>
      <c r="O60" t="s">
        <v>167</v>
      </c>
      <c r="P60">
        <v>3.1E-2</v>
      </c>
      <c r="Q60" t="s">
        <v>29</v>
      </c>
      <c r="R60" t="s">
        <v>204</v>
      </c>
    </row>
    <row r="61" spans="1:18" x14ac:dyDescent="0.25">
      <c r="A61">
        <v>1995</v>
      </c>
      <c r="B61">
        <v>4833</v>
      </c>
      <c r="C61" t="s">
        <v>351</v>
      </c>
      <c r="D61" t="s">
        <v>352</v>
      </c>
      <c r="E61">
        <v>323120</v>
      </c>
      <c r="F61" t="s">
        <v>353</v>
      </c>
      <c r="G61" t="s">
        <v>354</v>
      </c>
      <c r="H61" t="s">
        <v>21</v>
      </c>
      <c r="I61" t="s">
        <v>55</v>
      </c>
      <c r="J61" t="s">
        <v>56</v>
      </c>
      <c r="K61" t="s">
        <v>57</v>
      </c>
      <c r="L61" t="s">
        <v>25</v>
      </c>
      <c r="M61" t="s">
        <v>26</v>
      </c>
      <c r="N61" t="s">
        <v>48</v>
      </c>
      <c r="O61" t="s">
        <v>49</v>
      </c>
      <c r="P61">
        <v>4.7389999999999999</v>
      </c>
      <c r="Q61" t="s">
        <v>29</v>
      </c>
      <c r="R61" t="s">
        <v>30</v>
      </c>
    </row>
    <row r="62" spans="1:18" x14ac:dyDescent="0.25">
      <c r="A62">
        <v>2021</v>
      </c>
      <c r="B62">
        <v>6546</v>
      </c>
      <c r="C62" t="s">
        <v>355</v>
      </c>
      <c r="D62" t="s">
        <v>356</v>
      </c>
      <c r="E62">
        <v>211142</v>
      </c>
      <c r="F62" t="s">
        <v>357</v>
      </c>
      <c r="G62" t="s">
        <v>358</v>
      </c>
      <c r="H62" t="s">
        <v>85</v>
      </c>
      <c r="I62" t="s">
        <v>324</v>
      </c>
      <c r="J62" t="s">
        <v>325</v>
      </c>
      <c r="K62" t="s">
        <v>326</v>
      </c>
      <c r="L62" t="s">
        <v>25</v>
      </c>
      <c r="M62" t="s">
        <v>26</v>
      </c>
      <c r="N62" t="s">
        <v>200</v>
      </c>
      <c r="O62" t="s">
        <v>201</v>
      </c>
      <c r="P62">
        <v>60.524999999999999</v>
      </c>
      <c r="Q62" t="s">
        <v>40</v>
      </c>
      <c r="R62" t="s">
        <v>50</v>
      </c>
    </row>
    <row r="63" spans="1:18" x14ac:dyDescent="0.25">
      <c r="A63">
        <v>2017</v>
      </c>
      <c r="B63">
        <v>7631</v>
      </c>
      <c r="C63" t="s">
        <v>359</v>
      </c>
      <c r="D63" t="s">
        <v>360</v>
      </c>
      <c r="E63">
        <v>332810</v>
      </c>
      <c r="F63" t="s">
        <v>361</v>
      </c>
      <c r="G63" t="s">
        <v>362</v>
      </c>
      <c r="H63" t="s">
        <v>54</v>
      </c>
      <c r="I63" t="s">
        <v>177</v>
      </c>
      <c r="J63" t="s">
        <v>178</v>
      </c>
      <c r="K63" t="s">
        <v>179</v>
      </c>
      <c r="L63" t="s">
        <v>25</v>
      </c>
      <c r="M63" t="s">
        <v>26</v>
      </c>
      <c r="N63" t="s">
        <v>38</v>
      </c>
      <c r="O63" t="s">
        <v>39</v>
      </c>
      <c r="P63">
        <v>1.71</v>
      </c>
      <c r="Q63" t="s">
        <v>29</v>
      </c>
      <c r="R63" t="s">
        <v>30</v>
      </c>
    </row>
    <row r="64" spans="1:18" x14ac:dyDescent="0.25">
      <c r="A64">
        <v>2007</v>
      </c>
      <c r="B64">
        <v>2912</v>
      </c>
      <c r="C64" t="s">
        <v>363</v>
      </c>
      <c r="D64" t="s">
        <v>364</v>
      </c>
      <c r="E64">
        <v>321114</v>
      </c>
      <c r="F64" t="s">
        <v>365</v>
      </c>
      <c r="G64" t="s">
        <v>366</v>
      </c>
      <c r="H64" t="s">
        <v>69</v>
      </c>
      <c r="I64" t="s">
        <v>367</v>
      </c>
      <c r="J64" t="s">
        <v>368</v>
      </c>
      <c r="K64" t="s">
        <v>369</v>
      </c>
      <c r="L64" t="s">
        <v>89</v>
      </c>
      <c r="M64" t="s">
        <v>90</v>
      </c>
      <c r="N64" t="s">
        <v>166</v>
      </c>
      <c r="O64" t="s">
        <v>167</v>
      </c>
      <c r="P64">
        <v>0.51300000000000001</v>
      </c>
      <c r="Q64" t="s">
        <v>40</v>
      </c>
      <c r="R64" t="s">
        <v>124</v>
      </c>
    </row>
    <row r="65" spans="1:18" x14ac:dyDescent="0.25">
      <c r="A65">
        <v>2011</v>
      </c>
      <c r="B65">
        <v>5455</v>
      </c>
      <c r="C65" t="s">
        <v>370</v>
      </c>
      <c r="D65" t="s">
        <v>371</v>
      </c>
      <c r="E65">
        <v>562990</v>
      </c>
      <c r="F65" t="s">
        <v>104</v>
      </c>
      <c r="G65" t="s">
        <v>105</v>
      </c>
      <c r="H65" t="s">
        <v>79</v>
      </c>
      <c r="I65" t="s">
        <v>372</v>
      </c>
      <c r="J65" t="s">
        <v>373</v>
      </c>
      <c r="K65" t="s">
        <v>374</v>
      </c>
      <c r="L65" t="s">
        <v>89</v>
      </c>
      <c r="M65" t="s">
        <v>90</v>
      </c>
      <c r="N65" t="s">
        <v>166</v>
      </c>
      <c r="O65" t="s">
        <v>167</v>
      </c>
      <c r="P65">
        <v>9.1829999999999998</v>
      </c>
      <c r="Q65" t="s">
        <v>29</v>
      </c>
      <c r="R65" t="s">
        <v>50</v>
      </c>
    </row>
    <row r="66" spans="1:18" x14ac:dyDescent="0.25">
      <c r="A66">
        <v>2004</v>
      </c>
      <c r="B66">
        <v>3883</v>
      </c>
      <c r="C66" t="s">
        <v>375</v>
      </c>
      <c r="D66" t="s">
        <v>376</v>
      </c>
      <c r="E66">
        <v>336110</v>
      </c>
      <c r="F66" t="s">
        <v>377</v>
      </c>
      <c r="G66" t="s">
        <v>44</v>
      </c>
      <c r="H66" t="s">
        <v>21</v>
      </c>
      <c r="I66" t="s">
        <v>264</v>
      </c>
      <c r="J66" t="s">
        <v>265</v>
      </c>
      <c r="K66" t="s">
        <v>266</v>
      </c>
      <c r="L66" t="s">
        <v>25</v>
      </c>
      <c r="M66" t="s">
        <v>26</v>
      </c>
      <c r="N66" t="s">
        <v>27</v>
      </c>
      <c r="O66" t="s">
        <v>28</v>
      </c>
      <c r="P66">
        <v>4.9470000000000001</v>
      </c>
      <c r="Q66" t="s">
        <v>29</v>
      </c>
      <c r="R66" t="s">
        <v>30</v>
      </c>
    </row>
    <row r="67" spans="1:18" x14ac:dyDescent="0.25">
      <c r="A67">
        <v>2016</v>
      </c>
      <c r="B67">
        <v>10225</v>
      </c>
      <c r="C67" t="s">
        <v>125</v>
      </c>
      <c r="D67" t="s">
        <v>378</v>
      </c>
      <c r="E67">
        <v>412110</v>
      </c>
      <c r="F67" t="s">
        <v>127</v>
      </c>
      <c r="G67" t="s">
        <v>128</v>
      </c>
      <c r="H67" t="s">
        <v>379</v>
      </c>
      <c r="I67" t="s">
        <v>70</v>
      </c>
      <c r="J67" t="s">
        <v>71</v>
      </c>
      <c r="K67" t="s">
        <v>72</v>
      </c>
      <c r="L67" t="s">
        <v>25</v>
      </c>
      <c r="M67" t="s">
        <v>26</v>
      </c>
      <c r="N67" t="s">
        <v>380</v>
      </c>
      <c r="O67" t="s">
        <v>381</v>
      </c>
      <c r="P67">
        <v>1.5659000000000001</v>
      </c>
      <c r="Q67" t="s">
        <v>29</v>
      </c>
      <c r="R67" t="s">
        <v>30</v>
      </c>
    </row>
    <row r="68" spans="1:18" x14ac:dyDescent="0.25">
      <c r="A68">
        <v>2020</v>
      </c>
      <c r="B68">
        <v>4871</v>
      </c>
      <c r="C68" t="s">
        <v>370</v>
      </c>
      <c r="D68" t="s">
        <v>382</v>
      </c>
      <c r="E68">
        <v>562210</v>
      </c>
      <c r="F68" t="s">
        <v>84</v>
      </c>
      <c r="G68" t="s">
        <v>53</v>
      </c>
      <c r="H68" t="s">
        <v>85</v>
      </c>
      <c r="I68" t="s">
        <v>62</v>
      </c>
      <c r="J68" t="s">
        <v>63</v>
      </c>
      <c r="K68" t="s">
        <v>64</v>
      </c>
      <c r="L68" t="s">
        <v>89</v>
      </c>
      <c r="M68" t="s">
        <v>90</v>
      </c>
      <c r="N68" t="s">
        <v>166</v>
      </c>
      <c r="O68" t="s">
        <v>167</v>
      </c>
      <c r="P68">
        <v>3.6145999999999998E-2</v>
      </c>
      <c r="Q68" t="s">
        <v>29</v>
      </c>
      <c r="R68" t="s">
        <v>50</v>
      </c>
    </row>
    <row r="69" spans="1:18" x14ac:dyDescent="0.25">
      <c r="A69">
        <v>2011</v>
      </c>
      <c r="B69">
        <v>4526</v>
      </c>
      <c r="C69" t="s">
        <v>383</v>
      </c>
      <c r="D69" t="s">
        <v>384</v>
      </c>
      <c r="E69">
        <v>336410</v>
      </c>
      <c r="F69" t="s">
        <v>260</v>
      </c>
      <c r="G69" t="s">
        <v>261</v>
      </c>
      <c r="H69" t="s">
        <v>21</v>
      </c>
      <c r="I69" t="s">
        <v>35</v>
      </c>
      <c r="J69" t="s">
        <v>36</v>
      </c>
      <c r="K69" t="s">
        <v>37</v>
      </c>
      <c r="L69" t="s">
        <v>89</v>
      </c>
      <c r="M69" t="s">
        <v>90</v>
      </c>
      <c r="N69" t="s">
        <v>120</v>
      </c>
      <c r="O69" t="s">
        <v>121</v>
      </c>
      <c r="P69">
        <v>2078.5500000000002</v>
      </c>
      <c r="Q69" t="s">
        <v>40</v>
      </c>
      <c r="R69" t="s">
        <v>50</v>
      </c>
    </row>
    <row r="70" spans="1:18" x14ac:dyDescent="0.25">
      <c r="A70">
        <v>1994</v>
      </c>
      <c r="B70">
        <v>4173</v>
      </c>
      <c r="C70" t="s">
        <v>385</v>
      </c>
      <c r="D70" t="s">
        <v>386</v>
      </c>
      <c r="E70">
        <v>336110</v>
      </c>
      <c r="F70" t="s">
        <v>377</v>
      </c>
      <c r="G70" t="s">
        <v>44</v>
      </c>
      <c r="H70" t="s">
        <v>21</v>
      </c>
      <c r="I70" t="s">
        <v>271</v>
      </c>
      <c r="J70" t="s">
        <v>387</v>
      </c>
      <c r="K70" t="s">
        <v>388</v>
      </c>
      <c r="L70" t="s">
        <v>89</v>
      </c>
      <c r="M70" t="s">
        <v>90</v>
      </c>
      <c r="N70" t="s">
        <v>166</v>
      </c>
      <c r="O70" t="s">
        <v>167</v>
      </c>
      <c r="P70">
        <v>4.88</v>
      </c>
      <c r="Q70" t="s">
        <v>29</v>
      </c>
      <c r="R70" t="s">
        <v>30</v>
      </c>
    </row>
    <row r="71" spans="1:18" x14ac:dyDescent="0.25">
      <c r="A71">
        <v>2009</v>
      </c>
      <c r="B71">
        <v>1338</v>
      </c>
      <c r="C71" t="s">
        <v>212</v>
      </c>
      <c r="D71" t="s">
        <v>389</v>
      </c>
      <c r="E71">
        <v>221320</v>
      </c>
      <c r="F71" t="s">
        <v>390</v>
      </c>
      <c r="G71" t="s">
        <v>147</v>
      </c>
      <c r="H71" t="s">
        <v>69</v>
      </c>
      <c r="I71" t="s">
        <v>391</v>
      </c>
      <c r="J71" t="s">
        <v>392</v>
      </c>
      <c r="K71" t="s">
        <v>393</v>
      </c>
      <c r="L71" t="s">
        <v>89</v>
      </c>
      <c r="M71" t="s">
        <v>90</v>
      </c>
      <c r="N71" t="s">
        <v>166</v>
      </c>
      <c r="O71" t="s">
        <v>167</v>
      </c>
      <c r="P71">
        <v>3.1E-2</v>
      </c>
      <c r="Q71" t="s">
        <v>40</v>
      </c>
      <c r="R71" t="s">
        <v>124</v>
      </c>
    </row>
    <row r="72" spans="1:18" x14ac:dyDescent="0.25">
      <c r="A72">
        <v>2007</v>
      </c>
      <c r="B72">
        <v>2189</v>
      </c>
      <c r="C72" t="s">
        <v>394</v>
      </c>
      <c r="D72" t="s">
        <v>395</v>
      </c>
      <c r="E72">
        <v>325999</v>
      </c>
      <c r="F72" t="s">
        <v>396</v>
      </c>
      <c r="G72" t="s">
        <v>397</v>
      </c>
      <c r="H72" t="s">
        <v>21</v>
      </c>
      <c r="I72" t="s">
        <v>22</v>
      </c>
      <c r="J72" t="s">
        <v>23</v>
      </c>
      <c r="K72" t="s">
        <v>24</v>
      </c>
      <c r="L72" t="s">
        <v>89</v>
      </c>
      <c r="M72" t="s">
        <v>90</v>
      </c>
      <c r="N72" t="s">
        <v>120</v>
      </c>
      <c r="O72" t="s">
        <v>121</v>
      </c>
      <c r="P72">
        <v>4.6920000000000002</v>
      </c>
      <c r="Q72" t="s">
        <v>29</v>
      </c>
      <c r="R72" t="s">
        <v>30</v>
      </c>
    </row>
    <row r="73" spans="1:18" x14ac:dyDescent="0.25">
      <c r="A73">
        <v>2013</v>
      </c>
      <c r="B73">
        <v>11138</v>
      </c>
      <c r="C73" t="s">
        <v>398</v>
      </c>
      <c r="D73" t="s">
        <v>399</v>
      </c>
      <c r="E73">
        <v>562920</v>
      </c>
      <c r="F73" t="s">
        <v>329</v>
      </c>
      <c r="G73" t="s">
        <v>330</v>
      </c>
      <c r="H73" t="s">
        <v>21</v>
      </c>
      <c r="I73" t="s">
        <v>177</v>
      </c>
      <c r="J73" t="s">
        <v>178</v>
      </c>
      <c r="K73" t="s">
        <v>179</v>
      </c>
      <c r="L73" t="s">
        <v>25</v>
      </c>
      <c r="M73" t="s">
        <v>26</v>
      </c>
      <c r="N73" t="s">
        <v>38</v>
      </c>
      <c r="O73" t="s">
        <v>39</v>
      </c>
      <c r="P73">
        <v>32.729999999999997</v>
      </c>
      <c r="Q73" t="s">
        <v>29</v>
      </c>
      <c r="R73" t="s">
        <v>50</v>
      </c>
    </row>
    <row r="74" spans="1:18" x14ac:dyDescent="0.25">
      <c r="A74">
        <v>2019</v>
      </c>
      <c r="B74">
        <v>7413</v>
      </c>
      <c r="C74" t="s">
        <v>400</v>
      </c>
      <c r="D74" t="s">
        <v>401</v>
      </c>
      <c r="E74">
        <v>221320</v>
      </c>
      <c r="F74" t="s">
        <v>146</v>
      </c>
      <c r="G74" t="s">
        <v>147</v>
      </c>
      <c r="H74" t="s">
        <v>21</v>
      </c>
      <c r="I74" t="s">
        <v>402</v>
      </c>
      <c r="J74" t="s">
        <v>403</v>
      </c>
      <c r="K74" t="s">
        <v>404</v>
      </c>
      <c r="L74" t="s">
        <v>25</v>
      </c>
      <c r="M74" t="s">
        <v>26</v>
      </c>
      <c r="N74" t="s">
        <v>380</v>
      </c>
      <c r="O74" t="s">
        <v>381</v>
      </c>
      <c r="P74">
        <v>1E-3</v>
      </c>
      <c r="Q74" t="s">
        <v>29</v>
      </c>
      <c r="R74" t="s">
        <v>124</v>
      </c>
    </row>
    <row r="75" spans="1:18" x14ac:dyDescent="0.25">
      <c r="A75">
        <v>2000</v>
      </c>
      <c r="B75">
        <v>2195</v>
      </c>
      <c r="C75" t="s">
        <v>405</v>
      </c>
      <c r="D75" t="s">
        <v>406</v>
      </c>
      <c r="E75">
        <v>325999</v>
      </c>
      <c r="F75" t="s">
        <v>396</v>
      </c>
      <c r="G75" t="s">
        <v>397</v>
      </c>
      <c r="H75" t="s">
        <v>79</v>
      </c>
      <c r="I75" t="s">
        <v>407</v>
      </c>
      <c r="J75" t="s">
        <v>408</v>
      </c>
      <c r="K75" t="s">
        <v>409</v>
      </c>
      <c r="L75" t="s">
        <v>89</v>
      </c>
      <c r="M75" t="s">
        <v>90</v>
      </c>
      <c r="N75" t="s">
        <v>91</v>
      </c>
      <c r="O75" t="s">
        <v>92</v>
      </c>
      <c r="P75">
        <v>6.2E-2</v>
      </c>
      <c r="Q75" t="s">
        <v>29</v>
      </c>
      <c r="R75" t="s">
        <v>30</v>
      </c>
    </row>
    <row r="76" spans="1:18" x14ac:dyDescent="0.25">
      <c r="A76">
        <v>2002</v>
      </c>
      <c r="B76">
        <v>1260</v>
      </c>
      <c r="C76" t="s">
        <v>410</v>
      </c>
      <c r="E76">
        <v>325999</v>
      </c>
      <c r="F76" t="s">
        <v>396</v>
      </c>
      <c r="G76" t="s">
        <v>397</v>
      </c>
      <c r="H76" t="s">
        <v>21</v>
      </c>
      <c r="I76" t="s">
        <v>411</v>
      </c>
      <c r="J76" t="s">
        <v>412</v>
      </c>
      <c r="K76" t="s">
        <v>412</v>
      </c>
      <c r="L76" t="s">
        <v>89</v>
      </c>
      <c r="M76" t="s">
        <v>90</v>
      </c>
      <c r="N76" t="s">
        <v>166</v>
      </c>
      <c r="O76" t="s">
        <v>167</v>
      </c>
      <c r="P76">
        <v>11.114000000000001</v>
      </c>
      <c r="Q76" t="s">
        <v>29</v>
      </c>
      <c r="R76" t="s">
        <v>30</v>
      </c>
    </row>
    <row r="77" spans="1:18" x14ac:dyDescent="0.25">
      <c r="A77">
        <v>2016</v>
      </c>
      <c r="B77">
        <v>1788</v>
      </c>
      <c r="C77" t="s">
        <v>413</v>
      </c>
      <c r="D77" t="s">
        <v>248</v>
      </c>
      <c r="E77">
        <v>325210</v>
      </c>
      <c r="F77" t="s">
        <v>414</v>
      </c>
      <c r="G77" t="s">
        <v>415</v>
      </c>
      <c r="H77" t="s">
        <v>21</v>
      </c>
      <c r="I77" t="s">
        <v>80</v>
      </c>
      <c r="J77" t="s">
        <v>81</v>
      </c>
      <c r="K77" t="s">
        <v>82</v>
      </c>
      <c r="L77" t="s">
        <v>89</v>
      </c>
      <c r="M77" t="s">
        <v>90</v>
      </c>
      <c r="N77" t="s">
        <v>166</v>
      </c>
      <c r="O77" t="s">
        <v>167</v>
      </c>
      <c r="P77">
        <v>769.26</v>
      </c>
      <c r="Q77" t="s">
        <v>29</v>
      </c>
      <c r="R77" t="s">
        <v>30</v>
      </c>
    </row>
    <row r="78" spans="1:18" x14ac:dyDescent="0.25">
      <c r="A78">
        <v>1995</v>
      </c>
      <c r="B78">
        <v>4424</v>
      </c>
      <c r="C78" t="s">
        <v>416</v>
      </c>
      <c r="D78" t="s">
        <v>417</v>
      </c>
      <c r="E78">
        <v>331221</v>
      </c>
      <c r="F78" t="s">
        <v>418</v>
      </c>
      <c r="G78" t="s">
        <v>419</v>
      </c>
      <c r="H78" t="s">
        <v>21</v>
      </c>
      <c r="I78" t="s">
        <v>62</v>
      </c>
      <c r="J78" t="s">
        <v>63</v>
      </c>
      <c r="K78" t="s">
        <v>64</v>
      </c>
      <c r="L78" t="s">
        <v>89</v>
      </c>
      <c r="M78" t="s">
        <v>90</v>
      </c>
      <c r="N78" t="s">
        <v>100</v>
      </c>
      <c r="O78" t="s">
        <v>101</v>
      </c>
      <c r="P78">
        <v>2.0000000000000001E-4</v>
      </c>
      <c r="Q78" t="s">
        <v>29</v>
      </c>
      <c r="R78" t="s">
        <v>30</v>
      </c>
    </row>
    <row r="79" spans="1:18" x14ac:dyDescent="0.25">
      <c r="A79">
        <v>2010</v>
      </c>
      <c r="B79">
        <v>3707</v>
      </c>
      <c r="C79" t="s">
        <v>125</v>
      </c>
      <c r="D79" t="s">
        <v>195</v>
      </c>
      <c r="E79">
        <v>324110</v>
      </c>
      <c r="F79" t="s">
        <v>95</v>
      </c>
      <c r="G79" t="s">
        <v>96</v>
      </c>
      <c r="H79" t="s">
        <v>85</v>
      </c>
      <c r="I79" t="s">
        <v>420</v>
      </c>
      <c r="J79" t="s">
        <v>421</v>
      </c>
      <c r="K79" t="s">
        <v>422</v>
      </c>
      <c r="L79" t="s">
        <v>25</v>
      </c>
      <c r="M79" t="s">
        <v>26</v>
      </c>
      <c r="N79" t="s">
        <v>73</v>
      </c>
      <c r="O79" t="s">
        <v>74</v>
      </c>
      <c r="P79">
        <v>8</v>
      </c>
      <c r="Q79" t="s">
        <v>40</v>
      </c>
      <c r="R79" t="s">
        <v>30</v>
      </c>
    </row>
    <row r="80" spans="1:18" x14ac:dyDescent="0.25">
      <c r="A80">
        <v>2007</v>
      </c>
      <c r="B80">
        <v>1372</v>
      </c>
      <c r="C80" t="s">
        <v>423</v>
      </c>
      <c r="D80" t="s">
        <v>424</v>
      </c>
      <c r="E80">
        <v>211113</v>
      </c>
      <c r="F80" t="s">
        <v>425</v>
      </c>
      <c r="G80" t="s">
        <v>426</v>
      </c>
      <c r="H80" t="s">
        <v>85</v>
      </c>
      <c r="I80" t="s">
        <v>427</v>
      </c>
      <c r="J80" t="s">
        <v>428</v>
      </c>
      <c r="K80" t="s">
        <v>429</v>
      </c>
      <c r="L80" t="s">
        <v>25</v>
      </c>
      <c r="M80" t="s">
        <v>26</v>
      </c>
      <c r="N80" t="s">
        <v>380</v>
      </c>
      <c r="O80" t="s">
        <v>381</v>
      </c>
      <c r="P80">
        <v>0.626</v>
      </c>
      <c r="Q80" t="s">
        <v>29</v>
      </c>
      <c r="R80" t="s">
        <v>430</v>
      </c>
    </row>
    <row r="81" spans="1:18" x14ac:dyDescent="0.25">
      <c r="A81">
        <v>2016</v>
      </c>
      <c r="B81">
        <v>1154</v>
      </c>
      <c r="C81" t="s">
        <v>431</v>
      </c>
      <c r="D81" t="s">
        <v>432</v>
      </c>
      <c r="E81">
        <v>418410</v>
      </c>
      <c r="F81" t="s">
        <v>433</v>
      </c>
      <c r="G81" t="s">
        <v>434</v>
      </c>
      <c r="H81" t="s">
        <v>21</v>
      </c>
      <c r="I81" t="s">
        <v>435</v>
      </c>
      <c r="J81" t="s">
        <v>436</v>
      </c>
      <c r="K81" t="s">
        <v>437</v>
      </c>
      <c r="L81" t="s">
        <v>89</v>
      </c>
      <c r="M81" t="s">
        <v>90</v>
      </c>
      <c r="N81" t="s">
        <v>166</v>
      </c>
      <c r="O81" t="s">
        <v>167</v>
      </c>
      <c r="P81">
        <v>7.2999999999999995E-2</v>
      </c>
      <c r="Q81" t="s">
        <v>29</v>
      </c>
      <c r="R81" t="s">
        <v>30</v>
      </c>
    </row>
    <row r="82" spans="1:18" x14ac:dyDescent="0.25">
      <c r="A82">
        <v>2000</v>
      </c>
      <c r="B82">
        <v>2815</v>
      </c>
      <c r="C82" t="s">
        <v>438</v>
      </c>
      <c r="D82" t="s">
        <v>439</v>
      </c>
      <c r="E82">
        <v>212233</v>
      </c>
      <c r="F82" t="s">
        <v>440</v>
      </c>
      <c r="G82" t="s">
        <v>441</v>
      </c>
      <c r="H82" t="s">
        <v>21</v>
      </c>
      <c r="I82" t="s">
        <v>152</v>
      </c>
      <c r="J82" t="s">
        <v>153</v>
      </c>
      <c r="K82" t="s">
        <v>154</v>
      </c>
      <c r="L82" t="s">
        <v>25</v>
      </c>
      <c r="M82" t="s">
        <v>26</v>
      </c>
      <c r="N82" t="s">
        <v>38</v>
      </c>
      <c r="O82" t="s">
        <v>39</v>
      </c>
      <c r="P82">
        <v>8.9</v>
      </c>
      <c r="Q82" t="s">
        <v>29</v>
      </c>
      <c r="R82" t="s">
        <v>442</v>
      </c>
    </row>
    <row r="83" spans="1:18" x14ac:dyDescent="0.25">
      <c r="A83">
        <v>2018</v>
      </c>
      <c r="B83">
        <v>1464</v>
      </c>
      <c r="C83" t="s">
        <v>194</v>
      </c>
      <c r="D83" t="s">
        <v>443</v>
      </c>
      <c r="E83">
        <v>325110</v>
      </c>
      <c r="F83" t="s">
        <v>444</v>
      </c>
      <c r="G83" t="s">
        <v>445</v>
      </c>
      <c r="H83" t="s">
        <v>21</v>
      </c>
      <c r="I83" t="s">
        <v>446</v>
      </c>
      <c r="J83" t="s">
        <v>447</v>
      </c>
      <c r="K83" t="s">
        <v>448</v>
      </c>
      <c r="L83" t="s">
        <v>25</v>
      </c>
      <c r="M83" t="s">
        <v>26</v>
      </c>
      <c r="N83" t="s">
        <v>73</v>
      </c>
      <c r="O83" t="s">
        <v>74</v>
      </c>
      <c r="P83">
        <v>320.89999999999998</v>
      </c>
      <c r="Q83" t="s">
        <v>40</v>
      </c>
      <c r="R83" t="s">
        <v>124</v>
      </c>
    </row>
    <row r="84" spans="1:18" x14ac:dyDescent="0.25">
      <c r="A84">
        <v>2011</v>
      </c>
      <c r="B84">
        <v>1083</v>
      </c>
      <c r="C84" t="s">
        <v>449</v>
      </c>
      <c r="D84" t="s">
        <v>450</v>
      </c>
      <c r="E84">
        <v>326290</v>
      </c>
      <c r="F84" t="s">
        <v>451</v>
      </c>
      <c r="G84" t="s">
        <v>452</v>
      </c>
      <c r="H84" t="s">
        <v>79</v>
      </c>
      <c r="I84" t="s">
        <v>407</v>
      </c>
      <c r="J84" t="s">
        <v>408</v>
      </c>
      <c r="K84" t="s">
        <v>409</v>
      </c>
      <c r="L84" t="s">
        <v>25</v>
      </c>
      <c r="M84" t="s">
        <v>26</v>
      </c>
      <c r="N84" t="s">
        <v>155</v>
      </c>
      <c r="O84" t="s">
        <v>156</v>
      </c>
      <c r="P84">
        <v>12.81</v>
      </c>
      <c r="Q84" t="s">
        <v>29</v>
      </c>
      <c r="R84" t="s">
        <v>50</v>
      </c>
    </row>
    <row r="85" spans="1:18" x14ac:dyDescent="0.25">
      <c r="A85">
        <v>2000</v>
      </c>
      <c r="B85">
        <v>3832</v>
      </c>
      <c r="C85" t="s">
        <v>453</v>
      </c>
      <c r="D85" t="s">
        <v>454</v>
      </c>
      <c r="E85">
        <v>481110</v>
      </c>
      <c r="F85" t="s">
        <v>455</v>
      </c>
      <c r="G85" t="s">
        <v>456</v>
      </c>
      <c r="H85" t="s">
        <v>85</v>
      </c>
      <c r="I85" t="s">
        <v>331</v>
      </c>
      <c r="J85" t="s">
        <v>332</v>
      </c>
      <c r="K85" t="s">
        <v>333</v>
      </c>
      <c r="L85" t="s">
        <v>89</v>
      </c>
      <c r="M85" t="s">
        <v>90</v>
      </c>
      <c r="N85" t="s">
        <v>100</v>
      </c>
      <c r="O85" t="s">
        <v>101</v>
      </c>
      <c r="P85">
        <v>55.335000000000001</v>
      </c>
      <c r="Q85" t="s">
        <v>29</v>
      </c>
      <c r="R85" t="s">
        <v>442</v>
      </c>
    </row>
    <row r="86" spans="1:18" x14ac:dyDescent="0.25">
      <c r="A86">
        <v>2011</v>
      </c>
      <c r="B86">
        <v>3120</v>
      </c>
      <c r="C86" t="s">
        <v>457</v>
      </c>
      <c r="D86" t="s">
        <v>458</v>
      </c>
      <c r="E86">
        <v>332118</v>
      </c>
      <c r="F86" t="s">
        <v>459</v>
      </c>
      <c r="G86" t="s">
        <v>460</v>
      </c>
      <c r="H86" t="s">
        <v>21</v>
      </c>
      <c r="I86" t="s">
        <v>461</v>
      </c>
      <c r="J86" t="s">
        <v>462</v>
      </c>
      <c r="K86" t="s">
        <v>463</v>
      </c>
      <c r="L86" t="s">
        <v>89</v>
      </c>
      <c r="M86" t="s">
        <v>90</v>
      </c>
      <c r="N86" t="s">
        <v>91</v>
      </c>
      <c r="O86" t="s">
        <v>92</v>
      </c>
      <c r="P86">
        <v>13.91</v>
      </c>
      <c r="Q86" t="s">
        <v>40</v>
      </c>
      <c r="R86" t="s">
        <v>124</v>
      </c>
    </row>
    <row r="87" spans="1:18" x14ac:dyDescent="0.25">
      <c r="A87">
        <v>2009</v>
      </c>
      <c r="B87">
        <v>2517</v>
      </c>
      <c r="C87" t="s">
        <v>464</v>
      </c>
      <c r="D87" t="s">
        <v>465</v>
      </c>
      <c r="E87">
        <v>321114</v>
      </c>
      <c r="F87" t="s">
        <v>365</v>
      </c>
      <c r="G87" t="s">
        <v>366</v>
      </c>
      <c r="H87" t="s">
        <v>85</v>
      </c>
      <c r="I87" t="s">
        <v>177</v>
      </c>
      <c r="J87" t="s">
        <v>178</v>
      </c>
      <c r="K87" t="s">
        <v>179</v>
      </c>
      <c r="L87" t="s">
        <v>89</v>
      </c>
      <c r="M87" t="s">
        <v>90</v>
      </c>
      <c r="N87" t="s">
        <v>100</v>
      </c>
      <c r="O87" t="s">
        <v>101</v>
      </c>
      <c r="P87">
        <v>0</v>
      </c>
      <c r="Q87" t="s">
        <v>29</v>
      </c>
      <c r="R87" t="s">
        <v>124</v>
      </c>
    </row>
    <row r="88" spans="1:18" x14ac:dyDescent="0.25">
      <c r="A88">
        <v>1998</v>
      </c>
      <c r="B88">
        <v>3458</v>
      </c>
      <c r="C88" t="s">
        <v>466</v>
      </c>
      <c r="D88" t="s">
        <v>467</v>
      </c>
      <c r="E88">
        <v>325510</v>
      </c>
      <c r="F88" t="s">
        <v>143</v>
      </c>
      <c r="G88" t="s">
        <v>112</v>
      </c>
      <c r="H88" t="s">
        <v>21</v>
      </c>
      <c r="I88" t="s">
        <v>427</v>
      </c>
      <c r="J88" t="s">
        <v>428</v>
      </c>
      <c r="K88" t="s">
        <v>429</v>
      </c>
      <c r="L88" t="s">
        <v>89</v>
      </c>
      <c r="M88" t="s">
        <v>90</v>
      </c>
      <c r="N88" t="s">
        <v>166</v>
      </c>
      <c r="O88" t="s">
        <v>167</v>
      </c>
      <c r="P88">
        <v>8.1359999999999992</v>
      </c>
      <c r="Q88" t="s">
        <v>29</v>
      </c>
      <c r="R88" t="s">
        <v>30</v>
      </c>
    </row>
    <row r="89" spans="1:18" x14ac:dyDescent="0.25">
      <c r="A89">
        <v>2017</v>
      </c>
      <c r="B89">
        <v>3704</v>
      </c>
      <c r="C89" t="s">
        <v>194</v>
      </c>
      <c r="D89" t="s">
        <v>468</v>
      </c>
      <c r="E89">
        <v>324110</v>
      </c>
      <c r="F89" t="s">
        <v>196</v>
      </c>
      <c r="G89" t="s">
        <v>96</v>
      </c>
      <c r="H89" t="s">
        <v>21</v>
      </c>
      <c r="I89" t="s">
        <v>469</v>
      </c>
      <c r="J89" t="s">
        <v>470</v>
      </c>
      <c r="K89" t="s">
        <v>471</v>
      </c>
      <c r="L89" t="s">
        <v>89</v>
      </c>
      <c r="M89" t="s">
        <v>90</v>
      </c>
      <c r="N89" t="s">
        <v>472</v>
      </c>
      <c r="O89" t="s">
        <v>473</v>
      </c>
      <c r="P89">
        <v>1.7500000000000002E-2</v>
      </c>
      <c r="Q89" t="s">
        <v>40</v>
      </c>
      <c r="R89" t="s">
        <v>124</v>
      </c>
    </row>
    <row r="90" spans="1:18" x14ac:dyDescent="0.25">
      <c r="A90">
        <v>1998</v>
      </c>
      <c r="B90">
        <v>2346</v>
      </c>
      <c r="C90" t="s">
        <v>474</v>
      </c>
      <c r="D90" t="s">
        <v>475</v>
      </c>
      <c r="E90">
        <v>419120</v>
      </c>
      <c r="F90" t="s">
        <v>476</v>
      </c>
      <c r="G90" t="s">
        <v>477</v>
      </c>
      <c r="H90" t="s">
        <v>21</v>
      </c>
      <c r="I90" t="s">
        <v>478</v>
      </c>
      <c r="J90" t="s">
        <v>479</v>
      </c>
      <c r="K90" t="s">
        <v>480</v>
      </c>
      <c r="L90" t="s">
        <v>89</v>
      </c>
      <c r="M90" t="s">
        <v>90</v>
      </c>
      <c r="N90" t="s">
        <v>166</v>
      </c>
      <c r="O90" t="s">
        <v>167</v>
      </c>
      <c r="P90">
        <v>0.502</v>
      </c>
      <c r="Q90" t="s">
        <v>29</v>
      </c>
      <c r="R90" t="s">
        <v>442</v>
      </c>
    </row>
    <row r="91" spans="1:18" x14ac:dyDescent="0.25">
      <c r="A91">
        <v>2005</v>
      </c>
      <c r="B91">
        <v>4840</v>
      </c>
      <c r="C91" t="s">
        <v>481</v>
      </c>
      <c r="D91" t="s">
        <v>482</v>
      </c>
      <c r="E91">
        <v>332999</v>
      </c>
      <c r="F91" t="s">
        <v>309</v>
      </c>
      <c r="G91" t="s">
        <v>304</v>
      </c>
      <c r="H91" t="s">
        <v>483</v>
      </c>
      <c r="I91" t="s">
        <v>461</v>
      </c>
      <c r="J91" t="s">
        <v>462</v>
      </c>
      <c r="K91" t="s">
        <v>463</v>
      </c>
      <c r="L91" t="s">
        <v>89</v>
      </c>
      <c r="M91" t="s">
        <v>90</v>
      </c>
      <c r="N91" t="s">
        <v>91</v>
      </c>
      <c r="O91" t="s">
        <v>92</v>
      </c>
      <c r="P91">
        <v>533</v>
      </c>
      <c r="Q91" t="s">
        <v>40</v>
      </c>
      <c r="R91" t="s">
        <v>50</v>
      </c>
    </row>
    <row r="92" spans="1:18" x14ac:dyDescent="0.25">
      <c r="A92">
        <v>2012</v>
      </c>
      <c r="B92">
        <v>1096</v>
      </c>
      <c r="C92" t="s">
        <v>484</v>
      </c>
      <c r="D92" t="s">
        <v>485</v>
      </c>
      <c r="E92">
        <v>418410</v>
      </c>
      <c r="F92" t="s">
        <v>433</v>
      </c>
      <c r="G92" t="s">
        <v>434</v>
      </c>
      <c r="H92" t="s">
        <v>21</v>
      </c>
      <c r="I92" t="s">
        <v>486</v>
      </c>
      <c r="J92" t="s">
        <v>487</v>
      </c>
      <c r="K92" t="s">
        <v>488</v>
      </c>
      <c r="L92" t="s">
        <v>89</v>
      </c>
      <c r="M92" t="s">
        <v>90</v>
      </c>
      <c r="N92" t="s">
        <v>166</v>
      </c>
      <c r="O92" t="s">
        <v>167</v>
      </c>
      <c r="P92">
        <v>0.2</v>
      </c>
      <c r="Q92" t="s">
        <v>29</v>
      </c>
      <c r="R92" t="s">
        <v>30</v>
      </c>
    </row>
    <row r="93" spans="1:18" x14ac:dyDescent="0.25">
      <c r="A93">
        <v>2023</v>
      </c>
      <c r="B93">
        <v>23752</v>
      </c>
      <c r="C93" t="s">
        <v>489</v>
      </c>
      <c r="D93" t="s">
        <v>490</v>
      </c>
      <c r="E93">
        <v>211110</v>
      </c>
      <c r="F93" t="s">
        <v>233</v>
      </c>
      <c r="G93" t="s">
        <v>234</v>
      </c>
      <c r="H93" t="s">
        <v>69</v>
      </c>
      <c r="I93" t="s">
        <v>491</v>
      </c>
      <c r="J93" t="s">
        <v>492</v>
      </c>
      <c r="K93" t="s">
        <v>492</v>
      </c>
      <c r="L93" t="s">
        <v>25</v>
      </c>
      <c r="M93" t="s">
        <v>26</v>
      </c>
      <c r="N93" t="s">
        <v>73</v>
      </c>
      <c r="O93" t="s">
        <v>74</v>
      </c>
      <c r="P93">
        <v>9.5343999999999998E-2</v>
      </c>
      <c r="Q93" t="s">
        <v>29</v>
      </c>
      <c r="R93" t="s">
        <v>30</v>
      </c>
    </row>
    <row r="94" spans="1:18" x14ac:dyDescent="0.25">
      <c r="A94">
        <v>2020</v>
      </c>
      <c r="B94">
        <v>5936</v>
      </c>
      <c r="C94" t="s">
        <v>493</v>
      </c>
      <c r="D94" t="s">
        <v>494</v>
      </c>
      <c r="E94">
        <v>339110</v>
      </c>
      <c r="F94" t="s">
        <v>495</v>
      </c>
      <c r="G94" t="s">
        <v>496</v>
      </c>
      <c r="H94" t="s">
        <v>21</v>
      </c>
      <c r="I94" t="s">
        <v>45</v>
      </c>
      <c r="J94" t="s">
        <v>46</v>
      </c>
      <c r="K94" t="s">
        <v>47</v>
      </c>
      <c r="L94" t="s">
        <v>89</v>
      </c>
      <c r="M94" t="s">
        <v>90</v>
      </c>
      <c r="N94" t="s">
        <v>120</v>
      </c>
      <c r="O94" t="s">
        <v>121</v>
      </c>
      <c r="P94">
        <v>0</v>
      </c>
      <c r="Q94" t="s">
        <v>29</v>
      </c>
      <c r="R94" t="s">
        <v>30</v>
      </c>
    </row>
    <row r="95" spans="1:18" x14ac:dyDescent="0.25">
      <c r="A95">
        <v>2021</v>
      </c>
      <c r="B95">
        <v>2083</v>
      </c>
      <c r="C95" t="s">
        <v>497</v>
      </c>
      <c r="D95" t="s">
        <v>498</v>
      </c>
      <c r="E95">
        <v>221112</v>
      </c>
      <c r="F95" t="s">
        <v>499</v>
      </c>
      <c r="G95" t="s">
        <v>135</v>
      </c>
      <c r="H95" t="s">
        <v>243</v>
      </c>
      <c r="I95" t="s">
        <v>500</v>
      </c>
      <c r="J95" t="s">
        <v>501</v>
      </c>
      <c r="K95" t="s">
        <v>502</v>
      </c>
      <c r="L95" t="s">
        <v>25</v>
      </c>
      <c r="M95" t="s">
        <v>26</v>
      </c>
      <c r="N95" t="s">
        <v>155</v>
      </c>
      <c r="O95" t="s">
        <v>156</v>
      </c>
      <c r="P95">
        <v>371.22199999999998</v>
      </c>
      <c r="Q95" t="s">
        <v>40</v>
      </c>
      <c r="R95" t="s">
        <v>124</v>
      </c>
    </row>
    <row r="96" spans="1:18" x14ac:dyDescent="0.25">
      <c r="A96">
        <v>2012</v>
      </c>
      <c r="B96">
        <v>5308</v>
      </c>
      <c r="C96" t="s">
        <v>144</v>
      </c>
      <c r="D96" t="s">
        <v>503</v>
      </c>
      <c r="E96">
        <v>221320</v>
      </c>
      <c r="F96" t="s">
        <v>146</v>
      </c>
      <c r="G96" t="s">
        <v>147</v>
      </c>
      <c r="H96" t="s">
        <v>85</v>
      </c>
      <c r="I96" t="s">
        <v>504</v>
      </c>
      <c r="J96" t="s">
        <v>505</v>
      </c>
      <c r="K96" t="s">
        <v>506</v>
      </c>
      <c r="L96" t="s">
        <v>89</v>
      </c>
      <c r="M96" t="s">
        <v>90</v>
      </c>
      <c r="N96" t="s">
        <v>120</v>
      </c>
      <c r="O96" t="s">
        <v>121</v>
      </c>
      <c r="P96">
        <v>862.11800000000005</v>
      </c>
      <c r="Q96" t="s">
        <v>29</v>
      </c>
      <c r="R96" t="s">
        <v>124</v>
      </c>
    </row>
    <row r="97" spans="1:18" x14ac:dyDescent="0.25">
      <c r="A97">
        <v>2012</v>
      </c>
      <c r="B97">
        <v>3962</v>
      </c>
      <c r="C97" t="s">
        <v>507</v>
      </c>
      <c r="D97" t="s">
        <v>508</v>
      </c>
      <c r="E97">
        <v>324110</v>
      </c>
      <c r="F97" t="s">
        <v>196</v>
      </c>
      <c r="G97" t="s">
        <v>96</v>
      </c>
      <c r="H97" t="s">
        <v>21</v>
      </c>
      <c r="I97" t="s">
        <v>106</v>
      </c>
      <c r="J97" t="s">
        <v>107</v>
      </c>
      <c r="K97" t="s">
        <v>108</v>
      </c>
      <c r="L97" t="s">
        <v>89</v>
      </c>
      <c r="M97" t="s">
        <v>90</v>
      </c>
      <c r="N97" t="s">
        <v>166</v>
      </c>
      <c r="O97" t="s">
        <v>167</v>
      </c>
      <c r="P97">
        <v>1.1088</v>
      </c>
      <c r="Q97" t="s">
        <v>40</v>
      </c>
      <c r="R97" t="s">
        <v>50</v>
      </c>
    </row>
    <row r="98" spans="1:18" x14ac:dyDescent="0.25">
      <c r="A98">
        <v>2014</v>
      </c>
      <c r="B98">
        <v>3704</v>
      </c>
      <c r="C98" t="s">
        <v>194</v>
      </c>
      <c r="D98" t="s">
        <v>468</v>
      </c>
      <c r="E98">
        <v>324110</v>
      </c>
      <c r="F98" t="s">
        <v>196</v>
      </c>
      <c r="G98" t="s">
        <v>96</v>
      </c>
      <c r="H98" t="s">
        <v>21</v>
      </c>
      <c r="I98" t="s">
        <v>427</v>
      </c>
      <c r="J98" t="s">
        <v>428</v>
      </c>
      <c r="K98" t="s">
        <v>429</v>
      </c>
      <c r="L98" t="s">
        <v>89</v>
      </c>
      <c r="M98" t="s">
        <v>90</v>
      </c>
      <c r="N98" t="s">
        <v>166</v>
      </c>
      <c r="O98" t="s">
        <v>167</v>
      </c>
      <c r="P98">
        <v>1.3602000000000001</v>
      </c>
      <c r="Q98" t="s">
        <v>29</v>
      </c>
      <c r="R98" t="s">
        <v>124</v>
      </c>
    </row>
    <row r="99" spans="1:18" x14ac:dyDescent="0.25">
      <c r="A99">
        <v>2008</v>
      </c>
      <c r="B99">
        <v>2396</v>
      </c>
      <c r="C99" t="s">
        <v>509</v>
      </c>
      <c r="D99" t="s">
        <v>510</v>
      </c>
      <c r="E99">
        <v>331420</v>
      </c>
      <c r="F99" t="s">
        <v>511</v>
      </c>
      <c r="G99" t="s">
        <v>512</v>
      </c>
      <c r="H99" t="s">
        <v>21</v>
      </c>
      <c r="I99" t="s">
        <v>177</v>
      </c>
      <c r="J99" t="s">
        <v>178</v>
      </c>
      <c r="K99" t="s">
        <v>179</v>
      </c>
      <c r="L99" t="s">
        <v>25</v>
      </c>
      <c r="M99" t="s">
        <v>26</v>
      </c>
      <c r="N99" t="s">
        <v>38</v>
      </c>
      <c r="O99" t="s">
        <v>39</v>
      </c>
      <c r="P99">
        <v>71.563999999999993</v>
      </c>
      <c r="Q99" t="s">
        <v>29</v>
      </c>
      <c r="R99" t="s">
        <v>430</v>
      </c>
    </row>
    <row r="100" spans="1:18" x14ac:dyDescent="0.25">
      <c r="A100">
        <v>1997</v>
      </c>
      <c r="B100">
        <v>2413</v>
      </c>
      <c r="C100" t="s">
        <v>513</v>
      </c>
      <c r="D100" t="s">
        <v>514</v>
      </c>
      <c r="E100">
        <v>325999</v>
      </c>
      <c r="F100" t="s">
        <v>396</v>
      </c>
      <c r="G100" t="s">
        <v>397</v>
      </c>
      <c r="H100" t="s">
        <v>79</v>
      </c>
      <c r="I100" t="s">
        <v>435</v>
      </c>
      <c r="J100" t="s">
        <v>436</v>
      </c>
      <c r="K100" t="s">
        <v>437</v>
      </c>
      <c r="L100" t="s">
        <v>89</v>
      </c>
      <c r="M100" t="s">
        <v>90</v>
      </c>
      <c r="N100" t="s">
        <v>166</v>
      </c>
      <c r="O100" t="s">
        <v>167</v>
      </c>
      <c r="P100">
        <v>73.8</v>
      </c>
      <c r="Q100" t="s">
        <v>29</v>
      </c>
      <c r="R100" t="s">
        <v>30</v>
      </c>
    </row>
    <row r="101" spans="1:18" x14ac:dyDescent="0.25">
      <c r="A101">
        <v>2009</v>
      </c>
      <c r="B101">
        <v>10568</v>
      </c>
      <c r="C101" t="s">
        <v>515</v>
      </c>
      <c r="D101" t="s">
        <v>516</v>
      </c>
      <c r="E101">
        <v>331221</v>
      </c>
      <c r="F101" t="s">
        <v>418</v>
      </c>
      <c r="G101" t="s">
        <v>419</v>
      </c>
      <c r="H101" t="s">
        <v>21</v>
      </c>
      <c r="I101" t="s">
        <v>271</v>
      </c>
      <c r="J101" t="s">
        <v>272</v>
      </c>
      <c r="K101" t="s">
        <v>273</v>
      </c>
      <c r="L101" t="s">
        <v>25</v>
      </c>
      <c r="M101" t="s">
        <v>26</v>
      </c>
      <c r="N101" t="s">
        <v>27</v>
      </c>
      <c r="O101" t="s">
        <v>28</v>
      </c>
      <c r="P101">
        <v>2.6</v>
      </c>
      <c r="Q101" t="s">
        <v>29</v>
      </c>
      <c r="R101" t="s">
        <v>50</v>
      </c>
    </row>
    <row r="102" spans="1:18" x14ac:dyDescent="0.25">
      <c r="A102">
        <v>2006</v>
      </c>
      <c r="B102">
        <v>4377</v>
      </c>
      <c r="C102" t="s">
        <v>517</v>
      </c>
      <c r="D102" t="s">
        <v>517</v>
      </c>
      <c r="E102">
        <v>332999</v>
      </c>
      <c r="F102" t="s">
        <v>309</v>
      </c>
      <c r="G102" t="s">
        <v>304</v>
      </c>
      <c r="H102" t="s">
        <v>79</v>
      </c>
      <c r="I102" t="s">
        <v>177</v>
      </c>
      <c r="J102" t="s">
        <v>178</v>
      </c>
      <c r="K102" t="s">
        <v>179</v>
      </c>
      <c r="L102" t="s">
        <v>25</v>
      </c>
      <c r="M102" t="s">
        <v>26</v>
      </c>
      <c r="N102" t="s">
        <v>288</v>
      </c>
      <c r="O102" t="s">
        <v>289</v>
      </c>
      <c r="P102">
        <v>0</v>
      </c>
      <c r="Q102" t="s">
        <v>29</v>
      </c>
      <c r="R102" t="s">
        <v>50</v>
      </c>
    </row>
    <row r="103" spans="1:18" x14ac:dyDescent="0.25">
      <c r="A103">
        <v>2019</v>
      </c>
      <c r="B103">
        <v>2656</v>
      </c>
      <c r="C103" t="s">
        <v>518</v>
      </c>
      <c r="D103" t="s">
        <v>519</v>
      </c>
      <c r="E103">
        <v>336390</v>
      </c>
      <c r="F103" t="s">
        <v>182</v>
      </c>
      <c r="G103" t="s">
        <v>61</v>
      </c>
      <c r="H103" t="s">
        <v>21</v>
      </c>
      <c r="I103" t="s">
        <v>520</v>
      </c>
      <c r="J103" t="s">
        <v>521</v>
      </c>
      <c r="K103" t="s">
        <v>522</v>
      </c>
      <c r="L103" t="s">
        <v>25</v>
      </c>
      <c r="M103" t="s">
        <v>26</v>
      </c>
      <c r="N103" t="s">
        <v>27</v>
      </c>
      <c r="O103" t="s">
        <v>28</v>
      </c>
      <c r="P103">
        <v>11.714</v>
      </c>
      <c r="Q103" t="s">
        <v>29</v>
      </c>
      <c r="R103" t="s">
        <v>50</v>
      </c>
    </row>
    <row r="104" spans="1:18" x14ac:dyDescent="0.25">
      <c r="A104">
        <v>2010</v>
      </c>
      <c r="B104">
        <v>3713</v>
      </c>
      <c r="C104" t="s">
        <v>523</v>
      </c>
      <c r="D104" t="s">
        <v>524</v>
      </c>
      <c r="E104">
        <v>331110</v>
      </c>
      <c r="F104" t="s">
        <v>335</v>
      </c>
      <c r="G104" t="s">
        <v>336</v>
      </c>
      <c r="H104" t="s">
        <v>21</v>
      </c>
      <c r="I104" t="s">
        <v>525</v>
      </c>
      <c r="J104" t="s">
        <v>526</v>
      </c>
      <c r="K104" t="s">
        <v>527</v>
      </c>
      <c r="L104" t="s">
        <v>25</v>
      </c>
      <c r="M104" t="s">
        <v>26</v>
      </c>
      <c r="N104" t="s">
        <v>38</v>
      </c>
      <c r="O104" t="s">
        <v>39</v>
      </c>
      <c r="P104">
        <v>2.5206</v>
      </c>
      <c r="Q104" t="s">
        <v>29</v>
      </c>
      <c r="R104" t="s">
        <v>50</v>
      </c>
    </row>
    <row r="105" spans="1:18" x14ac:dyDescent="0.25">
      <c r="A105">
        <v>2017</v>
      </c>
      <c r="B105">
        <v>3564</v>
      </c>
      <c r="C105" t="s">
        <v>528</v>
      </c>
      <c r="D105" t="s">
        <v>529</v>
      </c>
      <c r="E105">
        <v>562920</v>
      </c>
      <c r="F105" t="s">
        <v>329</v>
      </c>
      <c r="G105" t="s">
        <v>330</v>
      </c>
      <c r="H105" t="s">
        <v>79</v>
      </c>
      <c r="I105" t="s">
        <v>271</v>
      </c>
      <c r="J105" t="s">
        <v>272</v>
      </c>
      <c r="K105" t="s">
        <v>273</v>
      </c>
      <c r="L105" t="s">
        <v>25</v>
      </c>
      <c r="M105" t="s">
        <v>26</v>
      </c>
      <c r="N105" t="s">
        <v>48</v>
      </c>
      <c r="O105" t="s">
        <v>49</v>
      </c>
      <c r="P105">
        <v>123</v>
      </c>
      <c r="Q105" t="s">
        <v>29</v>
      </c>
      <c r="R105" t="s">
        <v>258</v>
      </c>
    </row>
    <row r="106" spans="1:18" x14ac:dyDescent="0.25">
      <c r="A106">
        <v>2020</v>
      </c>
      <c r="B106">
        <v>4410</v>
      </c>
      <c r="C106" t="s">
        <v>530</v>
      </c>
      <c r="D106" t="s">
        <v>531</v>
      </c>
      <c r="E106">
        <v>325210</v>
      </c>
      <c r="F106" t="s">
        <v>414</v>
      </c>
      <c r="G106" t="s">
        <v>415</v>
      </c>
      <c r="H106" t="s">
        <v>21</v>
      </c>
      <c r="I106" t="s">
        <v>532</v>
      </c>
      <c r="J106" t="s">
        <v>533</v>
      </c>
      <c r="K106" t="s">
        <v>533</v>
      </c>
      <c r="L106" t="s">
        <v>25</v>
      </c>
      <c r="M106" t="s">
        <v>26</v>
      </c>
      <c r="N106" t="s">
        <v>155</v>
      </c>
      <c r="O106" t="s">
        <v>156</v>
      </c>
      <c r="P106">
        <v>0</v>
      </c>
      <c r="Q106" t="s">
        <v>29</v>
      </c>
      <c r="R106" t="s">
        <v>30</v>
      </c>
    </row>
    <row r="107" spans="1:18" x14ac:dyDescent="0.25">
      <c r="A107">
        <v>2017</v>
      </c>
      <c r="B107">
        <v>10218</v>
      </c>
      <c r="C107" t="s">
        <v>125</v>
      </c>
      <c r="D107" t="s">
        <v>534</v>
      </c>
      <c r="E107">
        <v>412110</v>
      </c>
      <c r="F107" t="s">
        <v>127</v>
      </c>
      <c r="G107" t="s">
        <v>128</v>
      </c>
      <c r="H107" t="s">
        <v>85</v>
      </c>
      <c r="I107" t="s">
        <v>535</v>
      </c>
      <c r="J107" t="s">
        <v>536</v>
      </c>
      <c r="K107" t="s">
        <v>537</v>
      </c>
      <c r="L107" t="s">
        <v>25</v>
      </c>
      <c r="M107" t="s">
        <v>26</v>
      </c>
      <c r="N107" t="s">
        <v>155</v>
      </c>
      <c r="O107" t="s">
        <v>156</v>
      </c>
      <c r="P107">
        <v>2.5999999999999999E-2</v>
      </c>
      <c r="Q107" t="s">
        <v>40</v>
      </c>
      <c r="R107" t="s">
        <v>30</v>
      </c>
    </row>
    <row r="108" spans="1:18" x14ac:dyDescent="0.25">
      <c r="A108">
        <v>2006</v>
      </c>
      <c r="B108">
        <v>17331</v>
      </c>
      <c r="C108" t="s">
        <v>538</v>
      </c>
      <c r="D108" t="s">
        <v>539</v>
      </c>
      <c r="E108">
        <v>486110</v>
      </c>
      <c r="F108" t="s">
        <v>540</v>
      </c>
      <c r="G108" t="s">
        <v>541</v>
      </c>
      <c r="H108" t="s">
        <v>243</v>
      </c>
      <c r="I108" t="s">
        <v>491</v>
      </c>
      <c r="J108" t="s">
        <v>492</v>
      </c>
      <c r="K108" t="s">
        <v>492</v>
      </c>
      <c r="L108" t="s">
        <v>25</v>
      </c>
      <c r="M108" t="s">
        <v>26</v>
      </c>
      <c r="N108" t="s">
        <v>380</v>
      </c>
      <c r="O108" t="s">
        <v>381</v>
      </c>
      <c r="P108">
        <v>1.8140000000000001</v>
      </c>
      <c r="Q108" t="s">
        <v>29</v>
      </c>
    </row>
    <row r="109" spans="1:18" x14ac:dyDescent="0.25">
      <c r="A109">
        <v>2018</v>
      </c>
      <c r="B109">
        <v>10237</v>
      </c>
      <c r="C109" t="s">
        <v>125</v>
      </c>
      <c r="D109" t="s">
        <v>542</v>
      </c>
      <c r="E109">
        <v>412110</v>
      </c>
      <c r="F109" t="s">
        <v>127</v>
      </c>
      <c r="G109" t="s">
        <v>128</v>
      </c>
      <c r="H109" t="s">
        <v>54</v>
      </c>
      <c r="I109" t="s">
        <v>543</v>
      </c>
      <c r="J109" t="s">
        <v>544</v>
      </c>
      <c r="K109" t="s">
        <v>545</v>
      </c>
      <c r="L109" t="s">
        <v>89</v>
      </c>
      <c r="M109" t="s">
        <v>90</v>
      </c>
      <c r="N109" t="s">
        <v>166</v>
      </c>
      <c r="O109" t="s">
        <v>167</v>
      </c>
      <c r="P109">
        <v>3.7805</v>
      </c>
      <c r="Q109" t="s">
        <v>40</v>
      </c>
      <c r="R109" t="s">
        <v>30</v>
      </c>
    </row>
    <row r="110" spans="1:18" x14ac:dyDescent="0.25">
      <c r="A110">
        <v>2012</v>
      </c>
      <c r="B110">
        <v>477</v>
      </c>
      <c r="C110" t="s">
        <v>546</v>
      </c>
      <c r="D110" t="s">
        <v>547</v>
      </c>
      <c r="E110">
        <v>325999</v>
      </c>
      <c r="F110" t="s">
        <v>548</v>
      </c>
      <c r="G110" t="s">
        <v>397</v>
      </c>
      <c r="H110" t="s">
        <v>21</v>
      </c>
      <c r="I110" t="s">
        <v>80</v>
      </c>
      <c r="J110" t="s">
        <v>81</v>
      </c>
      <c r="K110" t="s">
        <v>82</v>
      </c>
      <c r="L110" t="s">
        <v>89</v>
      </c>
      <c r="M110" t="s">
        <v>90</v>
      </c>
      <c r="N110" t="s">
        <v>166</v>
      </c>
      <c r="O110" t="s">
        <v>167</v>
      </c>
      <c r="P110">
        <v>3.125</v>
      </c>
      <c r="Q110" t="s">
        <v>29</v>
      </c>
      <c r="R110" t="s">
        <v>50</v>
      </c>
    </row>
    <row r="111" spans="1:18" x14ac:dyDescent="0.25">
      <c r="A111">
        <v>2007</v>
      </c>
      <c r="B111">
        <v>10455</v>
      </c>
      <c r="C111" t="s">
        <v>549</v>
      </c>
      <c r="D111" t="s">
        <v>550</v>
      </c>
      <c r="E111">
        <v>332999</v>
      </c>
      <c r="F111" t="s">
        <v>309</v>
      </c>
      <c r="G111" t="s">
        <v>304</v>
      </c>
      <c r="H111" t="s">
        <v>21</v>
      </c>
      <c r="I111" t="s">
        <v>324</v>
      </c>
      <c r="J111" t="s">
        <v>325</v>
      </c>
      <c r="K111" t="s">
        <v>326</v>
      </c>
      <c r="L111" t="s">
        <v>25</v>
      </c>
      <c r="M111" t="s">
        <v>26</v>
      </c>
      <c r="N111" t="s">
        <v>38</v>
      </c>
      <c r="O111" t="s">
        <v>39</v>
      </c>
      <c r="P111">
        <v>62</v>
      </c>
      <c r="Q111" t="s">
        <v>40</v>
      </c>
      <c r="R111" t="s">
        <v>50</v>
      </c>
    </row>
    <row r="112" spans="1:18" x14ac:dyDescent="0.25">
      <c r="A112">
        <v>2013</v>
      </c>
      <c r="B112">
        <v>941</v>
      </c>
      <c r="C112" t="s">
        <v>551</v>
      </c>
      <c r="D112" t="s">
        <v>551</v>
      </c>
      <c r="E112">
        <v>311310</v>
      </c>
      <c r="F112" t="s">
        <v>552</v>
      </c>
      <c r="G112" t="s">
        <v>553</v>
      </c>
      <c r="H112" t="s">
        <v>69</v>
      </c>
      <c r="I112" t="s">
        <v>97</v>
      </c>
      <c r="J112" t="s">
        <v>98</v>
      </c>
      <c r="K112" t="s">
        <v>99</v>
      </c>
      <c r="L112" t="s">
        <v>89</v>
      </c>
      <c r="M112" t="s">
        <v>90</v>
      </c>
      <c r="N112" t="s">
        <v>100</v>
      </c>
      <c r="O112" t="s">
        <v>101</v>
      </c>
      <c r="P112">
        <v>10.029999999999999</v>
      </c>
      <c r="Q112" t="s">
        <v>29</v>
      </c>
      <c r="R112" t="s">
        <v>30</v>
      </c>
    </row>
    <row r="113" spans="1:18" x14ac:dyDescent="0.25">
      <c r="A113">
        <v>2017</v>
      </c>
      <c r="B113">
        <v>3165</v>
      </c>
      <c r="C113" t="s">
        <v>554</v>
      </c>
      <c r="D113" t="s">
        <v>555</v>
      </c>
      <c r="E113">
        <v>332710</v>
      </c>
      <c r="F113" t="s">
        <v>556</v>
      </c>
      <c r="G113" t="s">
        <v>557</v>
      </c>
      <c r="H113" t="s">
        <v>21</v>
      </c>
      <c r="I113" t="s">
        <v>177</v>
      </c>
      <c r="J113" t="s">
        <v>178</v>
      </c>
      <c r="K113" t="s">
        <v>179</v>
      </c>
      <c r="L113" t="s">
        <v>25</v>
      </c>
      <c r="M113" t="s">
        <v>26</v>
      </c>
      <c r="N113" t="s">
        <v>38</v>
      </c>
      <c r="O113" t="s">
        <v>39</v>
      </c>
      <c r="P113">
        <v>6.83</v>
      </c>
      <c r="Q113" t="s">
        <v>29</v>
      </c>
      <c r="R113" t="s">
        <v>50</v>
      </c>
    </row>
    <row r="114" spans="1:18" x14ac:dyDescent="0.25">
      <c r="A114">
        <v>2019</v>
      </c>
      <c r="B114">
        <v>5680</v>
      </c>
      <c r="C114" t="s">
        <v>558</v>
      </c>
      <c r="D114" t="s">
        <v>559</v>
      </c>
      <c r="E114">
        <v>416210</v>
      </c>
      <c r="F114" t="s">
        <v>560</v>
      </c>
      <c r="G114" t="s">
        <v>561</v>
      </c>
      <c r="H114" t="s">
        <v>243</v>
      </c>
      <c r="I114" t="s">
        <v>136</v>
      </c>
      <c r="J114" t="s">
        <v>137</v>
      </c>
      <c r="K114" t="s">
        <v>138</v>
      </c>
      <c r="L114" t="s">
        <v>25</v>
      </c>
      <c r="M114" t="s">
        <v>26</v>
      </c>
      <c r="N114" t="s">
        <v>38</v>
      </c>
      <c r="O114" t="s">
        <v>39</v>
      </c>
      <c r="P114">
        <v>5.1420000000000003</v>
      </c>
      <c r="Q114" t="s">
        <v>29</v>
      </c>
      <c r="R114" t="s">
        <v>30</v>
      </c>
    </row>
    <row r="115" spans="1:18" x14ac:dyDescent="0.25">
      <c r="A115">
        <v>1996</v>
      </c>
      <c r="B115">
        <v>2533</v>
      </c>
      <c r="C115" t="s">
        <v>562</v>
      </c>
      <c r="D115" t="s">
        <v>563</v>
      </c>
      <c r="E115">
        <v>211113</v>
      </c>
      <c r="F115" t="s">
        <v>425</v>
      </c>
      <c r="G115" t="s">
        <v>426</v>
      </c>
      <c r="H115" t="s">
        <v>85</v>
      </c>
      <c r="I115" t="s">
        <v>80</v>
      </c>
      <c r="J115" t="s">
        <v>81</v>
      </c>
      <c r="K115" t="s">
        <v>82</v>
      </c>
      <c r="L115" t="s">
        <v>25</v>
      </c>
      <c r="M115" t="s">
        <v>26</v>
      </c>
      <c r="N115" t="s">
        <v>48</v>
      </c>
      <c r="O115" t="s">
        <v>49</v>
      </c>
      <c r="P115">
        <v>40</v>
      </c>
      <c r="Q115" t="s">
        <v>29</v>
      </c>
      <c r="R115" t="s">
        <v>30</v>
      </c>
    </row>
    <row r="116" spans="1:18" x14ac:dyDescent="0.25">
      <c r="A116">
        <v>2005</v>
      </c>
      <c r="B116">
        <v>2700</v>
      </c>
      <c r="C116" t="s">
        <v>564</v>
      </c>
      <c r="D116" t="s">
        <v>565</v>
      </c>
      <c r="E116">
        <v>335920</v>
      </c>
      <c r="F116" t="s">
        <v>566</v>
      </c>
      <c r="G116" t="s">
        <v>567</v>
      </c>
      <c r="H116" t="s">
        <v>21</v>
      </c>
      <c r="I116" t="s">
        <v>35</v>
      </c>
      <c r="J116" t="s">
        <v>36</v>
      </c>
      <c r="K116" t="s">
        <v>37</v>
      </c>
      <c r="L116" t="s">
        <v>25</v>
      </c>
      <c r="M116" t="s">
        <v>26</v>
      </c>
      <c r="N116" t="s">
        <v>155</v>
      </c>
      <c r="O116" t="s">
        <v>156</v>
      </c>
      <c r="P116">
        <v>2626.98</v>
      </c>
      <c r="Q116" t="s">
        <v>40</v>
      </c>
      <c r="R116" t="s">
        <v>50</v>
      </c>
    </row>
    <row r="117" spans="1:18" x14ac:dyDescent="0.25">
      <c r="A117">
        <v>2003</v>
      </c>
      <c r="B117">
        <v>4589</v>
      </c>
      <c r="C117" t="s">
        <v>568</v>
      </c>
      <c r="D117" t="s">
        <v>569</v>
      </c>
      <c r="E117">
        <v>332999</v>
      </c>
      <c r="F117" t="s">
        <v>309</v>
      </c>
      <c r="G117" t="s">
        <v>304</v>
      </c>
      <c r="H117" t="s">
        <v>54</v>
      </c>
      <c r="I117" t="s">
        <v>177</v>
      </c>
      <c r="J117" t="s">
        <v>178</v>
      </c>
      <c r="K117" t="s">
        <v>179</v>
      </c>
      <c r="L117" t="s">
        <v>89</v>
      </c>
      <c r="M117" t="s">
        <v>90</v>
      </c>
      <c r="N117" t="s">
        <v>100</v>
      </c>
      <c r="O117" t="s">
        <v>101</v>
      </c>
      <c r="P117">
        <v>5.0000000000000001E-3</v>
      </c>
      <c r="Q117" t="s">
        <v>29</v>
      </c>
      <c r="R117" t="s">
        <v>124</v>
      </c>
    </row>
    <row r="118" spans="1:18" x14ac:dyDescent="0.25">
      <c r="A118">
        <v>2022</v>
      </c>
      <c r="B118">
        <v>1260</v>
      </c>
      <c r="C118" t="s">
        <v>570</v>
      </c>
      <c r="D118" t="s">
        <v>410</v>
      </c>
      <c r="E118">
        <v>562210</v>
      </c>
      <c r="F118" t="s">
        <v>84</v>
      </c>
      <c r="G118" t="s">
        <v>53</v>
      </c>
      <c r="H118" t="s">
        <v>21</v>
      </c>
      <c r="I118" t="s">
        <v>317</v>
      </c>
      <c r="J118" t="s">
        <v>318</v>
      </c>
      <c r="K118" t="s">
        <v>319</v>
      </c>
      <c r="L118" t="s">
        <v>89</v>
      </c>
      <c r="M118" t="s">
        <v>90</v>
      </c>
      <c r="N118" t="s">
        <v>166</v>
      </c>
      <c r="O118" t="s">
        <v>167</v>
      </c>
      <c r="P118">
        <v>3.5259900000000002</v>
      </c>
      <c r="Q118" t="s">
        <v>29</v>
      </c>
      <c r="R118" t="s">
        <v>30</v>
      </c>
    </row>
    <row r="119" spans="1:18" x14ac:dyDescent="0.25">
      <c r="A119">
        <v>2019</v>
      </c>
      <c r="B119">
        <v>27816</v>
      </c>
      <c r="C119" t="s">
        <v>571</v>
      </c>
      <c r="D119" t="s">
        <v>572</v>
      </c>
      <c r="E119">
        <v>221122</v>
      </c>
      <c r="F119" t="s">
        <v>573</v>
      </c>
      <c r="G119" t="s">
        <v>574</v>
      </c>
      <c r="H119" t="s">
        <v>85</v>
      </c>
      <c r="I119" t="s">
        <v>35</v>
      </c>
      <c r="J119" t="s">
        <v>36</v>
      </c>
      <c r="K119" t="s">
        <v>37</v>
      </c>
      <c r="L119" t="s">
        <v>25</v>
      </c>
      <c r="M119" t="s">
        <v>26</v>
      </c>
      <c r="N119" t="s">
        <v>38</v>
      </c>
      <c r="O119" t="s">
        <v>39</v>
      </c>
      <c r="P119">
        <v>27429.200000000001</v>
      </c>
      <c r="Q119" t="s">
        <v>40</v>
      </c>
      <c r="R119" t="s">
        <v>50</v>
      </c>
    </row>
    <row r="120" spans="1:18" x14ac:dyDescent="0.25">
      <c r="A120">
        <v>2006</v>
      </c>
      <c r="B120">
        <v>7407</v>
      </c>
      <c r="C120" t="s">
        <v>575</v>
      </c>
      <c r="D120" t="s">
        <v>575</v>
      </c>
      <c r="E120">
        <v>336110</v>
      </c>
      <c r="F120" t="s">
        <v>377</v>
      </c>
      <c r="G120" t="s">
        <v>44</v>
      </c>
      <c r="H120" t="s">
        <v>21</v>
      </c>
      <c r="I120" t="s">
        <v>209</v>
      </c>
      <c r="J120" t="s">
        <v>210</v>
      </c>
      <c r="K120" t="s">
        <v>211</v>
      </c>
      <c r="L120" t="s">
        <v>25</v>
      </c>
      <c r="M120" t="s">
        <v>26</v>
      </c>
      <c r="N120" t="s">
        <v>38</v>
      </c>
      <c r="O120" t="s">
        <v>39</v>
      </c>
      <c r="P120">
        <v>21.571000000000002</v>
      </c>
      <c r="Q120" t="s">
        <v>29</v>
      </c>
      <c r="R120" t="s">
        <v>50</v>
      </c>
    </row>
    <row r="121" spans="1:18" x14ac:dyDescent="0.25">
      <c r="A121">
        <v>2003</v>
      </c>
      <c r="B121">
        <v>10412</v>
      </c>
      <c r="C121" t="s">
        <v>576</v>
      </c>
      <c r="D121" t="s">
        <v>577</v>
      </c>
      <c r="E121">
        <v>313310</v>
      </c>
      <c r="F121" t="s">
        <v>578</v>
      </c>
      <c r="G121" t="s">
        <v>579</v>
      </c>
      <c r="H121" t="s">
        <v>21</v>
      </c>
      <c r="I121" t="s">
        <v>337</v>
      </c>
      <c r="J121" t="s">
        <v>338</v>
      </c>
      <c r="K121" t="s">
        <v>339</v>
      </c>
      <c r="L121" t="s">
        <v>89</v>
      </c>
      <c r="M121" t="s">
        <v>90</v>
      </c>
      <c r="N121" t="s">
        <v>100</v>
      </c>
      <c r="O121" t="s">
        <v>101</v>
      </c>
      <c r="P121">
        <v>0</v>
      </c>
      <c r="Q121" t="s">
        <v>29</v>
      </c>
      <c r="R121" t="s">
        <v>30</v>
      </c>
    </row>
    <row r="122" spans="1:18" x14ac:dyDescent="0.25">
      <c r="A122">
        <v>2012</v>
      </c>
      <c r="B122">
        <v>6797</v>
      </c>
      <c r="C122" t="s">
        <v>65</v>
      </c>
      <c r="D122" t="s">
        <v>580</v>
      </c>
      <c r="E122">
        <v>562990</v>
      </c>
      <c r="F122" t="s">
        <v>581</v>
      </c>
      <c r="G122" t="s">
        <v>105</v>
      </c>
      <c r="H122" t="s">
        <v>85</v>
      </c>
      <c r="I122" t="s">
        <v>117</v>
      </c>
      <c r="J122" t="s">
        <v>118</v>
      </c>
      <c r="K122" t="s">
        <v>119</v>
      </c>
      <c r="L122" t="s">
        <v>25</v>
      </c>
      <c r="M122" t="s">
        <v>26</v>
      </c>
      <c r="N122" t="s">
        <v>38</v>
      </c>
      <c r="O122" t="s">
        <v>39</v>
      </c>
      <c r="P122">
        <v>24.856000000000002</v>
      </c>
      <c r="Q122" t="s">
        <v>29</v>
      </c>
      <c r="R122" t="s">
        <v>124</v>
      </c>
    </row>
    <row r="123" spans="1:18" x14ac:dyDescent="0.25">
      <c r="A123">
        <v>2010</v>
      </c>
      <c r="B123">
        <v>1136</v>
      </c>
      <c r="C123" t="s">
        <v>582</v>
      </c>
      <c r="D123" t="s">
        <v>583</v>
      </c>
      <c r="E123">
        <v>336410</v>
      </c>
      <c r="F123" t="s">
        <v>260</v>
      </c>
      <c r="G123" t="s">
        <v>261</v>
      </c>
      <c r="H123" t="s">
        <v>79</v>
      </c>
      <c r="I123" t="s">
        <v>209</v>
      </c>
      <c r="J123" t="s">
        <v>210</v>
      </c>
      <c r="K123" t="s">
        <v>211</v>
      </c>
      <c r="L123" t="s">
        <v>89</v>
      </c>
      <c r="M123" t="s">
        <v>90</v>
      </c>
      <c r="N123" t="s">
        <v>91</v>
      </c>
      <c r="O123" t="s">
        <v>92</v>
      </c>
      <c r="P123">
        <v>8.8439999999999994</v>
      </c>
      <c r="Q123" t="s">
        <v>29</v>
      </c>
      <c r="R123" t="s">
        <v>50</v>
      </c>
    </row>
    <row r="124" spans="1:18" x14ac:dyDescent="0.25">
      <c r="A124">
        <v>2010</v>
      </c>
      <c r="B124">
        <v>2578</v>
      </c>
      <c r="C124" t="s">
        <v>584</v>
      </c>
      <c r="D124" t="s">
        <v>585</v>
      </c>
      <c r="E124">
        <v>336370</v>
      </c>
      <c r="F124" t="s">
        <v>586</v>
      </c>
      <c r="G124" t="s">
        <v>587</v>
      </c>
      <c r="H124" t="s">
        <v>21</v>
      </c>
      <c r="I124" t="s">
        <v>209</v>
      </c>
      <c r="J124" t="s">
        <v>210</v>
      </c>
      <c r="K124" t="s">
        <v>211</v>
      </c>
      <c r="L124" t="s">
        <v>25</v>
      </c>
      <c r="M124" t="s">
        <v>26</v>
      </c>
      <c r="N124" t="s">
        <v>288</v>
      </c>
      <c r="O124" t="s">
        <v>289</v>
      </c>
      <c r="P124">
        <v>0</v>
      </c>
      <c r="Q124" t="s">
        <v>29</v>
      </c>
      <c r="R124" t="s">
        <v>50</v>
      </c>
    </row>
    <row r="125" spans="1:18" x14ac:dyDescent="0.25">
      <c r="A125">
        <v>2023</v>
      </c>
      <c r="B125">
        <v>10219</v>
      </c>
      <c r="C125" t="s">
        <v>125</v>
      </c>
      <c r="D125" t="s">
        <v>588</v>
      </c>
      <c r="E125">
        <v>412110</v>
      </c>
      <c r="F125" t="s">
        <v>589</v>
      </c>
      <c r="G125" t="s">
        <v>590</v>
      </c>
      <c r="H125" t="s">
        <v>21</v>
      </c>
      <c r="I125" t="s">
        <v>427</v>
      </c>
      <c r="J125" t="s">
        <v>428</v>
      </c>
      <c r="K125" t="s">
        <v>429</v>
      </c>
      <c r="L125" t="s">
        <v>89</v>
      </c>
      <c r="M125" t="s">
        <v>90</v>
      </c>
      <c r="N125" t="s">
        <v>91</v>
      </c>
      <c r="O125" t="s">
        <v>92</v>
      </c>
      <c r="P125">
        <v>1.61151</v>
      </c>
      <c r="Q125" t="s">
        <v>29</v>
      </c>
      <c r="R125" t="s">
        <v>30</v>
      </c>
    </row>
    <row r="126" spans="1:18" x14ac:dyDescent="0.25">
      <c r="A126">
        <v>2020</v>
      </c>
      <c r="B126">
        <v>3111</v>
      </c>
      <c r="C126" t="s">
        <v>591</v>
      </c>
      <c r="D126" t="s">
        <v>592</v>
      </c>
      <c r="E126">
        <v>332810</v>
      </c>
      <c r="F126" t="s">
        <v>361</v>
      </c>
      <c r="G126" t="s">
        <v>362</v>
      </c>
      <c r="H126" t="s">
        <v>21</v>
      </c>
      <c r="I126" t="s">
        <v>177</v>
      </c>
      <c r="J126" t="s">
        <v>178</v>
      </c>
      <c r="K126" t="s">
        <v>179</v>
      </c>
      <c r="L126" t="s">
        <v>89</v>
      </c>
      <c r="M126" t="s">
        <v>90</v>
      </c>
      <c r="N126" t="s">
        <v>100</v>
      </c>
      <c r="O126" t="s">
        <v>101</v>
      </c>
      <c r="P126">
        <v>0.04</v>
      </c>
      <c r="Q126" t="s">
        <v>29</v>
      </c>
      <c r="R126" t="s">
        <v>30</v>
      </c>
    </row>
    <row r="127" spans="1:18" x14ac:dyDescent="0.25">
      <c r="A127">
        <v>2015</v>
      </c>
      <c r="B127">
        <v>3424</v>
      </c>
      <c r="C127" t="s">
        <v>593</v>
      </c>
      <c r="D127" t="s">
        <v>594</v>
      </c>
      <c r="E127">
        <v>332810</v>
      </c>
      <c r="F127" t="s">
        <v>361</v>
      </c>
      <c r="G127" t="s">
        <v>362</v>
      </c>
      <c r="H127" t="s">
        <v>85</v>
      </c>
      <c r="I127" t="s">
        <v>86</v>
      </c>
      <c r="J127" t="s">
        <v>87</v>
      </c>
      <c r="K127" t="s">
        <v>88</v>
      </c>
      <c r="L127" t="s">
        <v>25</v>
      </c>
      <c r="M127" t="s">
        <v>26</v>
      </c>
      <c r="N127" t="s">
        <v>595</v>
      </c>
      <c r="O127" t="s">
        <v>596</v>
      </c>
      <c r="P127">
        <v>3.5979999999999999</v>
      </c>
      <c r="Q127" t="s">
        <v>29</v>
      </c>
      <c r="R127" t="s">
        <v>30</v>
      </c>
    </row>
    <row r="128" spans="1:18" x14ac:dyDescent="0.25">
      <c r="A128">
        <v>2023</v>
      </c>
      <c r="B128">
        <v>1338</v>
      </c>
      <c r="C128" t="s">
        <v>212</v>
      </c>
      <c r="D128" t="s">
        <v>597</v>
      </c>
      <c r="E128">
        <v>221320</v>
      </c>
      <c r="F128" t="s">
        <v>146</v>
      </c>
      <c r="G128" t="s">
        <v>147</v>
      </c>
      <c r="H128" t="s">
        <v>69</v>
      </c>
      <c r="I128" t="s">
        <v>420</v>
      </c>
      <c r="J128" t="s">
        <v>421</v>
      </c>
      <c r="K128" t="s">
        <v>422</v>
      </c>
      <c r="L128" t="s">
        <v>25</v>
      </c>
      <c r="M128" t="s">
        <v>26</v>
      </c>
      <c r="N128" t="s">
        <v>139</v>
      </c>
      <c r="O128" t="s">
        <v>140</v>
      </c>
      <c r="P128">
        <v>0.65400000000000003</v>
      </c>
      <c r="Q128" t="s">
        <v>40</v>
      </c>
      <c r="R128" t="s">
        <v>124</v>
      </c>
    </row>
    <row r="129" spans="1:18" x14ac:dyDescent="0.25">
      <c r="A129">
        <v>2014</v>
      </c>
      <c r="B129">
        <v>11700</v>
      </c>
      <c r="C129" t="s">
        <v>598</v>
      </c>
      <c r="D129" t="s">
        <v>599</v>
      </c>
      <c r="E129">
        <v>325190</v>
      </c>
      <c r="F129" t="s">
        <v>600</v>
      </c>
      <c r="G129" t="s">
        <v>601</v>
      </c>
      <c r="H129" t="s">
        <v>21</v>
      </c>
      <c r="I129" t="s">
        <v>55</v>
      </c>
      <c r="J129" t="s">
        <v>56</v>
      </c>
      <c r="K129" t="s">
        <v>57</v>
      </c>
      <c r="L129" t="s">
        <v>89</v>
      </c>
      <c r="M129" t="s">
        <v>90</v>
      </c>
      <c r="N129" t="s">
        <v>100</v>
      </c>
      <c r="O129" t="s">
        <v>101</v>
      </c>
      <c r="P129">
        <v>3.89</v>
      </c>
      <c r="Q129" t="s">
        <v>29</v>
      </c>
      <c r="R129" t="s">
        <v>124</v>
      </c>
    </row>
    <row r="130" spans="1:18" x14ac:dyDescent="0.25">
      <c r="A130">
        <v>1999</v>
      </c>
      <c r="B130">
        <v>3125</v>
      </c>
      <c r="C130" t="s">
        <v>602</v>
      </c>
      <c r="D130" t="s">
        <v>603</v>
      </c>
      <c r="E130">
        <v>334410</v>
      </c>
      <c r="F130" t="s">
        <v>604</v>
      </c>
      <c r="G130" t="s">
        <v>605</v>
      </c>
      <c r="H130" t="s">
        <v>79</v>
      </c>
      <c r="I130" t="s">
        <v>402</v>
      </c>
      <c r="J130" t="s">
        <v>403</v>
      </c>
      <c r="K130" t="s">
        <v>404</v>
      </c>
      <c r="L130" t="s">
        <v>89</v>
      </c>
      <c r="M130" t="s">
        <v>90</v>
      </c>
      <c r="N130" t="s">
        <v>100</v>
      </c>
      <c r="O130" t="s">
        <v>101</v>
      </c>
      <c r="P130">
        <v>14.941000000000001</v>
      </c>
      <c r="Q130" t="s">
        <v>29</v>
      </c>
      <c r="R130" t="s">
        <v>30</v>
      </c>
    </row>
    <row r="131" spans="1:18" x14ac:dyDescent="0.25">
      <c r="A131">
        <v>1996</v>
      </c>
      <c r="B131">
        <v>1902</v>
      </c>
      <c r="C131" t="s">
        <v>606</v>
      </c>
      <c r="D131" t="s">
        <v>607</v>
      </c>
      <c r="E131">
        <v>211113</v>
      </c>
      <c r="F131" t="s">
        <v>425</v>
      </c>
      <c r="G131" t="s">
        <v>426</v>
      </c>
      <c r="H131" t="s">
        <v>85</v>
      </c>
      <c r="I131" t="s">
        <v>129</v>
      </c>
      <c r="J131" t="s">
        <v>130</v>
      </c>
      <c r="K131" t="s">
        <v>131</v>
      </c>
      <c r="L131" t="s">
        <v>89</v>
      </c>
      <c r="M131" t="s">
        <v>90</v>
      </c>
      <c r="N131" t="s">
        <v>166</v>
      </c>
      <c r="O131" t="s">
        <v>167</v>
      </c>
      <c r="P131">
        <v>1E-3</v>
      </c>
      <c r="Q131" t="s">
        <v>29</v>
      </c>
      <c r="R131" t="s">
        <v>30</v>
      </c>
    </row>
    <row r="132" spans="1:18" x14ac:dyDescent="0.25">
      <c r="A132">
        <v>2003</v>
      </c>
      <c r="B132">
        <v>3416</v>
      </c>
      <c r="C132" t="s">
        <v>608</v>
      </c>
      <c r="D132" t="s">
        <v>609</v>
      </c>
      <c r="E132">
        <v>331511</v>
      </c>
      <c r="F132" t="s">
        <v>160</v>
      </c>
      <c r="G132" t="s">
        <v>161</v>
      </c>
      <c r="H132" t="s">
        <v>21</v>
      </c>
      <c r="I132" t="s">
        <v>244</v>
      </c>
      <c r="J132" t="s">
        <v>245</v>
      </c>
      <c r="K132" t="s">
        <v>246</v>
      </c>
      <c r="L132" t="s">
        <v>25</v>
      </c>
      <c r="M132" t="s">
        <v>26</v>
      </c>
      <c r="N132" t="s">
        <v>155</v>
      </c>
      <c r="O132" t="s">
        <v>156</v>
      </c>
      <c r="P132">
        <v>3</v>
      </c>
      <c r="Q132" t="s">
        <v>40</v>
      </c>
      <c r="R132" t="s">
        <v>30</v>
      </c>
    </row>
    <row r="133" spans="1:18" x14ac:dyDescent="0.25">
      <c r="A133">
        <v>2010</v>
      </c>
      <c r="B133">
        <v>5810</v>
      </c>
      <c r="C133" t="s">
        <v>610</v>
      </c>
      <c r="D133" t="s">
        <v>611</v>
      </c>
      <c r="E133">
        <v>325610</v>
      </c>
      <c r="F133" t="s">
        <v>612</v>
      </c>
      <c r="G133" t="s">
        <v>613</v>
      </c>
      <c r="H133" t="s">
        <v>21</v>
      </c>
      <c r="I133" t="s">
        <v>614</v>
      </c>
      <c r="J133" t="s">
        <v>615</v>
      </c>
      <c r="K133" t="s">
        <v>616</v>
      </c>
      <c r="L133" t="s">
        <v>89</v>
      </c>
      <c r="M133" t="s">
        <v>90</v>
      </c>
      <c r="N133" t="s">
        <v>91</v>
      </c>
      <c r="O133" t="s">
        <v>92</v>
      </c>
      <c r="P133">
        <v>1.5E-3</v>
      </c>
      <c r="Q133" t="s">
        <v>29</v>
      </c>
      <c r="R133" t="s">
        <v>50</v>
      </c>
    </row>
    <row r="134" spans="1:18" x14ac:dyDescent="0.25">
      <c r="A134">
        <v>2016</v>
      </c>
      <c r="B134">
        <v>2703</v>
      </c>
      <c r="C134" t="s">
        <v>617</v>
      </c>
      <c r="D134" t="s">
        <v>352</v>
      </c>
      <c r="E134">
        <v>418410</v>
      </c>
      <c r="F134" t="s">
        <v>433</v>
      </c>
      <c r="G134" t="s">
        <v>434</v>
      </c>
      <c r="H134" t="s">
        <v>21</v>
      </c>
      <c r="I134" t="s">
        <v>70</v>
      </c>
      <c r="J134" t="s">
        <v>71</v>
      </c>
      <c r="K134" t="s">
        <v>72</v>
      </c>
      <c r="L134" t="s">
        <v>25</v>
      </c>
      <c r="M134" t="s">
        <v>26</v>
      </c>
      <c r="N134" t="s">
        <v>48</v>
      </c>
      <c r="O134" t="s">
        <v>49</v>
      </c>
      <c r="P134">
        <v>1.2</v>
      </c>
      <c r="Q134" t="s">
        <v>29</v>
      </c>
      <c r="R134" t="s">
        <v>30</v>
      </c>
    </row>
    <row r="135" spans="1:18" x14ac:dyDescent="0.25">
      <c r="A135">
        <v>2001</v>
      </c>
      <c r="B135">
        <v>1197</v>
      </c>
      <c r="C135" t="s">
        <v>618</v>
      </c>
      <c r="D135" t="s">
        <v>619</v>
      </c>
      <c r="E135">
        <v>322112</v>
      </c>
      <c r="F135" t="s">
        <v>620</v>
      </c>
      <c r="G135" t="s">
        <v>621</v>
      </c>
      <c r="H135" t="s">
        <v>21</v>
      </c>
      <c r="I135" t="s">
        <v>622</v>
      </c>
      <c r="J135" t="s">
        <v>623</v>
      </c>
      <c r="K135" t="s">
        <v>624</v>
      </c>
      <c r="L135" t="s">
        <v>25</v>
      </c>
      <c r="M135" t="s">
        <v>26</v>
      </c>
      <c r="N135" t="s">
        <v>155</v>
      </c>
      <c r="O135" t="s">
        <v>156</v>
      </c>
      <c r="P135">
        <v>1.502</v>
      </c>
      <c r="Q135" t="s">
        <v>40</v>
      </c>
      <c r="R135" t="s">
        <v>442</v>
      </c>
    </row>
    <row r="136" spans="1:18" x14ac:dyDescent="0.25">
      <c r="A136">
        <v>2012</v>
      </c>
      <c r="B136">
        <v>4169</v>
      </c>
      <c r="C136" t="s">
        <v>625</v>
      </c>
      <c r="D136" t="s">
        <v>626</v>
      </c>
      <c r="E136">
        <v>331110</v>
      </c>
      <c r="F136" t="s">
        <v>627</v>
      </c>
      <c r="G136" t="s">
        <v>336</v>
      </c>
      <c r="H136" t="s">
        <v>21</v>
      </c>
      <c r="I136" t="s">
        <v>628</v>
      </c>
      <c r="J136" t="s">
        <v>629</v>
      </c>
      <c r="K136" t="s">
        <v>630</v>
      </c>
      <c r="L136" t="s">
        <v>25</v>
      </c>
      <c r="M136" t="s">
        <v>26</v>
      </c>
      <c r="N136" t="s">
        <v>38</v>
      </c>
      <c r="O136" t="s">
        <v>39</v>
      </c>
      <c r="P136">
        <v>6.4226999999999999</v>
      </c>
      <c r="Q136" t="s">
        <v>631</v>
      </c>
      <c r="R136" t="s">
        <v>30</v>
      </c>
    </row>
    <row r="137" spans="1:18" x14ac:dyDescent="0.25">
      <c r="A137">
        <v>2010</v>
      </c>
      <c r="B137">
        <v>5390</v>
      </c>
      <c r="C137" t="s">
        <v>632</v>
      </c>
      <c r="D137" t="s">
        <v>633</v>
      </c>
      <c r="E137">
        <v>221320</v>
      </c>
      <c r="F137" t="s">
        <v>390</v>
      </c>
      <c r="G137" t="s">
        <v>147</v>
      </c>
      <c r="H137" t="s">
        <v>85</v>
      </c>
      <c r="I137" t="s">
        <v>177</v>
      </c>
      <c r="J137" t="s">
        <v>178</v>
      </c>
      <c r="K137" t="s">
        <v>179</v>
      </c>
      <c r="L137" t="s">
        <v>25</v>
      </c>
      <c r="M137" t="s">
        <v>26</v>
      </c>
      <c r="N137" t="s">
        <v>155</v>
      </c>
      <c r="O137" t="s">
        <v>156</v>
      </c>
      <c r="P137">
        <v>7.1619999999999999</v>
      </c>
      <c r="Q137" t="s">
        <v>29</v>
      </c>
      <c r="R137" t="s">
        <v>124</v>
      </c>
    </row>
    <row r="138" spans="1:18" x14ac:dyDescent="0.25">
      <c r="A138">
        <v>2000</v>
      </c>
      <c r="B138">
        <v>3754</v>
      </c>
      <c r="C138" t="s">
        <v>634</v>
      </c>
      <c r="D138" t="s">
        <v>635</v>
      </c>
      <c r="E138">
        <v>211113</v>
      </c>
      <c r="F138" t="s">
        <v>425</v>
      </c>
      <c r="G138" t="s">
        <v>426</v>
      </c>
      <c r="H138" t="s">
        <v>85</v>
      </c>
      <c r="I138" t="s">
        <v>427</v>
      </c>
      <c r="J138" t="s">
        <v>428</v>
      </c>
      <c r="K138" t="s">
        <v>429</v>
      </c>
      <c r="L138" t="s">
        <v>25</v>
      </c>
      <c r="M138" t="s">
        <v>26</v>
      </c>
      <c r="N138" t="s">
        <v>380</v>
      </c>
      <c r="O138" t="s">
        <v>381</v>
      </c>
      <c r="P138">
        <v>8.9999999999999993E-3</v>
      </c>
      <c r="Q138" t="s">
        <v>29</v>
      </c>
    </row>
    <row r="139" spans="1:18" x14ac:dyDescent="0.25">
      <c r="A139">
        <v>1993</v>
      </c>
      <c r="B139">
        <v>3433</v>
      </c>
      <c r="C139" t="s">
        <v>636</v>
      </c>
      <c r="D139" t="s">
        <v>637</v>
      </c>
      <c r="E139">
        <v>325510</v>
      </c>
      <c r="F139" t="s">
        <v>143</v>
      </c>
      <c r="G139" t="s">
        <v>112</v>
      </c>
      <c r="H139" t="s">
        <v>21</v>
      </c>
      <c r="I139" t="s">
        <v>136</v>
      </c>
      <c r="J139" t="s">
        <v>137</v>
      </c>
      <c r="K139" t="s">
        <v>138</v>
      </c>
      <c r="L139" t="s">
        <v>89</v>
      </c>
      <c r="M139" t="s">
        <v>90</v>
      </c>
      <c r="N139" t="s">
        <v>100</v>
      </c>
      <c r="O139" t="s">
        <v>101</v>
      </c>
      <c r="P139">
        <v>1.2E-2</v>
      </c>
      <c r="Q139" t="s">
        <v>29</v>
      </c>
    </row>
    <row r="140" spans="1:18" x14ac:dyDescent="0.25">
      <c r="A140">
        <v>2006</v>
      </c>
      <c r="B140">
        <v>6409</v>
      </c>
      <c r="C140" t="s">
        <v>638</v>
      </c>
      <c r="D140" t="s">
        <v>639</v>
      </c>
      <c r="E140">
        <v>326150</v>
      </c>
      <c r="F140" t="s">
        <v>640</v>
      </c>
      <c r="G140" t="s">
        <v>641</v>
      </c>
      <c r="H140" t="s">
        <v>79</v>
      </c>
      <c r="I140" t="s">
        <v>491</v>
      </c>
      <c r="J140" t="s">
        <v>492</v>
      </c>
      <c r="K140" t="s">
        <v>492</v>
      </c>
      <c r="L140" t="s">
        <v>89</v>
      </c>
      <c r="M140" t="s">
        <v>90</v>
      </c>
      <c r="N140" t="s">
        <v>91</v>
      </c>
      <c r="O140" t="s">
        <v>92</v>
      </c>
      <c r="P140">
        <v>5.7000000000000002E-2</v>
      </c>
      <c r="Q140" t="s">
        <v>29</v>
      </c>
      <c r="R140" t="s">
        <v>30</v>
      </c>
    </row>
    <row r="141" spans="1:18" x14ac:dyDescent="0.25">
      <c r="A141">
        <v>2020</v>
      </c>
      <c r="B141">
        <v>29514</v>
      </c>
      <c r="C141" t="s">
        <v>642</v>
      </c>
      <c r="D141" t="s">
        <v>643</v>
      </c>
      <c r="E141">
        <v>562110</v>
      </c>
      <c r="F141" t="s">
        <v>644</v>
      </c>
      <c r="G141" t="s">
        <v>645</v>
      </c>
      <c r="H141" t="s">
        <v>85</v>
      </c>
      <c r="I141" t="s">
        <v>331</v>
      </c>
      <c r="J141" t="s">
        <v>332</v>
      </c>
      <c r="K141" t="s">
        <v>333</v>
      </c>
      <c r="L141" t="s">
        <v>89</v>
      </c>
      <c r="M141" t="s">
        <v>90</v>
      </c>
      <c r="N141" t="s">
        <v>91</v>
      </c>
      <c r="O141" t="s">
        <v>92</v>
      </c>
      <c r="P141">
        <v>3.7317999999999998</v>
      </c>
      <c r="Q141" t="s">
        <v>29</v>
      </c>
      <c r="R141" t="s">
        <v>50</v>
      </c>
    </row>
    <row r="142" spans="1:18" x14ac:dyDescent="0.25">
      <c r="A142">
        <v>1998</v>
      </c>
      <c r="B142">
        <v>1436</v>
      </c>
      <c r="C142" t="s">
        <v>646</v>
      </c>
      <c r="D142" t="s">
        <v>647</v>
      </c>
      <c r="E142">
        <v>325999</v>
      </c>
      <c r="F142" t="s">
        <v>396</v>
      </c>
      <c r="G142" t="s">
        <v>397</v>
      </c>
      <c r="H142" t="s">
        <v>21</v>
      </c>
      <c r="I142" t="s">
        <v>648</v>
      </c>
      <c r="J142" t="s">
        <v>649</v>
      </c>
      <c r="K142" t="s">
        <v>650</v>
      </c>
      <c r="L142" t="s">
        <v>89</v>
      </c>
      <c r="M142" t="s">
        <v>90</v>
      </c>
      <c r="N142" t="s">
        <v>166</v>
      </c>
      <c r="O142" t="s">
        <v>167</v>
      </c>
      <c r="P142">
        <v>15.5</v>
      </c>
      <c r="Q142" t="s">
        <v>29</v>
      </c>
      <c r="R142" t="s">
        <v>50</v>
      </c>
    </row>
    <row r="143" spans="1:18" x14ac:dyDescent="0.25">
      <c r="A143">
        <v>2020</v>
      </c>
      <c r="B143">
        <v>3707</v>
      </c>
      <c r="C143" t="s">
        <v>194</v>
      </c>
      <c r="D143" t="s">
        <v>651</v>
      </c>
      <c r="E143">
        <v>324110</v>
      </c>
      <c r="F143" t="s">
        <v>196</v>
      </c>
      <c r="G143" t="s">
        <v>96</v>
      </c>
      <c r="H143" t="s">
        <v>85</v>
      </c>
      <c r="I143" t="s">
        <v>70</v>
      </c>
      <c r="J143" t="s">
        <v>71</v>
      </c>
      <c r="K143" t="s">
        <v>72</v>
      </c>
      <c r="L143" t="s">
        <v>25</v>
      </c>
      <c r="M143" t="s">
        <v>26</v>
      </c>
      <c r="N143" t="s">
        <v>27</v>
      </c>
      <c r="O143" t="s">
        <v>28</v>
      </c>
      <c r="P143">
        <v>3.0899999999999999E-3</v>
      </c>
      <c r="Q143" t="s">
        <v>29</v>
      </c>
      <c r="R143" t="s">
        <v>30</v>
      </c>
    </row>
    <row r="144" spans="1:18" x14ac:dyDescent="0.25">
      <c r="A144">
        <v>2005</v>
      </c>
      <c r="B144">
        <v>5455</v>
      </c>
      <c r="C144" t="s">
        <v>652</v>
      </c>
      <c r="D144" t="s">
        <v>653</v>
      </c>
      <c r="E144">
        <v>562990</v>
      </c>
      <c r="F144" t="s">
        <v>104</v>
      </c>
      <c r="G144" t="s">
        <v>105</v>
      </c>
      <c r="H144" t="s">
        <v>79</v>
      </c>
      <c r="I144" t="s">
        <v>70</v>
      </c>
      <c r="J144" t="s">
        <v>71</v>
      </c>
      <c r="K144" t="s">
        <v>72</v>
      </c>
      <c r="L144" t="s">
        <v>89</v>
      </c>
      <c r="M144" t="s">
        <v>90</v>
      </c>
      <c r="N144" t="s">
        <v>166</v>
      </c>
      <c r="O144" t="s">
        <v>167</v>
      </c>
      <c r="P144">
        <v>59.3</v>
      </c>
      <c r="Q144" t="s">
        <v>29</v>
      </c>
      <c r="R144" t="s">
        <v>30</v>
      </c>
    </row>
    <row r="145" spans="1:18" x14ac:dyDescent="0.25">
      <c r="A145">
        <v>2016</v>
      </c>
      <c r="B145">
        <v>4717</v>
      </c>
      <c r="C145" t="s">
        <v>654</v>
      </c>
      <c r="D145" t="s">
        <v>655</v>
      </c>
      <c r="E145">
        <v>331210</v>
      </c>
      <c r="F145" t="s">
        <v>656</v>
      </c>
      <c r="G145" t="s">
        <v>657</v>
      </c>
      <c r="H145" t="s">
        <v>21</v>
      </c>
      <c r="I145" t="s">
        <v>136</v>
      </c>
      <c r="J145" t="s">
        <v>137</v>
      </c>
      <c r="K145" t="s">
        <v>138</v>
      </c>
      <c r="L145" t="s">
        <v>25</v>
      </c>
      <c r="M145" t="s">
        <v>26</v>
      </c>
      <c r="N145" t="s">
        <v>38</v>
      </c>
      <c r="O145" t="s">
        <v>39</v>
      </c>
      <c r="P145">
        <v>2</v>
      </c>
      <c r="Q145" t="s">
        <v>29</v>
      </c>
      <c r="R145" t="s">
        <v>50</v>
      </c>
    </row>
    <row r="146" spans="1:18" x14ac:dyDescent="0.25">
      <c r="A146">
        <v>2013</v>
      </c>
      <c r="B146">
        <v>2181</v>
      </c>
      <c r="C146" t="s">
        <v>658</v>
      </c>
      <c r="D146" t="s">
        <v>659</v>
      </c>
      <c r="E146">
        <v>322112</v>
      </c>
      <c r="F146" t="s">
        <v>660</v>
      </c>
      <c r="G146" t="s">
        <v>621</v>
      </c>
      <c r="H146" t="s">
        <v>661</v>
      </c>
      <c r="I146" t="s">
        <v>244</v>
      </c>
      <c r="J146" t="s">
        <v>245</v>
      </c>
      <c r="K146" t="s">
        <v>246</v>
      </c>
      <c r="L146" t="s">
        <v>89</v>
      </c>
      <c r="M146" t="s">
        <v>90</v>
      </c>
      <c r="N146" t="s">
        <v>472</v>
      </c>
      <c r="O146" t="s">
        <v>473</v>
      </c>
      <c r="P146">
        <v>42.7</v>
      </c>
      <c r="Q146" t="s">
        <v>40</v>
      </c>
      <c r="R146" t="s">
        <v>430</v>
      </c>
    </row>
    <row r="147" spans="1:18" x14ac:dyDescent="0.25">
      <c r="A147">
        <v>1994</v>
      </c>
      <c r="B147">
        <v>800</v>
      </c>
      <c r="C147" t="s">
        <v>662</v>
      </c>
      <c r="D147" t="s">
        <v>663</v>
      </c>
      <c r="E147">
        <v>325610</v>
      </c>
      <c r="F147" t="s">
        <v>612</v>
      </c>
      <c r="G147" t="s">
        <v>613</v>
      </c>
      <c r="H147" t="s">
        <v>21</v>
      </c>
      <c r="I147" t="s">
        <v>271</v>
      </c>
      <c r="J147" t="s">
        <v>387</v>
      </c>
      <c r="K147" t="s">
        <v>388</v>
      </c>
      <c r="L147" t="s">
        <v>25</v>
      </c>
      <c r="M147" t="s">
        <v>26</v>
      </c>
      <c r="N147" t="s">
        <v>48</v>
      </c>
      <c r="O147" t="s">
        <v>49</v>
      </c>
      <c r="P147">
        <v>65.334999999999994</v>
      </c>
      <c r="Q147" t="s">
        <v>29</v>
      </c>
      <c r="R147" t="s">
        <v>30</v>
      </c>
    </row>
    <row r="148" spans="1:18" x14ac:dyDescent="0.25">
      <c r="A148">
        <v>2013</v>
      </c>
      <c r="B148">
        <v>2133</v>
      </c>
      <c r="C148" t="s">
        <v>664</v>
      </c>
      <c r="D148" t="s">
        <v>665</v>
      </c>
      <c r="E148">
        <v>324190</v>
      </c>
      <c r="F148" t="s">
        <v>666</v>
      </c>
      <c r="G148" t="s">
        <v>667</v>
      </c>
      <c r="H148" t="s">
        <v>21</v>
      </c>
      <c r="I148" t="s">
        <v>668</v>
      </c>
      <c r="J148" t="s">
        <v>669</v>
      </c>
      <c r="K148" t="s">
        <v>670</v>
      </c>
      <c r="L148" t="s">
        <v>89</v>
      </c>
      <c r="M148" t="s">
        <v>90</v>
      </c>
      <c r="N148" t="s">
        <v>91</v>
      </c>
      <c r="O148" t="s">
        <v>92</v>
      </c>
      <c r="P148">
        <v>6.4000000000000001E-2</v>
      </c>
      <c r="Q148" t="s">
        <v>29</v>
      </c>
      <c r="R148" t="s">
        <v>30</v>
      </c>
    </row>
    <row r="149" spans="1:18" x14ac:dyDescent="0.25">
      <c r="A149">
        <v>2001</v>
      </c>
      <c r="B149">
        <v>5151</v>
      </c>
      <c r="C149" t="s">
        <v>671</v>
      </c>
      <c r="E149">
        <v>325510</v>
      </c>
      <c r="F149" t="s">
        <v>143</v>
      </c>
      <c r="G149" t="s">
        <v>112</v>
      </c>
      <c r="H149" t="s">
        <v>69</v>
      </c>
      <c r="I149" t="s">
        <v>152</v>
      </c>
      <c r="J149" t="s">
        <v>153</v>
      </c>
      <c r="K149" t="s">
        <v>154</v>
      </c>
      <c r="L149" t="s">
        <v>89</v>
      </c>
      <c r="M149" t="s">
        <v>90</v>
      </c>
      <c r="N149" t="s">
        <v>166</v>
      </c>
      <c r="O149" t="s">
        <v>167</v>
      </c>
      <c r="P149">
        <v>0.1</v>
      </c>
      <c r="Q149" t="s">
        <v>29</v>
      </c>
      <c r="R149" t="s">
        <v>50</v>
      </c>
    </row>
    <row r="150" spans="1:18" x14ac:dyDescent="0.25">
      <c r="A150">
        <v>2017</v>
      </c>
      <c r="B150">
        <v>11440</v>
      </c>
      <c r="C150" t="s">
        <v>672</v>
      </c>
      <c r="D150" t="s">
        <v>673</v>
      </c>
      <c r="E150">
        <v>336330</v>
      </c>
      <c r="F150" t="s">
        <v>674</v>
      </c>
      <c r="G150" t="s">
        <v>675</v>
      </c>
      <c r="H150" t="s">
        <v>21</v>
      </c>
      <c r="I150" t="s">
        <v>177</v>
      </c>
      <c r="J150" t="s">
        <v>178</v>
      </c>
      <c r="K150" t="s">
        <v>179</v>
      </c>
      <c r="L150" t="s">
        <v>25</v>
      </c>
      <c r="M150" t="s">
        <v>26</v>
      </c>
      <c r="N150" t="s">
        <v>38</v>
      </c>
      <c r="O150" t="s">
        <v>39</v>
      </c>
      <c r="P150">
        <v>28.4</v>
      </c>
      <c r="Q150" t="s">
        <v>29</v>
      </c>
      <c r="R150" t="s">
        <v>50</v>
      </c>
    </row>
    <row r="151" spans="1:18" x14ac:dyDescent="0.25">
      <c r="A151">
        <v>1998</v>
      </c>
      <c r="B151">
        <v>3111</v>
      </c>
      <c r="C151" t="s">
        <v>591</v>
      </c>
      <c r="E151">
        <v>332999</v>
      </c>
      <c r="F151" t="s">
        <v>309</v>
      </c>
      <c r="G151" t="s">
        <v>304</v>
      </c>
      <c r="H151" t="s">
        <v>21</v>
      </c>
      <c r="I151" t="s">
        <v>177</v>
      </c>
      <c r="J151" t="s">
        <v>178</v>
      </c>
      <c r="K151" t="s">
        <v>179</v>
      </c>
      <c r="L151" t="s">
        <v>89</v>
      </c>
      <c r="M151" t="s">
        <v>90</v>
      </c>
      <c r="N151" t="s">
        <v>100</v>
      </c>
      <c r="O151" t="s">
        <v>101</v>
      </c>
      <c r="P151">
        <v>0.92900000000000005</v>
      </c>
      <c r="Q151" t="s">
        <v>29</v>
      </c>
      <c r="R151" t="s">
        <v>442</v>
      </c>
    </row>
    <row r="152" spans="1:18" x14ac:dyDescent="0.25">
      <c r="A152">
        <v>2020</v>
      </c>
      <c r="B152">
        <v>390</v>
      </c>
      <c r="C152" t="s">
        <v>676</v>
      </c>
      <c r="D152" t="s">
        <v>677</v>
      </c>
      <c r="E152">
        <v>336410</v>
      </c>
      <c r="F152" t="s">
        <v>280</v>
      </c>
      <c r="G152" t="s">
        <v>261</v>
      </c>
      <c r="H152" t="s">
        <v>79</v>
      </c>
      <c r="I152" t="s">
        <v>337</v>
      </c>
      <c r="J152" t="s">
        <v>338</v>
      </c>
      <c r="K152" t="s">
        <v>339</v>
      </c>
      <c r="L152" t="s">
        <v>89</v>
      </c>
      <c r="M152" t="s">
        <v>90</v>
      </c>
      <c r="N152" t="s">
        <v>91</v>
      </c>
      <c r="O152" t="s">
        <v>92</v>
      </c>
      <c r="P152">
        <v>7.09</v>
      </c>
      <c r="Q152" t="s">
        <v>29</v>
      </c>
      <c r="R152" t="s">
        <v>50</v>
      </c>
    </row>
    <row r="153" spans="1:18" x14ac:dyDescent="0.25">
      <c r="A153">
        <v>2017</v>
      </c>
      <c r="B153">
        <v>397</v>
      </c>
      <c r="C153" t="s">
        <v>41</v>
      </c>
      <c r="D153" t="s">
        <v>42</v>
      </c>
      <c r="E153">
        <v>336110</v>
      </c>
      <c r="F153" t="s">
        <v>43</v>
      </c>
      <c r="G153" t="s">
        <v>44</v>
      </c>
      <c r="H153" t="s">
        <v>21</v>
      </c>
      <c r="I153" t="s">
        <v>129</v>
      </c>
      <c r="J153" t="s">
        <v>130</v>
      </c>
      <c r="K153" t="s">
        <v>131</v>
      </c>
      <c r="L153" t="s">
        <v>25</v>
      </c>
      <c r="M153" t="s">
        <v>26</v>
      </c>
      <c r="N153" t="s">
        <v>27</v>
      </c>
      <c r="O153" t="s">
        <v>28</v>
      </c>
      <c r="P153">
        <v>78.763000000000005</v>
      </c>
      <c r="Q153" t="s">
        <v>29</v>
      </c>
      <c r="R153" t="s">
        <v>50</v>
      </c>
    </row>
    <row r="154" spans="1:18" x14ac:dyDescent="0.25">
      <c r="A154">
        <v>2020</v>
      </c>
      <c r="B154">
        <v>29768</v>
      </c>
      <c r="C154" t="s">
        <v>678</v>
      </c>
      <c r="D154" t="s">
        <v>679</v>
      </c>
      <c r="E154">
        <v>332999</v>
      </c>
      <c r="F154" t="s">
        <v>303</v>
      </c>
      <c r="G154" t="s">
        <v>304</v>
      </c>
      <c r="H154" t="s">
        <v>79</v>
      </c>
      <c r="I154" t="s">
        <v>184</v>
      </c>
      <c r="J154" t="s">
        <v>185</v>
      </c>
      <c r="K154" t="s">
        <v>186</v>
      </c>
      <c r="L154" t="s">
        <v>89</v>
      </c>
      <c r="M154" t="s">
        <v>90</v>
      </c>
      <c r="N154" t="s">
        <v>120</v>
      </c>
      <c r="O154" t="s">
        <v>121</v>
      </c>
      <c r="P154">
        <v>0.56999999999999995</v>
      </c>
      <c r="Q154" t="s">
        <v>40</v>
      </c>
      <c r="R154" t="s">
        <v>50</v>
      </c>
    </row>
    <row r="155" spans="1:18" x14ac:dyDescent="0.25">
      <c r="A155">
        <v>2010</v>
      </c>
      <c r="B155">
        <v>28621</v>
      </c>
      <c r="C155" t="s">
        <v>125</v>
      </c>
      <c r="D155" t="s">
        <v>680</v>
      </c>
      <c r="E155">
        <v>211113</v>
      </c>
      <c r="F155" t="s">
        <v>425</v>
      </c>
      <c r="G155" t="s">
        <v>426</v>
      </c>
      <c r="H155" t="s">
        <v>85</v>
      </c>
      <c r="I155" t="s">
        <v>55</v>
      </c>
      <c r="J155" t="s">
        <v>56</v>
      </c>
      <c r="K155" t="s">
        <v>57</v>
      </c>
      <c r="L155" t="s">
        <v>25</v>
      </c>
      <c r="M155" t="s">
        <v>26</v>
      </c>
      <c r="N155" t="s">
        <v>380</v>
      </c>
      <c r="O155" t="s">
        <v>381</v>
      </c>
      <c r="P155">
        <v>2.8820000000000001</v>
      </c>
      <c r="Q155" t="s">
        <v>29</v>
      </c>
    </row>
    <row r="156" spans="1:18" x14ac:dyDescent="0.25">
      <c r="A156">
        <v>2010</v>
      </c>
      <c r="B156">
        <v>3701</v>
      </c>
      <c r="C156" t="s">
        <v>125</v>
      </c>
      <c r="D156" t="s">
        <v>681</v>
      </c>
      <c r="E156">
        <v>324110</v>
      </c>
      <c r="F156" t="s">
        <v>95</v>
      </c>
      <c r="G156" t="s">
        <v>96</v>
      </c>
      <c r="H156" t="s">
        <v>21</v>
      </c>
      <c r="I156" t="s">
        <v>682</v>
      </c>
      <c r="J156" t="s">
        <v>683</v>
      </c>
      <c r="K156" t="s">
        <v>684</v>
      </c>
      <c r="L156" t="s">
        <v>89</v>
      </c>
      <c r="M156" t="s">
        <v>90</v>
      </c>
      <c r="N156" t="s">
        <v>166</v>
      </c>
      <c r="O156" t="s">
        <v>167</v>
      </c>
      <c r="P156">
        <v>4.1999999999999997E-3</v>
      </c>
      <c r="Q156" t="s">
        <v>29</v>
      </c>
      <c r="R156" t="s">
        <v>124</v>
      </c>
    </row>
    <row r="157" spans="1:18" x14ac:dyDescent="0.25">
      <c r="A157">
        <v>2014</v>
      </c>
      <c r="B157">
        <v>3713</v>
      </c>
      <c r="C157" t="s">
        <v>685</v>
      </c>
      <c r="D157" t="s">
        <v>686</v>
      </c>
      <c r="E157">
        <v>331110</v>
      </c>
      <c r="F157" t="s">
        <v>627</v>
      </c>
      <c r="G157" t="s">
        <v>336</v>
      </c>
      <c r="H157" t="s">
        <v>21</v>
      </c>
      <c r="I157" t="s">
        <v>500</v>
      </c>
      <c r="J157" t="s">
        <v>501</v>
      </c>
      <c r="K157" t="s">
        <v>502</v>
      </c>
      <c r="L157" t="s">
        <v>25</v>
      </c>
      <c r="M157" t="s">
        <v>26</v>
      </c>
      <c r="N157" t="s">
        <v>38</v>
      </c>
      <c r="O157" t="s">
        <v>39</v>
      </c>
      <c r="P157">
        <v>3178.5272</v>
      </c>
      <c r="Q157" t="s">
        <v>40</v>
      </c>
      <c r="R157" t="s">
        <v>50</v>
      </c>
    </row>
    <row r="158" spans="1:18" x14ac:dyDescent="0.25">
      <c r="A158">
        <v>1998</v>
      </c>
      <c r="B158">
        <v>971</v>
      </c>
      <c r="C158" t="s">
        <v>687</v>
      </c>
      <c r="D158" t="s">
        <v>688</v>
      </c>
      <c r="E158">
        <v>332619</v>
      </c>
      <c r="F158" t="s">
        <v>689</v>
      </c>
      <c r="G158" t="s">
        <v>690</v>
      </c>
      <c r="H158" t="s">
        <v>243</v>
      </c>
      <c r="I158" t="s">
        <v>177</v>
      </c>
      <c r="J158" t="s">
        <v>178</v>
      </c>
      <c r="K158" t="s">
        <v>179</v>
      </c>
      <c r="L158" t="s">
        <v>25</v>
      </c>
      <c r="M158" t="s">
        <v>26</v>
      </c>
      <c r="N158" t="s">
        <v>38</v>
      </c>
      <c r="O158" t="s">
        <v>39</v>
      </c>
      <c r="P158">
        <v>119.3</v>
      </c>
      <c r="Q158" t="s">
        <v>29</v>
      </c>
      <c r="R158" t="s">
        <v>50</v>
      </c>
    </row>
    <row r="159" spans="1:18" x14ac:dyDescent="0.25">
      <c r="A159">
        <v>2011</v>
      </c>
      <c r="B159">
        <v>5647</v>
      </c>
      <c r="C159" t="s">
        <v>65</v>
      </c>
      <c r="D159" t="s">
        <v>691</v>
      </c>
      <c r="E159">
        <v>562210</v>
      </c>
      <c r="F159" t="s">
        <v>52</v>
      </c>
      <c r="G159" t="s">
        <v>53</v>
      </c>
      <c r="H159" t="s">
        <v>21</v>
      </c>
      <c r="I159" t="s">
        <v>97</v>
      </c>
      <c r="J159" t="s">
        <v>98</v>
      </c>
      <c r="K159" t="s">
        <v>99</v>
      </c>
      <c r="L159" t="s">
        <v>89</v>
      </c>
      <c r="M159" t="s">
        <v>90</v>
      </c>
      <c r="N159" t="s">
        <v>166</v>
      </c>
      <c r="O159" t="s">
        <v>167</v>
      </c>
      <c r="P159">
        <v>4.87</v>
      </c>
      <c r="Q159" t="s">
        <v>29</v>
      </c>
      <c r="R159" t="s">
        <v>157</v>
      </c>
    </row>
    <row r="160" spans="1:18" x14ac:dyDescent="0.25">
      <c r="A160">
        <v>2019</v>
      </c>
      <c r="B160">
        <v>31</v>
      </c>
      <c r="C160" t="s">
        <v>214</v>
      </c>
      <c r="D160" t="s">
        <v>215</v>
      </c>
      <c r="E160">
        <v>325510</v>
      </c>
      <c r="F160" t="s">
        <v>111</v>
      </c>
      <c r="G160" t="s">
        <v>112</v>
      </c>
      <c r="H160" t="s">
        <v>21</v>
      </c>
      <c r="I160" t="s">
        <v>129</v>
      </c>
      <c r="J160" t="s">
        <v>130</v>
      </c>
      <c r="K160" t="s">
        <v>131</v>
      </c>
      <c r="L160" t="s">
        <v>89</v>
      </c>
      <c r="M160" t="s">
        <v>90</v>
      </c>
      <c r="N160" t="s">
        <v>166</v>
      </c>
      <c r="O160" t="s">
        <v>167</v>
      </c>
      <c r="P160">
        <v>0.6</v>
      </c>
      <c r="Q160" t="s">
        <v>29</v>
      </c>
      <c r="R160" t="s">
        <v>30</v>
      </c>
    </row>
    <row r="161" spans="1:18" x14ac:dyDescent="0.25">
      <c r="A161">
        <v>2020</v>
      </c>
      <c r="B161">
        <v>31257</v>
      </c>
      <c r="C161" t="s">
        <v>692</v>
      </c>
      <c r="D161" t="s">
        <v>693</v>
      </c>
      <c r="E161">
        <v>332810</v>
      </c>
      <c r="F161" t="s">
        <v>361</v>
      </c>
      <c r="G161" t="s">
        <v>362</v>
      </c>
      <c r="H161" t="s">
        <v>21</v>
      </c>
      <c r="I161" t="s">
        <v>271</v>
      </c>
      <c r="J161" t="s">
        <v>272</v>
      </c>
      <c r="K161" t="s">
        <v>273</v>
      </c>
      <c r="L161" t="s">
        <v>25</v>
      </c>
      <c r="M161" t="s">
        <v>26</v>
      </c>
      <c r="N161" t="s">
        <v>27</v>
      </c>
      <c r="O161" t="s">
        <v>28</v>
      </c>
      <c r="P161">
        <v>4.4690000000000003</v>
      </c>
      <c r="Q161" t="s">
        <v>29</v>
      </c>
      <c r="R161" t="s">
        <v>50</v>
      </c>
    </row>
    <row r="162" spans="1:18" x14ac:dyDescent="0.25">
      <c r="A162">
        <v>2017</v>
      </c>
      <c r="B162">
        <v>3476</v>
      </c>
      <c r="C162" t="s">
        <v>262</v>
      </c>
      <c r="D162" t="s">
        <v>694</v>
      </c>
      <c r="E162">
        <v>336110</v>
      </c>
      <c r="F162" t="s">
        <v>43</v>
      </c>
      <c r="G162" t="s">
        <v>44</v>
      </c>
      <c r="H162" t="s">
        <v>21</v>
      </c>
      <c r="I162" t="s">
        <v>97</v>
      </c>
      <c r="J162" t="s">
        <v>98</v>
      </c>
      <c r="K162" t="s">
        <v>99</v>
      </c>
      <c r="L162" t="s">
        <v>89</v>
      </c>
      <c r="M162" t="s">
        <v>90</v>
      </c>
      <c r="N162" t="s">
        <v>100</v>
      </c>
      <c r="O162" t="s">
        <v>101</v>
      </c>
      <c r="P162">
        <v>5.524</v>
      </c>
      <c r="Q162" t="s">
        <v>29</v>
      </c>
      <c r="R162" t="s">
        <v>30</v>
      </c>
    </row>
    <row r="163" spans="1:18" x14ac:dyDescent="0.25">
      <c r="A163">
        <v>2021</v>
      </c>
      <c r="B163">
        <v>29768</v>
      </c>
      <c r="C163" t="s">
        <v>678</v>
      </c>
      <c r="D163" t="s">
        <v>679</v>
      </c>
      <c r="E163">
        <v>332999</v>
      </c>
      <c r="F163" t="s">
        <v>303</v>
      </c>
      <c r="G163" t="s">
        <v>304</v>
      </c>
      <c r="H163" t="s">
        <v>79</v>
      </c>
      <c r="I163" t="s">
        <v>62</v>
      </c>
      <c r="J163" t="s">
        <v>63</v>
      </c>
      <c r="K163" t="s">
        <v>64</v>
      </c>
      <c r="L163" t="s">
        <v>25</v>
      </c>
      <c r="M163" t="s">
        <v>26</v>
      </c>
      <c r="N163" t="s">
        <v>38</v>
      </c>
      <c r="O163" t="s">
        <v>39</v>
      </c>
      <c r="P163">
        <v>7.1599999999999997E-2</v>
      </c>
      <c r="Q163" t="s">
        <v>29</v>
      </c>
      <c r="R163" t="s">
        <v>50</v>
      </c>
    </row>
    <row r="164" spans="1:18" x14ac:dyDescent="0.25">
      <c r="A164">
        <v>2008</v>
      </c>
      <c r="B164">
        <v>5626</v>
      </c>
      <c r="C164" t="s">
        <v>695</v>
      </c>
      <c r="D164" t="s">
        <v>696</v>
      </c>
      <c r="E164">
        <v>332810</v>
      </c>
      <c r="F164" t="s">
        <v>237</v>
      </c>
      <c r="G164" t="s">
        <v>238</v>
      </c>
      <c r="H164" t="s">
        <v>21</v>
      </c>
      <c r="I164" t="s">
        <v>152</v>
      </c>
      <c r="J164" t="s">
        <v>153</v>
      </c>
      <c r="K164" t="s">
        <v>154</v>
      </c>
      <c r="L164" t="s">
        <v>25</v>
      </c>
      <c r="M164" t="s">
        <v>26</v>
      </c>
      <c r="N164" t="s">
        <v>38</v>
      </c>
      <c r="O164" t="s">
        <v>39</v>
      </c>
      <c r="P164">
        <v>331.37900000000002</v>
      </c>
      <c r="Q164" t="s">
        <v>29</v>
      </c>
      <c r="R164" t="s">
        <v>30</v>
      </c>
    </row>
    <row r="165" spans="1:18" x14ac:dyDescent="0.25">
      <c r="A165">
        <v>2003</v>
      </c>
      <c r="B165">
        <v>4571</v>
      </c>
      <c r="C165" t="s">
        <v>697</v>
      </c>
      <c r="E165">
        <v>325510</v>
      </c>
      <c r="F165" t="s">
        <v>143</v>
      </c>
      <c r="G165" t="s">
        <v>112</v>
      </c>
      <c r="H165" t="s">
        <v>79</v>
      </c>
      <c r="I165" t="s">
        <v>117</v>
      </c>
      <c r="J165" t="s">
        <v>118</v>
      </c>
      <c r="K165" t="s">
        <v>119</v>
      </c>
      <c r="L165" t="s">
        <v>89</v>
      </c>
      <c r="M165" t="s">
        <v>90</v>
      </c>
      <c r="N165" t="s">
        <v>166</v>
      </c>
      <c r="O165" t="s">
        <v>167</v>
      </c>
      <c r="P165">
        <v>12.24</v>
      </c>
      <c r="Q165" t="s">
        <v>29</v>
      </c>
      <c r="R165" t="s">
        <v>30</v>
      </c>
    </row>
    <row r="166" spans="1:18" x14ac:dyDescent="0.25">
      <c r="A166">
        <v>1996</v>
      </c>
      <c r="B166">
        <v>2331</v>
      </c>
      <c r="C166" t="s">
        <v>698</v>
      </c>
      <c r="D166" t="s">
        <v>699</v>
      </c>
      <c r="E166">
        <v>325510</v>
      </c>
      <c r="F166" t="s">
        <v>143</v>
      </c>
      <c r="G166" t="s">
        <v>112</v>
      </c>
      <c r="H166" t="s">
        <v>21</v>
      </c>
      <c r="I166" t="s">
        <v>271</v>
      </c>
      <c r="J166" t="s">
        <v>387</v>
      </c>
      <c r="K166" t="s">
        <v>388</v>
      </c>
      <c r="L166" t="s">
        <v>25</v>
      </c>
      <c r="M166" t="s">
        <v>26</v>
      </c>
      <c r="N166" t="s">
        <v>48</v>
      </c>
      <c r="O166" t="s">
        <v>49</v>
      </c>
      <c r="P166">
        <v>4.2530000000000001</v>
      </c>
      <c r="Q166" t="s">
        <v>29</v>
      </c>
      <c r="R166" t="s">
        <v>30</v>
      </c>
    </row>
    <row r="167" spans="1:18" x14ac:dyDescent="0.25">
      <c r="A167">
        <v>2009</v>
      </c>
      <c r="B167">
        <v>2909</v>
      </c>
      <c r="C167" t="s">
        <v>363</v>
      </c>
      <c r="D167" t="s">
        <v>700</v>
      </c>
      <c r="E167">
        <v>321114</v>
      </c>
      <c r="F167" t="s">
        <v>365</v>
      </c>
      <c r="G167" t="s">
        <v>366</v>
      </c>
      <c r="H167" t="s">
        <v>79</v>
      </c>
      <c r="I167" t="s">
        <v>209</v>
      </c>
      <c r="J167" t="s">
        <v>210</v>
      </c>
      <c r="K167" t="s">
        <v>211</v>
      </c>
      <c r="L167" t="s">
        <v>89</v>
      </c>
      <c r="M167" t="s">
        <v>90</v>
      </c>
      <c r="N167" t="s">
        <v>166</v>
      </c>
      <c r="O167" t="s">
        <v>167</v>
      </c>
      <c r="P167">
        <v>0.115</v>
      </c>
      <c r="Q167" t="s">
        <v>29</v>
      </c>
      <c r="R167" t="s">
        <v>124</v>
      </c>
    </row>
    <row r="168" spans="1:18" x14ac:dyDescent="0.25">
      <c r="A168">
        <v>1995</v>
      </c>
      <c r="B168">
        <v>2070</v>
      </c>
      <c r="C168" t="s">
        <v>701</v>
      </c>
      <c r="E168">
        <v>324190</v>
      </c>
      <c r="F168" t="s">
        <v>702</v>
      </c>
      <c r="G168" t="s">
        <v>667</v>
      </c>
      <c r="H168" t="s">
        <v>21</v>
      </c>
      <c r="I168" t="s">
        <v>703</v>
      </c>
      <c r="J168" t="s">
        <v>704</v>
      </c>
      <c r="K168" t="s">
        <v>705</v>
      </c>
      <c r="L168" t="s">
        <v>89</v>
      </c>
      <c r="M168" t="s">
        <v>90</v>
      </c>
      <c r="N168" t="s">
        <v>100</v>
      </c>
      <c r="O168" t="s">
        <v>101</v>
      </c>
      <c r="P168">
        <v>0.05</v>
      </c>
      <c r="Q168" t="s">
        <v>29</v>
      </c>
      <c r="R168" t="s">
        <v>30</v>
      </c>
    </row>
    <row r="169" spans="1:18" x14ac:dyDescent="0.25">
      <c r="A169">
        <v>2005</v>
      </c>
      <c r="B169">
        <v>7040</v>
      </c>
      <c r="C169" t="s">
        <v>706</v>
      </c>
      <c r="D169" t="s">
        <v>707</v>
      </c>
      <c r="E169">
        <v>331511</v>
      </c>
      <c r="F169" t="s">
        <v>160</v>
      </c>
      <c r="G169" t="s">
        <v>161</v>
      </c>
      <c r="H169" t="s">
        <v>21</v>
      </c>
      <c r="I169" t="s">
        <v>136</v>
      </c>
      <c r="J169" t="s">
        <v>137</v>
      </c>
      <c r="K169" t="s">
        <v>138</v>
      </c>
      <c r="L169" t="s">
        <v>25</v>
      </c>
      <c r="M169" t="s">
        <v>26</v>
      </c>
      <c r="N169" t="s">
        <v>155</v>
      </c>
      <c r="O169" t="s">
        <v>156</v>
      </c>
      <c r="P169">
        <v>17.992000000000001</v>
      </c>
      <c r="Q169" t="s">
        <v>29</v>
      </c>
      <c r="R169" t="s">
        <v>124</v>
      </c>
    </row>
    <row r="170" spans="1:18" x14ac:dyDescent="0.25">
      <c r="A170">
        <v>2012</v>
      </c>
      <c r="B170">
        <v>8727</v>
      </c>
      <c r="C170" t="s">
        <v>708</v>
      </c>
      <c r="D170" t="s">
        <v>709</v>
      </c>
      <c r="E170">
        <v>327330</v>
      </c>
      <c r="F170" t="s">
        <v>710</v>
      </c>
      <c r="G170" t="s">
        <v>711</v>
      </c>
      <c r="H170" t="s">
        <v>79</v>
      </c>
      <c r="I170" t="s">
        <v>136</v>
      </c>
      <c r="J170" t="s">
        <v>137</v>
      </c>
      <c r="K170" t="s">
        <v>138</v>
      </c>
      <c r="L170" t="s">
        <v>25</v>
      </c>
      <c r="M170" t="s">
        <v>26</v>
      </c>
      <c r="N170" t="s">
        <v>38</v>
      </c>
      <c r="O170" t="s">
        <v>39</v>
      </c>
      <c r="P170">
        <v>4.2149999999999999</v>
      </c>
      <c r="Q170" t="s">
        <v>29</v>
      </c>
      <c r="R170" t="s">
        <v>50</v>
      </c>
    </row>
    <row r="171" spans="1:18" x14ac:dyDescent="0.25">
      <c r="A171">
        <v>2017</v>
      </c>
      <c r="B171">
        <v>8645</v>
      </c>
      <c r="C171" t="s">
        <v>642</v>
      </c>
      <c r="D171" t="s">
        <v>712</v>
      </c>
      <c r="E171">
        <v>562110</v>
      </c>
      <c r="F171" t="s">
        <v>644</v>
      </c>
      <c r="G171" t="s">
        <v>645</v>
      </c>
      <c r="H171" t="s">
        <v>79</v>
      </c>
      <c r="I171" t="s">
        <v>520</v>
      </c>
      <c r="J171" t="s">
        <v>521</v>
      </c>
      <c r="K171" t="s">
        <v>522</v>
      </c>
      <c r="L171" t="s">
        <v>89</v>
      </c>
      <c r="M171" t="s">
        <v>90</v>
      </c>
      <c r="N171" t="s">
        <v>166</v>
      </c>
      <c r="O171" t="s">
        <v>167</v>
      </c>
      <c r="P171">
        <v>17.946400000000001</v>
      </c>
      <c r="Q171" t="s">
        <v>29</v>
      </c>
      <c r="R171" t="s">
        <v>50</v>
      </c>
    </row>
    <row r="172" spans="1:18" x14ac:dyDescent="0.25">
      <c r="A172">
        <v>2013</v>
      </c>
      <c r="B172">
        <v>4399</v>
      </c>
      <c r="C172" t="s">
        <v>713</v>
      </c>
      <c r="D172" t="s">
        <v>714</v>
      </c>
      <c r="E172">
        <v>322299</v>
      </c>
      <c r="F172" t="s">
        <v>715</v>
      </c>
      <c r="G172" t="s">
        <v>716</v>
      </c>
      <c r="H172" t="s">
        <v>79</v>
      </c>
      <c r="I172" t="s">
        <v>70</v>
      </c>
      <c r="J172" t="s">
        <v>71</v>
      </c>
      <c r="K172" t="s">
        <v>72</v>
      </c>
      <c r="L172" t="s">
        <v>89</v>
      </c>
      <c r="M172" t="s">
        <v>90</v>
      </c>
      <c r="N172" t="s">
        <v>166</v>
      </c>
      <c r="O172" t="s">
        <v>167</v>
      </c>
      <c r="P172">
        <v>2.3340000000000001</v>
      </c>
      <c r="Q172" t="s">
        <v>29</v>
      </c>
      <c r="R172" t="s">
        <v>50</v>
      </c>
    </row>
    <row r="173" spans="1:18" x14ac:dyDescent="0.25">
      <c r="A173">
        <v>2005</v>
      </c>
      <c r="B173">
        <v>447</v>
      </c>
      <c r="C173" t="s">
        <v>717</v>
      </c>
      <c r="D173" t="s">
        <v>718</v>
      </c>
      <c r="E173">
        <v>312140</v>
      </c>
      <c r="F173" t="s">
        <v>719</v>
      </c>
      <c r="G173" t="s">
        <v>719</v>
      </c>
      <c r="H173" t="s">
        <v>79</v>
      </c>
      <c r="I173" t="s">
        <v>337</v>
      </c>
      <c r="J173" t="s">
        <v>338</v>
      </c>
      <c r="K173" t="s">
        <v>339</v>
      </c>
      <c r="L173" t="s">
        <v>89</v>
      </c>
      <c r="M173" t="s">
        <v>90</v>
      </c>
      <c r="N173" t="s">
        <v>100</v>
      </c>
      <c r="O173" t="s">
        <v>101</v>
      </c>
      <c r="P173">
        <v>17.593</v>
      </c>
      <c r="Q173" t="s">
        <v>29</v>
      </c>
      <c r="R173" t="s">
        <v>50</v>
      </c>
    </row>
    <row r="174" spans="1:18" x14ac:dyDescent="0.25">
      <c r="A174">
        <v>2010</v>
      </c>
      <c r="B174">
        <v>2578</v>
      </c>
      <c r="C174" t="s">
        <v>584</v>
      </c>
      <c r="D174" t="s">
        <v>585</v>
      </c>
      <c r="E174">
        <v>336370</v>
      </c>
      <c r="F174" t="s">
        <v>586</v>
      </c>
      <c r="G174" t="s">
        <v>587</v>
      </c>
      <c r="H174" t="s">
        <v>21</v>
      </c>
      <c r="I174" t="s">
        <v>152</v>
      </c>
      <c r="J174" t="s">
        <v>153</v>
      </c>
      <c r="K174" t="s">
        <v>154</v>
      </c>
      <c r="L174" t="s">
        <v>25</v>
      </c>
      <c r="M174" t="s">
        <v>26</v>
      </c>
      <c r="N174" t="s">
        <v>48</v>
      </c>
      <c r="O174" t="s">
        <v>49</v>
      </c>
      <c r="P174">
        <v>0</v>
      </c>
      <c r="Q174" t="s">
        <v>29</v>
      </c>
      <c r="R174" t="s">
        <v>50</v>
      </c>
    </row>
    <row r="175" spans="1:18" x14ac:dyDescent="0.25">
      <c r="A175">
        <v>2023</v>
      </c>
      <c r="B175">
        <v>1845</v>
      </c>
      <c r="C175" t="s">
        <v>720</v>
      </c>
      <c r="D175" t="s">
        <v>352</v>
      </c>
      <c r="E175">
        <v>311511</v>
      </c>
      <c r="F175" t="s">
        <v>721</v>
      </c>
      <c r="G175" t="s">
        <v>722</v>
      </c>
      <c r="H175" t="s">
        <v>21</v>
      </c>
      <c r="I175" t="s">
        <v>402</v>
      </c>
      <c r="J175" t="s">
        <v>403</v>
      </c>
      <c r="K175" t="s">
        <v>404</v>
      </c>
      <c r="L175" t="s">
        <v>89</v>
      </c>
      <c r="M175" t="s">
        <v>90</v>
      </c>
      <c r="N175" t="s">
        <v>100</v>
      </c>
      <c r="O175" t="s">
        <v>101</v>
      </c>
      <c r="P175">
        <v>62.27</v>
      </c>
      <c r="Q175" t="s">
        <v>29</v>
      </c>
      <c r="R175" t="s">
        <v>30</v>
      </c>
    </row>
    <row r="176" spans="1:18" x14ac:dyDescent="0.25">
      <c r="A176">
        <v>2006</v>
      </c>
      <c r="B176">
        <v>5429</v>
      </c>
      <c r="C176" t="s">
        <v>723</v>
      </c>
      <c r="D176" t="s">
        <v>724</v>
      </c>
      <c r="E176">
        <v>325999</v>
      </c>
      <c r="F176" t="s">
        <v>396</v>
      </c>
      <c r="G176" t="s">
        <v>397</v>
      </c>
      <c r="H176" t="s">
        <v>79</v>
      </c>
      <c r="I176" t="s">
        <v>648</v>
      </c>
      <c r="J176" t="s">
        <v>649</v>
      </c>
      <c r="K176" t="s">
        <v>650</v>
      </c>
      <c r="L176" t="s">
        <v>89</v>
      </c>
      <c r="M176" t="s">
        <v>90</v>
      </c>
      <c r="N176" t="s">
        <v>100</v>
      </c>
      <c r="O176" t="s">
        <v>101</v>
      </c>
      <c r="P176">
        <v>0</v>
      </c>
      <c r="Q176" t="s">
        <v>29</v>
      </c>
      <c r="R176" t="s">
        <v>725</v>
      </c>
    </row>
    <row r="177" spans="1:18" x14ac:dyDescent="0.25">
      <c r="A177">
        <v>2012</v>
      </c>
      <c r="B177">
        <v>2855</v>
      </c>
      <c r="C177" t="s">
        <v>726</v>
      </c>
      <c r="D177" t="s">
        <v>727</v>
      </c>
      <c r="E177">
        <v>325181</v>
      </c>
      <c r="F177" t="s">
        <v>728</v>
      </c>
      <c r="G177" t="s">
        <v>729</v>
      </c>
      <c r="H177" t="s">
        <v>79</v>
      </c>
      <c r="I177" t="s">
        <v>730</v>
      </c>
      <c r="J177" t="s">
        <v>731</v>
      </c>
      <c r="K177" t="s">
        <v>732</v>
      </c>
      <c r="L177" t="s">
        <v>89</v>
      </c>
      <c r="M177" t="s">
        <v>90</v>
      </c>
      <c r="N177" t="s">
        <v>166</v>
      </c>
      <c r="O177" t="s">
        <v>167</v>
      </c>
      <c r="P177">
        <v>10.231999999999999</v>
      </c>
      <c r="Q177" t="s">
        <v>29</v>
      </c>
      <c r="R177" t="s">
        <v>30</v>
      </c>
    </row>
    <row r="178" spans="1:18" x14ac:dyDescent="0.25">
      <c r="A178">
        <v>2023</v>
      </c>
      <c r="B178">
        <v>2604</v>
      </c>
      <c r="C178" t="s">
        <v>733</v>
      </c>
      <c r="D178" t="s">
        <v>733</v>
      </c>
      <c r="E178">
        <v>322112</v>
      </c>
      <c r="F178" t="s">
        <v>660</v>
      </c>
      <c r="G178" t="s">
        <v>621</v>
      </c>
      <c r="H178" t="s">
        <v>661</v>
      </c>
      <c r="I178" t="s">
        <v>367</v>
      </c>
      <c r="J178" t="s">
        <v>368</v>
      </c>
      <c r="K178" t="s">
        <v>369</v>
      </c>
      <c r="L178" t="s">
        <v>25</v>
      </c>
      <c r="M178" t="s">
        <v>26</v>
      </c>
      <c r="N178" t="s">
        <v>139</v>
      </c>
      <c r="O178" t="s">
        <v>140</v>
      </c>
      <c r="P178">
        <v>0.54828399999999999</v>
      </c>
      <c r="Q178" t="s">
        <v>40</v>
      </c>
      <c r="R178" t="s">
        <v>430</v>
      </c>
    </row>
    <row r="179" spans="1:18" x14ac:dyDescent="0.25">
      <c r="A179">
        <v>2011</v>
      </c>
      <c r="B179">
        <v>6792</v>
      </c>
      <c r="C179" t="s">
        <v>65</v>
      </c>
      <c r="D179" t="s">
        <v>734</v>
      </c>
      <c r="E179">
        <v>562920</v>
      </c>
      <c r="F179" t="s">
        <v>735</v>
      </c>
      <c r="G179" t="s">
        <v>330</v>
      </c>
      <c r="H179" t="s">
        <v>69</v>
      </c>
      <c r="I179" t="s">
        <v>55</v>
      </c>
      <c r="J179" t="s">
        <v>56</v>
      </c>
      <c r="K179" t="s">
        <v>57</v>
      </c>
      <c r="L179" t="s">
        <v>89</v>
      </c>
      <c r="M179" t="s">
        <v>90</v>
      </c>
      <c r="N179" t="s">
        <v>166</v>
      </c>
      <c r="O179" t="s">
        <v>167</v>
      </c>
      <c r="P179">
        <v>1.387</v>
      </c>
      <c r="Q179" t="s">
        <v>29</v>
      </c>
      <c r="R179" t="s">
        <v>50</v>
      </c>
    </row>
    <row r="180" spans="1:18" x14ac:dyDescent="0.25">
      <c r="A180">
        <v>1999</v>
      </c>
      <c r="B180">
        <v>5606</v>
      </c>
      <c r="C180" t="s">
        <v>736</v>
      </c>
      <c r="D180" t="s">
        <v>737</v>
      </c>
      <c r="E180">
        <v>337214</v>
      </c>
      <c r="F180" t="s">
        <v>738</v>
      </c>
      <c r="G180" t="s">
        <v>739</v>
      </c>
      <c r="H180" t="s">
        <v>21</v>
      </c>
      <c r="I180" t="s">
        <v>209</v>
      </c>
      <c r="J180" t="s">
        <v>210</v>
      </c>
      <c r="K180" t="s">
        <v>211</v>
      </c>
      <c r="L180" t="s">
        <v>25</v>
      </c>
      <c r="M180" t="s">
        <v>26</v>
      </c>
      <c r="N180" t="s">
        <v>38</v>
      </c>
      <c r="O180" t="s">
        <v>39</v>
      </c>
      <c r="P180">
        <v>12.5</v>
      </c>
      <c r="Q180" t="s">
        <v>29</v>
      </c>
      <c r="R180" t="s">
        <v>442</v>
      </c>
    </row>
    <row r="181" spans="1:18" x14ac:dyDescent="0.25">
      <c r="A181">
        <v>2018</v>
      </c>
      <c r="B181">
        <v>5927</v>
      </c>
      <c r="C181" t="s">
        <v>740</v>
      </c>
      <c r="D181" t="s">
        <v>741</v>
      </c>
      <c r="E181">
        <v>332999</v>
      </c>
      <c r="F181" t="s">
        <v>303</v>
      </c>
      <c r="G181" t="s">
        <v>304</v>
      </c>
      <c r="H181" t="s">
        <v>21</v>
      </c>
      <c r="I181" t="s">
        <v>97</v>
      </c>
      <c r="J181" t="s">
        <v>98</v>
      </c>
      <c r="K181" t="s">
        <v>99</v>
      </c>
      <c r="L181" t="s">
        <v>25</v>
      </c>
      <c r="M181" t="s">
        <v>26</v>
      </c>
      <c r="N181" t="s">
        <v>288</v>
      </c>
      <c r="O181" t="s">
        <v>289</v>
      </c>
      <c r="P181">
        <v>6.92</v>
      </c>
      <c r="Q181" t="s">
        <v>29</v>
      </c>
      <c r="R181" t="s">
        <v>30</v>
      </c>
    </row>
    <row r="182" spans="1:18" x14ac:dyDescent="0.25">
      <c r="A182">
        <v>2018</v>
      </c>
      <c r="B182">
        <v>762</v>
      </c>
      <c r="C182" t="s">
        <v>742</v>
      </c>
      <c r="D182" t="s">
        <v>743</v>
      </c>
      <c r="E182">
        <v>325510</v>
      </c>
      <c r="F182" t="s">
        <v>111</v>
      </c>
      <c r="G182" t="s">
        <v>112</v>
      </c>
      <c r="H182" t="s">
        <v>54</v>
      </c>
      <c r="I182" t="s">
        <v>80</v>
      </c>
      <c r="J182" t="s">
        <v>81</v>
      </c>
      <c r="K182" t="s">
        <v>82</v>
      </c>
      <c r="L182" t="s">
        <v>89</v>
      </c>
      <c r="M182" t="s">
        <v>90</v>
      </c>
      <c r="N182" t="s">
        <v>166</v>
      </c>
      <c r="O182" t="s">
        <v>167</v>
      </c>
      <c r="P182">
        <v>0.13700000000000001</v>
      </c>
      <c r="Q182" t="s">
        <v>29</v>
      </c>
      <c r="R182" t="s">
        <v>30</v>
      </c>
    </row>
    <row r="183" spans="1:18" x14ac:dyDescent="0.25">
      <c r="A183">
        <v>2022</v>
      </c>
      <c r="B183">
        <v>1931</v>
      </c>
      <c r="C183" t="s">
        <v>744</v>
      </c>
      <c r="D183" t="s">
        <v>745</v>
      </c>
      <c r="E183">
        <v>325510</v>
      </c>
      <c r="F183" t="s">
        <v>111</v>
      </c>
      <c r="G183" t="s">
        <v>112</v>
      </c>
      <c r="H183" t="s">
        <v>21</v>
      </c>
      <c r="I183" t="s">
        <v>427</v>
      </c>
      <c r="J183" t="s">
        <v>428</v>
      </c>
      <c r="K183" t="s">
        <v>429</v>
      </c>
      <c r="L183" t="s">
        <v>25</v>
      </c>
      <c r="M183" t="s">
        <v>26</v>
      </c>
      <c r="N183" t="s">
        <v>27</v>
      </c>
      <c r="O183" t="s">
        <v>28</v>
      </c>
      <c r="P183">
        <v>0.06</v>
      </c>
      <c r="Q183" t="s">
        <v>29</v>
      </c>
      <c r="R183" t="s">
        <v>30</v>
      </c>
    </row>
    <row r="184" spans="1:18" x14ac:dyDescent="0.25">
      <c r="A184">
        <v>2015</v>
      </c>
      <c r="B184">
        <v>10219</v>
      </c>
      <c r="C184" t="s">
        <v>125</v>
      </c>
      <c r="D184" t="s">
        <v>746</v>
      </c>
      <c r="E184">
        <v>412110</v>
      </c>
      <c r="F184" t="s">
        <v>127</v>
      </c>
      <c r="G184" t="s">
        <v>128</v>
      </c>
      <c r="H184" t="s">
        <v>21</v>
      </c>
      <c r="I184" t="s">
        <v>367</v>
      </c>
      <c r="J184" t="s">
        <v>368</v>
      </c>
      <c r="K184" t="s">
        <v>369</v>
      </c>
      <c r="L184" t="s">
        <v>25</v>
      </c>
      <c r="M184" t="s">
        <v>26</v>
      </c>
      <c r="N184" t="s">
        <v>155</v>
      </c>
      <c r="O184" t="s">
        <v>156</v>
      </c>
      <c r="P184">
        <v>0.56030000000000002</v>
      </c>
      <c r="Q184" t="s">
        <v>40</v>
      </c>
      <c r="R184" t="s">
        <v>30</v>
      </c>
    </row>
    <row r="185" spans="1:18" x14ac:dyDescent="0.25">
      <c r="A185">
        <v>2006</v>
      </c>
      <c r="B185">
        <v>3254</v>
      </c>
      <c r="C185" t="s">
        <v>747</v>
      </c>
      <c r="D185" t="s">
        <v>748</v>
      </c>
      <c r="E185">
        <v>336410</v>
      </c>
      <c r="F185" t="s">
        <v>260</v>
      </c>
      <c r="G185" t="s">
        <v>261</v>
      </c>
      <c r="H185" t="s">
        <v>79</v>
      </c>
      <c r="I185" t="s">
        <v>209</v>
      </c>
      <c r="J185" t="s">
        <v>210</v>
      </c>
      <c r="K185" t="s">
        <v>211</v>
      </c>
      <c r="L185" t="s">
        <v>89</v>
      </c>
      <c r="M185" t="s">
        <v>90</v>
      </c>
      <c r="N185" t="s">
        <v>100</v>
      </c>
      <c r="O185" t="s">
        <v>101</v>
      </c>
      <c r="P185">
        <v>1E-3</v>
      </c>
      <c r="Q185" t="s">
        <v>29</v>
      </c>
      <c r="R185" t="s">
        <v>50</v>
      </c>
    </row>
    <row r="186" spans="1:18" x14ac:dyDescent="0.25">
      <c r="A186">
        <v>2017</v>
      </c>
      <c r="B186">
        <v>7128</v>
      </c>
      <c r="C186" t="s">
        <v>749</v>
      </c>
      <c r="D186" t="s">
        <v>750</v>
      </c>
      <c r="E186">
        <v>332118</v>
      </c>
      <c r="F186" t="s">
        <v>459</v>
      </c>
      <c r="G186" t="s">
        <v>460</v>
      </c>
      <c r="H186" t="s">
        <v>21</v>
      </c>
      <c r="I186" t="s">
        <v>62</v>
      </c>
      <c r="J186" t="s">
        <v>63</v>
      </c>
      <c r="K186" t="s">
        <v>64</v>
      </c>
      <c r="L186" t="s">
        <v>25</v>
      </c>
      <c r="M186" t="s">
        <v>26</v>
      </c>
      <c r="N186" t="s">
        <v>38</v>
      </c>
      <c r="O186" t="s">
        <v>39</v>
      </c>
      <c r="P186">
        <v>4.6900000000000004</v>
      </c>
      <c r="Q186" t="s">
        <v>29</v>
      </c>
      <c r="R186" t="s">
        <v>50</v>
      </c>
    </row>
    <row r="187" spans="1:18" x14ac:dyDescent="0.25">
      <c r="A187">
        <v>2006</v>
      </c>
      <c r="B187">
        <v>4369</v>
      </c>
      <c r="C187" t="s">
        <v>751</v>
      </c>
      <c r="D187" t="s">
        <v>751</v>
      </c>
      <c r="E187">
        <v>325510</v>
      </c>
      <c r="F187" t="s">
        <v>143</v>
      </c>
      <c r="G187" t="s">
        <v>112</v>
      </c>
      <c r="H187" t="s">
        <v>79</v>
      </c>
      <c r="I187" t="s">
        <v>129</v>
      </c>
      <c r="J187" t="s">
        <v>130</v>
      </c>
      <c r="K187" t="s">
        <v>131</v>
      </c>
      <c r="L187" t="s">
        <v>89</v>
      </c>
      <c r="M187" t="s">
        <v>90</v>
      </c>
      <c r="N187" t="s">
        <v>166</v>
      </c>
      <c r="O187" t="s">
        <v>167</v>
      </c>
      <c r="P187">
        <v>0.11600000000000001</v>
      </c>
      <c r="Q187" t="s">
        <v>29</v>
      </c>
      <c r="R187" t="s">
        <v>30</v>
      </c>
    </row>
    <row r="188" spans="1:18" x14ac:dyDescent="0.25">
      <c r="A188">
        <v>2009</v>
      </c>
      <c r="B188">
        <v>11655</v>
      </c>
      <c r="C188" t="s">
        <v>752</v>
      </c>
      <c r="D188" t="s">
        <v>753</v>
      </c>
      <c r="E188">
        <v>332710</v>
      </c>
      <c r="F188" t="s">
        <v>754</v>
      </c>
      <c r="G188" t="s">
        <v>557</v>
      </c>
      <c r="H188" t="s">
        <v>21</v>
      </c>
      <c r="I188" t="s">
        <v>117</v>
      </c>
      <c r="J188" t="s">
        <v>118</v>
      </c>
      <c r="K188" t="s">
        <v>119</v>
      </c>
      <c r="L188" t="s">
        <v>25</v>
      </c>
      <c r="M188" t="s">
        <v>26</v>
      </c>
      <c r="N188" t="s">
        <v>38</v>
      </c>
      <c r="O188" t="s">
        <v>39</v>
      </c>
      <c r="P188">
        <v>0.13800000000000001</v>
      </c>
      <c r="Q188" t="s">
        <v>29</v>
      </c>
      <c r="R188" t="s">
        <v>258</v>
      </c>
    </row>
    <row r="189" spans="1:18" x14ac:dyDescent="0.25">
      <c r="A189">
        <v>2008</v>
      </c>
      <c r="B189">
        <v>3111</v>
      </c>
      <c r="C189" t="s">
        <v>755</v>
      </c>
      <c r="D189" t="s">
        <v>592</v>
      </c>
      <c r="E189">
        <v>332999</v>
      </c>
      <c r="F189" t="s">
        <v>309</v>
      </c>
      <c r="G189" t="s">
        <v>304</v>
      </c>
      <c r="H189" t="s">
        <v>21</v>
      </c>
      <c r="I189" t="s">
        <v>461</v>
      </c>
      <c r="J189" t="s">
        <v>462</v>
      </c>
      <c r="K189" t="s">
        <v>463</v>
      </c>
      <c r="L189" t="s">
        <v>89</v>
      </c>
      <c r="M189" t="s">
        <v>90</v>
      </c>
      <c r="N189" t="s">
        <v>100</v>
      </c>
      <c r="O189" t="s">
        <v>101</v>
      </c>
      <c r="P189">
        <v>73</v>
      </c>
      <c r="Q189" t="s">
        <v>40</v>
      </c>
      <c r="R189" t="s">
        <v>30</v>
      </c>
    </row>
    <row r="190" spans="1:18" x14ac:dyDescent="0.25">
      <c r="A190">
        <v>2014</v>
      </c>
      <c r="B190">
        <v>1931</v>
      </c>
      <c r="C190" t="s">
        <v>617</v>
      </c>
      <c r="D190" t="s">
        <v>745</v>
      </c>
      <c r="E190">
        <v>325510</v>
      </c>
      <c r="F190" t="s">
        <v>111</v>
      </c>
      <c r="G190" t="s">
        <v>112</v>
      </c>
      <c r="H190" t="s">
        <v>21</v>
      </c>
      <c r="I190" t="s">
        <v>80</v>
      </c>
      <c r="J190" t="s">
        <v>81</v>
      </c>
      <c r="K190" t="s">
        <v>82</v>
      </c>
      <c r="L190" t="s">
        <v>89</v>
      </c>
      <c r="M190" t="s">
        <v>90</v>
      </c>
      <c r="N190" t="s">
        <v>472</v>
      </c>
      <c r="O190" t="s">
        <v>473</v>
      </c>
      <c r="P190">
        <v>0</v>
      </c>
      <c r="Q190" t="s">
        <v>29</v>
      </c>
      <c r="R190" t="s">
        <v>30</v>
      </c>
    </row>
    <row r="191" spans="1:18" x14ac:dyDescent="0.25">
      <c r="A191">
        <v>2000</v>
      </c>
      <c r="B191">
        <v>3430</v>
      </c>
      <c r="C191" t="s">
        <v>756</v>
      </c>
      <c r="D191" t="s">
        <v>352</v>
      </c>
      <c r="E191">
        <v>325510</v>
      </c>
      <c r="F191" t="s">
        <v>143</v>
      </c>
      <c r="G191" t="s">
        <v>112</v>
      </c>
      <c r="H191" t="s">
        <v>21</v>
      </c>
      <c r="I191" t="s">
        <v>264</v>
      </c>
      <c r="J191" t="s">
        <v>265</v>
      </c>
      <c r="K191" t="s">
        <v>266</v>
      </c>
      <c r="L191" t="s">
        <v>89</v>
      </c>
      <c r="M191" t="s">
        <v>90</v>
      </c>
      <c r="N191" t="s">
        <v>100</v>
      </c>
      <c r="O191" t="s">
        <v>101</v>
      </c>
      <c r="P191">
        <v>2E-3</v>
      </c>
      <c r="Q191" t="s">
        <v>29</v>
      </c>
      <c r="R191" t="s">
        <v>50</v>
      </c>
    </row>
    <row r="192" spans="1:18" x14ac:dyDescent="0.25">
      <c r="A192">
        <v>1999</v>
      </c>
      <c r="B192">
        <v>4887</v>
      </c>
      <c r="C192" t="s">
        <v>757</v>
      </c>
      <c r="E192">
        <v>562110</v>
      </c>
      <c r="F192" t="s">
        <v>67</v>
      </c>
      <c r="G192" t="s">
        <v>68</v>
      </c>
      <c r="H192" t="s">
        <v>21</v>
      </c>
      <c r="I192" t="s">
        <v>331</v>
      </c>
      <c r="J192" t="s">
        <v>332</v>
      </c>
      <c r="K192" t="s">
        <v>333</v>
      </c>
      <c r="L192" t="s">
        <v>89</v>
      </c>
      <c r="M192" t="s">
        <v>90</v>
      </c>
      <c r="N192" t="s">
        <v>120</v>
      </c>
      <c r="O192" t="s">
        <v>121</v>
      </c>
      <c r="P192">
        <v>39.799999999999997</v>
      </c>
      <c r="Q192" t="s">
        <v>29</v>
      </c>
      <c r="R192" t="s">
        <v>442</v>
      </c>
    </row>
    <row r="193" spans="1:18" x14ac:dyDescent="0.25">
      <c r="A193">
        <v>1999</v>
      </c>
      <c r="B193">
        <v>4416</v>
      </c>
      <c r="C193" t="s">
        <v>758</v>
      </c>
      <c r="D193" t="s">
        <v>759</v>
      </c>
      <c r="E193">
        <v>331529</v>
      </c>
      <c r="F193" t="s">
        <v>760</v>
      </c>
      <c r="G193" t="s">
        <v>761</v>
      </c>
      <c r="H193" t="s">
        <v>21</v>
      </c>
      <c r="I193" t="s">
        <v>337</v>
      </c>
      <c r="J193" t="s">
        <v>338</v>
      </c>
      <c r="K193" t="s">
        <v>339</v>
      </c>
      <c r="L193" t="s">
        <v>89</v>
      </c>
      <c r="M193" t="s">
        <v>90</v>
      </c>
      <c r="N193" t="s">
        <v>166</v>
      </c>
      <c r="O193" t="s">
        <v>167</v>
      </c>
      <c r="P193">
        <v>2.38</v>
      </c>
      <c r="Q193" t="s">
        <v>29</v>
      </c>
      <c r="R193" t="s">
        <v>30</v>
      </c>
    </row>
    <row r="194" spans="1:18" x14ac:dyDescent="0.25">
      <c r="A194">
        <v>2002</v>
      </c>
      <c r="B194">
        <v>3875</v>
      </c>
      <c r="C194" t="s">
        <v>762</v>
      </c>
      <c r="D194" t="s">
        <v>763</v>
      </c>
      <c r="E194">
        <v>322121</v>
      </c>
      <c r="F194" t="s">
        <v>764</v>
      </c>
      <c r="G194" t="s">
        <v>765</v>
      </c>
      <c r="H194" t="s">
        <v>79</v>
      </c>
      <c r="I194" t="s">
        <v>461</v>
      </c>
      <c r="J194" t="s">
        <v>462</v>
      </c>
      <c r="K194" t="s">
        <v>463</v>
      </c>
      <c r="L194" t="s">
        <v>25</v>
      </c>
      <c r="M194" t="s">
        <v>26</v>
      </c>
      <c r="N194" t="s">
        <v>155</v>
      </c>
      <c r="O194" t="s">
        <v>156</v>
      </c>
      <c r="P194">
        <v>7.97</v>
      </c>
      <c r="Q194" t="s">
        <v>40</v>
      </c>
      <c r="R194" t="s">
        <v>204</v>
      </c>
    </row>
    <row r="195" spans="1:18" x14ac:dyDescent="0.25">
      <c r="A195">
        <v>2016</v>
      </c>
      <c r="B195">
        <v>1541</v>
      </c>
      <c r="C195" t="s">
        <v>766</v>
      </c>
      <c r="D195" t="s">
        <v>767</v>
      </c>
      <c r="E195">
        <v>331317</v>
      </c>
      <c r="F195" t="s">
        <v>768</v>
      </c>
      <c r="G195" t="s">
        <v>769</v>
      </c>
      <c r="H195" t="s">
        <v>85</v>
      </c>
      <c r="I195" t="s">
        <v>152</v>
      </c>
      <c r="J195" t="s">
        <v>153</v>
      </c>
      <c r="K195" t="s">
        <v>154</v>
      </c>
      <c r="L195" t="s">
        <v>89</v>
      </c>
      <c r="M195" t="s">
        <v>90</v>
      </c>
      <c r="N195" t="s">
        <v>166</v>
      </c>
      <c r="O195" t="s">
        <v>167</v>
      </c>
      <c r="P195">
        <v>3.0000000000000001E-3</v>
      </c>
      <c r="Q195" t="s">
        <v>29</v>
      </c>
      <c r="R195" t="s">
        <v>50</v>
      </c>
    </row>
    <row r="196" spans="1:18" x14ac:dyDescent="0.25">
      <c r="A196">
        <v>2019</v>
      </c>
      <c r="B196">
        <v>30726</v>
      </c>
      <c r="C196" t="s">
        <v>770</v>
      </c>
      <c r="D196" t="s">
        <v>771</v>
      </c>
      <c r="E196">
        <v>332319</v>
      </c>
      <c r="F196" t="s">
        <v>772</v>
      </c>
      <c r="G196" t="s">
        <v>773</v>
      </c>
      <c r="H196" t="s">
        <v>21</v>
      </c>
      <c r="I196" t="s">
        <v>209</v>
      </c>
      <c r="J196" t="s">
        <v>210</v>
      </c>
      <c r="K196" t="s">
        <v>211</v>
      </c>
      <c r="L196" t="s">
        <v>25</v>
      </c>
      <c r="M196" t="s">
        <v>26</v>
      </c>
      <c r="N196" t="s">
        <v>38</v>
      </c>
      <c r="O196" t="s">
        <v>39</v>
      </c>
      <c r="P196">
        <v>354.464</v>
      </c>
      <c r="Q196" t="s">
        <v>29</v>
      </c>
      <c r="R196" t="s">
        <v>30</v>
      </c>
    </row>
    <row r="197" spans="1:18" x14ac:dyDescent="0.25">
      <c r="A197">
        <v>2004</v>
      </c>
      <c r="B197">
        <v>4781</v>
      </c>
      <c r="C197" t="s">
        <v>375</v>
      </c>
      <c r="D197" t="s">
        <v>774</v>
      </c>
      <c r="E197">
        <v>336310</v>
      </c>
      <c r="F197" t="s">
        <v>775</v>
      </c>
      <c r="G197" t="s">
        <v>776</v>
      </c>
      <c r="H197" t="s">
        <v>21</v>
      </c>
      <c r="I197" t="s">
        <v>136</v>
      </c>
      <c r="J197" t="s">
        <v>137</v>
      </c>
      <c r="K197" t="s">
        <v>138</v>
      </c>
      <c r="L197" t="s">
        <v>25</v>
      </c>
      <c r="M197" t="s">
        <v>26</v>
      </c>
      <c r="N197" t="s">
        <v>38</v>
      </c>
      <c r="O197" t="s">
        <v>39</v>
      </c>
      <c r="P197">
        <v>185.56700000000001</v>
      </c>
      <c r="Q197" t="s">
        <v>29</v>
      </c>
      <c r="R197" t="s">
        <v>50</v>
      </c>
    </row>
    <row r="198" spans="1:18" x14ac:dyDescent="0.25">
      <c r="A198">
        <v>2015</v>
      </c>
      <c r="B198">
        <v>5686</v>
      </c>
      <c r="C198" t="s">
        <v>558</v>
      </c>
      <c r="D198" t="s">
        <v>777</v>
      </c>
      <c r="E198">
        <v>416210</v>
      </c>
      <c r="F198" t="s">
        <v>560</v>
      </c>
      <c r="G198" t="s">
        <v>561</v>
      </c>
      <c r="H198" t="s">
        <v>54</v>
      </c>
      <c r="I198" t="s">
        <v>62</v>
      </c>
      <c r="J198" t="s">
        <v>63</v>
      </c>
      <c r="K198" t="s">
        <v>64</v>
      </c>
      <c r="L198" t="s">
        <v>25</v>
      </c>
      <c r="M198" t="s">
        <v>26</v>
      </c>
      <c r="N198" t="s">
        <v>38</v>
      </c>
      <c r="O198" t="s">
        <v>39</v>
      </c>
      <c r="P198">
        <v>4.1500000000000004</v>
      </c>
      <c r="Q198" t="s">
        <v>29</v>
      </c>
      <c r="R198" t="s">
        <v>30</v>
      </c>
    </row>
    <row r="199" spans="1:18" x14ac:dyDescent="0.25">
      <c r="A199">
        <v>2015</v>
      </c>
      <c r="B199">
        <v>11576</v>
      </c>
      <c r="C199" t="s">
        <v>276</v>
      </c>
      <c r="D199" t="s">
        <v>277</v>
      </c>
      <c r="E199">
        <v>336110</v>
      </c>
      <c r="F199" t="s">
        <v>43</v>
      </c>
      <c r="G199" t="s">
        <v>44</v>
      </c>
      <c r="H199" t="s">
        <v>21</v>
      </c>
      <c r="I199" t="s">
        <v>778</v>
      </c>
      <c r="J199" t="s">
        <v>779</v>
      </c>
      <c r="K199" t="s">
        <v>780</v>
      </c>
      <c r="L199" t="s">
        <v>89</v>
      </c>
      <c r="M199" t="s">
        <v>90</v>
      </c>
      <c r="N199" t="s">
        <v>166</v>
      </c>
      <c r="O199" t="s">
        <v>167</v>
      </c>
      <c r="P199">
        <v>2.3E-2</v>
      </c>
      <c r="Q199" t="s">
        <v>29</v>
      </c>
      <c r="R199" t="s">
        <v>30</v>
      </c>
    </row>
    <row r="200" spans="1:18" x14ac:dyDescent="0.25">
      <c r="A200">
        <v>2014</v>
      </c>
      <c r="B200">
        <v>3201</v>
      </c>
      <c r="C200" t="s">
        <v>781</v>
      </c>
      <c r="D200" t="s">
        <v>782</v>
      </c>
      <c r="E200">
        <v>322220</v>
      </c>
      <c r="F200" t="s">
        <v>783</v>
      </c>
      <c r="G200" t="s">
        <v>190</v>
      </c>
      <c r="H200" t="s">
        <v>21</v>
      </c>
      <c r="I200" t="s">
        <v>80</v>
      </c>
      <c r="J200" t="s">
        <v>81</v>
      </c>
      <c r="K200" t="s">
        <v>82</v>
      </c>
      <c r="L200" t="s">
        <v>25</v>
      </c>
      <c r="M200" t="s">
        <v>26</v>
      </c>
      <c r="N200" t="s">
        <v>27</v>
      </c>
      <c r="O200" t="s">
        <v>28</v>
      </c>
      <c r="P200">
        <v>8.3219999999999992</v>
      </c>
      <c r="Q200" t="s">
        <v>29</v>
      </c>
      <c r="R200" t="s">
        <v>30</v>
      </c>
    </row>
    <row r="201" spans="1:18" x14ac:dyDescent="0.25">
      <c r="A201">
        <v>2016</v>
      </c>
      <c r="B201">
        <v>5247</v>
      </c>
      <c r="C201" t="s">
        <v>784</v>
      </c>
      <c r="D201" t="s">
        <v>785</v>
      </c>
      <c r="E201">
        <v>211113</v>
      </c>
      <c r="F201" t="s">
        <v>786</v>
      </c>
      <c r="G201" t="s">
        <v>426</v>
      </c>
      <c r="H201" t="s">
        <v>85</v>
      </c>
      <c r="I201" t="s">
        <v>55</v>
      </c>
      <c r="J201" t="s">
        <v>56</v>
      </c>
      <c r="K201" t="s">
        <v>57</v>
      </c>
      <c r="L201" t="s">
        <v>25</v>
      </c>
      <c r="M201" t="s">
        <v>26</v>
      </c>
      <c r="N201" t="s">
        <v>155</v>
      </c>
      <c r="O201" t="s">
        <v>156</v>
      </c>
      <c r="P201">
        <v>5.2089999999999996</v>
      </c>
      <c r="Q201" t="s">
        <v>29</v>
      </c>
      <c r="R201" t="s">
        <v>50</v>
      </c>
    </row>
    <row r="202" spans="1:18" x14ac:dyDescent="0.25">
      <c r="A202">
        <v>2021</v>
      </c>
      <c r="B202">
        <v>29526</v>
      </c>
      <c r="C202" t="s">
        <v>787</v>
      </c>
      <c r="D202" t="s">
        <v>788</v>
      </c>
      <c r="E202">
        <v>336212</v>
      </c>
      <c r="F202" t="s">
        <v>789</v>
      </c>
      <c r="G202" t="s">
        <v>790</v>
      </c>
      <c r="H202" t="s">
        <v>21</v>
      </c>
      <c r="I202" t="s">
        <v>136</v>
      </c>
      <c r="J202" t="s">
        <v>137</v>
      </c>
      <c r="K202" t="s">
        <v>138</v>
      </c>
      <c r="L202" t="s">
        <v>25</v>
      </c>
      <c r="M202" t="s">
        <v>26</v>
      </c>
      <c r="N202" t="s">
        <v>38</v>
      </c>
      <c r="O202" t="s">
        <v>39</v>
      </c>
      <c r="P202">
        <v>1.6319999999999999</v>
      </c>
      <c r="Q202" t="s">
        <v>29</v>
      </c>
      <c r="R202" t="s">
        <v>50</v>
      </c>
    </row>
    <row r="203" spans="1:18" x14ac:dyDescent="0.25">
      <c r="A203">
        <v>1996</v>
      </c>
      <c r="B203">
        <v>2704</v>
      </c>
      <c r="C203" t="s">
        <v>791</v>
      </c>
      <c r="D203" t="s">
        <v>792</v>
      </c>
      <c r="E203">
        <v>327910</v>
      </c>
      <c r="F203" t="s">
        <v>793</v>
      </c>
      <c r="G203" t="s">
        <v>794</v>
      </c>
      <c r="H203" t="s">
        <v>21</v>
      </c>
      <c r="I203" t="s">
        <v>209</v>
      </c>
      <c r="J203" t="s">
        <v>210</v>
      </c>
      <c r="K203" t="s">
        <v>211</v>
      </c>
      <c r="L203" t="s">
        <v>89</v>
      </c>
      <c r="M203" t="s">
        <v>90</v>
      </c>
      <c r="N203" t="s">
        <v>91</v>
      </c>
      <c r="O203" t="s">
        <v>92</v>
      </c>
      <c r="P203">
        <v>0.22</v>
      </c>
      <c r="Q203" t="s">
        <v>29</v>
      </c>
      <c r="R203" t="s">
        <v>30</v>
      </c>
    </row>
    <row r="204" spans="1:18" x14ac:dyDescent="0.25">
      <c r="A204">
        <v>2005</v>
      </c>
      <c r="B204">
        <v>5964</v>
      </c>
      <c r="C204" t="s">
        <v>795</v>
      </c>
      <c r="D204" t="s">
        <v>796</v>
      </c>
      <c r="E204">
        <v>332810</v>
      </c>
      <c r="F204" t="s">
        <v>237</v>
      </c>
      <c r="G204" t="s">
        <v>238</v>
      </c>
      <c r="H204" t="s">
        <v>21</v>
      </c>
      <c r="I204" t="s">
        <v>337</v>
      </c>
      <c r="J204" t="s">
        <v>338</v>
      </c>
      <c r="K204" t="s">
        <v>339</v>
      </c>
      <c r="L204" t="s">
        <v>89</v>
      </c>
      <c r="M204" t="s">
        <v>90</v>
      </c>
      <c r="N204" t="s">
        <v>91</v>
      </c>
      <c r="O204" t="s">
        <v>92</v>
      </c>
      <c r="P204">
        <v>15.82</v>
      </c>
      <c r="Q204" t="s">
        <v>29</v>
      </c>
      <c r="R204" t="s">
        <v>50</v>
      </c>
    </row>
    <row r="205" spans="1:18" x14ac:dyDescent="0.25">
      <c r="A205">
        <v>2008</v>
      </c>
      <c r="B205">
        <v>10497</v>
      </c>
      <c r="C205" t="s">
        <v>797</v>
      </c>
      <c r="D205" t="s">
        <v>798</v>
      </c>
      <c r="E205">
        <v>311515</v>
      </c>
      <c r="F205" t="s">
        <v>799</v>
      </c>
      <c r="G205" t="s">
        <v>343</v>
      </c>
      <c r="H205" t="s">
        <v>79</v>
      </c>
      <c r="I205" t="s">
        <v>281</v>
      </c>
      <c r="J205" t="s">
        <v>282</v>
      </c>
      <c r="K205" t="s">
        <v>283</v>
      </c>
      <c r="L205" t="s">
        <v>89</v>
      </c>
      <c r="M205" t="s">
        <v>90</v>
      </c>
      <c r="N205" t="s">
        <v>100</v>
      </c>
      <c r="O205" t="s">
        <v>101</v>
      </c>
      <c r="P205">
        <v>0</v>
      </c>
      <c r="Q205" t="s">
        <v>29</v>
      </c>
      <c r="R205" t="s">
        <v>30</v>
      </c>
    </row>
    <row r="206" spans="1:18" x14ac:dyDescent="0.25">
      <c r="A206">
        <v>2004</v>
      </c>
      <c r="B206">
        <v>1310</v>
      </c>
      <c r="C206" t="s">
        <v>800</v>
      </c>
      <c r="D206" t="s">
        <v>801</v>
      </c>
      <c r="E206">
        <v>326220</v>
      </c>
      <c r="F206" t="s">
        <v>802</v>
      </c>
      <c r="G206" t="s">
        <v>803</v>
      </c>
      <c r="H206" t="s">
        <v>21</v>
      </c>
      <c r="I206" t="s">
        <v>152</v>
      </c>
      <c r="J206" t="s">
        <v>153</v>
      </c>
      <c r="K206" t="s">
        <v>154</v>
      </c>
      <c r="L206" t="s">
        <v>25</v>
      </c>
      <c r="M206" t="s">
        <v>26</v>
      </c>
      <c r="N206" t="s">
        <v>155</v>
      </c>
      <c r="O206" t="s">
        <v>156</v>
      </c>
      <c r="P206">
        <v>4.9619999999999997</v>
      </c>
      <c r="Q206" t="s">
        <v>29</v>
      </c>
      <c r="R206" t="s">
        <v>50</v>
      </c>
    </row>
    <row r="207" spans="1:18" x14ac:dyDescent="0.25">
      <c r="A207">
        <v>2000</v>
      </c>
      <c r="B207">
        <v>3118</v>
      </c>
      <c r="C207" t="s">
        <v>804</v>
      </c>
      <c r="D207" t="s">
        <v>805</v>
      </c>
      <c r="E207">
        <v>332999</v>
      </c>
      <c r="F207" t="s">
        <v>309</v>
      </c>
      <c r="G207" t="s">
        <v>304</v>
      </c>
      <c r="H207" t="s">
        <v>69</v>
      </c>
      <c r="I207" t="s">
        <v>136</v>
      </c>
      <c r="J207" t="s">
        <v>137</v>
      </c>
      <c r="K207" t="s">
        <v>138</v>
      </c>
      <c r="L207" t="s">
        <v>25</v>
      </c>
      <c r="M207" t="s">
        <v>26</v>
      </c>
      <c r="N207" t="s">
        <v>38</v>
      </c>
      <c r="O207" t="s">
        <v>39</v>
      </c>
      <c r="P207">
        <v>38.673000000000002</v>
      </c>
      <c r="Q207" t="s">
        <v>29</v>
      </c>
      <c r="R207" t="s">
        <v>50</v>
      </c>
    </row>
    <row r="208" spans="1:18" x14ac:dyDescent="0.25">
      <c r="A208">
        <v>2002</v>
      </c>
      <c r="B208">
        <v>2960</v>
      </c>
      <c r="C208" t="s">
        <v>806</v>
      </c>
      <c r="D208" t="s">
        <v>807</v>
      </c>
      <c r="E208">
        <v>324190</v>
      </c>
      <c r="F208" t="s">
        <v>702</v>
      </c>
      <c r="G208" t="s">
        <v>667</v>
      </c>
      <c r="H208" t="s">
        <v>85</v>
      </c>
      <c r="I208" t="s">
        <v>391</v>
      </c>
      <c r="J208" t="s">
        <v>392</v>
      </c>
      <c r="K208" t="s">
        <v>393</v>
      </c>
      <c r="L208" t="s">
        <v>25</v>
      </c>
      <c r="M208" t="s">
        <v>26</v>
      </c>
      <c r="N208" t="s">
        <v>380</v>
      </c>
      <c r="O208" t="s">
        <v>381</v>
      </c>
      <c r="P208">
        <v>1.4139999999999999</v>
      </c>
      <c r="Q208" t="s">
        <v>40</v>
      </c>
    </row>
    <row r="209" spans="1:18" x14ac:dyDescent="0.25">
      <c r="A209">
        <v>1999</v>
      </c>
      <c r="B209">
        <v>3707</v>
      </c>
      <c r="C209" t="s">
        <v>125</v>
      </c>
      <c r="D209" t="s">
        <v>808</v>
      </c>
      <c r="E209">
        <v>324110</v>
      </c>
      <c r="F209" t="s">
        <v>95</v>
      </c>
      <c r="G209" t="s">
        <v>96</v>
      </c>
      <c r="H209" t="s">
        <v>85</v>
      </c>
      <c r="I209" t="s">
        <v>271</v>
      </c>
      <c r="J209" t="s">
        <v>387</v>
      </c>
      <c r="K209" t="s">
        <v>388</v>
      </c>
      <c r="L209" t="s">
        <v>89</v>
      </c>
      <c r="M209" t="s">
        <v>90</v>
      </c>
      <c r="N209" t="s">
        <v>166</v>
      </c>
      <c r="O209" t="s">
        <v>167</v>
      </c>
      <c r="P209">
        <v>0.40400000000000003</v>
      </c>
      <c r="Q209" t="s">
        <v>29</v>
      </c>
      <c r="R209" t="s">
        <v>30</v>
      </c>
    </row>
    <row r="210" spans="1:18" x14ac:dyDescent="0.25">
      <c r="A210">
        <v>2019</v>
      </c>
      <c r="B210">
        <v>10884</v>
      </c>
      <c r="C210" t="s">
        <v>809</v>
      </c>
      <c r="D210" t="s">
        <v>810</v>
      </c>
      <c r="E210">
        <v>221320</v>
      </c>
      <c r="F210" t="s">
        <v>146</v>
      </c>
      <c r="G210" t="s">
        <v>147</v>
      </c>
      <c r="H210" t="s">
        <v>21</v>
      </c>
      <c r="I210" t="s">
        <v>504</v>
      </c>
      <c r="J210" t="s">
        <v>505</v>
      </c>
      <c r="K210" t="s">
        <v>506</v>
      </c>
      <c r="L210" t="s">
        <v>89</v>
      </c>
      <c r="M210" t="s">
        <v>90</v>
      </c>
      <c r="N210" t="s">
        <v>472</v>
      </c>
      <c r="O210" t="s">
        <v>473</v>
      </c>
      <c r="P210">
        <v>8.9458870000000008</v>
      </c>
      <c r="Q210" t="s">
        <v>29</v>
      </c>
      <c r="R210" t="s">
        <v>30</v>
      </c>
    </row>
    <row r="211" spans="1:18" x14ac:dyDescent="0.25">
      <c r="A211">
        <v>2012</v>
      </c>
      <c r="B211">
        <v>3701</v>
      </c>
      <c r="C211" t="s">
        <v>194</v>
      </c>
      <c r="D211" t="s">
        <v>681</v>
      </c>
      <c r="E211">
        <v>324110</v>
      </c>
      <c r="F211" t="s">
        <v>196</v>
      </c>
      <c r="G211" t="s">
        <v>96</v>
      </c>
      <c r="H211" t="s">
        <v>21</v>
      </c>
      <c r="I211" t="s">
        <v>811</v>
      </c>
      <c r="J211" t="s">
        <v>812</v>
      </c>
      <c r="K211" t="s">
        <v>813</v>
      </c>
      <c r="L211" t="s">
        <v>89</v>
      </c>
      <c r="M211" t="s">
        <v>90</v>
      </c>
      <c r="N211" t="s">
        <v>166</v>
      </c>
      <c r="O211" t="s">
        <v>167</v>
      </c>
      <c r="P211">
        <v>0.02</v>
      </c>
      <c r="Q211" t="s">
        <v>40</v>
      </c>
      <c r="R211" t="s">
        <v>124</v>
      </c>
    </row>
    <row r="212" spans="1:18" x14ac:dyDescent="0.25">
      <c r="A212">
        <v>2015</v>
      </c>
      <c r="B212">
        <v>16483</v>
      </c>
      <c r="C212" t="s">
        <v>784</v>
      </c>
      <c r="D212" t="s">
        <v>814</v>
      </c>
      <c r="E212">
        <v>211113</v>
      </c>
      <c r="F212" t="s">
        <v>786</v>
      </c>
      <c r="G212" t="s">
        <v>426</v>
      </c>
      <c r="H212" t="s">
        <v>69</v>
      </c>
      <c r="I212" t="s">
        <v>348</v>
      </c>
      <c r="J212" t="s">
        <v>349</v>
      </c>
      <c r="K212" t="s">
        <v>350</v>
      </c>
      <c r="L212" t="s">
        <v>25</v>
      </c>
      <c r="M212" t="s">
        <v>26</v>
      </c>
      <c r="N212" t="s">
        <v>155</v>
      </c>
      <c r="O212" t="s">
        <v>156</v>
      </c>
      <c r="P212">
        <v>5.4859999999999998</v>
      </c>
      <c r="Q212" t="s">
        <v>29</v>
      </c>
      <c r="R212" t="s">
        <v>50</v>
      </c>
    </row>
    <row r="213" spans="1:18" x14ac:dyDescent="0.25">
      <c r="A213">
        <v>1995</v>
      </c>
      <c r="B213">
        <v>3430</v>
      </c>
      <c r="C213" t="s">
        <v>636</v>
      </c>
      <c r="D213" t="s">
        <v>815</v>
      </c>
      <c r="E213">
        <v>325510</v>
      </c>
      <c r="F213" t="s">
        <v>143</v>
      </c>
      <c r="G213" t="s">
        <v>112</v>
      </c>
      <c r="H213" t="s">
        <v>21</v>
      </c>
      <c r="I213" t="s">
        <v>35</v>
      </c>
      <c r="J213" t="s">
        <v>36</v>
      </c>
      <c r="K213" t="s">
        <v>37</v>
      </c>
      <c r="L213" t="s">
        <v>89</v>
      </c>
      <c r="M213" t="s">
        <v>90</v>
      </c>
      <c r="N213" t="s">
        <v>120</v>
      </c>
      <c r="O213" t="s">
        <v>121</v>
      </c>
      <c r="P213">
        <v>0.90683999999999998</v>
      </c>
      <c r="Q213" t="s">
        <v>29</v>
      </c>
      <c r="R213" t="s">
        <v>30</v>
      </c>
    </row>
    <row r="214" spans="1:18" x14ac:dyDescent="0.25">
      <c r="A214">
        <v>2008</v>
      </c>
      <c r="B214">
        <v>5724</v>
      </c>
      <c r="C214" t="s">
        <v>816</v>
      </c>
      <c r="D214" t="s">
        <v>817</v>
      </c>
      <c r="E214">
        <v>336370</v>
      </c>
      <c r="F214" t="s">
        <v>586</v>
      </c>
      <c r="G214" t="s">
        <v>587</v>
      </c>
      <c r="H214" t="s">
        <v>21</v>
      </c>
      <c r="I214" t="s">
        <v>152</v>
      </c>
      <c r="J214" t="s">
        <v>153</v>
      </c>
      <c r="K214" t="s">
        <v>154</v>
      </c>
      <c r="L214" t="s">
        <v>89</v>
      </c>
      <c r="M214" t="s">
        <v>90</v>
      </c>
      <c r="N214" t="s">
        <v>100</v>
      </c>
      <c r="O214" t="s">
        <v>101</v>
      </c>
      <c r="P214">
        <v>0</v>
      </c>
      <c r="Q214" t="s">
        <v>29</v>
      </c>
      <c r="R214" t="s">
        <v>30</v>
      </c>
    </row>
    <row r="215" spans="1:18" x14ac:dyDescent="0.25">
      <c r="A215">
        <v>2016</v>
      </c>
      <c r="B215">
        <v>3754</v>
      </c>
      <c r="C215" t="s">
        <v>818</v>
      </c>
      <c r="D215" t="s">
        <v>635</v>
      </c>
      <c r="E215">
        <v>211113</v>
      </c>
      <c r="F215" t="s">
        <v>786</v>
      </c>
      <c r="G215" t="s">
        <v>426</v>
      </c>
      <c r="H215" t="s">
        <v>85</v>
      </c>
      <c r="I215" t="s">
        <v>348</v>
      </c>
      <c r="J215" t="s">
        <v>349</v>
      </c>
      <c r="K215" t="s">
        <v>350</v>
      </c>
      <c r="L215" t="s">
        <v>25</v>
      </c>
      <c r="M215" t="s">
        <v>26</v>
      </c>
      <c r="N215" t="s">
        <v>380</v>
      </c>
      <c r="O215" t="s">
        <v>381</v>
      </c>
      <c r="P215">
        <v>0.3115</v>
      </c>
      <c r="Q215" t="s">
        <v>29</v>
      </c>
      <c r="R215" t="s">
        <v>30</v>
      </c>
    </row>
    <row r="216" spans="1:18" x14ac:dyDescent="0.25">
      <c r="A216">
        <v>2016</v>
      </c>
      <c r="B216">
        <v>29160</v>
      </c>
      <c r="C216" t="s">
        <v>819</v>
      </c>
      <c r="D216" t="s">
        <v>819</v>
      </c>
      <c r="E216">
        <v>562110</v>
      </c>
      <c r="F216" t="s">
        <v>644</v>
      </c>
      <c r="G216" t="s">
        <v>645</v>
      </c>
      <c r="H216" t="s">
        <v>243</v>
      </c>
      <c r="I216" t="s">
        <v>70</v>
      </c>
      <c r="J216" t="s">
        <v>71</v>
      </c>
      <c r="K216" t="s">
        <v>72</v>
      </c>
      <c r="L216" t="s">
        <v>89</v>
      </c>
      <c r="M216" t="s">
        <v>90</v>
      </c>
      <c r="N216" t="s">
        <v>120</v>
      </c>
      <c r="O216" t="s">
        <v>121</v>
      </c>
      <c r="P216">
        <v>6.3</v>
      </c>
      <c r="Q216" t="s">
        <v>29</v>
      </c>
      <c r="R216" t="s">
        <v>30</v>
      </c>
    </row>
    <row r="217" spans="1:18" x14ac:dyDescent="0.25">
      <c r="A217">
        <v>2005</v>
      </c>
      <c r="B217">
        <v>253</v>
      </c>
      <c r="C217" t="s">
        <v>820</v>
      </c>
      <c r="D217" t="s">
        <v>821</v>
      </c>
      <c r="E217">
        <v>325510</v>
      </c>
      <c r="F217" t="s">
        <v>143</v>
      </c>
      <c r="G217" t="s">
        <v>112</v>
      </c>
      <c r="H217" t="s">
        <v>79</v>
      </c>
      <c r="I217" t="s">
        <v>778</v>
      </c>
      <c r="J217" t="s">
        <v>779</v>
      </c>
      <c r="K217" t="s">
        <v>780</v>
      </c>
      <c r="L217" t="s">
        <v>25</v>
      </c>
      <c r="M217" t="s">
        <v>26</v>
      </c>
      <c r="N217" t="s">
        <v>27</v>
      </c>
      <c r="O217" t="s">
        <v>28</v>
      </c>
      <c r="P217">
        <v>0.36899999999999999</v>
      </c>
      <c r="Q217" t="s">
        <v>29</v>
      </c>
      <c r="R217" t="s">
        <v>50</v>
      </c>
    </row>
    <row r="218" spans="1:18" x14ac:dyDescent="0.25">
      <c r="A218">
        <v>2020</v>
      </c>
      <c r="B218">
        <v>5649</v>
      </c>
      <c r="C218" t="s">
        <v>822</v>
      </c>
      <c r="D218" t="s">
        <v>822</v>
      </c>
      <c r="E218">
        <v>331317</v>
      </c>
      <c r="F218" t="s">
        <v>768</v>
      </c>
      <c r="G218" t="s">
        <v>769</v>
      </c>
      <c r="H218" t="s">
        <v>21</v>
      </c>
      <c r="I218" t="s">
        <v>152</v>
      </c>
      <c r="J218" t="s">
        <v>153</v>
      </c>
      <c r="K218" t="s">
        <v>154</v>
      </c>
      <c r="L218" t="s">
        <v>25</v>
      </c>
      <c r="M218" t="s">
        <v>26</v>
      </c>
      <c r="N218" t="s">
        <v>38</v>
      </c>
      <c r="O218" t="s">
        <v>39</v>
      </c>
      <c r="P218">
        <v>32.036000000000001</v>
      </c>
      <c r="Q218" t="s">
        <v>29</v>
      </c>
      <c r="R218" t="s">
        <v>30</v>
      </c>
    </row>
    <row r="219" spans="1:18" x14ac:dyDescent="0.25">
      <c r="A219">
        <v>2001</v>
      </c>
      <c r="B219">
        <v>3564</v>
      </c>
      <c r="C219" t="s">
        <v>823</v>
      </c>
      <c r="E219">
        <v>562920</v>
      </c>
      <c r="F219" t="s">
        <v>735</v>
      </c>
      <c r="G219" t="s">
        <v>330</v>
      </c>
      <c r="H219" t="s">
        <v>79</v>
      </c>
      <c r="I219" t="s">
        <v>80</v>
      </c>
      <c r="J219" t="s">
        <v>81</v>
      </c>
      <c r="K219" t="s">
        <v>82</v>
      </c>
      <c r="L219" t="s">
        <v>25</v>
      </c>
      <c r="M219" t="s">
        <v>26</v>
      </c>
      <c r="N219" t="s">
        <v>48</v>
      </c>
      <c r="O219" t="s">
        <v>49</v>
      </c>
      <c r="P219">
        <v>29.552</v>
      </c>
      <c r="Q219" t="s">
        <v>29</v>
      </c>
      <c r="R219" t="s">
        <v>30</v>
      </c>
    </row>
    <row r="220" spans="1:18" x14ac:dyDescent="0.25">
      <c r="A220">
        <v>2017</v>
      </c>
      <c r="B220">
        <v>2703</v>
      </c>
      <c r="C220" t="s">
        <v>617</v>
      </c>
      <c r="D220" t="s">
        <v>352</v>
      </c>
      <c r="E220">
        <v>418410</v>
      </c>
      <c r="F220" t="s">
        <v>433</v>
      </c>
      <c r="G220" t="s">
        <v>434</v>
      </c>
      <c r="H220" t="s">
        <v>21</v>
      </c>
      <c r="I220" t="s">
        <v>271</v>
      </c>
      <c r="J220" t="s">
        <v>272</v>
      </c>
      <c r="K220" t="s">
        <v>273</v>
      </c>
      <c r="L220" t="s">
        <v>25</v>
      </c>
      <c r="M220" t="s">
        <v>26</v>
      </c>
      <c r="N220" t="s">
        <v>48</v>
      </c>
      <c r="O220" t="s">
        <v>49</v>
      </c>
      <c r="P220">
        <v>2.6</v>
      </c>
      <c r="Q220" t="s">
        <v>29</v>
      </c>
      <c r="R220" t="s">
        <v>30</v>
      </c>
    </row>
    <row r="221" spans="1:18" x14ac:dyDescent="0.25">
      <c r="A221">
        <v>2001</v>
      </c>
      <c r="B221">
        <v>1861</v>
      </c>
      <c r="C221" t="s">
        <v>824</v>
      </c>
      <c r="D221" t="s">
        <v>825</v>
      </c>
      <c r="E221">
        <v>221112</v>
      </c>
      <c r="F221" t="s">
        <v>134</v>
      </c>
      <c r="G221" t="s">
        <v>135</v>
      </c>
      <c r="H221" t="s">
        <v>21</v>
      </c>
      <c r="I221" t="s">
        <v>152</v>
      </c>
      <c r="J221" t="s">
        <v>153</v>
      </c>
      <c r="K221" t="s">
        <v>154</v>
      </c>
      <c r="L221" t="s">
        <v>25</v>
      </c>
      <c r="M221" t="s">
        <v>26</v>
      </c>
      <c r="N221" t="s">
        <v>155</v>
      </c>
      <c r="O221" t="s">
        <v>156</v>
      </c>
      <c r="P221">
        <v>28.959</v>
      </c>
      <c r="Q221" t="s">
        <v>29</v>
      </c>
      <c r="R221" t="s">
        <v>204</v>
      </c>
    </row>
    <row r="222" spans="1:18" x14ac:dyDescent="0.25">
      <c r="A222">
        <v>2013</v>
      </c>
      <c r="B222">
        <v>26445</v>
      </c>
      <c r="C222" t="s">
        <v>65</v>
      </c>
      <c r="D222" t="s">
        <v>176</v>
      </c>
      <c r="E222">
        <v>562210</v>
      </c>
      <c r="F222" t="s">
        <v>84</v>
      </c>
      <c r="G222" t="s">
        <v>53</v>
      </c>
      <c r="H222" t="s">
        <v>69</v>
      </c>
      <c r="I222" t="s">
        <v>427</v>
      </c>
      <c r="J222" t="s">
        <v>428</v>
      </c>
      <c r="K222" t="s">
        <v>429</v>
      </c>
      <c r="L222" t="s">
        <v>25</v>
      </c>
      <c r="M222" t="s">
        <v>26</v>
      </c>
      <c r="N222" t="s">
        <v>380</v>
      </c>
      <c r="O222" t="s">
        <v>381</v>
      </c>
      <c r="P222">
        <v>0.63670000000000004</v>
      </c>
      <c r="Q222" t="s">
        <v>29</v>
      </c>
      <c r="R222" t="s">
        <v>50</v>
      </c>
    </row>
    <row r="223" spans="1:18" x14ac:dyDescent="0.25">
      <c r="A223">
        <v>2023</v>
      </c>
      <c r="B223">
        <v>5189</v>
      </c>
      <c r="C223" t="s">
        <v>212</v>
      </c>
      <c r="D223" t="s">
        <v>826</v>
      </c>
      <c r="E223">
        <v>221320</v>
      </c>
      <c r="F223" t="s">
        <v>146</v>
      </c>
      <c r="G223" t="s">
        <v>147</v>
      </c>
      <c r="H223" t="s">
        <v>69</v>
      </c>
      <c r="I223" t="s">
        <v>827</v>
      </c>
      <c r="J223" t="s">
        <v>828</v>
      </c>
      <c r="K223" t="s">
        <v>829</v>
      </c>
      <c r="L223" t="s">
        <v>89</v>
      </c>
      <c r="M223" t="s">
        <v>90</v>
      </c>
      <c r="N223" t="s">
        <v>166</v>
      </c>
      <c r="O223" t="s">
        <v>167</v>
      </c>
      <c r="P223">
        <v>1.8599999999999998E-2</v>
      </c>
      <c r="Q223" t="s">
        <v>40</v>
      </c>
      <c r="R223" t="s">
        <v>124</v>
      </c>
    </row>
    <row r="224" spans="1:18" x14ac:dyDescent="0.25">
      <c r="A224">
        <v>2020</v>
      </c>
      <c r="B224">
        <v>656</v>
      </c>
      <c r="C224" t="s">
        <v>830</v>
      </c>
      <c r="D224" t="s">
        <v>831</v>
      </c>
      <c r="E224">
        <v>325210</v>
      </c>
      <c r="F224" t="s">
        <v>414</v>
      </c>
      <c r="G224" t="s">
        <v>415</v>
      </c>
      <c r="H224" t="s">
        <v>21</v>
      </c>
      <c r="I224" t="s">
        <v>191</v>
      </c>
      <c r="J224" t="s">
        <v>192</v>
      </c>
      <c r="K224" t="s">
        <v>193</v>
      </c>
      <c r="L224" t="s">
        <v>25</v>
      </c>
      <c r="M224" t="s">
        <v>26</v>
      </c>
      <c r="N224" t="s">
        <v>380</v>
      </c>
      <c r="O224" t="s">
        <v>381</v>
      </c>
      <c r="P224">
        <v>1.8</v>
      </c>
      <c r="Q224" t="s">
        <v>29</v>
      </c>
      <c r="R224" t="s">
        <v>50</v>
      </c>
    </row>
    <row r="225" spans="1:18" x14ac:dyDescent="0.25">
      <c r="A225">
        <v>2011</v>
      </c>
      <c r="B225">
        <v>11700</v>
      </c>
      <c r="C225" t="s">
        <v>598</v>
      </c>
      <c r="D225" t="s">
        <v>599</v>
      </c>
      <c r="E225">
        <v>325190</v>
      </c>
      <c r="F225" t="s">
        <v>832</v>
      </c>
      <c r="G225" t="s">
        <v>601</v>
      </c>
      <c r="H225" t="s">
        <v>21</v>
      </c>
      <c r="I225" t="s">
        <v>55</v>
      </c>
      <c r="J225" t="s">
        <v>56</v>
      </c>
      <c r="K225" t="s">
        <v>57</v>
      </c>
      <c r="L225" t="s">
        <v>89</v>
      </c>
      <c r="M225" t="s">
        <v>90</v>
      </c>
      <c r="N225" t="s">
        <v>100</v>
      </c>
      <c r="O225" t="s">
        <v>101</v>
      </c>
      <c r="P225">
        <v>2.8999999999999998E-3</v>
      </c>
      <c r="Q225" t="s">
        <v>29</v>
      </c>
      <c r="R225" t="s">
        <v>50</v>
      </c>
    </row>
    <row r="226" spans="1:18" x14ac:dyDescent="0.25">
      <c r="A226">
        <v>2008</v>
      </c>
      <c r="B226">
        <v>6546</v>
      </c>
      <c r="C226" t="s">
        <v>833</v>
      </c>
      <c r="D226" t="s">
        <v>834</v>
      </c>
      <c r="E226">
        <v>211114</v>
      </c>
      <c r="F226" t="s">
        <v>835</v>
      </c>
      <c r="G226" t="s">
        <v>836</v>
      </c>
      <c r="H226" t="s">
        <v>85</v>
      </c>
      <c r="I226" t="s">
        <v>837</v>
      </c>
      <c r="J226" t="s">
        <v>838</v>
      </c>
      <c r="K226" t="s">
        <v>839</v>
      </c>
      <c r="L226" t="s">
        <v>25</v>
      </c>
      <c r="M226" t="s">
        <v>26</v>
      </c>
      <c r="N226" t="s">
        <v>380</v>
      </c>
      <c r="O226" t="s">
        <v>381</v>
      </c>
      <c r="P226">
        <v>20.675000000000001</v>
      </c>
      <c r="Q226" t="s">
        <v>40</v>
      </c>
      <c r="R226" t="s">
        <v>124</v>
      </c>
    </row>
    <row r="227" spans="1:18" x14ac:dyDescent="0.25">
      <c r="A227">
        <v>2000</v>
      </c>
      <c r="B227">
        <v>851</v>
      </c>
      <c r="C227" t="s">
        <v>840</v>
      </c>
      <c r="D227" t="s">
        <v>841</v>
      </c>
      <c r="E227">
        <v>321911</v>
      </c>
      <c r="F227" t="s">
        <v>842</v>
      </c>
      <c r="G227" t="s">
        <v>843</v>
      </c>
      <c r="H227" t="s">
        <v>54</v>
      </c>
      <c r="I227" t="s">
        <v>136</v>
      </c>
      <c r="J227" t="s">
        <v>137</v>
      </c>
      <c r="K227" t="s">
        <v>138</v>
      </c>
      <c r="L227" t="s">
        <v>25</v>
      </c>
      <c r="M227" t="s">
        <v>26</v>
      </c>
      <c r="N227" t="s">
        <v>38</v>
      </c>
      <c r="O227" t="s">
        <v>39</v>
      </c>
      <c r="P227">
        <v>0.78</v>
      </c>
      <c r="Q227" t="s">
        <v>29</v>
      </c>
      <c r="R227" t="s">
        <v>50</v>
      </c>
    </row>
    <row r="228" spans="1:18" x14ac:dyDescent="0.25">
      <c r="A228">
        <v>2009</v>
      </c>
      <c r="B228">
        <v>2776</v>
      </c>
      <c r="C228" t="s">
        <v>93</v>
      </c>
      <c r="D228" t="s">
        <v>94</v>
      </c>
      <c r="E228">
        <v>324110</v>
      </c>
      <c r="F228" t="s">
        <v>95</v>
      </c>
      <c r="G228" t="s">
        <v>96</v>
      </c>
      <c r="H228" t="s">
        <v>69</v>
      </c>
      <c r="I228" t="s">
        <v>844</v>
      </c>
      <c r="J228" t="s">
        <v>845</v>
      </c>
      <c r="K228" t="s">
        <v>846</v>
      </c>
      <c r="L228" t="s">
        <v>25</v>
      </c>
      <c r="M228" t="s">
        <v>26</v>
      </c>
      <c r="N228" t="s">
        <v>200</v>
      </c>
      <c r="O228" t="s">
        <v>201</v>
      </c>
      <c r="P228">
        <v>0</v>
      </c>
      <c r="Q228" t="s">
        <v>29</v>
      </c>
      <c r="R228" t="s">
        <v>30</v>
      </c>
    </row>
    <row r="229" spans="1:18" x14ac:dyDescent="0.25">
      <c r="A229">
        <v>2015</v>
      </c>
      <c r="B229">
        <v>3704</v>
      </c>
      <c r="C229" t="s">
        <v>194</v>
      </c>
      <c r="D229" t="s">
        <v>468</v>
      </c>
      <c r="E229">
        <v>324110</v>
      </c>
      <c r="F229" t="s">
        <v>196</v>
      </c>
      <c r="G229" t="s">
        <v>96</v>
      </c>
      <c r="H229" t="s">
        <v>21</v>
      </c>
      <c r="I229" t="s">
        <v>847</v>
      </c>
      <c r="J229" t="s">
        <v>848</v>
      </c>
      <c r="K229" t="s">
        <v>849</v>
      </c>
      <c r="L229" t="s">
        <v>25</v>
      </c>
      <c r="M229" t="s">
        <v>26</v>
      </c>
      <c r="N229" t="s">
        <v>380</v>
      </c>
      <c r="O229" t="s">
        <v>381</v>
      </c>
      <c r="P229">
        <v>9.6000000000000002E-2</v>
      </c>
      <c r="Q229" t="s">
        <v>40</v>
      </c>
      <c r="R229" t="s">
        <v>124</v>
      </c>
    </row>
    <row r="230" spans="1:18" x14ac:dyDescent="0.25">
      <c r="A230">
        <v>2005</v>
      </c>
      <c r="B230">
        <v>1668</v>
      </c>
      <c r="C230" t="s">
        <v>850</v>
      </c>
      <c r="D230" t="s">
        <v>851</v>
      </c>
      <c r="E230">
        <v>325999</v>
      </c>
      <c r="F230" t="s">
        <v>396</v>
      </c>
      <c r="G230" t="s">
        <v>397</v>
      </c>
      <c r="H230" t="s">
        <v>21</v>
      </c>
      <c r="I230" t="s">
        <v>427</v>
      </c>
      <c r="J230" t="s">
        <v>428</v>
      </c>
      <c r="K230" t="s">
        <v>429</v>
      </c>
      <c r="L230" t="s">
        <v>89</v>
      </c>
      <c r="M230" t="s">
        <v>90</v>
      </c>
      <c r="N230" t="s">
        <v>166</v>
      </c>
      <c r="O230" t="s">
        <v>167</v>
      </c>
      <c r="P230">
        <v>0</v>
      </c>
      <c r="Q230" t="s">
        <v>29</v>
      </c>
      <c r="R230" t="s">
        <v>30</v>
      </c>
    </row>
    <row r="231" spans="1:18" x14ac:dyDescent="0.25">
      <c r="A231">
        <v>2012</v>
      </c>
      <c r="B231">
        <v>319</v>
      </c>
      <c r="C231" t="s">
        <v>852</v>
      </c>
      <c r="D231" t="s">
        <v>853</v>
      </c>
      <c r="E231">
        <v>325920</v>
      </c>
      <c r="F231" t="s">
        <v>854</v>
      </c>
      <c r="G231" t="s">
        <v>855</v>
      </c>
      <c r="H231" t="s">
        <v>21</v>
      </c>
      <c r="I231" t="s">
        <v>504</v>
      </c>
      <c r="J231" t="s">
        <v>505</v>
      </c>
      <c r="K231" t="s">
        <v>506</v>
      </c>
      <c r="L231" t="s">
        <v>89</v>
      </c>
      <c r="M231" t="s">
        <v>90</v>
      </c>
      <c r="N231" t="s">
        <v>120</v>
      </c>
      <c r="O231" t="s">
        <v>121</v>
      </c>
      <c r="P231">
        <v>0.51300000000000001</v>
      </c>
      <c r="Q231" t="s">
        <v>29</v>
      </c>
      <c r="R231" t="s">
        <v>124</v>
      </c>
    </row>
    <row r="232" spans="1:18" x14ac:dyDescent="0.25">
      <c r="A232">
        <v>2017</v>
      </c>
      <c r="B232">
        <v>4781</v>
      </c>
      <c r="C232" t="s">
        <v>856</v>
      </c>
      <c r="D232" t="s">
        <v>774</v>
      </c>
      <c r="E232">
        <v>336310</v>
      </c>
      <c r="F232" t="s">
        <v>857</v>
      </c>
      <c r="G232" t="s">
        <v>776</v>
      </c>
      <c r="H232" t="s">
        <v>21</v>
      </c>
      <c r="I232" t="s">
        <v>62</v>
      </c>
      <c r="J232" t="s">
        <v>63</v>
      </c>
      <c r="K232" t="s">
        <v>64</v>
      </c>
      <c r="L232" t="s">
        <v>25</v>
      </c>
      <c r="M232" t="s">
        <v>26</v>
      </c>
      <c r="N232" t="s">
        <v>38</v>
      </c>
      <c r="O232" t="s">
        <v>39</v>
      </c>
      <c r="P232">
        <v>8.6620000000000008</v>
      </c>
      <c r="Q232" t="s">
        <v>29</v>
      </c>
      <c r="R232" t="s">
        <v>30</v>
      </c>
    </row>
    <row r="233" spans="1:18" x14ac:dyDescent="0.25">
      <c r="A233">
        <v>2013</v>
      </c>
      <c r="B233">
        <v>4142</v>
      </c>
      <c r="C233" t="s">
        <v>858</v>
      </c>
      <c r="D233" t="s">
        <v>859</v>
      </c>
      <c r="E233">
        <v>211113</v>
      </c>
      <c r="F233" t="s">
        <v>786</v>
      </c>
      <c r="G233" t="s">
        <v>426</v>
      </c>
      <c r="H233" t="s">
        <v>85</v>
      </c>
      <c r="I233" t="s">
        <v>491</v>
      </c>
      <c r="J233" t="s">
        <v>492</v>
      </c>
      <c r="K233" t="s">
        <v>492</v>
      </c>
      <c r="L233" t="s">
        <v>89</v>
      </c>
      <c r="M233" t="s">
        <v>90</v>
      </c>
      <c r="N233" t="s">
        <v>91</v>
      </c>
      <c r="O233" t="s">
        <v>92</v>
      </c>
      <c r="P233">
        <v>1.2915000000000001</v>
      </c>
      <c r="Q233" t="s">
        <v>29</v>
      </c>
      <c r="R233" t="s">
        <v>30</v>
      </c>
    </row>
    <row r="234" spans="1:18" x14ac:dyDescent="0.25">
      <c r="A234">
        <v>2010</v>
      </c>
      <c r="B234">
        <v>11834</v>
      </c>
      <c r="C234" t="s">
        <v>860</v>
      </c>
      <c r="D234" t="s">
        <v>861</v>
      </c>
      <c r="E234">
        <v>333920</v>
      </c>
      <c r="F234" t="s">
        <v>862</v>
      </c>
      <c r="G234" t="s">
        <v>863</v>
      </c>
      <c r="H234" t="s">
        <v>21</v>
      </c>
      <c r="I234" t="s">
        <v>152</v>
      </c>
      <c r="J234" t="s">
        <v>153</v>
      </c>
      <c r="K234" t="s">
        <v>154</v>
      </c>
      <c r="L234" t="s">
        <v>25</v>
      </c>
      <c r="M234" t="s">
        <v>26</v>
      </c>
      <c r="N234" t="s">
        <v>38</v>
      </c>
      <c r="O234" t="s">
        <v>39</v>
      </c>
      <c r="P234">
        <v>1.496</v>
      </c>
      <c r="Q234" t="s">
        <v>29</v>
      </c>
      <c r="R234" t="s">
        <v>50</v>
      </c>
    </row>
    <row r="235" spans="1:18" x14ac:dyDescent="0.25">
      <c r="A235">
        <v>1996</v>
      </c>
      <c r="B235">
        <v>3971</v>
      </c>
      <c r="C235" t="s">
        <v>864</v>
      </c>
      <c r="D235" t="s">
        <v>865</v>
      </c>
      <c r="E235">
        <v>325510</v>
      </c>
      <c r="F235" t="s">
        <v>143</v>
      </c>
      <c r="G235" t="s">
        <v>112</v>
      </c>
      <c r="H235" t="s">
        <v>21</v>
      </c>
      <c r="I235" t="s">
        <v>22</v>
      </c>
      <c r="J235" t="s">
        <v>23</v>
      </c>
      <c r="K235" t="s">
        <v>24</v>
      </c>
      <c r="L235" t="s">
        <v>89</v>
      </c>
      <c r="M235" t="s">
        <v>90</v>
      </c>
      <c r="N235" t="s">
        <v>166</v>
      </c>
      <c r="O235" t="s">
        <v>167</v>
      </c>
      <c r="P235">
        <v>59.76</v>
      </c>
      <c r="Q235" t="s">
        <v>29</v>
      </c>
      <c r="R235" t="s">
        <v>30</v>
      </c>
    </row>
    <row r="236" spans="1:18" x14ac:dyDescent="0.25">
      <c r="A236">
        <v>2023</v>
      </c>
      <c r="B236">
        <v>1931</v>
      </c>
      <c r="C236" t="s">
        <v>744</v>
      </c>
      <c r="D236" t="s">
        <v>745</v>
      </c>
      <c r="E236">
        <v>325510</v>
      </c>
      <c r="F236" t="s">
        <v>111</v>
      </c>
      <c r="G236" t="s">
        <v>112</v>
      </c>
      <c r="H236" t="s">
        <v>21</v>
      </c>
      <c r="I236" t="s">
        <v>271</v>
      </c>
      <c r="J236" t="s">
        <v>272</v>
      </c>
      <c r="K236" t="s">
        <v>273</v>
      </c>
      <c r="L236" t="s">
        <v>89</v>
      </c>
      <c r="M236" t="s">
        <v>90</v>
      </c>
      <c r="N236" t="s">
        <v>166</v>
      </c>
      <c r="O236" t="s">
        <v>167</v>
      </c>
      <c r="P236">
        <v>0.16</v>
      </c>
      <c r="Q236" t="s">
        <v>29</v>
      </c>
      <c r="R236" t="s">
        <v>30</v>
      </c>
    </row>
    <row r="237" spans="1:18" x14ac:dyDescent="0.25">
      <c r="A237">
        <v>2000</v>
      </c>
      <c r="B237">
        <v>3115</v>
      </c>
      <c r="C237" t="s">
        <v>804</v>
      </c>
      <c r="D237" t="s">
        <v>866</v>
      </c>
      <c r="E237">
        <v>332810</v>
      </c>
      <c r="F237" t="s">
        <v>237</v>
      </c>
      <c r="G237" t="s">
        <v>238</v>
      </c>
      <c r="H237" t="s">
        <v>21</v>
      </c>
      <c r="I237" t="s">
        <v>520</v>
      </c>
      <c r="J237" t="s">
        <v>521</v>
      </c>
      <c r="K237" t="s">
        <v>522</v>
      </c>
      <c r="L237" t="s">
        <v>89</v>
      </c>
      <c r="M237" t="s">
        <v>90</v>
      </c>
      <c r="N237" t="s">
        <v>166</v>
      </c>
      <c r="O237" t="s">
        <v>167</v>
      </c>
      <c r="P237">
        <v>1.68</v>
      </c>
      <c r="Q237" t="s">
        <v>29</v>
      </c>
      <c r="R237" t="s">
        <v>50</v>
      </c>
    </row>
    <row r="238" spans="1:18" x14ac:dyDescent="0.25">
      <c r="A238">
        <v>2009</v>
      </c>
      <c r="B238">
        <v>10996</v>
      </c>
      <c r="C238" t="s">
        <v>867</v>
      </c>
      <c r="D238" t="s">
        <v>868</v>
      </c>
      <c r="E238">
        <v>332810</v>
      </c>
      <c r="F238" t="s">
        <v>237</v>
      </c>
      <c r="G238" t="s">
        <v>238</v>
      </c>
      <c r="H238" t="s">
        <v>21</v>
      </c>
      <c r="I238" t="s">
        <v>152</v>
      </c>
      <c r="J238" t="s">
        <v>153</v>
      </c>
      <c r="K238" t="s">
        <v>154</v>
      </c>
      <c r="L238" t="s">
        <v>89</v>
      </c>
      <c r="M238" t="s">
        <v>90</v>
      </c>
      <c r="N238" t="s">
        <v>100</v>
      </c>
      <c r="O238" t="s">
        <v>101</v>
      </c>
      <c r="P238">
        <v>3.9E-2</v>
      </c>
      <c r="Q238" t="s">
        <v>29</v>
      </c>
      <c r="R238" t="s">
        <v>50</v>
      </c>
    </row>
    <row r="239" spans="1:18" x14ac:dyDescent="0.25">
      <c r="A239">
        <v>2003</v>
      </c>
      <c r="B239">
        <v>2044</v>
      </c>
      <c r="C239" t="s">
        <v>869</v>
      </c>
      <c r="D239" t="s">
        <v>870</v>
      </c>
      <c r="E239">
        <v>339990</v>
      </c>
      <c r="F239" t="s">
        <v>871</v>
      </c>
      <c r="G239" t="s">
        <v>872</v>
      </c>
      <c r="H239" t="s">
        <v>21</v>
      </c>
      <c r="I239" t="s">
        <v>668</v>
      </c>
      <c r="J239" t="s">
        <v>669</v>
      </c>
      <c r="K239" t="s">
        <v>670</v>
      </c>
      <c r="L239" t="s">
        <v>25</v>
      </c>
      <c r="M239" t="s">
        <v>26</v>
      </c>
      <c r="N239" t="s">
        <v>155</v>
      </c>
      <c r="O239" t="s">
        <v>156</v>
      </c>
      <c r="P239">
        <v>0.97</v>
      </c>
      <c r="Q239" t="s">
        <v>29</v>
      </c>
      <c r="R239" t="s">
        <v>30</v>
      </c>
    </row>
    <row r="240" spans="1:18" x14ac:dyDescent="0.25">
      <c r="A240">
        <v>2002</v>
      </c>
      <c r="B240">
        <v>2399</v>
      </c>
      <c r="C240" t="s">
        <v>873</v>
      </c>
      <c r="E240">
        <v>332810</v>
      </c>
      <c r="F240" t="s">
        <v>237</v>
      </c>
      <c r="G240" t="s">
        <v>238</v>
      </c>
      <c r="H240" t="s">
        <v>21</v>
      </c>
      <c r="I240" t="s">
        <v>35</v>
      </c>
      <c r="J240" t="s">
        <v>36</v>
      </c>
      <c r="K240" t="s">
        <v>37</v>
      </c>
      <c r="L240" t="s">
        <v>89</v>
      </c>
      <c r="M240" t="s">
        <v>90</v>
      </c>
      <c r="N240" t="s">
        <v>120</v>
      </c>
      <c r="O240" t="s">
        <v>121</v>
      </c>
      <c r="P240">
        <v>4.9000000000000002E-2</v>
      </c>
      <c r="Q240" t="s">
        <v>40</v>
      </c>
      <c r="R240" t="s">
        <v>442</v>
      </c>
    </row>
    <row r="241" spans="1:18" x14ac:dyDescent="0.25">
      <c r="A241">
        <v>2001</v>
      </c>
      <c r="B241">
        <v>3599</v>
      </c>
      <c r="C241" t="s">
        <v>874</v>
      </c>
      <c r="E241">
        <v>325999</v>
      </c>
      <c r="F241" t="s">
        <v>396</v>
      </c>
      <c r="G241" t="s">
        <v>397</v>
      </c>
      <c r="H241" t="s">
        <v>21</v>
      </c>
      <c r="I241" t="s">
        <v>331</v>
      </c>
      <c r="J241" t="s">
        <v>332</v>
      </c>
      <c r="K241" t="s">
        <v>333</v>
      </c>
      <c r="L241" t="s">
        <v>25</v>
      </c>
      <c r="M241" t="s">
        <v>26</v>
      </c>
      <c r="N241" t="s">
        <v>73</v>
      </c>
      <c r="O241" t="s">
        <v>74</v>
      </c>
      <c r="P241">
        <v>0.55200000000000005</v>
      </c>
      <c r="Q241" t="s">
        <v>29</v>
      </c>
      <c r="R241" t="s">
        <v>442</v>
      </c>
    </row>
    <row r="242" spans="1:18" x14ac:dyDescent="0.25">
      <c r="A242">
        <v>2000</v>
      </c>
      <c r="B242">
        <v>3824</v>
      </c>
      <c r="C242" t="s">
        <v>875</v>
      </c>
      <c r="E242">
        <v>331110</v>
      </c>
      <c r="F242" t="s">
        <v>335</v>
      </c>
      <c r="G242" t="s">
        <v>336</v>
      </c>
      <c r="H242" t="s">
        <v>21</v>
      </c>
      <c r="I242" t="s">
        <v>177</v>
      </c>
      <c r="J242" t="s">
        <v>178</v>
      </c>
      <c r="K242" t="s">
        <v>179</v>
      </c>
      <c r="L242" t="s">
        <v>25</v>
      </c>
      <c r="M242" t="s">
        <v>26</v>
      </c>
      <c r="N242" t="s">
        <v>38</v>
      </c>
      <c r="O242" t="s">
        <v>39</v>
      </c>
      <c r="P242">
        <v>56.390999999999998</v>
      </c>
      <c r="Q242" t="s">
        <v>29</v>
      </c>
      <c r="R242" t="s">
        <v>442</v>
      </c>
    </row>
    <row r="243" spans="1:18" x14ac:dyDescent="0.25">
      <c r="A243">
        <v>2008</v>
      </c>
      <c r="B243">
        <v>4609</v>
      </c>
      <c r="C243" t="s">
        <v>363</v>
      </c>
      <c r="D243" t="s">
        <v>876</v>
      </c>
      <c r="E243">
        <v>321114</v>
      </c>
      <c r="F243" t="s">
        <v>365</v>
      </c>
      <c r="G243" t="s">
        <v>366</v>
      </c>
      <c r="H243" t="s">
        <v>483</v>
      </c>
      <c r="I243" t="s">
        <v>877</v>
      </c>
      <c r="J243" t="s">
        <v>878</v>
      </c>
      <c r="K243" t="s">
        <v>879</v>
      </c>
      <c r="L243" t="s">
        <v>89</v>
      </c>
      <c r="M243" t="s">
        <v>90</v>
      </c>
      <c r="N243" t="s">
        <v>166</v>
      </c>
      <c r="O243" t="s">
        <v>167</v>
      </c>
      <c r="P243">
        <v>0.151</v>
      </c>
      <c r="Q243" t="s">
        <v>880</v>
      </c>
      <c r="R243" t="s">
        <v>430</v>
      </c>
    </row>
    <row r="244" spans="1:18" x14ac:dyDescent="0.25">
      <c r="A244">
        <v>1997</v>
      </c>
      <c r="B244">
        <v>3231</v>
      </c>
      <c r="C244" t="s">
        <v>881</v>
      </c>
      <c r="D244" t="s">
        <v>882</v>
      </c>
      <c r="E244">
        <v>336110</v>
      </c>
      <c r="F244" t="s">
        <v>377</v>
      </c>
      <c r="G244" t="s">
        <v>44</v>
      </c>
      <c r="H244" t="s">
        <v>21</v>
      </c>
      <c r="I244" t="s">
        <v>62</v>
      </c>
      <c r="J244" t="s">
        <v>63</v>
      </c>
      <c r="K244" t="s">
        <v>64</v>
      </c>
      <c r="L244" t="s">
        <v>25</v>
      </c>
      <c r="M244" t="s">
        <v>26</v>
      </c>
      <c r="N244" t="s">
        <v>38</v>
      </c>
      <c r="O244" t="s">
        <v>39</v>
      </c>
      <c r="P244">
        <v>4.5789999999999997</v>
      </c>
      <c r="Q244" t="s">
        <v>29</v>
      </c>
      <c r="R244" t="s">
        <v>30</v>
      </c>
    </row>
    <row r="245" spans="1:18" x14ac:dyDescent="0.25">
      <c r="A245">
        <v>2004</v>
      </c>
      <c r="B245">
        <v>1671</v>
      </c>
      <c r="C245" t="s">
        <v>883</v>
      </c>
      <c r="D245" t="s">
        <v>884</v>
      </c>
      <c r="E245">
        <v>418410</v>
      </c>
      <c r="F245" t="s">
        <v>315</v>
      </c>
      <c r="G245" t="s">
        <v>885</v>
      </c>
      <c r="H245" t="s">
        <v>85</v>
      </c>
      <c r="I245" t="s">
        <v>331</v>
      </c>
      <c r="J245" t="s">
        <v>332</v>
      </c>
      <c r="K245" t="s">
        <v>333</v>
      </c>
      <c r="L245" t="s">
        <v>25</v>
      </c>
      <c r="M245" t="s">
        <v>26</v>
      </c>
      <c r="N245" t="s">
        <v>48</v>
      </c>
      <c r="O245" t="s">
        <v>49</v>
      </c>
      <c r="P245">
        <v>3.59</v>
      </c>
      <c r="Q245" t="s">
        <v>29</v>
      </c>
      <c r="R245" t="s">
        <v>50</v>
      </c>
    </row>
    <row r="246" spans="1:18" x14ac:dyDescent="0.25">
      <c r="A246">
        <v>2012</v>
      </c>
      <c r="B246">
        <v>6028</v>
      </c>
      <c r="C246" t="s">
        <v>886</v>
      </c>
      <c r="D246" t="s">
        <v>887</v>
      </c>
      <c r="E246">
        <v>212210</v>
      </c>
      <c r="F246" t="s">
        <v>888</v>
      </c>
      <c r="G246" t="s">
        <v>889</v>
      </c>
      <c r="H246" t="s">
        <v>79</v>
      </c>
      <c r="I246" t="s">
        <v>35</v>
      </c>
      <c r="J246" t="s">
        <v>36</v>
      </c>
      <c r="K246" t="s">
        <v>37</v>
      </c>
      <c r="L246" t="s">
        <v>25</v>
      </c>
      <c r="M246" t="s">
        <v>26</v>
      </c>
      <c r="N246" t="s">
        <v>38</v>
      </c>
      <c r="O246" t="s">
        <v>39</v>
      </c>
      <c r="P246">
        <v>1451</v>
      </c>
      <c r="Q246" t="s">
        <v>40</v>
      </c>
      <c r="R246" t="s">
        <v>50</v>
      </c>
    </row>
    <row r="247" spans="1:18" x14ac:dyDescent="0.25">
      <c r="A247">
        <v>2016</v>
      </c>
      <c r="B247">
        <v>11190</v>
      </c>
      <c r="C247" t="s">
        <v>890</v>
      </c>
      <c r="D247" t="s">
        <v>891</v>
      </c>
      <c r="E247">
        <v>416210</v>
      </c>
      <c r="F247" t="s">
        <v>560</v>
      </c>
      <c r="G247" t="s">
        <v>561</v>
      </c>
      <c r="H247" t="s">
        <v>21</v>
      </c>
      <c r="I247" t="s">
        <v>136</v>
      </c>
      <c r="J247" t="s">
        <v>137</v>
      </c>
      <c r="K247" t="s">
        <v>138</v>
      </c>
      <c r="L247" t="s">
        <v>25</v>
      </c>
      <c r="M247" t="s">
        <v>26</v>
      </c>
      <c r="N247" t="s">
        <v>38</v>
      </c>
      <c r="O247" t="s">
        <v>39</v>
      </c>
      <c r="P247">
        <v>12.32</v>
      </c>
      <c r="Q247" t="s">
        <v>29</v>
      </c>
      <c r="R247" t="s">
        <v>50</v>
      </c>
    </row>
    <row r="248" spans="1:18" x14ac:dyDescent="0.25">
      <c r="A248">
        <v>2015</v>
      </c>
      <c r="B248">
        <v>3758</v>
      </c>
      <c r="C248" t="s">
        <v>892</v>
      </c>
      <c r="D248" t="s">
        <v>893</v>
      </c>
      <c r="E248">
        <v>211113</v>
      </c>
      <c r="F248" t="s">
        <v>786</v>
      </c>
      <c r="G248" t="s">
        <v>426</v>
      </c>
      <c r="H248" t="s">
        <v>85</v>
      </c>
      <c r="I248" t="s">
        <v>491</v>
      </c>
      <c r="J248" t="s">
        <v>492</v>
      </c>
      <c r="K248" t="s">
        <v>492</v>
      </c>
      <c r="L248" t="s">
        <v>25</v>
      </c>
      <c r="M248" t="s">
        <v>26</v>
      </c>
      <c r="N248" t="s">
        <v>380</v>
      </c>
      <c r="O248" t="s">
        <v>381</v>
      </c>
      <c r="P248">
        <v>2.0199999999999999E-2</v>
      </c>
      <c r="Q248" t="s">
        <v>29</v>
      </c>
      <c r="R248" t="s">
        <v>30</v>
      </c>
    </row>
    <row r="249" spans="1:18" x14ac:dyDescent="0.25">
      <c r="A249">
        <v>2010</v>
      </c>
      <c r="B249">
        <v>11576</v>
      </c>
      <c r="C249" t="s">
        <v>894</v>
      </c>
      <c r="D249" t="s">
        <v>895</v>
      </c>
      <c r="E249">
        <v>336110</v>
      </c>
      <c r="F249" t="s">
        <v>377</v>
      </c>
      <c r="G249" t="s">
        <v>44</v>
      </c>
      <c r="H249" t="s">
        <v>21</v>
      </c>
      <c r="I249" t="s">
        <v>97</v>
      </c>
      <c r="J249" t="s">
        <v>98</v>
      </c>
      <c r="K249" t="s">
        <v>99</v>
      </c>
      <c r="L249" t="s">
        <v>89</v>
      </c>
      <c r="M249" t="s">
        <v>90</v>
      </c>
      <c r="N249" t="s">
        <v>166</v>
      </c>
      <c r="O249" t="s">
        <v>167</v>
      </c>
      <c r="P249">
        <v>1.0999999999999999E-2</v>
      </c>
      <c r="Q249" t="s">
        <v>29</v>
      </c>
      <c r="R249" t="s">
        <v>30</v>
      </c>
    </row>
    <row r="250" spans="1:18" x14ac:dyDescent="0.25">
      <c r="A250">
        <v>2012</v>
      </c>
      <c r="B250">
        <v>2638</v>
      </c>
      <c r="C250" t="s">
        <v>896</v>
      </c>
      <c r="D250" t="s">
        <v>897</v>
      </c>
      <c r="E250">
        <v>221320</v>
      </c>
      <c r="F250" t="s">
        <v>146</v>
      </c>
      <c r="G250" t="s">
        <v>147</v>
      </c>
      <c r="H250" t="s">
        <v>243</v>
      </c>
      <c r="I250" t="s">
        <v>402</v>
      </c>
      <c r="J250" t="s">
        <v>403</v>
      </c>
      <c r="K250" t="s">
        <v>404</v>
      </c>
      <c r="L250" t="s">
        <v>89</v>
      </c>
      <c r="M250" t="s">
        <v>90</v>
      </c>
      <c r="N250" t="s">
        <v>472</v>
      </c>
      <c r="O250" t="s">
        <v>473</v>
      </c>
      <c r="P250">
        <v>2E-3</v>
      </c>
      <c r="Q250" t="s">
        <v>29</v>
      </c>
      <c r="R250" t="s">
        <v>124</v>
      </c>
    </row>
    <row r="251" spans="1:18" x14ac:dyDescent="0.25">
      <c r="A251">
        <v>2004</v>
      </c>
      <c r="B251">
        <v>225</v>
      </c>
      <c r="C251" t="s">
        <v>898</v>
      </c>
      <c r="D251" t="s">
        <v>898</v>
      </c>
      <c r="E251">
        <v>331317</v>
      </c>
      <c r="F251" t="s">
        <v>899</v>
      </c>
      <c r="G251" t="s">
        <v>769</v>
      </c>
      <c r="H251" t="s">
        <v>21</v>
      </c>
      <c r="I251" t="s">
        <v>97</v>
      </c>
      <c r="J251" t="s">
        <v>98</v>
      </c>
      <c r="K251" t="s">
        <v>99</v>
      </c>
      <c r="L251" t="s">
        <v>25</v>
      </c>
      <c r="M251" t="s">
        <v>26</v>
      </c>
      <c r="N251" t="s">
        <v>595</v>
      </c>
      <c r="O251" t="s">
        <v>596</v>
      </c>
      <c r="P251">
        <v>92.933999999999997</v>
      </c>
      <c r="Q251" t="s">
        <v>29</v>
      </c>
      <c r="R251" t="s">
        <v>30</v>
      </c>
    </row>
    <row r="252" spans="1:18" x14ac:dyDescent="0.25">
      <c r="A252">
        <v>2005</v>
      </c>
      <c r="B252">
        <v>6562</v>
      </c>
      <c r="C252" t="s">
        <v>634</v>
      </c>
      <c r="D252" t="s">
        <v>900</v>
      </c>
      <c r="E252">
        <v>211113</v>
      </c>
      <c r="F252" t="s">
        <v>425</v>
      </c>
      <c r="G252" t="s">
        <v>426</v>
      </c>
      <c r="H252" t="s">
        <v>85</v>
      </c>
      <c r="I252" t="s">
        <v>491</v>
      </c>
      <c r="J252" t="s">
        <v>492</v>
      </c>
      <c r="K252" t="s">
        <v>492</v>
      </c>
      <c r="L252" t="s">
        <v>89</v>
      </c>
      <c r="M252" t="s">
        <v>90</v>
      </c>
      <c r="N252" t="s">
        <v>166</v>
      </c>
      <c r="O252" t="s">
        <v>167</v>
      </c>
      <c r="P252">
        <v>2.008</v>
      </c>
      <c r="Q252" t="s">
        <v>29</v>
      </c>
      <c r="R252" t="s">
        <v>30</v>
      </c>
    </row>
    <row r="253" spans="1:18" x14ac:dyDescent="0.25">
      <c r="A253">
        <v>2009</v>
      </c>
      <c r="B253">
        <v>139</v>
      </c>
      <c r="C253" t="s">
        <v>901</v>
      </c>
      <c r="D253" t="s">
        <v>902</v>
      </c>
      <c r="E253">
        <v>332810</v>
      </c>
      <c r="F253" t="s">
        <v>237</v>
      </c>
      <c r="G253" t="s">
        <v>238</v>
      </c>
      <c r="H253" t="s">
        <v>21</v>
      </c>
      <c r="I253" t="s">
        <v>22</v>
      </c>
      <c r="J253" t="s">
        <v>23</v>
      </c>
      <c r="K253" t="s">
        <v>24</v>
      </c>
      <c r="L253" t="s">
        <v>25</v>
      </c>
      <c r="M253" t="s">
        <v>26</v>
      </c>
      <c r="N253" t="s">
        <v>27</v>
      </c>
      <c r="O253" t="s">
        <v>28</v>
      </c>
      <c r="P253">
        <v>8.3960000000000008</v>
      </c>
      <c r="Q253" t="s">
        <v>29</v>
      </c>
      <c r="R253" t="s">
        <v>50</v>
      </c>
    </row>
    <row r="254" spans="1:18" x14ac:dyDescent="0.25">
      <c r="A254">
        <v>2021</v>
      </c>
      <c r="B254">
        <v>1562</v>
      </c>
      <c r="C254" t="s">
        <v>744</v>
      </c>
      <c r="D254" t="s">
        <v>903</v>
      </c>
      <c r="E254">
        <v>325510</v>
      </c>
      <c r="F254" t="s">
        <v>111</v>
      </c>
      <c r="G254" t="s">
        <v>112</v>
      </c>
      <c r="H254" t="s">
        <v>21</v>
      </c>
      <c r="I254" t="s">
        <v>129</v>
      </c>
      <c r="J254" t="s">
        <v>130</v>
      </c>
      <c r="K254" t="s">
        <v>131</v>
      </c>
      <c r="L254" t="s">
        <v>25</v>
      </c>
      <c r="M254" t="s">
        <v>26</v>
      </c>
      <c r="N254" t="s">
        <v>48</v>
      </c>
      <c r="O254" t="s">
        <v>49</v>
      </c>
      <c r="P254">
        <v>2.19</v>
      </c>
      <c r="Q254" t="s">
        <v>29</v>
      </c>
      <c r="R254" t="s">
        <v>30</v>
      </c>
    </row>
    <row r="255" spans="1:18" x14ac:dyDescent="0.25">
      <c r="A255">
        <v>1994</v>
      </c>
      <c r="B255">
        <v>722</v>
      </c>
      <c r="C255" t="s">
        <v>904</v>
      </c>
      <c r="E255">
        <v>325510</v>
      </c>
      <c r="F255" t="s">
        <v>143</v>
      </c>
      <c r="G255" t="s">
        <v>112</v>
      </c>
      <c r="H255" t="s">
        <v>21</v>
      </c>
      <c r="I255" t="s">
        <v>70</v>
      </c>
      <c r="J255" t="s">
        <v>71</v>
      </c>
      <c r="K255" t="s">
        <v>72</v>
      </c>
      <c r="L255" t="s">
        <v>89</v>
      </c>
      <c r="M255" t="s">
        <v>90</v>
      </c>
      <c r="N255" t="s">
        <v>166</v>
      </c>
      <c r="O255" t="s">
        <v>167</v>
      </c>
      <c r="P255">
        <v>0.89</v>
      </c>
      <c r="Q255" t="s">
        <v>29</v>
      </c>
      <c r="R255" t="s">
        <v>30</v>
      </c>
    </row>
    <row r="256" spans="1:18" x14ac:dyDescent="0.25">
      <c r="A256">
        <v>1993</v>
      </c>
      <c r="B256">
        <v>2263</v>
      </c>
      <c r="C256" t="s">
        <v>905</v>
      </c>
      <c r="E256">
        <v>322299</v>
      </c>
      <c r="F256" t="s">
        <v>906</v>
      </c>
      <c r="G256" t="s">
        <v>716</v>
      </c>
      <c r="H256" t="s">
        <v>21</v>
      </c>
      <c r="I256" t="s">
        <v>520</v>
      </c>
      <c r="J256" t="s">
        <v>521</v>
      </c>
      <c r="K256" t="s">
        <v>522</v>
      </c>
      <c r="L256" t="s">
        <v>89</v>
      </c>
      <c r="M256" t="s">
        <v>90</v>
      </c>
      <c r="N256" t="s">
        <v>100</v>
      </c>
      <c r="O256" t="s">
        <v>101</v>
      </c>
      <c r="P256">
        <v>11</v>
      </c>
      <c r="Q256" t="s">
        <v>29</v>
      </c>
    </row>
    <row r="257" spans="1:18" x14ac:dyDescent="0.25">
      <c r="A257">
        <v>2005</v>
      </c>
      <c r="B257">
        <v>6395</v>
      </c>
      <c r="C257" t="s">
        <v>907</v>
      </c>
      <c r="D257" t="s">
        <v>908</v>
      </c>
      <c r="E257">
        <v>335920</v>
      </c>
      <c r="F257" t="s">
        <v>566</v>
      </c>
      <c r="G257" t="s">
        <v>567</v>
      </c>
      <c r="H257" t="s">
        <v>79</v>
      </c>
      <c r="I257" t="s">
        <v>177</v>
      </c>
      <c r="J257" t="s">
        <v>178</v>
      </c>
      <c r="K257" t="s">
        <v>179</v>
      </c>
      <c r="L257" t="s">
        <v>25</v>
      </c>
      <c r="M257" t="s">
        <v>26</v>
      </c>
      <c r="N257" t="s">
        <v>38</v>
      </c>
      <c r="O257" t="s">
        <v>39</v>
      </c>
      <c r="P257">
        <v>589</v>
      </c>
      <c r="Q257" t="s">
        <v>29</v>
      </c>
      <c r="R257" t="s">
        <v>50</v>
      </c>
    </row>
    <row r="258" spans="1:18" x14ac:dyDescent="0.25">
      <c r="A258">
        <v>2004</v>
      </c>
      <c r="B258">
        <v>3161</v>
      </c>
      <c r="C258" t="s">
        <v>909</v>
      </c>
      <c r="D258" t="s">
        <v>910</v>
      </c>
      <c r="E258">
        <v>221113</v>
      </c>
      <c r="F258" t="s">
        <v>911</v>
      </c>
      <c r="G258" t="s">
        <v>912</v>
      </c>
      <c r="H258" t="s">
        <v>21</v>
      </c>
      <c r="I258" t="s">
        <v>913</v>
      </c>
      <c r="J258" t="s">
        <v>914</v>
      </c>
      <c r="K258" t="s">
        <v>915</v>
      </c>
      <c r="L258" t="s">
        <v>89</v>
      </c>
      <c r="M258" t="s">
        <v>90</v>
      </c>
      <c r="N258" t="s">
        <v>91</v>
      </c>
      <c r="O258" t="s">
        <v>92</v>
      </c>
      <c r="P258">
        <v>0</v>
      </c>
      <c r="Q258" t="s">
        <v>29</v>
      </c>
      <c r="R258" t="s">
        <v>50</v>
      </c>
    </row>
    <row r="259" spans="1:18" x14ac:dyDescent="0.25">
      <c r="A259">
        <v>2014</v>
      </c>
      <c r="B259">
        <v>7797</v>
      </c>
      <c r="C259" t="s">
        <v>642</v>
      </c>
      <c r="D259" t="s">
        <v>916</v>
      </c>
      <c r="E259">
        <v>562210</v>
      </c>
      <c r="F259" t="s">
        <v>84</v>
      </c>
      <c r="G259" t="s">
        <v>53</v>
      </c>
      <c r="H259" t="s">
        <v>69</v>
      </c>
      <c r="I259" t="s">
        <v>331</v>
      </c>
      <c r="J259" t="s">
        <v>332</v>
      </c>
      <c r="K259" t="s">
        <v>333</v>
      </c>
      <c r="L259" t="s">
        <v>25</v>
      </c>
      <c r="M259" t="s">
        <v>26</v>
      </c>
      <c r="N259" t="s">
        <v>380</v>
      </c>
      <c r="O259" t="s">
        <v>381</v>
      </c>
      <c r="P259">
        <v>154.3545</v>
      </c>
      <c r="Q259" t="s">
        <v>29</v>
      </c>
      <c r="R259" t="s">
        <v>50</v>
      </c>
    </row>
    <row r="260" spans="1:18" x14ac:dyDescent="0.25">
      <c r="A260">
        <v>1996</v>
      </c>
      <c r="B260">
        <v>4311</v>
      </c>
      <c r="C260" t="s">
        <v>917</v>
      </c>
      <c r="D260" t="s">
        <v>918</v>
      </c>
      <c r="E260">
        <v>323119</v>
      </c>
      <c r="F260" t="s">
        <v>919</v>
      </c>
      <c r="G260" t="s">
        <v>920</v>
      </c>
      <c r="H260" t="s">
        <v>21</v>
      </c>
      <c r="I260" t="s">
        <v>55</v>
      </c>
      <c r="J260" t="s">
        <v>56</v>
      </c>
      <c r="K260" t="s">
        <v>57</v>
      </c>
      <c r="L260" t="s">
        <v>89</v>
      </c>
      <c r="M260" t="s">
        <v>90</v>
      </c>
      <c r="N260" t="s">
        <v>166</v>
      </c>
      <c r="O260" t="s">
        <v>167</v>
      </c>
      <c r="P260">
        <v>4.4000000000000004</v>
      </c>
      <c r="Q260" t="s">
        <v>29</v>
      </c>
      <c r="R260" t="s">
        <v>30</v>
      </c>
    </row>
    <row r="261" spans="1:18" x14ac:dyDescent="0.25">
      <c r="A261">
        <v>1999</v>
      </c>
      <c r="B261">
        <v>3753</v>
      </c>
      <c r="C261" t="s">
        <v>921</v>
      </c>
      <c r="D261" t="s">
        <v>922</v>
      </c>
      <c r="E261">
        <v>211113</v>
      </c>
      <c r="F261" t="s">
        <v>425</v>
      </c>
      <c r="G261" t="s">
        <v>426</v>
      </c>
      <c r="H261" t="s">
        <v>85</v>
      </c>
      <c r="I261" t="s">
        <v>923</v>
      </c>
      <c r="J261" t="s">
        <v>924</v>
      </c>
      <c r="K261" t="s">
        <v>924</v>
      </c>
      <c r="L261" t="s">
        <v>89</v>
      </c>
      <c r="M261" t="s">
        <v>90</v>
      </c>
      <c r="N261" t="s">
        <v>166</v>
      </c>
      <c r="O261" t="s">
        <v>167</v>
      </c>
      <c r="P261">
        <v>4.1000000000000002E-2</v>
      </c>
      <c r="Q261" t="s">
        <v>29</v>
      </c>
      <c r="R261" t="s">
        <v>30</v>
      </c>
    </row>
    <row r="262" spans="1:18" x14ac:dyDescent="0.25">
      <c r="A262">
        <v>2000</v>
      </c>
      <c r="B262">
        <v>4407</v>
      </c>
      <c r="C262" t="s">
        <v>925</v>
      </c>
      <c r="D262" t="s">
        <v>163</v>
      </c>
      <c r="E262">
        <v>325999</v>
      </c>
      <c r="F262" t="s">
        <v>396</v>
      </c>
      <c r="G262" t="s">
        <v>397</v>
      </c>
      <c r="H262" t="s">
        <v>79</v>
      </c>
      <c r="I262" t="s">
        <v>648</v>
      </c>
      <c r="J262" t="s">
        <v>649</v>
      </c>
      <c r="K262" t="s">
        <v>650</v>
      </c>
      <c r="L262" t="s">
        <v>89</v>
      </c>
      <c r="M262" t="s">
        <v>90</v>
      </c>
      <c r="N262" t="s">
        <v>166</v>
      </c>
      <c r="O262" t="s">
        <v>167</v>
      </c>
      <c r="P262">
        <v>27.138999999999999</v>
      </c>
      <c r="Q262" t="s">
        <v>29</v>
      </c>
      <c r="R262" t="s">
        <v>30</v>
      </c>
    </row>
    <row r="263" spans="1:18" x14ac:dyDescent="0.25">
      <c r="A263">
        <v>2016</v>
      </c>
      <c r="B263">
        <v>3419</v>
      </c>
      <c r="C263" t="s">
        <v>856</v>
      </c>
      <c r="D263" t="s">
        <v>926</v>
      </c>
      <c r="E263">
        <v>336110</v>
      </c>
      <c r="F263" t="s">
        <v>43</v>
      </c>
      <c r="G263" t="s">
        <v>44</v>
      </c>
      <c r="H263" t="s">
        <v>21</v>
      </c>
      <c r="I263" t="s">
        <v>407</v>
      </c>
      <c r="J263" t="s">
        <v>408</v>
      </c>
      <c r="K263" t="s">
        <v>409</v>
      </c>
      <c r="L263" t="s">
        <v>89</v>
      </c>
      <c r="M263" t="s">
        <v>90</v>
      </c>
      <c r="N263" t="s">
        <v>166</v>
      </c>
      <c r="O263" t="s">
        <v>167</v>
      </c>
      <c r="P263">
        <v>0.23699999999999999</v>
      </c>
      <c r="Q263" t="s">
        <v>29</v>
      </c>
      <c r="R263" t="s">
        <v>30</v>
      </c>
    </row>
    <row r="264" spans="1:18" x14ac:dyDescent="0.25">
      <c r="A264">
        <v>2014</v>
      </c>
      <c r="B264">
        <v>5135</v>
      </c>
      <c r="C264" t="s">
        <v>927</v>
      </c>
      <c r="D264" t="s">
        <v>927</v>
      </c>
      <c r="E264">
        <v>562210</v>
      </c>
      <c r="F264" t="s">
        <v>84</v>
      </c>
      <c r="G264" t="s">
        <v>53</v>
      </c>
      <c r="H264" t="s">
        <v>69</v>
      </c>
      <c r="I264" t="s">
        <v>324</v>
      </c>
      <c r="J264" t="s">
        <v>325</v>
      </c>
      <c r="K264" t="s">
        <v>326</v>
      </c>
      <c r="L264" t="s">
        <v>25</v>
      </c>
      <c r="M264" t="s">
        <v>26</v>
      </c>
      <c r="N264" t="s">
        <v>38</v>
      </c>
      <c r="O264" t="s">
        <v>39</v>
      </c>
      <c r="P264">
        <v>12.814500000000001</v>
      </c>
      <c r="Q264" t="s">
        <v>40</v>
      </c>
      <c r="R264" t="s">
        <v>30</v>
      </c>
    </row>
    <row r="265" spans="1:18" x14ac:dyDescent="0.25">
      <c r="A265">
        <v>2006</v>
      </c>
      <c r="B265">
        <v>7180</v>
      </c>
      <c r="C265" t="s">
        <v>928</v>
      </c>
      <c r="D265" t="s">
        <v>929</v>
      </c>
      <c r="E265">
        <v>332720</v>
      </c>
      <c r="F265" t="s">
        <v>930</v>
      </c>
      <c r="G265" t="s">
        <v>931</v>
      </c>
      <c r="H265" t="s">
        <v>21</v>
      </c>
      <c r="I265" t="s">
        <v>152</v>
      </c>
      <c r="J265" t="s">
        <v>153</v>
      </c>
      <c r="K265" t="s">
        <v>154</v>
      </c>
      <c r="L265" t="s">
        <v>25</v>
      </c>
      <c r="M265" t="s">
        <v>26</v>
      </c>
      <c r="N265" t="s">
        <v>38</v>
      </c>
      <c r="O265" t="s">
        <v>39</v>
      </c>
      <c r="P265">
        <v>11.565</v>
      </c>
      <c r="Q265" t="s">
        <v>29</v>
      </c>
      <c r="R265" t="s">
        <v>50</v>
      </c>
    </row>
    <row r="266" spans="1:18" x14ac:dyDescent="0.25">
      <c r="A266">
        <v>2021</v>
      </c>
      <c r="B266">
        <v>1338</v>
      </c>
      <c r="C266" t="s">
        <v>212</v>
      </c>
      <c r="D266" t="s">
        <v>597</v>
      </c>
      <c r="E266">
        <v>221320</v>
      </c>
      <c r="F266" t="s">
        <v>146</v>
      </c>
      <c r="G266" t="s">
        <v>147</v>
      </c>
      <c r="H266" t="s">
        <v>69</v>
      </c>
      <c r="I266" t="s">
        <v>106</v>
      </c>
      <c r="J266" t="s">
        <v>107</v>
      </c>
      <c r="K266" t="s">
        <v>108</v>
      </c>
      <c r="L266" t="s">
        <v>25</v>
      </c>
      <c r="M266" t="s">
        <v>26</v>
      </c>
      <c r="N266" t="s">
        <v>139</v>
      </c>
      <c r="O266" t="s">
        <v>140</v>
      </c>
      <c r="P266">
        <v>4.7302</v>
      </c>
      <c r="Q266" t="s">
        <v>40</v>
      </c>
      <c r="R266" t="s">
        <v>124</v>
      </c>
    </row>
    <row r="267" spans="1:18" x14ac:dyDescent="0.25">
      <c r="A267">
        <v>2000</v>
      </c>
      <c r="B267">
        <v>4905</v>
      </c>
      <c r="C267" t="s">
        <v>932</v>
      </c>
      <c r="D267" t="s">
        <v>933</v>
      </c>
      <c r="E267">
        <v>335920</v>
      </c>
      <c r="F267" t="s">
        <v>566</v>
      </c>
      <c r="G267" t="s">
        <v>567</v>
      </c>
      <c r="H267" t="s">
        <v>79</v>
      </c>
      <c r="I267" t="s">
        <v>177</v>
      </c>
      <c r="J267" t="s">
        <v>178</v>
      </c>
      <c r="K267" t="s">
        <v>179</v>
      </c>
      <c r="L267" t="s">
        <v>25</v>
      </c>
      <c r="M267" t="s">
        <v>26</v>
      </c>
      <c r="N267" t="s">
        <v>38</v>
      </c>
      <c r="O267" t="s">
        <v>39</v>
      </c>
      <c r="P267">
        <v>6.47</v>
      </c>
      <c r="Q267" t="s">
        <v>29</v>
      </c>
      <c r="R267" t="s">
        <v>442</v>
      </c>
    </row>
    <row r="268" spans="1:18" x14ac:dyDescent="0.25">
      <c r="A268">
        <v>2014</v>
      </c>
      <c r="B268">
        <v>7674</v>
      </c>
      <c r="C268" t="s">
        <v>934</v>
      </c>
      <c r="D268" t="s">
        <v>935</v>
      </c>
      <c r="E268">
        <v>331523</v>
      </c>
      <c r="F268" t="s">
        <v>33</v>
      </c>
      <c r="G268" t="s">
        <v>34</v>
      </c>
      <c r="H268" t="s">
        <v>21</v>
      </c>
      <c r="I268" t="s">
        <v>152</v>
      </c>
      <c r="J268" t="s">
        <v>153</v>
      </c>
      <c r="K268" t="s">
        <v>154</v>
      </c>
      <c r="L268" t="s">
        <v>25</v>
      </c>
      <c r="M268" t="s">
        <v>26</v>
      </c>
      <c r="N268" t="s">
        <v>38</v>
      </c>
      <c r="O268" t="s">
        <v>39</v>
      </c>
      <c r="P268">
        <v>22.591999999999999</v>
      </c>
      <c r="Q268" t="s">
        <v>29</v>
      </c>
      <c r="R268" t="s">
        <v>50</v>
      </c>
    </row>
    <row r="269" spans="1:18" x14ac:dyDescent="0.25">
      <c r="A269">
        <v>2013</v>
      </c>
      <c r="B269">
        <v>2587</v>
      </c>
      <c r="C269" t="s">
        <v>936</v>
      </c>
      <c r="D269" t="s">
        <v>937</v>
      </c>
      <c r="E269">
        <v>322121</v>
      </c>
      <c r="F269" t="s">
        <v>938</v>
      </c>
      <c r="G269" t="s">
        <v>765</v>
      </c>
      <c r="H269" t="s">
        <v>79</v>
      </c>
      <c r="I269" t="s">
        <v>106</v>
      </c>
      <c r="J269" t="s">
        <v>107</v>
      </c>
      <c r="K269" t="s">
        <v>108</v>
      </c>
      <c r="L269" t="s">
        <v>89</v>
      </c>
      <c r="M269" t="s">
        <v>90</v>
      </c>
      <c r="N269" t="s">
        <v>120</v>
      </c>
      <c r="O269" t="s">
        <v>121</v>
      </c>
      <c r="P269">
        <v>2.5000000000000001E-2</v>
      </c>
      <c r="Q269" t="s">
        <v>40</v>
      </c>
      <c r="R269" t="s">
        <v>50</v>
      </c>
    </row>
    <row r="270" spans="1:18" x14ac:dyDescent="0.25">
      <c r="A270">
        <v>2019</v>
      </c>
      <c r="B270">
        <v>3824</v>
      </c>
      <c r="C270" t="s">
        <v>625</v>
      </c>
      <c r="D270" t="s">
        <v>939</v>
      </c>
      <c r="E270">
        <v>331110</v>
      </c>
      <c r="F270" t="s">
        <v>627</v>
      </c>
      <c r="G270" t="s">
        <v>336</v>
      </c>
      <c r="H270" t="s">
        <v>21</v>
      </c>
      <c r="I270" t="s">
        <v>62</v>
      </c>
      <c r="J270" t="s">
        <v>63</v>
      </c>
      <c r="K270" t="s">
        <v>64</v>
      </c>
      <c r="L270" t="s">
        <v>89</v>
      </c>
      <c r="M270" t="s">
        <v>90</v>
      </c>
      <c r="N270" t="s">
        <v>91</v>
      </c>
      <c r="O270" t="s">
        <v>92</v>
      </c>
      <c r="P270">
        <v>0.13089999999999999</v>
      </c>
      <c r="Q270" t="s">
        <v>29</v>
      </c>
      <c r="R270" t="s">
        <v>124</v>
      </c>
    </row>
    <row r="271" spans="1:18" x14ac:dyDescent="0.25">
      <c r="A271">
        <v>2003</v>
      </c>
      <c r="B271">
        <v>105</v>
      </c>
      <c r="C271" t="s">
        <v>940</v>
      </c>
      <c r="E271">
        <v>339990</v>
      </c>
      <c r="F271" t="s">
        <v>871</v>
      </c>
      <c r="G271" t="s">
        <v>872</v>
      </c>
      <c r="H271" t="s">
        <v>79</v>
      </c>
      <c r="I271" t="s">
        <v>337</v>
      </c>
      <c r="J271" t="s">
        <v>338</v>
      </c>
      <c r="K271" t="s">
        <v>339</v>
      </c>
      <c r="L271" t="s">
        <v>25</v>
      </c>
      <c r="M271" t="s">
        <v>26</v>
      </c>
      <c r="N271" t="s">
        <v>155</v>
      </c>
      <c r="O271" t="s">
        <v>156</v>
      </c>
      <c r="P271">
        <v>1089.6310000000001</v>
      </c>
      <c r="Q271" t="s">
        <v>29</v>
      </c>
      <c r="R271" t="s">
        <v>50</v>
      </c>
    </row>
    <row r="272" spans="1:18" x14ac:dyDescent="0.25">
      <c r="A272">
        <v>2010</v>
      </c>
      <c r="B272">
        <v>2677</v>
      </c>
      <c r="C272" t="s">
        <v>816</v>
      </c>
      <c r="D272" t="s">
        <v>941</v>
      </c>
      <c r="E272">
        <v>336370</v>
      </c>
      <c r="F272" t="s">
        <v>586</v>
      </c>
      <c r="G272" t="s">
        <v>587</v>
      </c>
      <c r="H272" t="s">
        <v>21</v>
      </c>
      <c r="I272" t="s">
        <v>177</v>
      </c>
      <c r="J272" t="s">
        <v>178</v>
      </c>
      <c r="K272" t="s">
        <v>179</v>
      </c>
      <c r="L272" t="s">
        <v>89</v>
      </c>
      <c r="M272" t="s">
        <v>90</v>
      </c>
      <c r="N272" t="s">
        <v>100</v>
      </c>
      <c r="O272" t="s">
        <v>101</v>
      </c>
      <c r="P272">
        <v>2.0000000000000001E-4</v>
      </c>
      <c r="Q272" t="s">
        <v>29</v>
      </c>
      <c r="R272" t="s">
        <v>50</v>
      </c>
    </row>
    <row r="273" spans="1:18" x14ac:dyDescent="0.25">
      <c r="A273">
        <v>2001</v>
      </c>
      <c r="B273">
        <v>4626</v>
      </c>
      <c r="C273" t="s">
        <v>942</v>
      </c>
      <c r="E273">
        <v>332810</v>
      </c>
      <c r="F273" t="s">
        <v>237</v>
      </c>
      <c r="G273" t="s">
        <v>238</v>
      </c>
      <c r="H273" t="s">
        <v>21</v>
      </c>
      <c r="I273" t="s">
        <v>86</v>
      </c>
      <c r="J273" t="s">
        <v>87</v>
      </c>
      <c r="K273" t="s">
        <v>88</v>
      </c>
      <c r="L273" t="s">
        <v>89</v>
      </c>
      <c r="M273" t="s">
        <v>90</v>
      </c>
      <c r="N273" t="s">
        <v>91</v>
      </c>
      <c r="O273" t="s">
        <v>92</v>
      </c>
      <c r="P273">
        <v>2.27</v>
      </c>
      <c r="Q273" t="s">
        <v>29</v>
      </c>
      <c r="R273" t="s">
        <v>442</v>
      </c>
    </row>
    <row r="274" spans="1:18" x14ac:dyDescent="0.25">
      <c r="A274">
        <v>2021</v>
      </c>
      <c r="B274">
        <v>3897</v>
      </c>
      <c r="C274" t="s">
        <v>943</v>
      </c>
      <c r="D274" t="s">
        <v>275</v>
      </c>
      <c r="E274">
        <v>324110</v>
      </c>
      <c r="F274" t="s">
        <v>196</v>
      </c>
      <c r="G274" t="s">
        <v>96</v>
      </c>
      <c r="H274" t="s">
        <v>79</v>
      </c>
      <c r="I274" t="s">
        <v>106</v>
      </c>
      <c r="J274" t="s">
        <v>107</v>
      </c>
      <c r="K274" t="s">
        <v>108</v>
      </c>
      <c r="L274" t="s">
        <v>89</v>
      </c>
      <c r="M274" t="s">
        <v>90</v>
      </c>
      <c r="N274" t="s">
        <v>91</v>
      </c>
      <c r="O274" t="s">
        <v>92</v>
      </c>
      <c r="P274">
        <v>2.8167000000000001E-2</v>
      </c>
      <c r="Q274" t="s">
        <v>40</v>
      </c>
      <c r="R274" t="s">
        <v>30</v>
      </c>
    </row>
    <row r="275" spans="1:18" x14ac:dyDescent="0.25">
      <c r="A275">
        <v>2007</v>
      </c>
      <c r="B275">
        <v>7977</v>
      </c>
      <c r="C275" t="s">
        <v>944</v>
      </c>
      <c r="D275" t="s">
        <v>945</v>
      </c>
      <c r="E275">
        <v>331222</v>
      </c>
      <c r="F275" t="s">
        <v>946</v>
      </c>
      <c r="G275" t="s">
        <v>287</v>
      </c>
      <c r="H275" t="s">
        <v>69</v>
      </c>
      <c r="I275" t="s">
        <v>152</v>
      </c>
      <c r="J275" t="s">
        <v>153</v>
      </c>
      <c r="K275" t="s">
        <v>154</v>
      </c>
      <c r="L275" t="s">
        <v>25</v>
      </c>
      <c r="M275" t="s">
        <v>26</v>
      </c>
      <c r="N275" t="s">
        <v>38</v>
      </c>
      <c r="O275" t="s">
        <v>39</v>
      </c>
      <c r="P275">
        <v>26.38</v>
      </c>
      <c r="Q275" t="s">
        <v>29</v>
      </c>
      <c r="R275" t="s">
        <v>124</v>
      </c>
    </row>
    <row r="276" spans="1:18" x14ac:dyDescent="0.25">
      <c r="A276">
        <v>2003</v>
      </c>
      <c r="B276">
        <v>432</v>
      </c>
      <c r="C276" t="s">
        <v>947</v>
      </c>
      <c r="D276" t="s">
        <v>948</v>
      </c>
      <c r="E276">
        <v>211113</v>
      </c>
      <c r="F276" t="s">
        <v>425</v>
      </c>
      <c r="G276" t="s">
        <v>426</v>
      </c>
      <c r="H276" t="s">
        <v>85</v>
      </c>
      <c r="I276" t="s">
        <v>923</v>
      </c>
      <c r="J276" t="s">
        <v>924</v>
      </c>
      <c r="K276" t="s">
        <v>924</v>
      </c>
      <c r="L276" t="s">
        <v>89</v>
      </c>
      <c r="M276" t="s">
        <v>90</v>
      </c>
      <c r="N276" t="s">
        <v>166</v>
      </c>
      <c r="O276" t="s">
        <v>167</v>
      </c>
      <c r="P276">
        <v>4.9000000000000002E-2</v>
      </c>
      <c r="Q276" t="s">
        <v>29</v>
      </c>
      <c r="R276" t="s">
        <v>30</v>
      </c>
    </row>
    <row r="277" spans="1:18" x14ac:dyDescent="0.25">
      <c r="A277">
        <v>2006</v>
      </c>
      <c r="B277">
        <v>3893</v>
      </c>
      <c r="C277" t="s">
        <v>949</v>
      </c>
      <c r="D277" t="s">
        <v>950</v>
      </c>
      <c r="E277">
        <v>336110</v>
      </c>
      <c r="F277" t="s">
        <v>377</v>
      </c>
      <c r="G277" t="s">
        <v>44</v>
      </c>
      <c r="H277" t="s">
        <v>21</v>
      </c>
      <c r="I277" t="s">
        <v>668</v>
      </c>
      <c r="J277" t="s">
        <v>669</v>
      </c>
      <c r="K277" t="s">
        <v>670</v>
      </c>
      <c r="L277" t="s">
        <v>89</v>
      </c>
      <c r="M277" t="s">
        <v>90</v>
      </c>
      <c r="N277" t="s">
        <v>166</v>
      </c>
      <c r="O277" t="s">
        <v>167</v>
      </c>
      <c r="P277">
        <v>0.316</v>
      </c>
      <c r="Q277" t="s">
        <v>29</v>
      </c>
      <c r="R277" t="s">
        <v>30</v>
      </c>
    </row>
    <row r="278" spans="1:18" x14ac:dyDescent="0.25">
      <c r="A278">
        <v>2001</v>
      </c>
      <c r="B278">
        <v>4509</v>
      </c>
      <c r="C278" t="s">
        <v>951</v>
      </c>
      <c r="E278">
        <v>332999</v>
      </c>
      <c r="F278" t="s">
        <v>309</v>
      </c>
      <c r="G278" t="s">
        <v>304</v>
      </c>
      <c r="H278" t="s">
        <v>21</v>
      </c>
      <c r="I278" t="s">
        <v>177</v>
      </c>
      <c r="J278" t="s">
        <v>178</v>
      </c>
      <c r="K278" t="s">
        <v>179</v>
      </c>
      <c r="L278" t="s">
        <v>25</v>
      </c>
      <c r="M278" t="s">
        <v>26</v>
      </c>
      <c r="N278" t="s">
        <v>38</v>
      </c>
      <c r="O278" t="s">
        <v>39</v>
      </c>
      <c r="P278">
        <v>24.14</v>
      </c>
      <c r="Q278" t="s">
        <v>29</v>
      </c>
      <c r="R278" t="s">
        <v>442</v>
      </c>
    </row>
    <row r="279" spans="1:18" x14ac:dyDescent="0.25">
      <c r="A279">
        <v>2012</v>
      </c>
      <c r="B279">
        <v>3704</v>
      </c>
      <c r="C279" t="s">
        <v>194</v>
      </c>
      <c r="D279" t="s">
        <v>468</v>
      </c>
      <c r="E279">
        <v>324110</v>
      </c>
      <c r="F279" t="s">
        <v>196</v>
      </c>
      <c r="G279" t="s">
        <v>96</v>
      </c>
      <c r="H279" t="s">
        <v>21</v>
      </c>
      <c r="I279" t="s">
        <v>648</v>
      </c>
      <c r="J279" t="s">
        <v>649</v>
      </c>
      <c r="K279" t="s">
        <v>650</v>
      </c>
      <c r="L279" t="s">
        <v>25</v>
      </c>
      <c r="M279" t="s">
        <v>26</v>
      </c>
      <c r="N279" t="s">
        <v>155</v>
      </c>
      <c r="O279" t="s">
        <v>156</v>
      </c>
      <c r="P279">
        <v>5.0000000000000001E-3</v>
      </c>
      <c r="Q279" t="s">
        <v>29</v>
      </c>
      <c r="R279" t="s">
        <v>124</v>
      </c>
    </row>
    <row r="280" spans="1:18" x14ac:dyDescent="0.25">
      <c r="A280">
        <v>1996</v>
      </c>
      <c r="B280">
        <v>4575</v>
      </c>
      <c r="C280" t="s">
        <v>952</v>
      </c>
      <c r="E280">
        <v>325610</v>
      </c>
      <c r="F280" t="s">
        <v>612</v>
      </c>
      <c r="G280" t="s">
        <v>613</v>
      </c>
      <c r="H280" t="s">
        <v>79</v>
      </c>
      <c r="I280" t="s">
        <v>80</v>
      </c>
      <c r="J280" t="s">
        <v>81</v>
      </c>
      <c r="K280" t="s">
        <v>82</v>
      </c>
      <c r="L280" t="s">
        <v>89</v>
      </c>
      <c r="M280" t="s">
        <v>90</v>
      </c>
      <c r="N280" t="s">
        <v>166</v>
      </c>
      <c r="O280" t="s">
        <v>167</v>
      </c>
      <c r="P280">
        <v>3.5</v>
      </c>
      <c r="Q280" t="s">
        <v>29</v>
      </c>
      <c r="R280" t="s">
        <v>30</v>
      </c>
    </row>
    <row r="281" spans="1:18" x14ac:dyDescent="0.25">
      <c r="A281">
        <v>2000</v>
      </c>
      <c r="B281">
        <v>1863</v>
      </c>
      <c r="C281" t="s">
        <v>953</v>
      </c>
      <c r="D281" t="s">
        <v>954</v>
      </c>
      <c r="E281">
        <v>323119</v>
      </c>
      <c r="F281" t="s">
        <v>919</v>
      </c>
      <c r="G281" t="s">
        <v>920</v>
      </c>
      <c r="H281" t="s">
        <v>21</v>
      </c>
      <c r="I281" t="s">
        <v>55</v>
      </c>
      <c r="J281" t="s">
        <v>56</v>
      </c>
      <c r="K281" t="s">
        <v>57</v>
      </c>
      <c r="L281" t="s">
        <v>89</v>
      </c>
      <c r="M281" t="s">
        <v>90</v>
      </c>
      <c r="N281" t="s">
        <v>120</v>
      </c>
      <c r="O281" t="s">
        <v>121</v>
      </c>
      <c r="P281">
        <v>0.38200000000000001</v>
      </c>
      <c r="Q281" t="s">
        <v>29</v>
      </c>
      <c r="R281" t="s">
        <v>30</v>
      </c>
    </row>
    <row r="282" spans="1:18" x14ac:dyDescent="0.25">
      <c r="A282">
        <v>2006</v>
      </c>
      <c r="B282">
        <v>4610</v>
      </c>
      <c r="C282" t="s">
        <v>363</v>
      </c>
      <c r="D282" t="s">
        <v>955</v>
      </c>
      <c r="E282">
        <v>321114</v>
      </c>
      <c r="F282" t="s">
        <v>365</v>
      </c>
      <c r="G282" t="s">
        <v>366</v>
      </c>
      <c r="H282" t="s">
        <v>69</v>
      </c>
      <c r="I282" t="s">
        <v>844</v>
      </c>
      <c r="J282" t="s">
        <v>845</v>
      </c>
      <c r="K282" t="s">
        <v>846</v>
      </c>
      <c r="L282" t="s">
        <v>89</v>
      </c>
      <c r="M282" t="s">
        <v>90</v>
      </c>
      <c r="N282" t="s">
        <v>166</v>
      </c>
      <c r="O282" t="s">
        <v>167</v>
      </c>
      <c r="P282">
        <v>0.16700000000000001</v>
      </c>
      <c r="Q282" t="s">
        <v>29</v>
      </c>
      <c r="R282" t="s">
        <v>30</v>
      </c>
    </row>
    <row r="283" spans="1:18" x14ac:dyDescent="0.25">
      <c r="A283">
        <v>2004</v>
      </c>
      <c r="B283">
        <v>3161</v>
      </c>
      <c r="C283" t="s">
        <v>909</v>
      </c>
      <c r="D283" t="s">
        <v>910</v>
      </c>
      <c r="E283">
        <v>221113</v>
      </c>
      <c r="F283" t="s">
        <v>911</v>
      </c>
      <c r="G283" t="s">
        <v>912</v>
      </c>
      <c r="H283" t="s">
        <v>21</v>
      </c>
      <c r="I283" t="s">
        <v>177</v>
      </c>
      <c r="J283" t="s">
        <v>178</v>
      </c>
      <c r="K283" t="s">
        <v>179</v>
      </c>
      <c r="L283" t="s">
        <v>25</v>
      </c>
      <c r="M283" t="s">
        <v>26</v>
      </c>
      <c r="N283" t="s">
        <v>139</v>
      </c>
      <c r="O283" t="s">
        <v>140</v>
      </c>
      <c r="P283">
        <v>0</v>
      </c>
      <c r="Q283" t="s">
        <v>29</v>
      </c>
      <c r="R283" t="s">
        <v>50</v>
      </c>
    </row>
    <row r="284" spans="1:18" x14ac:dyDescent="0.25">
      <c r="A284">
        <v>2012</v>
      </c>
      <c r="B284">
        <v>6546</v>
      </c>
      <c r="C284" t="s">
        <v>355</v>
      </c>
      <c r="D284" t="s">
        <v>356</v>
      </c>
      <c r="E284">
        <v>211114</v>
      </c>
      <c r="F284" t="s">
        <v>956</v>
      </c>
      <c r="G284" t="s">
        <v>836</v>
      </c>
      <c r="H284" t="s">
        <v>85</v>
      </c>
      <c r="I284" t="s">
        <v>62</v>
      </c>
      <c r="J284" t="s">
        <v>63</v>
      </c>
      <c r="K284" t="s">
        <v>64</v>
      </c>
      <c r="L284" t="s">
        <v>25</v>
      </c>
      <c r="M284" t="s">
        <v>26</v>
      </c>
      <c r="N284" t="s">
        <v>200</v>
      </c>
      <c r="O284" t="s">
        <v>201</v>
      </c>
      <c r="P284">
        <v>516.43399999999997</v>
      </c>
      <c r="Q284" t="s">
        <v>29</v>
      </c>
      <c r="R284" t="s">
        <v>124</v>
      </c>
    </row>
    <row r="285" spans="1:18" x14ac:dyDescent="0.25">
      <c r="A285">
        <v>2003</v>
      </c>
      <c r="B285">
        <v>3590</v>
      </c>
      <c r="C285" t="s">
        <v>957</v>
      </c>
      <c r="D285" t="s">
        <v>958</v>
      </c>
      <c r="E285">
        <v>325999</v>
      </c>
      <c r="F285" t="s">
        <v>396</v>
      </c>
      <c r="G285" t="s">
        <v>397</v>
      </c>
      <c r="H285" t="s">
        <v>21</v>
      </c>
      <c r="I285" t="s">
        <v>271</v>
      </c>
      <c r="J285" t="s">
        <v>272</v>
      </c>
      <c r="K285" t="s">
        <v>273</v>
      </c>
      <c r="L285" t="s">
        <v>25</v>
      </c>
      <c r="M285" t="s">
        <v>26</v>
      </c>
      <c r="N285" t="s">
        <v>48</v>
      </c>
      <c r="O285" t="s">
        <v>49</v>
      </c>
      <c r="P285">
        <v>0.32200000000000001</v>
      </c>
      <c r="Q285" t="s">
        <v>29</v>
      </c>
      <c r="R285" t="s">
        <v>50</v>
      </c>
    </row>
    <row r="286" spans="1:18" x14ac:dyDescent="0.25">
      <c r="A286">
        <v>2010</v>
      </c>
      <c r="B286">
        <v>495</v>
      </c>
      <c r="C286" t="s">
        <v>959</v>
      </c>
      <c r="D286" t="s">
        <v>960</v>
      </c>
      <c r="E286">
        <v>221320</v>
      </c>
      <c r="F286" t="s">
        <v>390</v>
      </c>
      <c r="G286" t="s">
        <v>147</v>
      </c>
      <c r="H286" t="s">
        <v>21</v>
      </c>
      <c r="I286" t="s">
        <v>97</v>
      </c>
      <c r="J286" t="s">
        <v>98</v>
      </c>
      <c r="K286" t="s">
        <v>99</v>
      </c>
      <c r="L286" t="s">
        <v>25</v>
      </c>
      <c r="M286" t="s">
        <v>26</v>
      </c>
      <c r="N286" t="s">
        <v>139</v>
      </c>
      <c r="O286" t="s">
        <v>140</v>
      </c>
      <c r="P286">
        <v>143.30000000000001</v>
      </c>
      <c r="Q286" t="s">
        <v>29</v>
      </c>
      <c r="R286" t="s">
        <v>124</v>
      </c>
    </row>
    <row r="287" spans="1:18" x14ac:dyDescent="0.25">
      <c r="A287">
        <v>2019</v>
      </c>
      <c r="B287">
        <v>4521</v>
      </c>
      <c r="C287" t="s">
        <v>961</v>
      </c>
      <c r="D287" t="s">
        <v>962</v>
      </c>
      <c r="E287">
        <v>333248</v>
      </c>
      <c r="F287" t="s">
        <v>963</v>
      </c>
      <c r="G287" t="s">
        <v>964</v>
      </c>
      <c r="H287" t="s">
        <v>21</v>
      </c>
      <c r="I287" t="s">
        <v>177</v>
      </c>
      <c r="J287" t="s">
        <v>178</v>
      </c>
      <c r="K287" t="s">
        <v>179</v>
      </c>
      <c r="L287" t="s">
        <v>89</v>
      </c>
      <c r="M287" t="s">
        <v>90</v>
      </c>
      <c r="N287" t="s">
        <v>100</v>
      </c>
      <c r="O287" t="s">
        <v>101</v>
      </c>
      <c r="P287">
        <v>6.0000000000000001E-3</v>
      </c>
      <c r="Q287" t="s">
        <v>29</v>
      </c>
      <c r="R287" t="s">
        <v>50</v>
      </c>
    </row>
    <row r="288" spans="1:18" x14ac:dyDescent="0.25">
      <c r="A288">
        <v>2001</v>
      </c>
      <c r="B288">
        <v>1307</v>
      </c>
      <c r="C288" t="s">
        <v>965</v>
      </c>
      <c r="D288" t="s">
        <v>966</v>
      </c>
      <c r="E288">
        <v>326210</v>
      </c>
      <c r="F288" t="s">
        <v>967</v>
      </c>
      <c r="G288" t="s">
        <v>968</v>
      </c>
      <c r="H288" t="s">
        <v>79</v>
      </c>
      <c r="I288" t="s">
        <v>152</v>
      </c>
      <c r="J288" t="s">
        <v>153</v>
      </c>
      <c r="K288" t="s">
        <v>154</v>
      </c>
      <c r="L288" t="s">
        <v>25</v>
      </c>
      <c r="M288" t="s">
        <v>26</v>
      </c>
      <c r="N288" t="s">
        <v>48</v>
      </c>
      <c r="O288" t="s">
        <v>49</v>
      </c>
      <c r="P288">
        <v>15.898999999999999</v>
      </c>
      <c r="Q288" t="s">
        <v>29</v>
      </c>
      <c r="R288" t="s">
        <v>30</v>
      </c>
    </row>
    <row r="289" spans="1:18" x14ac:dyDescent="0.25">
      <c r="A289">
        <v>2012</v>
      </c>
      <c r="B289">
        <v>199</v>
      </c>
      <c r="C289" t="s">
        <v>262</v>
      </c>
      <c r="D289" t="s">
        <v>969</v>
      </c>
      <c r="E289">
        <v>331523</v>
      </c>
      <c r="F289" t="s">
        <v>33</v>
      </c>
      <c r="G289" t="s">
        <v>34</v>
      </c>
      <c r="H289" t="s">
        <v>21</v>
      </c>
      <c r="I289" t="s">
        <v>177</v>
      </c>
      <c r="J289" t="s">
        <v>178</v>
      </c>
      <c r="K289" t="s">
        <v>179</v>
      </c>
      <c r="L289" t="s">
        <v>25</v>
      </c>
      <c r="M289" t="s">
        <v>26</v>
      </c>
      <c r="N289" t="s">
        <v>38</v>
      </c>
      <c r="O289" t="s">
        <v>39</v>
      </c>
      <c r="P289">
        <v>34.167000000000002</v>
      </c>
      <c r="Q289" t="s">
        <v>29</v>
      </c>
      <c r="R289" t="s">
        <v>30</v>
      </c>
    </row>
    <row r="290" spans="1:18" x14ac:dyDescent="0.25">
      <c r="A290">
        <v>2023</v>
      </c>
      <c r="B290">
        <v>4893</v>
      </c>
      <c r="C290" t="s">
        <v>970</v>
      </c>
      <c r="D290" t="s">
        <v>971</v>
      </c>
      <c r="E290">
        <v>562210</v>
      </c>
      <c r="F290" t="s">
        <v>84</v>
      </c>
      <c r="G290" t="s">
        <v>53</v>
      </c>
      <c r="H290" t="s">
        <v>21</v>
      </c>
      <c r="I290" t="s">
        <v>520</v>
      </c>
      <c r="J290" t="s">
        <v>521</v>
      </c>
      <c r="K290" t="s">
        <v>522</v>
      </c>
      <c r="L290" t="s">
        <v>89</v>
      </c>
      <c r="M290" t="s">
        <v>90</v>
      </c>
      <c r="N290" t="s">
        <v>166</v>
      </c>
      <c r="O290" t="s">
        <v>167</v>
      </c>
      <c r="P290">
        <v>51.613</v>
      </c>
      <c r="Q290" t="s">
        <v>29</v>
      </c>
      <c r="R290" t="s">
        <v>50</v>
      </c>
    </row>
    <row r="291" spans="1:18" x14ac:dyDescent="0.25">
      <c r="A291">
        <v>2003</v>
      </c>
      <c r="B291">
        <v>2595</v>
      </c>
      <c r="C291" t="s">
        <v>972</v>
      </c>
      <c r="D291" t="s">
        <v>973</v>
      </c>
      <c r="E291">
        <v>336390</v>
      </c>
      <c r="F291" t="s">
        <v>60</v>
      </c>
      <c r="G291" t="s">
        <v>61</v>
      </c>
      <c r="H291" t="s">
        <v>21</v>
      </c>
      <c r="I291" t="s">
        <v>177</v>
      </c>
      <c r="J291" t="s">
        <v>178</v>
      </c>
      <c r="K291" t="s">
        <v>179</v>
      </c>
      <c r="L291" t="s">
        <v>89</v>
      </c>
      <c r="M291" t="s">
        <v>90</v>
      </c>
      <c r="N291" t="s">
        <v>120</v>
      </c>
      <c r="O291" t="s">
        <v>121</v>
      </c>
      <c r="P291">
        <v>6.6000000000000003E-2</v>
      </c>
      <c r="Q291" t="s">
        <v>29</v>
      </c>
      <c r="R291" t="s">
        <v>30</v>
      </c>
    </row>
    <row r="292" spans="1:18" x14ac:dyDescent="0.25">
      <c r="A292">
        <v>2023</v>
      </c>
      <c r="B292">
        <v>3893</v>
      </c>
      <c r="C292" t="s">
        <v>974</v>
      </c>
      <c r="D292" t="s">
        <v>975</v>
      </c>
      <c r="E292">
        <v>336110</v>
      </c>
      <c r="F292" t="s">
        <v>43</v>
      </c>
      <c r="G292" t="s">
        <v>44</v>
      </c>
      <c r="H292" t="s">
        <v>21</v>
      </c>
      <c r="I292" t="s">
        <v>129</v>
      </c>
      <c r="J292" t="s">
        <v>130</v>
      </c>
      <c r="K292" t="s">
        <v>131</v>
      </c>
      <c r="L292" t="s">
        <v>25</v>
      </c>
      <c r="M292" t="s">
        <v>26</v>
      </c>
      <c r="N292" t="s">
        <v>27</v>
      </c>
      <c r="O292" t="s">
        <v>28</v>
      </c>
      <c r="P292">
        <v>14.968999999999999</v>
      </c>
      <c r="Q292" t="s">
        <v>29</v>
      </c>
      <c r="R292" t="s">
        <v>30</v>
      </c>
    </row>
    <row r="293" spans="1:18" x14ac:dyDescent="0.25">
      <c r="A293">
        <v>2021</v>
      </c>
      <c r="B293">
        <v>6670</v>
      </c>
      <c r="C293" t="s">
        <v>507</v>
      </c>
      <c r="D293" t="s">
        <v>976</v>
      </c>
      <c r="E293">
        <v>412110</v>
      </c>
      <c r="F293" t="s">
        <v>127</v>
      </c>
      <c r="G293" t="s">
        <v>128</v>
      </c>
      <c r="H293" t="s">
        <v>79</v>
      </c>
      <c r="I293" t="s">
        <v>172</v>
      </c>
      <c r="J293" t="s">
        <v>173</v>
      </c>
      <c r="K293" t="s">
        <v>174</v>
      </c>
      <c r="L293" t="s">
        <v>25</v>
      </c>
      <c r="M293" t="s">
        <v>26</v>
      </c>
      <c r="N293" t="s">
        <v>73</v>
      </c>
      <c r="O293" t="s">
        <v>74</v>
      </c>
      <c r="P293">
        <v>6.5849999999999997E-3</v>
      </c>
      <c r="Q293" t="s">
        <v>29</v>
      </c>
      <c r="R293" t="s">
        <v>30</v>
      </c>
    </row>
    <row r="294" spans="1:18" x14ac:dyDescent="0.25">
      <c r="A294">
        <v>2017</v>
      </c>
      <c r="B294">
        <v>1696</v>
      </c>
      <c r="C294" t="s">
        <v>977</v>
      </c>
      <c r="D294" t="s">
        <v>978</v>
      </c>
      <c r="E294">
        <v>221112</v>
      </c>
      <c r="F294" t="s">
        <v>499</v>
      </c>
      <c r="G294" t="s">
        <v>135</v>
      </c>
      <c r="H294" t="s">
        <v>661</v>
      </c>
      <c r="I294" t="s">
        <v>62</v>
      </c>
      <c r="J294" t="s">
        <v>63</v>
      </c>
      <c r="K294" t="s">
        <v>64</v>
      </c>
      <c r="L294" t="s">
        <v>25</v>
      </c>
      <c r="M294" t="s">
        <v>26</v>
      </c>
      <c r="N294" t="s">
        <v>38</v>
      </c>
      <c r="O294" t="s">
        <v>39</v>
      </c>
      <c r="P294">
        <v>3.1840000000000002</v>
      </c>
      <c r="Q294" t="s">
        <v>29</v>
      </c>
      <c r="R294" t="s">
        <v>30</v>
      </c>
    </row>
    <row r="295" spans="1:18" x14ac:dyDescent="0.25">
      <c r="A295">
        <v>2019</v>
      </c>
      <c r="B295">
        <v>818</v>
      </c>
      <c r="C295" t="s">
        <v>979</v>
      </c>
      <c r="D295" t="s">
        <v>980</v>
      </c>
      <c r="E295">
        <v>326114</v>
      </c>
      <c r="F295" t="s">
        <v>981</v>
      </c>
      <c r="G295" t="s">
        <v>982</v>
      </c>
      <c r="H295" t="s">
        <v>21</v>
      </c>
      <c r="I295" t="s">
        <v>317</v>
      </c>
      <c r="J295" t="s">
        <v>318</v>
      </c>
      <c r="K295" t="s">
        <v>319</v>
      </c>
      <c r="L295" t="s">
        <v>89</v>
      </c>
      <c r="M295" t="s">
        <v>90</v>
      </c>
      <c r="N295" t="s">
        <v>166</v>
      </c>
      <c r="O295" t="s">
        <v>167</v>
      </c>
      <c r="P295">
        <v>3.6520000000000001</v>
      </c>
      <c r="Q295" t="s">
        <v>29</v>
      </c>
      <c r="R295" t="s">
        <v>50</v>
      </c>
    </row>
    <row r="296" spans="1:18" x14ac:dyDescent="0.25">
      <c r="A296">
        <v>2017</v>
      </c>
      <c r="B296">
        <v>4893</v>
      </c>
      <c r="C296" t="s">
        <v>970</v>
      </c>
      <c r="D296" t="s">
        <v>971</v>
      </c>
      <c r="E296">
        <v>562210</v>
      </c>
      <c r="F296" t="s">
        <v>84</v>
      </c>
      <c r="G296" t="s">
        <v>53</v>
      </c>
      <c r="H296" t="s">
        <v>21</v>
      </c>
      <c r="I296" t="s">
        <v>70</v>
      </c>
      <c r="J296" t="s">
        <v>71</v>
      </c>
      <c r="K296" t="s">
        <v>72</v>
      </c>
      <c r="L296" t="s">
        <v>89</v>
      </c>
      <c r="M296" t="s">
        <v>90</v>
      </c>
      <c r="N296" t="s">
        <v>166</v>
      </c>
      <c r="O296" t="s">
        <v>167</v>
      </c>
      <c r="P296">
        <v>272.84199999999998</v>
      </c>
      <c r="Q296" t="s">
        <v>29</v>
      </c>
      <c r="R296" t="s">
        <v>124</v>
      </c>
    </row>
    <row r="297" spans="1:18" x14ac:dyDescent="0.25">
      <c r="A297">
        <v>2007</v>
      </c>
      <c r="B297">
        <v>7372</v>
      </c>
      <c r="C297" t="s">
        <v>983</v>
      </c>
      <c r="D297" t="s">
        <v>984</v>
      </c>
      <c r="E297">
        <v>323119</v>
      </c>
      <c r="F297" t="s">
        <v>919</v>
      </c>
      <c r="G297" t="s">
        <v>920</v>
      </c>
      <c r="H297" t="s">
        <v>21</v>
      </c>
      <c r="I297" t="s">
        <v>70</v>
      </c>
      <c r="J297" t="s">
        <v>71</v>
      </c>
      <c r="K297" t="s">
        <v>72</v>
      </c>
      <c r="L297" t="s">
        <v>25</v>
      </c>
      <c r="M297" t="s">
        <v>26</v>
      </c>
      <c r="N297" t="s">
        <v>27</v>
      </c>
      <c r="O297" t="s">
        <v>28</v>
      </c>
      <c r="P297">
        <v>5.718</v>
      </c>
      <c r="Q297" t="s">
        <v>29</v>
      </c>
      <c r="R297" t="s">
        <v>30</v>
      </c>
    </row>
    <row r="298" spans="1:18" x14ac:dyDescent="0.25">
      <c r="A298">
        <v>1997</v>
      </c>
      <c r="B298">
        <v>4712</v>
      </c>
      <c r="C298" t="s">
        <v>985</v>
      </c>
      <c r="D298" t="s">
        <v>986</v>
      </c>
      <c r="E298">
        <v>326198</v>
      </c>
      <c r="F298" t="s">
        <v>249</v>
      </c>
      <c r="G298" t="s">
        <v>250</v>
      </c>
      <c r="H298" t="s">
        <v>21</v>
      </c>
      <c r="I298" t="s">
        <v>407</v>
      </c>
      <c r="J298" t="s">
        <v>408</v>
      </c>
      <c r="K298" t="s">
        <v>409</v>
      </c>
      <c r="L298" t="s">
        <v>89</v>
      </c>
      <c r="M298" t="s">
        <v>90</v>
      </c>
      <c r="N298" t="s">
        <v>91</v>
      </c>
      <c r="O298" t="s">
        <v>92</v>
      </c>
      <c r="P298">
        <v>0.23</v>
      </c>
      <c r="Q298" t="s">
        <v>29</v>
      </c>
      <c r="R298" t="s">
        <v>30</v>
      </c>
    </row>
    <row r="299" spans="1:18" x14ac:dyDescent="0.25">
      <c r="A299">
        <v>2018</v>
      </c>
      <c r="B299">
        <v>1485</v>
      </c>
      <c r="C299" t="s">
        <v>987</v>
      </c>
      <c r="D299" t="s">
        <v>988</v>
      </c>
      <c r="E299">
        <v>325510</v>
      </c>
      <c r="F299" t="s">
        <v>111</v>
      </c>
      <c r="G299" t="s">
        <v>112</v>
      </c>
      <c r="H299" t="s">
        <v>21</v>
      </c>
      <c r="I299" t="s">
        <v>129</v>
      </c>
      <c r="J299" t="s">
        <v>130</v>
      </c>
      <c r="K299" t="s">
        <v>131</v>
      </c>
      <c r="L299" t="s">
        <v>25</v>
      </c>
      <c r="M299" t="s">
        <v>26</v>
      </c>
      <c r="N299" t="s">
        <v>27</v>
      </c>
      <c r="O299" t="s">
        <v>28</v>
      </c>
      <c r="P299">
        <v>21.696899999999999</v>
      </c>
      <c r="Q299" t="s">
        <v>29</v>
      </c>
      <c r="R299" t="s">
        <v>50</v>
      </c>
    </row>
    <row r="300" spans="1:18" x14ac:dyDescent="0.25">
      <c r="A300">
        <v>2015</v>
      </c>
      <c r="B300">
        <v>11690</v>
      </c>
      <c r="C300" t="s">
        <v>989</v>
      </c>
      <c r="D300" t="s">
        <v>990</v>
      </c>
      <c r="E300">
        <v>221320</v>
      </c>
      <c r="F300" t="s">
        <v>146</v>
      </c>
      <c r="G300" t="s">
        <v>147</v>
      </c>
      <c r="H300" t="s">
        <v>21</v>
      </c>
      <c r="I300" t="s">
        <v>35</v>
      </c>
      <c r="J300" t="s">
        <v>36</v>
      </c>
      <c r="K300" t="s">
        <v>37</v>
      </c>
      <c r="L300" t="s">
        <v>89</v>
      </c>
      <c r="M300" t="s">
        <v>90</v>
      </c>
      <c r="N300" t="s">
        <v>100</v>
      </c>
      <c r="O300" t="s">
        <v>101</v>
      </c>
      <c r="P300">
        <v>0</v>
      </c>
      <c r="Q300" t="s">
        <v>40</v>
      </c>
      <c r="R300" t="s">
        <v>124</v>
      </c>
    </row>
    <row r="301" spans="1:18" x14ac:dyDescent="0.25">
      <c r="A301">
        <v>2005</v>
      </c>
      <c r="B301">
        <v>2670</v>
      </c>
      <c r="C301" t="s">
        <v>991</v>
      </c>
      <c r="D301" t="s">
        <v>992</v>
      </c>
      <c r="E301">
        <v>335920</v>
      </c>
      <c r="F301" t="s">
        <v>566</v>
      </c>
      <c r="G301" t="s">
        <v>567</v>
      </c>
      <c r="H301" t="s">
        <v>21</v>
      </c>
      <c r="I301" t="s">
        <v>177</v>
      </c>
      <c r="J301" t="s">
        <v>178</v>
      </c>
      <c r="K301" t="s">
        <v>179</v>
      </c>
      <c r="L301" t="s">
        <v>89</v>
      </c>
      <c r="M301" t="s">
        <v>90</v>
      </c>
      <c r="N301" t="s">
        <v>120</v>
      </c>
      <c r="O301" t="s">
        <v>121</v>
      </c>
      <c r="P301">
        <v>0</v>
      </c>
      <c r="Q301" t="s">
        <v>29</v>
      </c>
      <c r="R301" t="s">
        <v>30</v>
      </c>
    </row>
    <row r="302" spans="1:18" x14ac:dyDescent="0.25">
      <c r="A302">
        <v>2002</v>
      </c>
      <c r="B302">
        <v>10234</v>
      </c>
      <c r="C302" t="s">
        <v>344</v>
      </c>
      <c r="D302" t="s">
        <v>993</v>
      </c>
      <c r="E302">
        <v>412110</v>
      </c>
      <c r="F302" t="s">
        <v>346</v>
      </c>
      <c r="G302" t="s">
        <v>347</v>
      </c>
      <c r="H302" t="s">
        <v>483</v>
      </c>
      <c r="I302" t="s">
        <v>129</v>
      </c>
      <c r="J302" t="s">
        <v>130</v>
      </c>
      <c r="K302" t="s">
        <v>131</v>
      </c>
      <c r="L302" t="s">
        <v>89</v>
      </c>
      <c r="M302" t="s">
        <v>90</v>
      </c>
      <c r="N302" t="s">
        <v>166</v>
      </c>
      <c r="O302" t="s">
        <v>167</v>
      </c>
      <c r="P302">
        <v>1.9E-2</v>
      </c>
      <c r="Q302" t="s">
        <v>29</v>
      </c>
      <c r="R302" t="s">
        <v>204</v>
      </c>
    </row>
    <row r="303" spans="1:18" x14ac:dyDescent="0.25">
      <c r="A303">
        <v>2017</v>
      </c>
      <c r="B303">
        <v>390</v>
      </c>
      <c r="C303" t="s">
        <v>994</v>
      </c>
      <c r="D303" t="s">
        <v>677</v>
      </c>
      <c r="E303">
        <v>336410</v>
      </c>
      <c r="F303" t="s">
        <v>280</v>
      </c>
      <c r="G303" t="s">
        <v>261</v>
      </c>
      <c r="H303" t="s">
        <v>79</v>
      </c>
      <c r="I303" t="s">
        <v>35</v>
      </c>
      <c r="J303" t="s">
        <v>36</v>
      </c>
      <c r="K303" t="s">
        <v>37</v>
      </c>
      <c r="L303" t="s">
        <v>89</v>
      </c>
      <c r="M303" t="s">
        <v>90</v>
      </c>
      <c r="N303" t="s">
        <v>91</v>
      </c>
      <c r="O303" t="s">
        <v>92</v>
      </c>
      <c r="P303">
        <v>0</v>
      </c>
      <c r="Q303" t="s">
        <v>40</v>
      </c>
      <c r="R303" t="s">
        <v>30</v>
      </c>
    </row>
    <row r="304" spans="1:18" x14ac:dyDescent="0.25">
      <c r="A304">
        <v>1993</v>
      </c>
      <c r="B304">
        <v>800</v>
      </c>
      <c r="C304" t="s">
        <v>662</v>
      </c>
      <c r="D304" t="s">
        <v>663</v>
      </c>
      <c r="E304">
        <v>325610</v>
      </c>
      <c r="F304" t="s">
        <v>612</v>
      </c>
      <c r="G304" t="s">
        <v>613</v>
      </c>
      <c r="H304" t="s">
        <v>21</v>
      </c>
      <c r="I304" t="s">
        <v>648</v>
      </c>
      <c r="J304" t="s">
        <v>649</v>
      </c>
      <c r="K304" t="s">
        <v>650</v>
      </c>
      <c r="L304" t="s">
        <v>25</v>
      </c>
      <c r="M304" t="s">
        <v>26</v>
      </c>
      <c r="N304" t="s">
        <v>48</v>
      </c>
      <c r="O304" t="s">
        <v>49</v>
      </c>
      <c r="P304">
        <v>0.92</v>
      </c>
      <c r="Q304" t="s">
        <v>29</v>
      </c>
    </row>
    <row r="305" spans="1:18" x14ac:dyDescent="0.25">
      <c r="A305">
        <v>2007</v>
      </c>
      <c r="B305">
        <v>3161</v>
      </c>
      <c r="C305" t="s">
        <v>909</v>
      </c>
      <c r="D305" t="s">
        <v>910</v>
      </c>
      <c r="E305">
        <v>221113</v>
      </c>
      <c r="F305" t="s">
        <v>911</v>
      </c>
      <c r="G305" t="s">
        <v>912</v>
      </c>
      <c r="H305" t="s">
        <v>21</v>
      </c>
      <c r="I305" t="s">
        <v>177</v>
      </c>
      <c r="J305" t="s">
        <v>178</v>
      </c>
      <c r="K305" t="s">
        <v>179</v>
      </c>
      <c r="L305" t="s">
        <v>25</v>
      </c>
      <c r="M305" t="s">
        <v>26</v>
      </c>
      <c r="N305" t="s">
        <v>73</v>
      </c>
      <c r="O305" t="s">
        <v>74</v>
      </c>
      <c r="P305">
        <v>0</v>
      </c>
      <c r="Q305" t="s">
        <v>29</v>
      </c>
      <c r="R305" t="s">
        <v>50</v>
      </c>
    </row>
    <row r="306" spans="1:18" x14ac:dyDescent="0.25">
      <c r="A306">
        <v>2023</v>
      </c>
      <c r="B306">
        <v>5729</v>
      </c>
      <c r="C306" t="s">
        <v>995</v>
      </c>
      <c r="D306" t="s">
        <v>996</v>
      </c>
      <c r="E306">
        <v>562110</v>
      </c>
      <c r="F306" t="s">
        <v>644</v>
      </c>
      <c r="G306" t="s">
        <v>645</v>
      </c>
      <c r="H306" t="s">
        <v>21</v>
      </c>
      <c r="I306" t="s">
        <v>62</v>
      </c>
      <c r="J306" t="s">
        <v>63</v>
      </c>
      <c r="K306" t="s">
        <v>64</v>
      </c>
      <c r="L306" t="s">
        <v>89</v>
      </c>
      <c r="M306" t="s">
        <v>90</v>
      </c>
      <c r="N306" t="s">
        <v>120</v>
      </c>
      <c r="O306" t="s">
        <v>121</v>
      </c>
      <c r="P306">
        <v>3.5264000000000002</v>
      </c>
      <c r="Q306" t="s">
        <v>29</v>
      </c>
      <c r="R306" t="s">
        <v>50</v>
      </c>
    </row>
    <row r="307" spans="1:18" x14ac:dyDescent="0.25">
      <c r="A307">
        <v>2019</v>
      </c>
      <c r="B307">
        <v>11366</v>
      </c>
      <c r="C307" t="s">
        <v>997</v>
      </c>
      <c r="D307" t="s">
        <v>998</v>
      </c>
      <c r="E307">
        <v>418410</v>
      </c>
      <c r="F307" t="s">
        <v>433</v>
      </c>
      <c r="G307" t="s">
        <v>434</v>
      </c>
      <c r="H307" t="s">
        <v>85</v>
      </c>
      <c r="I307" t="s">
        <v>86</v>
      </c>
      <c r="J307" t="s">
        <v>87</v>
      </c>
      <c r="K307" t="s">
        <v>88</v>
      </c>
      <c r="L307" t="s">
        <v>89</v>
      </c>
      <c r="M307" t="s">
        <v>90</v>
      </c>
      <c r="N307" t="s">
        <v>91</v>
      </c>
      <c r="O307" t="s">
        <v>92</v>
      </c>
      <c r="P307">
        <v>0.26800000000000002</v>
      </c>
      <c r="Q307" t="s">
        <v>29</v>
      </c>
      <c r="R307" t="s">
        <v>50</v>
      </c>
    </row>
    <row r="308" spans="1:18" x14ac:dyDescent="0.25">
      <c r="A308">
        <v>2003</v>
      </c>
      <c r="B308">
        <v>397</v>
      </c>
      <c r="C308" t="s">
        <v>999</v>
      </c>
      <c r="D308" t="s">
        <v>1000</v>
      </c>
      <c r="E308">
        <v>336110</v>
      </c>
      <c r="F308" t="s">
        <v>377</v>
      </c>
      <c r="G308" t="s">
        <v>44</v>
      </c>
      <c r="H308" t="s">
        <v>21</v>
      </c>
      <c r="I308" t="s">
        <v>129</v>
      </c>
      <c r="J308" t="s">
        <v>130</v>
      </c>
      <c r="K308" t="s">
        <v>131</v>
      </c>
      <c r="L308" t="s">
        <v>25</v>
      </c>
      <c r="M308" t="s">
        <v>26</v>
      </c>
      <c r="N308" t="s">
        <v>27</v>
      </c>
      <c r="O308" t="s">
        <v>28</v>
      </c>
      <c r="P308">
        <v>31.462</v>
      </c>
      <c r="Q308" t="s">
        <v>29</v>
      </c>
      <c r="R308" t="s">
        <v>124</v>
      </c>
    </row>
    <row r="309" spans="1:18" x14ac:dyDescent="0.25">
      <c r="A309">
        <v>2014</v>
      </c>
      <c r="B309">
        <v>6792</v>
      </c>
      <c r="C309" t="s">
        <v>65</v>
      </c>
      <c r="D309" t="s">
        <v>734</v>
      </c>
      <c r="E309">
        <v>562920</v>
      </c>
      <c r="F309" t="s">
        <v>329</v>
      </c>
      <c r="G309" t="s">
        <v>330</v>
      </c>
      <c r="H309" t="s">
        <v>69</v>
      </c>
      <c r="I309" t="s">
        <v>500</v>
      </c>
      <c r="J309" t="s">
        <v>501</v>
      </c>
      <c r="K309" t="s">
        <v>502</v>
      </c>
      <c r="L309" t="s">
        <v>89</v>
      </c>
      <c r="M309" t="s">
        <v>90</v>
      </c>
      <c r="N309" t="s">
        <v>91</v>
      </c>
      <c r="O309" t="s">
        <v>92</v>
      </c>
      <c r="P309">
        <v>1.2E-2</v>
      </c>
      <c r="Q309" t="s">
        <v>40</v>
      </c>
      <c r="R309" t="s">
        <v>50</v>
      </c>
    </row>
    <row r="310" spans="1:18" x14ac:dyDescent="0.25">
      <c r="A310">
        <v>2004</v>
      </c>
      <c r="B310">
        <v>1662</v>
      </c>
      <c r="C310" t="s">
        <v>1001</v>
      </c>
      <c r="D310" t="s">
        <v>1001</v>
      </c>
      <c r="E310">
        <v>332810</v>
      </c>
      <c r="F310" t="s">
        <v>237</v>
      </c>
      <c r="G310" t="s">
        <v>238</v>
      </c>
      <c r="H310" t="s">
        <v>21</v>
      </c>
      <c r="I310" t="s">
        <v>461</v>
      </c>
      <c r="J310" t="s">
        <v>462</v>
      </c>
      <c r="K310" t="s">
        <v>463</v>
      </c>
      <c r="L310" t="s">
        <v>89</v>
      </c>
      <c r="M310" t="s">
        <v>90</v>
      </c>
      <c r="N310" t="s">
        <v>100</v>
      </c>
      <c r="O310" t="s">
        <v>101</v>
      </c>
      <c r="P310">
        <v>8.01</v>
      </c>
      <c r="Q310" t="s">
        <v>40</v>
      </c>
      <c r="R310" t="s">
        <v>124</v>
      </c>
    </row>
    <row r="311" spans="1:18" x14ac:dyDescent="0.25">
      <c r="A311">
        <v>2007</v>
      </c>
      <c r="B311">
        <v>5855</v>
      </c>
      <c r="C311" t="s">
        <v>1002</v>
      </c>
      <c r="D311" t="s">
        <v>1003</v>
      </c>
      <c r="E311">
        <v>336350</v>
      </c>
      <c r="F311" t="s">
        <v>1004</v>
      </c>
      <c r="G311" t="s">
        <v>1005</v>
      </c>
      <c r="H311" t="s">
        <v>21</v>
      </c>
      <c r="I311" t="s">
        <v>35</v>
      </c>
      <c r="J311" t="s">
        <v>36</v>
      </c>
      <c r="K311" t="s">
        <v>37</v>
      </c>
      <c r="L311" t="s">
        <v>25</v>
      </c>
      <c r="M311" t="s">
        <v>26</v>
      </c>
      <c r="N311" t="s">
        <v>38</v>
      </c>
      <c r="O311" t="s">
        <v>39</v>
      </c>
      <c r="P311">
        <v>140</v>
      </c>
      <c r="Q311" t="s">
        <v>40</v>
      </c>
      <c r="R311" t="s">
        <v>50</v>
      </c>
    </row>
    <row r="312" spans="1:18" x14ac:dyDescent="0.25">
      <c r="A312">
        <v>2010</v>
      </c>
      <c r="B312">
        <v>6546</v>
      </c>
      <c r="C312" t="s">
        <v>355</v>
      </c>
      <c r="D312" t="s">
        <v>356</v>
      </c>
      <c r="E312">
        <v>211114</v>
      </c>
      <c r="F312" t="s">
        <v>835</v>
      </c>
      <c r="G312" t="s">
        <v>836</v>
      </c>
      <c r="H312" t="s">
        <v>85</v>
      </c>
      <c r="I312" t="s">
        <v>543</v>
      </c>
      <c r="J312" t="s">
        <v>544</v>
      </c>
      <c r="K312" t="s">
        <v>545</v>
      </c>
      <c r="L312" t="s">
        <v>25</v>
      </c>
      <c r="M312" t="s">
        <v>26</v>
      </c>
      <c r="N312" t="s">
        <v>380</v>
      </c>
      <c r="O312" t="s">
        <v>381</v>
      </c>
      <c r="P312">
        <v>0.44400000000000001</v>
      </c>
      <c r="Q312" t="s">
        <v>40</v>
      </c>
      <c r="R312" t="s">
        <v>124</v>
      </c>
    </row>
    <row r="313" spans="1:18" x14ac:dyDescent="0.25">
      <c r="A313">
        <v>2018</v>
      </c>
      <c r="B313">
        <v>27111</v>
      </c>
      <c r="C313" t="s">
        <v>1006</v>
      </c>
      <c r="D313" t="s">
        <v>1007</v>
      </c>
      <c r="E313">
        <v>331221</v>
      </c>
      <c r="F313" t="s">
        <v>1008</v>
      </c>
      <c r="G313" t="s">
        <v>419</v>
      </c>
      <c r="H313" t="s">
        <v>21</v>
      </c>
      <c r="I313" t="s">
        <v>35</v>
      </c>
      <c r="J313" t="s">
        <v>36</v>
      </c>
      <c r="K313" t="s">
        <v>37</v>
      </c>
      <c r="L313" t="s">
        <v>25</v>
      </c>
      <c r="M313" t="s">
        <v>26</v>
      </c>
      <c r="N313" t="s">
        <v>38</v>
      </c>
      <c r="O313" t="s">
        <v>39</v>
      </c>
      <c r="P313">
        <v>15.632999999999999</v>
      </c>
      <c r="Q313" t="s">
        <v>40</v>
      </c>
      <c r="R313" t="s">
        <v>50</v>
      </c>
    </row>
    <row r="314" spans="1:18" x14ac:dyDescent="0.25">
      <c r="A314">
        <v>2004</v>
      </c>
      <c r="B314">
        <v>139</v>
      </c>
      <c r="C314" t="s">
        <v>901</v>
      </c>
      <c r="D314" t="s">
        <v>902</v>
      </c>
      <c r="E314">
        <v>332810</v>
      </c>
      <c r="F314" t="s">
        <v>237</v>
      </c>
      <c r="G314" t="s">
        <v>238</v>
      </c>
      <c r="H314" t="s">
        <v>21</v>
      </c>
      <c r="I314" t="s">
        <v>337</v>
      </c>
      <c r="J314" t="s">
        <v>338</v>
      </c>
      <c r="K314" t="s">
        <v>339</v>
      </c>
      <c r="L314" t="s">
        <v>89</v>
      </c>
      <c r="M314" t="s">
        <v>90</v>
      </c>
      <c r="N314" t="s">
        <v>100</v>
      </c>
      <c r="O314" t="s">
        <v>101</v>
      </c>
      <c r="P314">
        <v>0</v>
      </c>
      <c r="Q314" t="s">
        <v>29</v>
      </c>
      <c r="R314" t="s">
        <v>50</v>
      </c>
    </row>
    <row r="315" spans="1:18" x14ac:dyDescent="0.25">
      <c r="A315">
        <v>1996</v>
      </c>
      <c r="B315">
        <v>1136</v>
      </c>
      <c r="C315" t="s">
        <v>1009</v>
      </c>
      <c r="D315" t="s">
        <v>583</v>
      </c>
      <c r="E315">
        <v>336410</v>
      </c>
      <c r="F315" t="s">
        <v>260</v>
      </c>
      <c r="G315" t="s">
        <v>261</v>
      </c>
      <c r="H315" t="s">
        <v>79</v>
      </c>
      <c r="I315" t="s">
        <v>209</v>
      </c>
      <c r="J315" t="s">
        <v>210</v>
      </c>
      <c r="K315" t="s">
        <v>211</v>
      </c>
      <c r="L315" t="s">
        <v>89</v>
      </c>
      <c r="M315" t="s">
        <v>90</v>
      </c>
      <c r="N315" t="s">
        <v>100</v>
      </c>
      <c r="O315" t="s">
        <v>101</v>
      </c>
      <c r="P315">
        <v>0.60599999999999998</v>
      </c>
      <c r="Q315" t="s">
        <v>29</v>
      </c>
      <c r="R315" t="s">
        <v>30</v>
      </c>
    </row>
    <row r="316" spans="1:18" x14ac:dyDescent="0.25">
      <c r="A316">
        <v>2006</v>
      </c>
      <c r="B316">
        <v>6097</v>
      </c>
      <c r="C316" t="s">
        <v>1010</v>
      </c>
      <c r="D316" t="s">
        <v>1011</v>
      </c>
      <c r="E316">
        <v>325410</v>
      </c>
      <c r="F316" t="s">
        <v>218</v>
      </c>
      <c r="G316" t="s">
        <v>219</v>
      </c>
      <c r="H316" t="s">
        <v>1012</v>
      </c>
      <c r="I316" t="s">
        <v>435</v>
      </c>
      <c r="J316" t="s">
        <v>436</v>
      </c>
      <c r="K316" t="s">
        <v>437</v>
      </c>
      <c r="L316" t="s">
        <v>89</v>
      </c>
      <c r="M316" t="s">
        <v>90</v>
      </c>
      <c r="N316" t="s">
        <v>120</v>
      </c>
      <c r="O316" t="s">
        <v>121</v>
      </c>
      <c r="P316">
        <v>0</v>
      </c>
      <c r="Q316" t="s">
        <v>29</v>
      </c>
      <c r="R316" t="s">
        <v>30</v>
      </c>
    </row>
    <row r="317" spans="1:18" x14ac:dyDescent="0.25">
      <c r="A317">
        <v>1999</v>
      </c>
      <c r="B317">
        <v>5649</v>
      </c>
      <c r="C317" t="s">
        <v>1013</v>
      </c>
      <c r="D317" t="s">
        <v>1014</v>
      </c>
      <c r="E317">
        <v>331317</v>
      </c>
      <c r="F317" t="s">
        <v>899</v>
      </c>
      <c r="G317" t="s">
        <v>769</v>
      </c>
      <c r="H317" t="s">
        <v>21</v>
      </c>
      <c r="I317" t="s">
        <v>152</v>
      </c>
      <c r="J317" t="s">
        <v>153</v>
      </c>
      <c r="K317" t="s">
        <v>154</v>
      </c>
      <c r="L317" t="s">
        <v>25</v>
      </c>
      <c r="M317" t="s">
        <v>26</v>
      </c>
      <c r="N317" t="s">
        <v>38</v>
      </c>
      <c r="O317" t="s">
        <v>39</v>
      </c>
      <c r="P317">
        <v>13.726000000000001</v>
      </c>
      <c r="Q317" t="s">
        <v>29</v>
      </c>
      <c r="R317" t="s">
        <v>50</v>
      </c>
    </row>
    <row r="318" spans="1:18" x14ac:dyDescent="0.25">
      <c r="A318">
        <v>2003</v>
      </c>
      <c r="B318">
        <v>7128</v>
      </c>
      <c r="C318" t="s">
        <v>750</v>
      </c>
      <c r="E318">
        <v>332118</v>
      </c>
      <c r="F318" t="s">
        <v>459</v>
      </c>
      <c r="G318" t="s">
        <v>460</v>
      </c>
      <c r="H318" t="s">
        <v>21</v>
      </c>
      <c r="I318" t="s">
        <v>177</v>
      </c>
      <c r="J318" t="s">
        <v>178</v>
      </c>
      <c r="K318" t="s">
        <v>179</v>
      </c>
      <c r="L318" t="s">
        <v>25</v>
      </c>
      <c r="M318" t="s">
        <v>26</v>
      </c>
      <c r="N318" t="s">
        <v>38</v>
      </c>
      <c r="O318" t="s">
        <v>39</v>
      </c>
      <c r="P318">
        <v>5.47</v>
      </c>
      <c r="Q318" t="s">
        <v>29</v>
      </c>
      <c r="R318" t="s">
        <v>30</v>
      </c>
    </row>
    <row r="319" spans="1:18" x14ac:dyDescent="0.25">
      <c r="A319">
        <v>2018</v>
      </c>
      <c r="B319">
        <v>3996</v>
      </c>
      <c r="C319" t="s">
        <v>1015</v>
      </c>
      <c r="D319" t="s">
        <v>1016</v>
      </c>
      <c r="E319">
        <v>221112</v>
      </c>
      <c r="F319" t="s">
        <v>499</v>
      </c>
      <c r="G319" t="s">
        <v>135</v>
      </c>
      <c r="H319" t="s">
        <v>483</v>
      </c>
      <c r="I319" t="s">
        <v>1017</v>
      </c>
      <c r="J319" t="s">
        <v>1018</v>
      </c>
      <c r="K319" t="s">
        <v>1019</v>
      </c>
      <c r="L319" t="s">
        <v>25</v>
      </c>
      <c r="M319" t="s">
        <v>26</v>
      </c>
      <c r="N319" t="s">
        <v>155</v>
      </c>
      <c r="O319" t="s">
        <v>156</v>
      </c>
      <c r="P319">
        <v>34</v>
      </c>
      <c r="Q319" t="s">
        <v>40</v>
      </c>
      <c r="R319" t="s">
        <v>30</v>
      </c>
    </row>
    <row r="320" spans="1:18" x14ac:dyDescent="0.25">
      <c r="A320">
        <v>2017</v>
      </c>
      <c r="B320">
        <v>3422</v>
      </c>
      <c r="C320" t="s">
        <v>168</v>
      </c>
      <c r="D320" t="s">
        <v>168</v>
      </c>
      <c r="E320">
        <v>325220</v>
      </c>
      <c r="F320" t="s">
        <v>170</v>
      </c>
      <c r="G320" t="s">
        <v>171</v>
      </c>
      <c r="H320" t="s">
        <v>21</v>
      </c>
      <c r="I320" t="s">
        <v>172</v>
      </c>
      <c r="J320" t="s">
        <v>173</v>
      </c>
      <c r="K320" t="s">
        <v>174</v>
      </c>
      <c r="L320" t="s">
        <v>89</v>
      </c>
      <c r="M320" t="s">
        <v>90</v>
      </c>
      <c r="N320" t="s">
        <v>166</v>
      </c>
      <c r="O320" t="s">
        <v>167</v>
      </c>
      <c r="P320">
        <v>0.58899999999999997</v>
      </c>
      <c r="Q320" t="s">
        <v>29</v>
      </c>
      <c r="R320" t="s">
        <v>50</v>
      </c>
    </row>
    <row r="321" spans="1:18" x14ac:dyDescent="0.25">
      <c r="A321">
        <v>2018</v>
      </c>
      <c r="B321">
        <v>3713</v>
      </c>
      <c r="C321" t="s">
        <v>685</v>
      </c>
      <c r="D321" t="s">
        <v>686</v>
      </c>
      <c r="E321">
        <v>331110</v>
      </c>
      <c r="F321" t="s">
        <v>627</v>
      </c>
      <c r="G321" t="s">
        <v>336</v>
      </c>
      <c r="H321" t="s">
        <v>21</v>
      </c>
      <c r="I321" t="s">
        <v>324</v>
      </c>
      <c r="J321" t="s">
        <v>325</v>
      </c>
      <c r="K321" t="s">
        <v>326</v>
      </c>
      <c r="L321" t="s">
        <v>25</v>
      </c>
      <c r="M321" t="s">
        <v>26</v>
      </c>
      <c r="N321" t="s">
        <v>38</v>
      </c>
      <c r="O321" t="s">
        <v>39</v>
      </c>
      <c r="P321">
        <v>2323.8694999999998</v>
      </c>
      <c r="Q321" t="s">
        <v>40</v>
      </c>
      <c r="R321" t="s">
        <v>50</v>
      </c>
    </row>
    <row r="322" spans="1:18" x14ac:dyDescent="0.25">
      <c r="A322">
        <v>2022</v>
      </c>
      <c r="B322">
        <v>11771</v>
      </c>
      <c r="C322" t="s">
        <v>1020</v>
      </c>
      <c r="D322" t="s">
        <v>1021</v>
      </c>
      <c r="E322">
        <v>336370</v>
      </c>
      <c r="F322" t="s">
        <v>1022</v>
      </c>
      <c r="G322" t="s">
        <v>587</v>
      </c>
      <c r="H322" t="s">
        <v>21</v>
      </c>
      <c r="I322" t="s">
        <v>136</v>
      </c>
      <c r="J322" t="s">
        <v>137</v>
      </c>
      <c r="K322" t="s">
        <v>138</v>
      </c>
      <c r="L322" t="s">
        <v>25</v>
      </c>
      <c r="M322" t="s">
        <v>26</v>
      </c>
      <c r="N322" t="s">
        <v>38</v>
      </c>
      <c r="O322" t="s">
        <v>39</v>
      </c>
      <c r="P322">
        <v>26.120999999999999</v>
      </c>
      <c r="Q322" t="s">
        <v>29</v>
      </c>
      <c r="R322" t="s">
        <v>50</v>
      </c>
    </row>
    <row r="323" spans="1:18" x14ac:dyDescent="0.25">
      <c r="A323">
        <v>2006</v>
      </c>
      <c r="B323">
        <v>1845</v>
      </c>
      <c r="C323" t="s">
        <v>797</v>
      </c>
      <c r="D323" t="s">
        <v>352</v>
      </c>
      <c r="E323">
        <v>311511</v>
      </c>
      <c r="F323" t="s">
        <v>1023</v>
      </c>
      <c r="G323" t="s">
        <v>1024</v>
      </c>
      <c r="H323" t="s">
        <v>21</v>
      </c>
      <c r="I323" t="s">
        <v>337</v>
      </c>
      <c r="J323" t="s">
        <v>338</v>
      </c>
      <c r="K323" t="s">
        <v>339</v>
      </c>
      <c r="L323" t="s">
        <v>89</v>
      </c>
      <c r="M323" t="s">
        <v>90</v>
      </c>
      <c r="N323" t="s">
        <v>100</v>
      </c>
      <c r="O323" t="s">
        <v>101</v>
      </c>
      <c r="P323">
        <v>0</v>
      </c>
      <c r="Q323" t="s">
        <v>29</v>
      </c>
      <c r="R323" t="s">
        <v>30</v>
      </c>
    </row>
    <row r="324" spans="1:18" x14ac:dyDescent="0.25">
      <c r="A324">
        <v>2011</v>
      </c>
      <c r="B324">
        <v>4441</v>
      </c>
      <c r="C324" t="s">
        <v>1025</v>
      </c>
      <c r="D324" t="s">
        <v>1026</v>
      </c>
      <c r="E324">
        <v>311515</v>
      </c>
      <c r="F324" t="s">
        <v>799</v>
      </c>
      <c r="G324" t="s">
        <v>343</v>
      </c>
      <c r="H324" t="s">
        <v>21</v>
      </c>
      <c r="I324" t="s">
        <v>402</v>
      </c>
      <c r="J324" t="s">
        <v>403</v>
      </c>
      <c r="K324" t="s">
        <v>404</v>
      </c>
      <c r="L324" t="s">
        <v>89</v>
      </c>
      <c r="M324" t="s">
        <v>90</v>
      </c>
      <c r="N324" t="s">
        <v>100</v>
      </c>
      <c r="O324" t="s">
        <v>101</v>
      </c>
      <c r="P324">
        <v>82.031999999999996</v>
      </c>
      <c r="Q324" t="s">
        <v>29</v>
      </c>
      <c r="R324" t="s">
        <v>124</v>
      </c>
    </row>
    <row r="325" spans="1:18" x14ac:dyDescent="0.25">
      <c r="A325">
        <v>2010</v>
      </c>
      <c r="B325">
        <v>3753</v>
      </c>
      <c r="C325" t="s">
        <v>1027</v>
      </c>
      <c r="D325" t="s">
        <v>1028</v>
      </c>
      <c r="E325">
        <v>211113</v>
      </c>
      <c r="F325" t="s">
        <v>425</v>
      </c>
      <c r="G325" t="s">
        <v>426</v>
      </c>
      <c r="H325" t="s">
        <v>85</v>
      </c>
      <c r="I325" t="s">
        <v>70</v>
      </c>
      <c r="J325" t="s">
        <v>71</v>
      </c>
      <c r="K325" t="s">
        <v>72</v>
      </c>
      <c r="L325" t="s">
        <v>25</v>
      </c>
      <c r="M325" t="s">
        <v>26</v>
      </c>
      <c r="N325" t="s">
        <v>380</v>
      </c>
      <c r="O325" t="s">
        <v>381</v>
      </c>
      <c r="P325">
        <v>0.30099999999999999</v>
      </c>
      <c r="Q325" t="s">
        <v>29</v>
      </c>
    </row>
    <row r="326" spans="1:18" x14ac:dyDescent="0.25">
      <c r="A326">
        <v>2012</v>
      </c>
      <c r="B326">
        <v>5413</v>
      </c>
      <c r="C326" t="s">
        <v>1029</v>
      </c>
      <c r="D326" t="s">
        <v>1030</v>
      </c>
      <c r="E326">
        <v>331221</v>
      </c>
      <c r="F326" t="s">
        <v>1008</v>
      </c>
      <c r="G326" t="s">
        <v>419</v>
      </c>
      <c r="H326" t="s">
        <v>79</v>
      </c>
      <c r="I326" t="s">
        <v>152</v>
      </c>
      <c r="J326" t="s">
        <v>153</v>
      </c>
      <c r="K326" t="s">
        <v>154</v>
      </c>
      <c r="L326" t="s">
        <v>25</v>
      </c>
      <c r="M326" t="s">
        <v>26</v>
      </c>
      <c r="N326" t="s">
        <v>38</v>
      </c>
      <c r="O326" t="s">
        <v>39</v>
      </c>
      <c r="P326">
        <v>30.4</v>
      </c>
      <c r="Q326" t="s">
        <v>29</v>
      </c>
      <c r="R326" t="s">
        <v>30</v>
      </c>
    </row>
    <row r="327" spans="1:18" x14ac:dyDescent="0.25">
      <c r="A327">
        <v>2022</v>
      </c>
      <c r="B327">
        <v>5489</v>
      </c>
      <c r="C327" t="s">
        <v>1031</v>
      </c>
      <c r="D327" t="s">
        <v>1032</v>
      </c>
      <c r="E327">
        <v>335315</v>
      </c>
      <c r="F327" t="s">
        <v>1033</v>
      </c>
      <c r="G327" t="s">
        <v>1034</v>
      </c>
      <c r="H327" t="s">
        <v>79</v>
      </c>
      <c r="I327" t="s">
        <v>177</v>
      </c>
      <c r="J327" t="s">
        <v>178</v>
      </c>
      <c r="K327" t="s">
        <v>179</v>
      </c>
      <c r="L327" t="s">
        <v>25</v>
      </c>
      <c r="M327" t="s">
        <v>26</v>
      </c>
      <c r="N327" t="s">
        <v>38</v>
      </c>
      <c r="O327" t="s">
        <v>39</v>
      </c>
      <c r="P327">
        <v>70.61</v>
      </c>
      <c r="Q327" t="s">
        <v>29</v>
      </c>
      <c r="R327" t="s">
        <v>50</v>
      </c>
    </row>
    <row r="328" spans="1:18" x14ac:dyDescent="0.25">
      <c r="A328">
        <v>2009</v>
      </c>
      <c r="B328">
        <v>1931</v>
      </c>
      <c r="C328" t="s">
        <v>1035</v>
      </c>
      <c r="D328" t="s">
        <v>745</v>
      </c>
      <c r="E328">
        <v>325510</v>
      </c>
      <c r="F328" t="s">
        <v>143</v>
      </c>
      <c r="G328" t="s">
        <v>112</v>
      </c>
      <c r="H328" t="s">
        <v>21</v>
      </c>
      <c r="I328" t="s">
        <v>271</v>
      </c>
      <c r="J328" t="s">
        <v>272</v>
      </c>
      <c r="K328" t="s">
        <v>273</v>
      </c>
      <c r="L328" t="s">
        <v>25</v>
      </c>
      <c r="M328" t="s">
        <v>26</v>
      </c>
      <c r="N328" t="s">
        <v>27</v>
      </c>
      <c r="O328" t="s">
        <v>28</v>
      </c>
      <c r="P328">
        <v>3.43</v>
      </c>
      <c r="Q328" t="s">
        <v>29</v>
      </c>
      <c r="R328" t="s">
        <v>30</v>
      </c>
    </row>
    <row r="329" spans="1:18" x14ac:dyDescent="0.25">
      <c r="A329">
        <v>2010</v>
      </c>
      <c r="B329">
        <v>1931</v>
      </c>
      <c r="C329" t="s">
        <v>617</v>
      </c>
      <c r="D329" t="s">
        <v>745</v>
      </c>
      <c r="E329">
        <v>325510</v>
      </c>
      <c r="F329" t="s">
        <v>143</v>
      </c>
      <c r="G329" t="s">
        <v>112</v>
      </c>
      <c r="H329" t="s">
        <v>21</v>
      </c>
      <c r="I329" t="s">
        <v>427</v>
      </c>
      <c r="J329" t="s">
        <v>428</v>
      </c>
      <c r="K329" t="s">
        <v>429</v>
      </c>
      <c r="L329" t="s">
        <v>89</v>
      </c>
      <c r="M329" t="s">
        <v>90</v>
      </c>
      <c r="N329" t="s">
        <v>472</v>
      </c>
      <c r="O329" t="s">
        <v>473</v>
      </c>
      <c r="P329">
        <v>0.04</v>
      </c>
      <c r="Q329" t="s">
        <v>29</v>
      </c>
      <c r="R329" t="s">
        <v>30</v>
      </c>
    </row>
    <row r="330" spans="1:18" x14ac:dyDescent="0.25">
      <c r="A330">
        <v>2003</v>
      </c>
      <c r="B330">
        <v>4829</v>
      </c>
      <c r="C330" t="s">
        <v>1036</v>
      </c>
      <c r="D330" t="s">
        <v>1037</v>
      </c>
      <c r="E330">
        <v>311990</v>
      </c>
      <c r="F330" t="s">
        <v>1038</v>
      </c>
      <c r="G330" t="s">
        <v>1039</v>
      </c>
      <c r="H330" t="s">
        <v>85</v>
      </c>
      <c r="I330" t="s">
        <v>97</v>
      </c>
      <c r="J330" t="s">
        <v>98</v>
      </c>
      <c r="K330" t="s">
        <v>99</v>
      </c>
      <c r="L330" t="s">
        <v>89</v>
      </c>
      <c r="M330" t="s">
        <v>90</v>
      </c>
      <c r="N330" t="s">
        <v>100</v>
      </c>
      <c r="O330" t="s">
        <v>101</v>
      </c>
      <c r="P330">
        <v>4.49</v>
      </c>
      <c r="Q330" t="s">
        <v>29</v>
      </c>
      <c r="R330" t="s">
        <v>124</v>
      </c>
    </row>
    <row r="331" spans="1:18" x14ac:dyDescent="0.25">
      <c r="A331">
        <v>2008</v>
      </c>
      <c r="B331">
        <v>1993</v>
      </c>
      <c r="C331" t="s">
        <v>1040</v>
      </c>
      <c r="D331" t="s">
        <v>1041</v>
      </c>
      <c r="E331">
        <v>334410</v>
      </c>
      <c r="F331" t="s">
        <v>604</v>
      </c>
      <c r="G331" t="s">
        <v>605</v>
      </c>
      <c r="H331" t="s">
        <v>21</v>
      </c>
      <c r="I331" t="s">
        <v>177</v>
      </c>
      <c r="J331" t="s">
        <v>178</v>
      </c>
      <c r="K331" t="s">
        <v>179</v>
      </c>
      <c r="L331" t="s">
        <v>25</v>
      </c>
      <c r="M331" t="s">
        <v>26</v>
      </c>
      <c r="N331" t="s">
        <v>38</v>
      </c>
      <c r="O331" t="s">
        <v>39</v>
      </c>
      <c r="P331">
        <v>70.576999999999998</v>
      </c>
      <c r="Q331" t="s">
        <v>29</v>
      </c>
      <c r="R331" t="s">
        <v>50</v>
      </c>
    </row>
    <row r="332" spans="1:18" x14ac:dyDescent="0.25">
      <c r="A332">
        <v>2004</v>
      </c>
      <c r="B332">
        <v>2381</v>
      </c>
      <c r="C332" t="s">
        <v>706</v>
      </c>
      <c r="D332" t="s">
        <v>1042</v>
      </c>
      <c r="E332">
        <v>331511</v>
      </c>
      <c r="F332" t="s">
        <v>160</v>
      </c>
      <c r="G332" t="s">
        <v>161</v>
      </c>
      <c r="H332" t="s">
        <v>21</v>
      </c>
      <c r="I332" t="s">
        <v>209</v>
      </c>
      <c r="J332" t="s">
        <v>210</v>
      </c>
      <c r="K332" t="s">
        <v>211</v>
      </c>
      <c r="L332" t="s">
        <v>25</v>
      </c>
      <c r="M332" t="s">
        <v>26</v>
      </c>
      <c r="N332" t="s">
        <v>155</v>
      </c>
      <c r="O332" t="s">
        <v>156</v>
      </c>
      <c r="P332">
        <v>2.855</v>
      </c>
      <c r="Q332" t="s">
        <v>29</v>
      </c>
      <c r="R332" t="s">
        <v>124</v>
      </c>
    </row>
    <row r="333" spans="1:18" x14ac:dyDescent="0.25">
      <c r="A333">
        <v>2018</v>
      </c>
      <c r="B333">
        <v>29386</v>
      </c>
      <c r="C333" t="s">
        <v>1043</v>
      </c>
      <c r="D333" t="s">
        <v>1044</v>
      </c>
      <c r="E333">
        <v>211110</v>
      </c>
      <c r="F333" t="s">
        <v>233</v>
      </c>
      <c r="G333" t="s">
        <v>234</v>
      </c>
      <c r="H333" t="s">
        <v>243</v>
      </c>
      <c r="I333" t="s">
        <v>491</v>
      </c>
      <c r="J333" t="s">
        <v>492</v>
      </c>
      <c r="K333" t="s">
        <v>492</v>
      </c>
      <c r="L333" t="s">
        <v>25</v>
      </c>
      <c r="M333" t="s">
        <v>26</v>
      </c>
      <c r="N333" t="s">
        <v>380</v>
      </c>
      <c r="O333" t="s">
        <v>381</v>
      </c>
      <c r="P333">
        <v>0</v>
      </c>
      <c r="Q333" t="s">
        <v>29</v>
      </c>
      <c r="R333" t="s">
        <v>30</v>
      </c>
    </row>
    <row r="334" spans="1:18" x14ac:dyDescent="0.25">
      <c r="A334">
        <v>2007</v>
      </c>
      <c r="B334">
        <v>5939</v>
      </c>
      <c r="C334" t="s">
        <v>1045</v>
      </c>
      <c r="D334" t="s">
        <v>1046</v>
      </c>
      <c r="E334">
        <v>336390</v>
      </c>
      <c r="F334" t="s">
        <v>60</v>
      </c>
      <c r="G334" t="s">
        <v>61</v>
      </c>
      <c r="H334" t="s">
        <v>21</v>
      </c>
      <c r="I334" t="s">
        <v>136</v>
      </c>
      <c r="J334" t="s">
        <v>137</v>
      </c>
      <c r="K334" t="s">
        <v>138</v>
      </c>
      <c r="L334" t="s">
        <v>25</v>
      </c>
      <c r="M334" t="s">
        <v>26</v>
      </c>
      <c r="N334" t="s">
        <v>38</v>
      </c>
      <c r="O334" t="s">
        <v>39</v>
      </c>
      <c r="P334">
        <v>25.693999999999999</v>
      </c>
      <c r="Q334" t="s">
        <v>29</v>
      </c>
      <c r="R334" t="s">
        <v>50</v>
      </c>
    </row>
    <row r="335" spans="1:18" x14ac:dyDescent="0.25">
      <c r="A335">
        <v>2001</v>
      </c>
      <c r="B335">
        <v>7163</v>
      </c>
      <c r="C335" t="s">
        <v>1047</v>
      </c>
      <c r="D335" t="s">
        <v>1048</v>
      </c>
      <c r="E335">
        <v>331210</v>
      </c>
      <c r="F335" t="s">
        <v>1049</v>
      </c>
      <c r="G335" t="s">
        <v>657</v>
      </c>
      <c r="H335" t="s">
        <v>21</v>
      </c>
      <c r="I335" t="s">
        <v>209</v>
      </c>
      <c r="J335" t="s">
        <v>210</v>
      </c>
      <c r="K335" t="s">
        <v>211</v>
      </c>
      <c r="L335" t="s">
        <v>25</v>
      </c>
      <c r="M335" t="s">
        <v>26</v>
      </c>
      <c r="N335" t="s">
        <v>38</v>
      </c>
      <c r="O335" t="s">
        <v>39</v>
      </c>
      <c r="P335">
        <v>26.26</v>
      </c>
      <c r="Q335" t="s">
        <v>29</v>
      </c>
      <c r="R335" t="s">
        <v>442</v>
      </c>
    </row>
    <row r="336" spans="1:18" x14ac:dyDescent="0.25">
      <c r="A336">
        <v>2017</v>
      </c>
      <c r="B336">
        <v>1464</v>
      </c>
      <c r="C336" t="s">
        <v>194</v>
      </c>
      <c r="D336" t="s">
        <v>443</v>
      </c>
      <c r="E336">
        <v>325110</v>
      </c>
      <c r="F336" t="s">
        <v>444</v>
      </c>
      <c r="G336" t="s">
        <v>445</v>
      </c>
      <c r="H336" t="s">
        <v>21</v>
      </c>
      <c r="I336" t="s">
        <v>1050</v>
      </c>
      <c r="J336" t="s">
        <v>1051</v>
      </c>
      <c r="K336" t="s">
        <v>1052</v>
      </c>
      <c r="L336" t="s">
        <v>25</v>
      </c>
      <c r="M336" t="s">
        <v>26</v>
      </c>
      <c r="N336" t="s">
        <v>48</v>
      </c>
      <c r="O336" t="s">
        <v>49</v>
      </c>
      <c r="P336">
        <v>10227.797</v>
      </c>
      <c r="Q336" t="s">
        <v>40</v>
      </c>
      <c r="R336" t="s">
        <v>124</v>
      </c>
    </row>
    <row r="337" spans="1:18" x14ac:dyDescent="0.25">
      <c r="A337">
        <v>2023</v>
      </c>
      <c r="B337">
        <v>32363</v>
      </c>
      <c r="C337" t="s">
        <v>1053</v>
      </c>
      <c r="D337" t="s">
        <v>1053</v>
      </c>
      <c r="E337">
        <v>325313</v>
      </c>
      <c r="F337" t="s">
        <v>1054</v>
      </c>
      <c r="G337" t="s">
        <v>1055</v>
      </c>
      <c r="H337" t="s">
        <v>21</v>
      </c>
      <c r="I337" t="s">
        <v>97</v>
      </c>
      <c r="J337" t="s">
        <v>98</v>
      </c>
      <c r="K337" t="s">
        <v>99</v>
      </c>
      <c r="L337" t="s">
        <v>89</v>
      </c>
      <c r="M337" t="s">
        <v>90</v>
      </c>
      <c r="N337" t="s">
        <v>91</v>
      </c>
      <c r="O337" t="s">
        <v>92</v>
      </c>
      <c r="P337">
        <v>0.30599999999999999</v>
      </c>
      <c r="Q337" t="s">
        <v>29</v>
      </c>
      <c r="R337" t="s">
        <v>30</v>
      </c>
    </row>
    <row r="338" spans="1:18" x14ac:dyDescent="0.25">
      <c r="A338">
        <v>2004</v>
      </c>
      <c r="B338">
        <v>1953</v>
      </c>
      <c r="C338" t="s">
        <v>305</v>
      </c>
      <c r="D338" t="s">
        <v>1056</v>
      </c>
      <c r="E338">
        <v>325510</v>
      </c>
      <c r="F338" t="s">
        <v>143</v>
      </c>
      <c r="G338" t="s">
        <v>112</v>
      </c>
      <c r="H338" t="s">
        <v>21</v>
      </c>
      <c r="I338" t="s">
        <v>80</v>
      </c>
      <c r="J338" t="s">
        <v>81</v>
      </c>
      <c r="K338" t="s">
        <v>82</v>
      </c>
      <c r="L338" t="s">
        <v>25</v>
      </c>
      <c r="M338" t="s">
        <v>26</v>
      </c>
      <c r="N338" t="s">
        <v>48</v>
      </c>
      <c r="O338" t="s">
        <v>49</v>
      </c>
      <c r="P338">
        <v>0</v>
      </c>
      <c r="Q338" t="s">
        <v>29</v>
      </c>
      <c r="R338" t="s">
        <v>30</v>
      </c>
    </row>
    <row r="339" spans="1:18" x14ac:dyDescent="0.25">
      <c r="A339">
        <v>2006</v>
      </c>
      <c r="B339">
        <v>2282</v>
      </c>
      <c r="C339" t="s">
        <v>1057</v>
      </c>
      <c r="D339" t="s">
        <v>1058</v>
      </c>
      <c r="E339">
        <v>221112</v>
      </c>
      <c r="F339" t="s">
        <v>134</v>
      </c>
      <c r="G339" t="s">
        <v>135</v>
      </c>
      <c r="H339" t="s">
        <v>85</v>
      </c>
      <c r="I339" t="s">
        <v>525</v>
      </c>
      <c r="J339" t="s">
        <v>526</v>
      </c>
      <c r="K339" t="s">
        <v>527</v>
      </c>
      <c r="L339" t="s">
        <v>25</v>
      </c>
      <c r="M339" t="s">
        <v>26</v>
      </c>
      <c r="N339" t="s">
        <v>139</v>
      </c>
      <c r="O339" t="s">
        <v>140</v>
      </c>
      <c r="P339">
        <v>31.913</v>
      </c>
      <c r="Q339" t="s">
        <v>29</v>
      </c>
      <c r="R339" t="s">
        <v>30</v>
      </c>
    </row>
    <row r="340" spans="1:18" x14ac:dyDescent="0.25">
      <c r="A340">
        <v>2018</v>
      </c>
      <c r="B340">
        <v>5471</v>
      </c>
      <c r="C340" t="s">
        <v>1059</v>
      </c>
      <c r="D340" t="s">
        <v>1060</v>
      </c>
      <c r="E340">
        <v>322122</v>
      </c>
      <c r="F340" t="s">
        <v>1061</v>
      </c>
      <c r="G340" t="s">
        <v>1062</v>
      </c>
      <c r="H340" t="s">
        <v>79</v>
      </c>
      <c r="I340" t="s">
        <v>136</v>
      </c>
      <c r="J340" t="s">
        <v>137</v>
      </c>
      <c r="K340" t="s">
        <v>138</v>
      </c>
      <c r="L340" t="s">
        <v>25</v>
      </c>
      <c r="M340" t="s">
        <v>26</v>
      </c>
      <c r="N340" t="s">
        <v>155</v>
      </c>
      <c r="O340" t="s">
        <v>156</v>
      </c>
      <c r="P340">
        <v>21.73</v>
      </c>
      <c r="Q340" t="s">
        <v>29</v>
      </c>
      <c r="R340" t="s">
        <v>124</v>
      </c>
    </row>
    <row r="341" spans="1:18" x14ac:dyDescent="0.25">
      <c r="A341">
        <v>2008</v>
      </c>
      <c r="B341">
        <v>6793</v>
      </c>
      <c r="C341" t="s">
        <v>122</v>
      </c>
      <c r="D341" t="s">
        <v>1063</v>
      </c>
      <c r="E341">
        <v>562110</v>
      </c>
      <c r="F341" t="s">
        <v>67</v>
      </c>
      <c r="G341" t="s">
        <v>68</v>
      </c>
      <c r="H341" t="s">
        <v>69</v>
      </c>
      <c r="I341" t="s">
        <v>70</v>
      </c>
      <c r="J341" t="s">
        <v>71</v>
      </c>
      <c r="K341" t="s">
        <v>72</v>
      </c>
      <c r="L341" t="s">
        <v>25</v>
      </c>
      <c r="M341" t="s">
        <v>26</v>
      </c>
      <c r="N341" t="s">
        <v>73</v>
      </c>
      <c r="O341" t="s">
        <v>74</v>
      </c>
      <c r="P341">
        <v>3.1269999999999998</v>
      </c>
      <c r="Q341" t="s">
        <v>29</v>
      </c>
      <c r="R341" t="s">
        <v>30</v>
      </c>
    </row>
    <row r="342" spans="1:18" x14ac:dyDescent="0.25">
      <c r="A342">
        <v>2007</v>
      </c>
      <c r="B342">
        <v>2240</v>
      </c>
      <c r="C342" t="s">
        <v>1064</v>
      </c>
      <c r="D342" t="s">
        <v>1065</v>
      </c>
      <c r="E342">
        <v>221320</v>
      </c>
      <c r="F342" t="s">
        <v>390</v>
      </c>
      <c r="G342" t="s">
        <v>147</v>
      </c>
      <c r="H342" t="s">
        <v>21</v>
      </c>
      <c r="I342" t="s">
        <v>244</v>
      </c>
      <c r="J342" t="s">
        <v>245</v>
      </c>
      <c r="K342" t="s">
        <v>246</v>
      </c>
      <c r="L342" t="s">
        <v>25</v>
      </c>
      <c r="M342" t="s">
        <v>26</v>
      </c>
      <c r="N342" t="s">
        <v>155</v>
      </c>
      <c r="O342" t="s">
        <v>156</v>
      </c>
      <c r="P342">
        <v>9.2750000000000004</v>
      </c>
      <c r="Q342" t="s">
        <v>40</v>
      </c>
      <c r="R342" t="s">
        <v>124</v>
      </c>
    </row>
    <row r="343" spans="1:18" x14ac:dyDescent="0.25">
      <c r="A343">
        <v>2021</v>
      </c>
      <c r="B343">
        <v>3897</v>
      </c>
      <c r="C343" t="s">
        <v>943</v>
      </c>
      <c r="D343" t="s">
        <v>275</v>
      </c>
      <c r="E343">
        <v>324110</v>
      </c>
      <c r="F343" t="s">
        <v>196</v>
      </c>
      <c r="G343" t="s">
        <v>96</v>
      </c>
      <c r="H343" t="s">
        <v>79</v>
      </c>
      <c r="I343" t="s">
        <v>317</v>
      </c>
      <c r="J343" t="s">
        <v>318</v>
      </c>
      <c r="K343" t="s">
        <v>319</v>
      </c>
      <c r="L343" t="s">
        <v>89</v>
      </c>
      <c r="M343" t="s">
        <v>90</v>
      </c>
      <c r="N343" t="s">
        <v>472</v>
      </c>
      <c r="O343" t="s">
        <v>473</v>
      </c>
      <c r="P343">
        <v>2.3599999999999999E-4</v>
      </c>
      <c r="Q343" t="s">
        <v>29</v>
      </c>
      <c r="R343" t="s">
        <v>30</v>
      </c>
    </row>
    <row r="344" spans="1:18" x14ac:dyDescent="0.25">
      <c r="A344">
        <v>2007</v>
      </c>
      <c r="B344">
        <v>3698</v>
      </c>
      <c r="C344" t="s">
        <v>125</v>
      </c>
      <c r="D344" t="s">
        <v>1066</v>
      </c>
      <c r="E344">
        <v>324110</v>
      </c>
      <c r="F344" t="s">
        <v>95</v>
      </c>
      <c r="G344" t="s">
        <v>96</v>
      </c>
      <c r="H344" t="s">
        <v>483</v>
      </c>
      <c r="I344" t="s">
        <v>244</v>
      </c>
      <c r="J344" t="s">
        <v>245</v>
      </c>
      <c r="K344" t="s">
        <v>246</v>
      </c>
      <c r="L344" t="s">
        <v>89</v>
      </c>
      <c r="M344" t="s">
        <v>90</v>
      </c>
      <c r="N344" t="s">
        <v>166</v>
      </c>
      <c r="O344" t="s">
        <v>167</v>
      </c>
      <c r="P344">
        <v>347.55900000000003</v>
      </c>
      <c r="Q344" t="s">
        <v>40</v>
      </c>
      <c r="R344" t="s">
        <v>30</v>
      </c>
    </row>
    <row r="345" spans="1:18" x14ac:dyDescent="0.25">
      <c r="A345">
        <v>2023</v>
      </c>
      <c r="B345">
        <v>11849</v>
      </c>
      <c r="C345" t="s">
        <v>1067</v>
      </c>
      <c r="D345" t="s">
        <v>1068</v>
      </c>
      <c r="E345">
        <v>326198</v>
      </c>
      <c r="F345" t="s">
        <v>1069</v>
      </c>
      <c r="G345" t="s">
        <v>250</v>
      </c>
      <c r="H345" t="s">
        <v>21</v>
      </c>
      <c r="I345" t="s">
        <v>184</v>
      </c>
      <c r="J345" t="s">
        <v>185</v>
      </c>
      <c r="K345" t="s">
        <v>186</v>
      </c>
      <c r="L345" t="s">
        <v>25</v>
      </c>
      <c r="M345" t="s">
        <v>26</v>
      </c>
      <c r="N345" t="s">
        <v>155</v>
      </c>
      <c r="O345" t="s">
        <v>156</v>
      </c>
      <c r="P345">
        <v>16.600000000000001</v>
      </c>
      <c r="Q345" t="s">
        <v>40</v>
      </c>
      <c r="R345" t="s">
        <v>50</v>
      </c>
    </row>
    <row r="346" spans="1:18" x14ac:dyDescent="0.25">
      <c r="A346">
        <v>1999</v>
      </c>
      <c r="B346">
        <v>3426</v>
      </c>
      <c r="C346" t="s">
        <v>1070</v>
      </c>
      <c r="E346">
        <v>325510</v>
      </c>
      <c r="F346" t="s">
        <v>143</v>
      </c>
      <c r="G346" t="s">
        <v>112</v>
      </c>
      <c r="H346" t="s">
        <v>69</v>
      </c>
      <c r="I346" t="s">
        <v>55</v>
      </c>
      <c r="J346" t="s">
        <v>56</v>
      </c>
      <c r="K346" t="s">
        <v>57</v>
      </c>
      <c r="L346" t="s">
        <v>25</v>
      </c>
      <c r="M346" t="s">
        <v>26</v>
      </c>
      <c r="N346" t="s">
        <v>48</v>
      </c>
      <c r="O346" t="s">
        <v>49</v>
      </c>
      <c r="P346">
        <v>0.13500000000000001</v>
      </c>
      <c r="Q346" t="s">
        <v>29</v>
      </c>
      <c r="R346" t="s">
        <v>30</v>
      </c>
    </row>
    <row r="347" spans="1:18" x14ac:dyDescent="0.25">
      <c r="A347">
        <v>2020</v>
      </c>
      <c r="B347">
        <v>3019</v>
      </c>
      <c r="C347" t="s">
        <v>1071</v>
      </c>
      <c r="D347" t="s">
        <v>1072</v>
      </c>
      <c r="E347">
        <v>336390</v>
      </c>
      <c r="F347" t="s">
        <v>182</v>
      </c>
      <c r="G347" t="s">
        <v>61</v>
      </c>
      <c r="H347" t="s">
        <v>21</v>
      </c>
      <c r="I347" t="s">
        <v>271</v>
      </c>
      <c r="J347" t="s">
        <v>272</v>
      </c>
      <c r="K347" t="s">
        <v>273</v>
      </c>
      <c r="L347" t="s">
        <v>89</v>
      </c>
      <c r="M347" t="s">
        <v>90</v>
      </c>
      <c r="N347" t="s">
        <v>166</v>
      </c>
      <c r="O347" t="s">
        <v>167</v>
      </c>
      <c r="P347">
        <v>0</v>
      </c>
      <c r="Q347" t="s">
        <v>29</v>
      </c>
      <c r="R347" t="s">
        <v>124</v>
      </c>
    </row>
    <row r="348" spans="1:18" x14ac:dyDescent="0.25">
      <c r="A348">
        <v>2000</v>
      </c>
      <c r="B348">
        <v>2033</v>
      </c>
      <c r="C348" t="s">
        <v>1073</v>
      </c>
      <c r="D348" t="s">
        <v>1074</v>
      </c>
      <c r="E348">
        <v>331317</v>
      </c>
      <c r="F348" t="s">
        <v>899</v>
      </c>
      <c r="G348" t="s">
        <v>769</v>
      </c>
      <c r="H348" t="s">
        <v>79</v>
      </c>
      <c r="I348" t="s">
        <v>271</v>
      </c>
      <c r="J348" t="s">
        <v>272</v>
      </c>
      <c r="K348" t="s">
        <v>273</v>
      </c>
      <c r="L348" t="s">
        <v>89</v>
      </c>
      <c r="M348" t="s">
        <v>90</v>
      </c>
      <c r="N348" t="s">
        <v>120</v>
      </c>
      <c r="O348" t="s">
        <v>121</v>
      </c>
      <c r="P348">
        <v>4.0490000000000004</v>
      </c>
      <c r="Q348" t="s">
        <v>29</v>
      </c>
      <c r="R348" t="s">
        <v>50</v>
      </c>
    </row>
    <row r="349" spans="1:18" x14ac:dyDescent="0.25">
      <c r="A349">
        <v>2002</v>
      </c>
      <c r="B349">
        <v>5527</v>
      </c>
      <c r="C349" t="s">
        <v>1075</v>
      </c>
      <c r="D349" t="s">
        <v>1076</v>
      </c>
      <c r="E349">
        <v>322111</v>
      </c>
      <c r="F349" t="s">
        <v>1077</v>
      </c>
      <c r="G349" t="s">
        <v>1078</v>
      </c>
      <c r="H349" t="s">
        <v>79</v>
      </c>
      <c r="I349" t="s">
        <v>136</v>
      </c>
      <c r="J349" t="s">
        <v>137</v>
      </c>
      <c r="K349" t="s">
        <v>138</v>
      </c>
      <c r="L349" t="s">
        <v>25</v>
      </c>
      <c r="M349" t="s">
        <v>26</v>
      </c>
      <c r="N349" t="s">
        <v>139</v>
      </c>
      <c r="O349" t="s">
        <v>140</v>
      </c>
      <c r="P349">
        <v>4.1820000000000004</v>
      </c>
      <c r="Q349" t="s">
        <v>29</v>
      </c>
      <c r="R349" t="s">
        <v>442</v>
      </c>
    </row>
    <row r="350" spans="1:18" x14ac:dyDescent="0.25">
      <c r="A350">
        <v>2008</v>
      </c>
      <c r="B350">
        <v>10768</v>
      </c>
      <c r="C350" t="s">
        <v>1079</v>
      </c>
      <c r="D350" t="s">
        <v>1080</v>
      </c>
      <c r="E350">
        <v>333299</v>
      </c>
      <c r="F350" t="s">
        <v>1081</v>
      </c>
      <c r="G350" t="s">
        <v>964</v>
      </c>
      <c r="H350" t="s">
        <v>21</v>
      </c>
      <c r="I350" t="s">
        <v>177</v>
      </c>
      <c r="J350" t="s">
        <v>178</v>
      </c>
      <c r="K350" t="s">
        <v>179</v>
      </c>
      <c r="L350" t="s">
        <v>25</v>
      </c>
      <c r="M350" t="s">
        <v>26</v>
      </c>
      <c r="N350" t="s">
        <v>38</v>
      </c>
      <c r="O350" t="s">
        <v>39</v>
      </c>
      <c r="P350">
        <v>3.57</v>
      </c>
      <c r="Q350" t="s">
        <v>29</v>
      </c>
      <c r="R350" t="s">
        <v>30</v>
      </c>
    </row>
    <row r="351" spans="1:18" x14ac:dyDescent="0.25">
      <c r="A351">
        <v>2011</v>
      </c>
      <c r="B351">
        <v>8542</v>
      </c>
      <c r="C351" t="s">
        <v>1082</v>
      </c>
      <c r="D351" t="s">
        <v>1082</v>
      </c>
      <c r="E351">
        <v>332431</v>
      </c>
      <c r="F351" t="s">
        <v>1083</v>
      </c>
      <c r="G351" t="s">
        <v>1084</v>
      </c>
      <c r="H351" t="s">
        <v>79</v>
      </c>
      <c r="I351" t="s">
        <v>70</v>
      </c>
      <c r="J351" t="s">
        <v>71</v>
      </c>
      <c r="K351" t="s">
        <v>72</v>
      </c>
      <c r="L351" t="s">
        <v>25</v>
      </c>
      <c r="M351" t="s">
        <v>26</v>
      </c>
      <c r="N351" t="s">
        <v>27</v>
      </c>
      <c r="O351" t="s">
        <v>28</v>
      </c>
      <c r="P351">
        <v>8.8000000000000007</v>
      </c>
      <c r="Q351" t="s">
        <v>29</v>
      </c>
      <c r="R351" t="s">
        <v>50</v>
      </c>
    </row>
    <row r="352" spans="1:18" x14ac:dyDescent="0.25">
      <c r="A352">
        <v>2017</v>
      </c>
      <c r="B352">
        <v>27763</v>
      </c>
      <c r="C352" t="s">
        <v>642</v>
      </c>
      <c r="D352" t="s">
        <v>1085</v>
      </c>
      <c r="E352">
        <v>562110</v>
      </c>
      <c r="F352" t="s">
        <v>644</v>
      </c>
      <c r="G352" t="s">
        <v>645</v>
      </c>
      <c r="H352" t="s">
        <v>21</v>
      </c>
      <c r="I352" t="s">
        <v>35</v>
      </c>
      <c r="J352" t="s">
        <v>36</v>
      </c>
      <c r="K352" t="s">
        <v>37</v>
      </c>
      <c r="L352" t="s">
        <v>89</v>
      </c>
      <c r="M352" t="s">
        <v>90</v>
      </c>
      <c r="N352" t="s">
        <v>120</v>
      </c>
      <c r="O352" t="s">
        <v>121</v>
      </c>
      <c r="P352">
        <v>2794.1055999999999</v>
      </c>
      <c r="Q352" t="s">
        <v>40</v>
      </c>
      <c r="R352" t="s">
        <v>50</v>
      </c>
    </row>
    <row r="353" spans="1:18" x14ac:dyDescent="0.25">
      <c r="A353">
        <v>2007</v>
      </c>
      <c r="B353">
        <v>11312</v>
      </c>
      <c r="C353" t="s">
        <v>1086</v>
      </c>
      <c r="D353" t="s">
        <v>1087</v>
      </c>
      <c r="E353">
        <v>335311</v>
      </c>
      <c r="F353" t="s">
        <v>1088</v>
      </c>
      <c r="G353" t="s">
        <v>1089</v>
      </c>
      <c r="H353" t="s">
        <v>21</v>
      </c>
      <c r="I353" t="s">
        <v>778</v>
      </c>
      <c r="J353" t="s">
        <v>779</v>
      </c>
      <c r="K353" t="s">
        <v>780</v>
      </c>
      <c r="L353" t="s">
        <v>89</v>
      </c>
      <c r="M353" t="s">
        <v>90</v>
      </c>
      <c r="N353" t="s">
        <v>91</v>
      </c>
      <c r="O353" t="s">
        <v>92</v>
      </c>
      <c r="P353">
        <v>0</v>
      </c>
      <c r="Q353" t="s">
        <v>29</v>
      </c>
      <c r="R353" t="s">
        <v>124</v>
      </c>
    </row>
    <row r="354" spans="1:18" x14ac:dyDescent="0.25">
      <c r="A354">
        <v>2015</v>
      </c>
      <c r="B354">
        <v>4796</v>
      </c>
      <c r="C354" t="s">
        <v>1029</v>
      </c>
      <c r="D354" t="s">
        <v>1090</v>
      </c>
      <c r="E354">
        <v>332319</v>
      </c>
      <c r="F354" t="s">
        <v>772</v>
      </c>
      <c r="G354" t="s">
        <v>773</v>
      </c>
      <c r="H354" t="s">
        <v>79</v>
      </c>
      <c r="I354" t="s">
        <v>152</v>
      </c>
      <c r="J354" t="s">
        <v>153</v>
      </c>
      <c r="K354" t="s">
        <v>154</v>
      </c>
      <c r="L354" t="s">
        <v>25</v>
      </c>
      <c r="M354" t="s">
        <v>26</v>
      </c>
      <c r="N354" t="s">
        <v>38</v>
      </c>
      <c r="O354" t="s">
        <v>39</v>
      </c>
      <c r="P354">
        <v>33.1</v>
      </c>
      <c r="Q354" t="s">
        <v>29</v>
      </c>
      <c r="R354" t="s">
        <v>30</v>
      </c>
    </row>
    <row r="355" spans="1:18" x14ac:dyDescent="0.25">
      <c r="A355">
        <v>1997</v>
      </c>
      <c r="B355">
        <v>3764</v>
      </c>
      <c r="C355" t="s">
        <v>1091</v>
      </c>
      <c r="D355" t="s">
        <v>1092</v>
      </c>
      <c r="E355">
        <v>336390</v>
      </c>
      <c r="F355" t="s">
        <v>60</v>
      </c>
      <c r="G355" t="s">
        <v>61</v>
      </c>
      <c r="H355" t="s">
        <v>21</v>
      </c>
      <c r="I355" t="s">
        <v>152</v>
      </c>
      <c r="J355" t="s">
        <v>153</v>
      </c>
      <c r="K355" t="s">
        <v>154</v>
      </c>
      <c r="L355" t="s">
        <v>25</v>
      </c>
      <c r="M355" t="s">
        <v>26</v>
      </c>
      <c r="N355" t="s">
        <v>38</v>
      </c>
      <c r="O355" t="s">
        <v>39</v>
      </c>
      <c r="P355">
        <v>75.947000000000003</v>
      </c>
      <c r="Q355" t="s">
        <v>29</v>
      </c>
      <c r="R355" t="s">
        <v>30</v>
      </c>
    </row>
    <row r="356" spans="1:18" x14ac:dyDescent="0.25">
      <c r="A356">
        <v>2015</v>
      </c>
      <c r="B356">
        <v>11209</v>
      </c>
      <c r="C356" t="s">
        <v>1093</v>
      </c>
      <c r="D356" t="s">
        <v>1094</v>
      </c>
      <c r="E356">
        <v>336990</v>
      </c>
      <c r="F356" t="s">
        <v>1095</v>
      </c>
      <c r="G356" t="s">
        <v>1096</v>
      </c>
      <c r="H356" t="s">
        <v>21</v>
      </c>
      <c r="I356" t="s">
        <v>271</v>
      </c>
      <c r="J356" t="s">
        <v>272</v>
      </c>
      <c r="K356" t="s">
        <v>273</v>
      </c>
      <c r="L356" t="s">
        <v>89</v>
      </c>
      <c r="M356" t="s">
        <v>90</v>
      </c>
      <c r="N356" t="s">
        <v>91</v>
      </c>
      <c r="O356" t="s">
        <v>92</v>
      </c>
      <c r="P356">
        <v>4.6651999999999996</v>
      </c>
      <c r="Q356" t="s">
        <v>29</v>
      </c>
      <c r="R356" t="s">
        <v>30</v>
      </c>
    </row>
    <row r="357" spans="1:18" x14ac:dyDescent="0.25">
      <c r="A357">
        <v>2012</v>
      </c>
      <c r="B357">
        <v>3698</v>
      </c>
      <c r="C357" t="s">
        <v>194</v>
      </c>
      <c r="D357" t="s">
        <v>1097</v>
      </c>
      <c r="E357">
        <v>324110</v>
      </c>
      <c r="F357" t="s">
        <v>196</v>
      </c>
      <c r="G357" t="s">
        <v>96</v>
      </c>
      <c r="H357" t="s">
        <v>483</v>
      </c>
      <c r="I357" t="s">
        <v>106</v>
      </c>
      <c r="J357" t="s">
        <v>107</v>
      </c>
      <c r="K357" t="s">
        <v>108</v>
      </c>
      <c r="L357" t="s">
        <v>89</v>
      </c>
      <c r="M357" t="s">
        <v>90</v>
      </c>
      <c r="N357" t="s">
        <v>91</v>
      </c>
      <c r="O357" t="s">
        <v>92</v>
      </c>
      <c r="P357">
        <v>41</v>
      </c>
      <c r="Q357" t="s">
        <v>40</v>
      </c>
      <c r="R357" t="s">
        <v>30</v>
      </c>
    </row>
    <row r="358" spans="1:18" x14ac:dyDescent="0.25">
      <c r="A358">
        <v>2007</v>
      </c>
      <c r="B358">
        <v>5454</v>
      </c>
      <c r="C358" t="s">
        <v>1098</v>
      </c>
      <c r="D358" t="s">
        <v>1099</v>
      </c>
      <c r="E358">
        <v>562990</v>
      </c>
      <c r="F358" t="s">
        <v>104</v>
      </c>
      <c r="G358" t="s">
        <v>105</v>
      </c>
      <c r="H358" t="s">
        <v>79</v>
      </c>
      <c r="I358" t="s">
        <v>22</v>
      </c>
      <c r="J358" t="s">
        <v>23</v>
      </c>
      <c r="K358" t="s">
        <v>24</v>
      </c>
      <c r="L358" t="s">
        <v>89</v>
      </c>
      <c r="M358" t="s">
        <v>90</v>
      </c>
      <c r="N358" t="s">
        <v>166</v>
      </c>
      <c r="O358" t="s">
        <v>167</v>
      </c>
      <c r="P358">
        <v>153.13</v>
      </c>
      <c r="Q358" t="s">
        <v>29</v>
      </c>
      <c r="R358" t="s">
        <v>30</v>
      </c>
    </row>
    <row r="359" spans="1:18" x14ac:dyDescent="0.25">
      <c r="A359">
        <v>2010</v>
      </c>
      <c r="B359">
        <v>2776</v>
      </c>
      <c r="C359" t="s">
        <v>93</v>
      </c>
      <c r="D359" t="s">
        <v>94</v>
      </c>
      <c r="E359">
        <v>324110</v>
      </c>
      <c r="F359" t="s">
        <v>95</v>
      </c>
      <c r="G359" t="s">
        <v>96</v>
      </c>
      <c r="H359" t="s">
        <v>69</v>
      </c>
      <c r="I359" t="s">
        <v>70</v>
      </c>
      <c r="J359" t="s">
        <v>71</v>
      </c>
      <c r="K359" t="s">
        <v>72</v>
      </c>
      <c r="L359" t="s">
        <v>25</v>
      </c>
      <c r="M359" t="s">
        <v>26</v>
      </c>
      <c r="N359" t="s">
        <v>73</v>
      </c>
      <c r="O359" t="s">
        <v>74</v>
      </c>
      <c r="P359">
        <v>5.7000000000000002E-2</v>
      </c>
      <c r="Q359" t="s">
        <v>29</v>
      </c>
      <c r="R359" t="s">
        <v>30</v>
      </c>
    </row>
    <row r="360" spans="1:18" x14ac:dyDescent="0.25">
      <c r="A360">
        <v>2015</v>
      </c>
      <c r="B360">
        <v>10237</v>
      </c>
      <c r="C360" t="s">
        <v>125</v>
      </c>
      <c r="D360" t="s">
        <v>542</v>
      </c>
      <c r="E360">
        <v>412110</v>
      </c>
      <c r="F360" t="s">
        <v>127</v>
      </c>
      <c r="G360" t="s">
        <v>128</v>
      </c>
      <c r="H360" t="s">
        <v>54</v>
      </c>
      <c r="I360" t="s">
        <v>543</v>
      </c>
      <c r="J360" t="s">
        <v>544</v>
      </c>
      <c r="K360" t="s">
        <v>545</v>
      </c>
      <c r="L360" t="s">
        <v>25</v>
      </c>
      <c r="M360" t="s">
        <v>26</v>
      </c>
      <c r="N360" t="s">
        <v>155</v>
      </c>
      <c r="O360" t="s">
        <v>156</v>
      </c>
      <c r="P360">
        <v>14.7819</v>
      </c>
      <c r="Q360" t="s">
        <v>40</v>
      </c>
      <c r="R360" t="s">
        <v>30</v>
      </c>
    </row>
    <row r="361" spans="1:18" x14ac:dyDescent="0.25">
      <c r="A361">
        <v>2002</v>
      </c>
      <c r="B361">
        <v>2844</v>
      </c>
      <c r="C361" t="s">
        <v>207</v>
      </c>
      <c r="D361" t="s">
        <v>1100</v>
      </c>
      <c r="E361">
        <v>221112</v>
      </c>
      <c r="F361" t="s">
        <v>134</v>
      </c>
      <c r="G361" t="s">
        <v>135</v>
      </c>
      <c r="H361" t="s">
        <v>21</v>
      </c>
      <c r="I361" t="s">
        <v>62</v>
      </c>
      <c r="J361" t="s">
        <v>63</v>
      </c>
      <c r="K361" t="s">
        <v>64</v>
      </c>
      <c r="L361" t="s">
        <v>25</v>
      </c>
      <c r="M361" t="s">
        <v>26</v>
      </c>
      <c r="N361" t="s">
        <v>155</v>
      </c>
      <c r="O361" t="s">
        <v>156</v>
      </c>
      <c r="P361">
        <v>5.1100000000000003</v>
      </c>
      <c r="Q361" t="s">
        <v>29</v>
      </c>
      <c r="R361" t="s">
        <v>204</v>
      </c>
    </row>
    <row r="362" spans="1:18" x14ac:dyDescent="0.25">
      <c r="A362">
        <v>1997</v>
      </c>
      <c r="B362">
        <v>4567</v>
      </c>
      <c r="C362" t="s">
        <v>1101</v>
      </c>
      <c r="D362" t="s">
        <v>1102</v>
      </c>
      <c r="E362">
        <v>325999</v>
      </c>
      <c r="F362" t="s">
        <v>396</v>
      </c>
      <c r="G362" t="s">
        <v>397</v>
      </c>
      <c r="H362" t="s">
        <v>85</v>
      </c>
      <c r="I362" t="s">
        <v>55</v>
      </c>
      <c r="J362" t="s">
        <v>56</v>
      </c>
      <c r="K362" t="s">
        <v>57</v>
      </c>
      <c r="L362" t="s">
        <v>89</v>
      </c>
      <c r="M362" t="s">
        <v>90</v>
      </c>
      <c r="N362" t="s">
        <v>166</v>
      </c>
      <c r="O362" t="s">
        <v>167</v>
      </c>
      <c r="P362">
        <v>1.41</v>
      </c>
      <c r="Q362" t="s">
        <v>29</v>
      </c>
      <c r="R362" t="s">
        <v>30</v>
      </c>
    </row>
    <row r="363" spans="1:18" x14ac:dyDescent="0.25">
      <c r="A363">
        <v>2010</v>
      </c>
      <c r="B363">
        <v>3476</v>
      </c>
      <c r="C363" t="s">
        <v>1103</v>
      </c>
      <c r="D363" t="s">
        <v>1104</v>
      </c>
      <c r="E363">
        <v>336110</v>
      </c>
      <c r="F363" t="s">
        <v>377</v>
      </c>
      <c r="G363" t="s">
        <v>44</v>
      </c>
      <c r="H363" t="s">
        <v>21</v>
      </c>
      <c r="I363" t="s">
        <v>22</v>
      </c>
      <c r="J363" t="s">
        <v>23</v>
      </c>
      <c r="K363" t="s">
        <v>24</v>
      </c>
      <c r="L363" t="s">
        <v>25</v>
      </c>
      <c r="M363" t="s">
        <v>26</v>
      </c>
      <c r="N363" t="s">
        <v>27</v>
      </c>
      <c r="O363" t="s">
        <v>28</v>
      </c>
      <c r="P363">
        <v>6.9509999999999996</v>
      </c>
      <c r="Q363" t="s">
        <v>29</v>
      </c>
      <c r="R363" t="s">
        <v>30</v>
      </c>
    </row>
    <row r="364" spans="1:18" x14ac:dyDescent="0.25">
      <c r="A364">
        <v>2000</v>
      </c>
      <c r="B364">
        <v>286</v>
      </c>
      <c r="C364" t="s">
        <v>1105</v>
      </c>
      <c r="D364" t="s">
        <v>1106</v>
      </c>
      <c r="E364">
        <v>325510</v>
      </c>
      <c r="F364" t="s">
        <v>143</v>
      </c>
      <c r="G364" t="s">
        <v>112</v>
      </c>
      <c r="H364" t="s">
        <v>21</v>
      </c>
      <c r="I364" t="s">
        <v>778</v>
      </c>
      <c r="J364" t="s">
        <v>779</v>
      </c>
      <c r="K364" t="s">
        <v>780</v>
      </c>
      <c r="L364" t="s">
        <v>89</v>
      </c>
      <c r="M364" t="s">
        <v>90</v>
      </c>
      <c r="N364" t="s">
        <v>166</v>
      </c>
      <c r="O364" t="s">
        <v>167</v>
      </c>
      <c r="P364">
        <v>2.681</v>
      </c>
      <c r="Q364" t="s">
        <v>29</v>
      </c>
      <c r="R364" t="s">
        <v>30</v>
      </c>
    </row>
    <row r="365" spans="1:18" x14ac:dyDescent="0.25">
      <c r="A365">
        <v>2015</v>
      </c>
      <c r="B365">
        <v>432</v>
      </c>
      <c r="C365" t="s">
        <v>1027</v>
      </c>
      <c r="D365" t="s">
        <v>1107</v>
      </c>
      <c r="E365">
        <v>211113</v>
      </c>
      <c r="F365" t="s">
        <v>786</v>
      </c>
      <c r="G365" t="s">
        <v>426</v>
      </c>
      <c r="H365" t="s">
        <v>85</v>
      </c>
      <c r="I365" t="s">
        <v>70</v>
      </c>
      <c r="J365" t="s">
        <v>71</v>
      </c>
      <c r="K365" t="s">
        <v>72</v>
      </c>
      <c r="L365" t="s">
        <v>89</v>
      </c>
      <c r="M365" t="s">
        <v>90</v>
      </c>
      <c r="N365" t="s">
        <v>120</v>
      </c>
      <c r="O365" t="s">
        <v>121</v>
      </c>
      <c r="P365">
        <v>7.9000000000000001E-2</v>
      </c>
      <c r="Q365" t="s">
        <v>29</v>
      </c>
      <c r="R365" t="s">
        <v>30</v>
      </c>
    </row>
    <row r="366" spans="1:18" x14ac:dyDescent="0.25">
      <c r="A366">
        <v>2019</v>
      </c>
      <c r="B366">
        <v>4173</v>
      </c>
      <c r="C366" t="s">
        <v>1108</v>
      </c>
      <c r="D366" t="s">
        <v>263</v>
      </c>
      <c r="E366">
        <v>336110</v>
      </c>
      <c r="F366" t="s">
        <v>43</v>
      </c>
      <c r="G366" t="s">
        <v>44</v>
      </c>
      <c r="H366" t="s">
        <v>21</v>
      </c>
      <c r="I366" t="s">
        <v>55</v>
      </c>
      <c r="J366" t="s">
        <v>56</v>
      </c>
      <c r="K366" t="s">
        <v>57</v>
      </c>
      <c r="L366" t="s">
        <v>25</v>
      </c>
      <c r="M366" t="s">
        <v>26</v>
      </c>
      <c r="N366" t="s">
        <v>27</v>
      </c>
      <c r="O366" t="s">
        <v>28</v>
      </c>
      <c r="P366">
        <v>0.35</v>
      </c>
      <c r="Q366" t="s">
        <v>29</v>
      </c>
      <c r="R366" t="s">
        <v>30</v>
      </c>
    </row>
    <row r="367" spans="1:18" x14ac:dyDescent="0.25">
      <c r="A367">
        <v>2018</v>
      </c>
      <c r="B367">
        <v>8785</v>
      </c>
      <c r="C367" t="s">
        <v>1109</v>
      </c>
      <c r="D367" t="s">
        <v>1110</v>
      </c>
      <c r="E367">
        <v>212233</v>
      </c>
      <c r="F367" t="s">
        <v>1111</v>
      </c>
      <c r="G367" t="s">
        <v>441</v>
      </c>
      <c r="H367" t="s">
        <v>79</v>
      </c>
      <c r="I367" t="s">
        <v>35</v>
      </c>
      <c r="J367" t="s">
        <v>36</v>
      </c>
      <c r="K367" t="s">
        <v>37</v>
      </c>
      <c r="L367" t="s">
        <v>89</v>
      </c>
      <c r="M367" t="s">
        <v>90</v>
      </c>
      <c r="N367" t="s">
        <v>91</v>
      </c>
      <c r="O367" t="s">
        <v>92</v>
      </c>
      <c r="P367">
        <v>64.489999999999995</v>
      </c>
      <c r="Q367" t="s">
        <v>40</v>
      </c>
      <c r="R367" t="s">
        <v>124</v>
      </c>
    </row>
    <row r="368" spans="1:18" x14ac:dyDescent="0.25">
      <c r="A368">
        <v>2023</v>
      </c>
      <c r="B368">
        <v>29018</v>
      </c>
      <c r="C368" t="s">
        <v>1112</v>
      </c>
      <c r="D368" t="s">
        <v>1113</v>
      </c>
      <c r="E368">
        <v>211110</v>
      </c>
      <c r="F368" t="s">
        <v>233</v>
      </c>
      <c r="G368" t="s">
        <v>234</v>
      </c>
      <c r="H368" t="s">
        <v>69</v>
      </c>
      <c r="I368" t="s">
        <v>271</v>
      </c>
      <c r="J368" t="s">
        <v>272</v>
      </c>
      <c r="K368" t="s">
        <v>273</v>
      </c>
      <c r="L368" t="s">
        <v>89</v>
      </c>
      <c r="M368" t="s">
        <v>90</v>
      </c>
      <c r="N368" t="s">
        <v>91</v>
      </c>
      <c r="O368" t="s">
        <v>92</v>
      </c>
      <c r="P368">
        <v>1.78E-2</v>
      </c>
      <c r="Q368" t="s">
        <v>29</v>
      </c>
      <c r="R368" t="s">
        <v>30</v>
      </c>
    </row>
    <row r="369" spans="1:18" x14ac:dyDescent="0.25">
      <c r="A369">
        <v>1996</v>
      </c>
      <c r="B369">
        <v>3883</v>
      </c>
      <c r="C369" t="s">
        <v>608</v>
      </c>
      <c r="D369" t="s">
        <v>1114</v>
      </c>
      <c r="E369">
        <v>336110</v>
      </c>
      <c r="F369" t="s">
        <v>377</v>
      </c>
      <c r="G369" t="s">
        <v>44</v>
      </c>
      <c r="H369" t="s">
        <v>21</v>
      </c>
      <c r="I369" t="s">
        <v>520</v>
      </c>
      <c r="J369" t="s">
        <v>521</v>
      </c>
      <c r="K369" t="s">
        <v>522</v>
      </c>
      <c r="L369" t="s">
        <v>89</v>
      </c>
      <c r="M369" t="s">
        <v>90</v>
      </c>
      <c r="N369" t="s">
        <v>166</v>
      </c>
      <c r="O369" t="s">
        <v>167</v>
      </c>
      <c r="P369">
        <v>0.52</v>
      </c>
      <c r="Q369" t="s">
        <v>29</v>
      </c>
      <c r="R369" t="s">
        <v>30</v>
      </c>
    </row>
    <row r="370" spans="1:18" x14ac:dyDescent="0.25">
      <c r="A370">
        <v>2013</v>
      </c>
      <c r="B370">
        <v>4874</v>
      </c>
      <c r="C370" t="s">
        <v>1115</v>
      </c>
      <c r="D370" t="s">
        <v>1116</v>
      </c>
      <c r="E370">
        <v>325313</v>
      </c>
      <c r="F370" t="s">
        <v>1054</v>
      </c>
      <c r="G370" t="s">
        <v>1055</v>
      </c>
      <c r="H370" t="s">
        <v>85</v>
      </c>
      <c r="I370" t="s">
        <v>177</v>
      </c>
      <c r="J370" t="s">
        <v>178</v>
      </c>
      <c r="K370" t="s">
        <v>179</v>
      </c>
      <c r="L370" t="s">
        <v>89</v>
      </c>
      <c r="M370" t="s">
        <v>90</v>
      </c>
      <c r="N370" t="s">
        <v>100</v>
      </c>
      <c r="O370" t="s">
        <v>101</v>
      </c>
      <c r="P370">
        <v>2E-3</v>
      </c>
      <c r="Q370" t="s">
        <v>29</v>
      </c>
      <c r="R370" t="s">
        <v>124</v>
      </c>
    </row>
    <row r="371" spans="1:18" x14ac:dyDescent="0.25">
      <c r="A371">
        <v>2007</v>
      </c>
      <c r="B371">
        <v>5853</v>
      </c>
      <c r="C371" t="s">
        <v>1117</v>
      </c>
      <c r="D371" t="s">
        <v>1118</v>
      </c>
      <c r="E371">
        <v>562110</v>
      </c>
      <c r="F371" t="s">
        <v>67</v>
      </c>
      <c r="G371" t="s">
        <v>68</v>
      </c>
      <c r="H371" t="s">
        <v>21</v>
      </c>
      <c r="I371" t="s">
        <v>35</v>
      </c>
      <c r="J371" t="s">
        <v>36</v>
      </c>
      <c r="K371" t="s">
        <v>37</v>
      </c>
      <c r="L371" t="s">
        <v>25</v>
      </c>
      <c r="M371" t="s">
        <v>26</v>
      </c>
      <c r="N371" t="s">
        <v>73</v>
      </c>
      <c r="O371" t="s">
        <v>74</v>
      </c>
      <c r="P371">
        <v>228</v>
      </c>
      <c r="Q371" t="s">
        <v>40</v>
      </c>
      <c r="R371" t="s">
        <v>30</v>
      </c>
    </row>
    <row r="372" spans="1:18" x14ac:dyDescent="0.25">
      <c r="A372">
        <v>2015</v>
      </c>
      <c r="B372">
        <v>374</v>
      </c>
      <c r="C372" t="s">
        <v>1119</v>
      </c>
      <c r="D372" t="s">
        <v>1120</v>
      </c>
      <c r="E372">
        <v>325520</v>
      </c>
      <c r="F372" t="s">
        <v>1121</v>
      </c>
      <c r="G372" t="s">
        <v>1122</v>
      </c>
      <c r="H372" t="s">
        <v>21</v>
      </c>
      <c r="I372" t="s">
        <v>1123</v>
      </c>
      <c r="J372" t="s">
        <v>1124</v>
      </c>
      <c r="K372" t="s">
        <v>1125</v>
      </c>
      <c r="L372" t="s">
        <v>89</v>
      </c>
      <c r="M372" t="s">
        <v>90</v>
      </c>
      <c r="N372" t="s">
        <v>100</v>
      </c>
      <c r="O372" t="s">
        <v>101</v>
      </c>
      <c r="P372">
        <v>0.51880000000000004</v>
      </c>
      <c r="Q372" t="s">
        <v>29</v>
      </c>
      <c r="R372" t="s">
        <v>50</v>
      </c>
    </row>
    <row r="373" spans="1:18" x14ac:dyDescent="0.25">
      <c r="A373">
        <v>2013</v>
      </c>
      <c r="B373">
        <v>4948</v>
      </c>
      <c r="C373" t="s">
        <v>370</v>
      </c>
      <c r="D373" t="s">
        <v>1126</v>
      </c>
      <c r="E373">
        <v>562210</v>
      </c>
      <c r="F373" t="s">
        <v>84</v>
      </c>
      <c r="G373" t="s">
        <v>53</v>
      </c>
      <c r="H373" t="s">
        <v>21</v>
      </c>
      <c r="I373" t="s">
        <v>703</v>
      </c>
      <c r="J373" t="s">
        <v>1127</v>
      </c>
      <c r="K373" t="s">
        <v>1128</v>
      </c>
      <c r="L373" t="s">
        <v>89</v>
      </c>
      <c r="M373" t="s">
        <v>90</v>
      </c>
      <c r="N373" t="s">
        <v>166</v>
      </c>
      <c r="O373" t="s">
        <v>167</v>
      </c>
      <c r="P373">
        <v>2.3288000000000002</v>
      </c>
      <c r="Q373" t="s">
        <v>29</v>
      </c>
      <c r="R373" t="s">
        <v>157</v>
      </c>
    </row>
    <row r="374" spans="1:18" x14ac:dyDescent="0.25">
      <c r="A374">
        <v>2010</v>
      </c>
      <c r="B374">
        <v>3062</v>
      </c>
      <c r="C374" t="s">
        <v>1129</v>
      </c>
      <c r="D374" t="s">
        <v>1130</v>
      </c>
      <c r="E374">
        <v>331313</v>
      </c>
      <c r="F374" t="s">
        <v>1131</v>
      </c>
      <c r="G374" t="s">
        <v>1132</v>
      </c>
      <c r="H374" t="s">
        <v>79</v>
      </c>
      <c r="I374" t="s">
        <v>209</v>
      </c>
      <c r="J374" t="s">
        <v>210</v>
      </c>
      <c r="K374" t="s">
        <v>211</v>
      </c>
      <c r="L374" t="s">
        <v>25</v>
      </c>
      <c r="M374" t="s">
        <v>26</v>
      </c>
      <c r="N374" t="s">
        <v>38</v>
      </c>
      <c r="O374" t="s">
        <v>39</v>
      </c>
      <c r="P374">
        <v>0.62</v>
      </c>
      <c r="Q374" t="s">
        <v>29</v>
      </c>
      <c r="R374" t="s">
        <v>50</v>
      </c>
    </row>
    <row r="375" spans="1:18" x14ac:dyDescent="0.25">
      <c r="A375">
        <v>2002</v>
      </c>
      <c r="B375">
        <v>4650</v>
      </c>
      <c r="C375" t="s">
        <v>1133</v>
      </c>
      <c r="D375" t="s">
        <v>1134</v>
      </c>
      <c r="E375">
        <v>325999</v>
      </c>
      <c r="F375" t="s">
        <v>396</v>
      </c>
      <c r="G375" t="s">
        <v>397</v>
      </c>
      <c r="H375" t="s">
        <v>85</v>
      </c>
      <c r="I375" t="s">
        <v>184</v>
      </c>
      <c r="J375" t="s">
        <v>185</v>
      </c>
      <c r="K375" t="s">
        <v>186</v>
      </c>
      <c r="L375" t="s">
        <v>89</v>
      </c>
      <c r="M375" t="s">
        <v>90</v>
      </c>
      <c r="N375" t="s">
        <v>100</v>
      </c>
      <c r="O375" t="s">
        <v>101</v>
      </c>
      <c r="P375">
        <v>3.1E-2</v>
      </c>
      <c r="Q375" t="s">
        <v>29</v>
      </c>
      <c r="R375" t="s">
        <v>442</v>
      </c>
    </row>
    <row r="376" spans="1:18" x14ac:dyDescent="0.25">
      <c r="A376">
        <v>2022</v>
      </c>
      <c r="B376">
        <v>397</v>
      </c>
      <c r="C376" t="s">
        <v>41</v>
      </c>
      <c r="D376" t="s">
        <v>1135</v>
      </c>
      <c r="E376">
        <v>336110</v>
      </c>
      <c r="F376" t="s">
        <v>43</v>
      </c>
      <c r="G376" t="s">
        <v>44</v>
      </c>
      <c r="H376" t="s">
        <v>21</v>
      </c>
      <c r="I376" t="s">
        <v>129</v>
      </c>
      <c r="J376" t="s">
        <v>130</v>
      </c>
      <c r="K376" t="s">
        <v>131</v>
      </c>
      <c r="L376" t="s">
        <v>25</v>
      </c>
      <c r="M376" t="s">
        <v>26</v>
      </c>
      <c r="N376" t="s">
        <v>48</v>
      </c>
      <c r="O376" t="s">
        <v>49</v>
      </c>
      <c r="P376">
        <v>0.59799999999999998</v>
      </c>
      <c r="Q376" t="s">
        <v>29</v>
      </c>
      <c r="R376" t="s">
        <v>50</v>
      </c>
    </row>
    <row r="377" spans="1:18" x14ac:dyDescent="0.25">
      <c r="A377">
        <v>2005</v>
      </c>
      <c r="B377">
        <v>4768</v>
      </c>
      <c r="C377" t="s">
        <v>1136</v>
      </c>
      <c r="D377" t="s">
        <v>1137</v>
      </c>
      <c r="E377">
        <v>562210</v>
      </c>
      <c r="F377" t="s">
        <v>52</v>
      </c>
      <c r="G377" t="s">
        <v>53</v>
      </c>
      <c r="H377" t="s">
        <v>21</v>
      </c>
      <c r="I377" t="s">
        <v>152</v>
      </c>
      <c r="J377" t="s">
        <v>153</v>
      </c>
      <c r="K377" t="s">
        <v>154</v>
      </c>
      <c r="L377" t="s">
        <v>89</v>
      </c>
      <c r="M377" t="s">
        <v>90</v>
      </c>
      <c r="N377" t="s">
        <v>91</v>
      </c>
      <c r="O377" t="s">
        <v>92</v>
      </c>
      <c r="P377">
        <v>42.290999999999997</v>
      </c>
      <c r="Q377" t="s">
        <v>29</v>
      </c>
      <c r="R377" t="s">
        <v>30</v>
      </c>
    </row>
    <row r="378" spans="1:18" x14ac:dyDescent="0.25">
      <c r="A378">
        <v>2012</v>
      </c>
      <c r="B378">
        <v>5712</v>
      </c>
      <c r="C378" t="s">
        <v>1138</v>
      </c>
      <c r="D378" t="s">
        <v>1139</v>
      </c>
      <c r="E378">
        <v>332810</v>
      </c>
      <c r="F378" t="s">
        <v>361</v>
      </c>
      <c r="G378" t="s">
        <v>362</v>
      </c>
      <c r="H378" t="s">
        <v>21</v>
      </c>
      <c r="I378" t="s">
        <v>62</v>
      </c>
      <c r="J378" t="s">
        <v>63</v>
      </c>
      <c r="K378" t="s">
        <v>64</v>
      </c>
      <c r="L378" t="s">
        <v>25</v>
      </c>
      <c r="M378" t="s">
        <v>26</v>
      </c>
      <c r="N378" t="s">
        <v>38</v>
      </c>
      <c r="O378" t="s">
        <v>39</v>
      </c>
      <c r="P378">
        <v>6.2149999999999999</v>
      </c>
      <c r="Q378" t="s">
        <v>29</v>
      </c>
      <c r="R378" t="s">
        <v>50</v>
      </c>
    </row>
    <row r="379" spans="1:18" x14ac:dyDescent="0.25">
      <c r="A379">
        <v>2010</v>
      </c>
      <c r="B379">
        <v>21957</v>
      </c>
      <c r="C379" t="s">
        <v>1140</v>
      </c>
      <c r="D379" t="s">
        <v>1141</v>
      </c>
      <c r="E379">
        <v>325999</v>
      </c>
      <c r="F379" t="s">
        <v>396</v>
      </c>
      <c r="G379" t="s">
        <v>397</v>
      </c>
      <c r="H379" t="s">
        <v>85</v>
      </c>
      <c r="I379" t="s">
        <v>55</v>
      </c>
      <c r="J379" t="s">
        <v>56</v>
      </c>
      <c r="K379" t="s">
        <v>57</v>
      </c>
      <c r="L379" t="s">
        <v>25</v>
      </c>
      <c r="M379" t="s">
        <v>26</v>
      </c>
      <c r="N379" t="s">
        <v>48</v>
      </c>
      <c r="O379" t="s">
        <v>49</v>
      </c>
      <c r="P379">
        <v>17.085999999999999</v>
      </c>
      <c r="Q379" t="s">
        <v>29</v>
      </c>
      <c r="R379" t="s">
        <v>50</v>
      </c>
    </row>
    <row r="380" spans="1:18" x14ac:dyDescent="0.25">
      <c r="A380">
        <v>2009</v>
      </c>
      <c r="B380">
        <v>3279</v>
      </c>
      <c r="C380" t="s">
        <v>1142</v>
      </c>
      <c r="D380" t="s">
        <v>1142</v>
      </c>
      <c r="E380">
        <v>334410</v>
      </c>
      <c r="F380" t="s">
        <v>604</v>
      </c>
      <c r="G380" t="s">
        <v>605</v>
      </c>
      <c r="H380" t="s">
        <v>21</v>
      </c>
      <c r="I380" t="s">
        <v>35</v>
      </c>
      <c r="J380" t="s">
        <v>36</v>
      </c>
      <c r="K380" t="s">
        <v>37</v>
      </c>
      <c r="L380" t="s">
        <v>25</v>
      </c>
      <c r="M380" t="s">
        <v>26</v>
      </c>
      <c r="N380" t="s">
        <v>139</v>
      </c>
      <c r="O380" t="s">
        <v>140</v>
      </c>
      <c r="P380">
        <v>0</v>
      </c>
      <c r="Q380" t="s">
        <v>40</v>
      </c>
      <c r="R380" t="s">
        <v>30</v>
      </c>
    </row>
    <row r="381" spans="1:18" x14ac:dyDescent="0.25">
      <c r="A381">
        <v>2019</v>
      </c>
      <c r="B381">
        <v>1562</v>
      </c>
      <c r="C381" t="s">
        <v>744</v>
      </c>
      <c r="D381" t="s">
        <v>903</v>
      </c>
      <c r="E381">
        <v>325510</v>
      </c>
      <c r="F381" t="s">
        <v>111</v>
      </c>
      <c r="G381" t="s">
        <v>112</v>
      </c>
      <c r="H381" t="s">
        <v>21</v>
      </c>
      <c r="I381" t="s">
        <v>427</v>
      </c>
      <c r="J381" t="s">
        <v>428</v>
      </c>
      <c r="K381" t="s">
        <v>429</v>
      </c>
      <c r="L381" t="s">
        <v>25</v>
      </c>
      <c r="M381" t="s">
        <v>26</v>
      </c>
      <c r="N381" t="s">
        <v>48</v>
      </c>
      <c r="O381" t="s">
        <v>49</v>
      </c>
      <c r="P381">
        <v>1.21</v>
      </c>
      <c r="Q381" t="s">
        <v>29</v>
      </c>
      <c r="R381" t="s">
        <v>30</v>
      </c>
    </row>
    <row r="382" spans="1:18" x14ac:dyDescent="0.25">
      <c r="A382">
        <v>2011</v>
      </c>
      <c r="B382">
        <v>79</v>
      </c>
      <c r="C382" t="s">
        <v>1143</v>
      </c>
      <c r="D382" t="s">
        <v>1144</v>
      </c>
      <c r="E382">
        <v>325999</v>
      </c>
      <c r="F382" t="s">
        <v>396</v>
      </c>
      <c r="G382" t="s">
        <v>397</v>
      </c>
      <c r="H382" t="s">
        <v>85</v>
      </c>
      <c r="I382" t="s">
        <v>152</v>
      </c>
      <c r="J382" t="s">
        <v>153</v>
      </c>
      <c r="K382" t="s">
        <v>154</v>
      </c>
      <c r="L382" t="s">
        <v>89</v>
      </c>
      <c r="M382" t="s">
        <v>90</v>
      </c>
      <c r="N382" t="s">
        <v>166</v>
      </c>
      <c r="O382" t="s">
        <v>167</v>
      </c>
      <c r="P382">
        <v>0.11</v>
      </c>
      <c r="Q382" t="s">
        <v>29</v>
      </c>
      <c r="R382" t="s">
        <v>50</v>
      </c>
    </row>
    <row r="383" spans="1:18" x14ac:dyDescent="0.25">
      <c r="A383">
        <v>2014</v>
      </c>
      <c r="B383">
        <v>3564</v>
      </c>
      <c r="C383" t="s">
        <v>528</v>
      </c>
      <c r="D383" t="s">
        <v>529</v>
      </c>
      <c r="E383">
        <v>562920</v>
      </c>
      <c r="F383" t="s">
        <v>329</v>
      </c>
      <c r="G383" t="s">
        <v>330</v>
      </c>
      <c r="H383" t="s">
        <v>79</v>
      </c>
      <c r="I383" t="s">
        <v>271</v>
      </c>
      <c r="J383" t="s">
        <v>272</v>
      </c>
      <c r="K383" t="s">
        <v>273</v>
      </c>
      <c r="L383" t="s">
        <v>25</v>
      </c>
      <c r="M383" t="s">
        <v>26</v>
      </c>
      <c r="N383" t="s">
        <v>48</v>
      </c>
      <c r="O383" t="s">
        <v>49</v>
      </c>
      <c r="P383">
        <v>85.66</v>
      </c>
      <c r="Q383" t="s">
        <v>29</v>
      </c>
      <c r="R383" t="s">
        <v>258</v>
      </c>
    </row>
    <row r="384" spans="1:18" x14ac:dyDescent="0.25">
      <c r="A384">
        <v>2000</v>
      </c>
      <c r="B384">
        <v>3590</v>
      </c>
      <c r="C384" t="s">
        <v>1145</v>
      </c>
      <c r="D384" t="s">
        <v>1146</v>
      </c>
      <c r="E384">
        <v>325520</v>
      </c>
      <c r="F384" t="s">
        <v>1147</v>
      </c>
      <c r="G384" t="s">
        <v>1122</v>
      </c>
      <c r="H384" t="s">
        <v>21</v>
      </c>
      <c r="I384" t="s">
        <v>55</v>
      </c>
      <c r="J384" t="s">
        <v>56</v>
      </c>
      <c r="K384" t="s">
        <v>57</v>
      </c>
      <c r="L384" t="s">
        <v>89</v>
      </c>
      <c r="M384" t="s">
        <v>90</v>
      </c>
      <c r="N384" t="s">
        <v>166</v>
      </c>
      <c r="O384" t="s">
        <v>167</v>
      </c>
      <c r="P384">
        <v>0.40500000000000003</v>
      </c>
      <c r="Q384" t="s">
        <v>29</v>
      </c>
      <c r="R384" t="s">
        <v>50</v>
      </c>
    </row>
    <row r="385" spans="1:18" x14ac:dyDescent="0.25">
      <c r="A385">
        <v>2023</v>
      </c>
      <c r="B385">
        <v>405</v>
      </c>
      <c r="C385" t="s">
        <v>1148</v>
      </c>
      <c r="D385" t="s">
        <v>1149</v>
      </c>
      <c r="E385">
        <v>324110</v>
      </c>
      <c r="F385" t="s">
        <v>196</v>
      </c>
      <c r="G385" t="s">
        <v>96</v>
      </c>
      <c r="H385" t="s">
        <v>69</v>
      </c>
      <c r="I385" t="s">
        <v>1150</v>
      </c>
      <c r="J385" t="s">
        <v>1151</v>
      </c>
      <c r="K385" t="s">
        <v>1152</v>
      </c>
      <c r="L385" t="s">
        <v>25</v>
      </c>
      <c r="M385" t="s">
        <v>26</v>
      </c>
      <c r="N385" t="s">
        <v>200</v>
      </c>
      <c r="O385" t="s">
        <v>201</v>
      </c>
      <c r="P385">
        <v>64.228499999999997</v>
      </c>
      <c r="Q385" t="s">
        <v>29</v>
      </c>
      <c r="R385" t="s">
        <v>30</v>
      </c>
    </row>
    <row r="386" spans="1:18" x14ac:dyDescent="0.25">
      <c r="A386">
        <v>2004</v>
      </c>
      <c r="B386">
        <v>2712</v>
      </c>
      <c r="C386" t="s">
        <v>1153</v>
      </c>
      <c r="D386" t="s">
        <v>1154</v>
      </c>
      <c r="E386">
        <v>324110</v>
      </c>
      <c r="F386" t="s">
        <v>95</v>
      </c>
      <c r="G386" t="s">
        <v>96</v>
      </c>
      <c r="H386" t="s">
        <v>243</v>
      </c>
      <c r="I386" t="s">
        <v>271</v>
      </c>
      <c r="J386" t="s">
        <v>272</v>
      </c>
      <c r="K386" t="s">
        <v>273</v>
      </c>
      <c r="L386" t="s">
        <v>89</v>
      </c>
      <c r="M386" t="s">
        <v>90</v>
      </c>
      <c r="N386" t="s">
        <v>100</v>
      </c>
      <c r="O386" t="s">
        <v>101</v>
      </c>
      <c r="P386">
        <v>0.121</v>
      </c>
      <c r="Q386" t="s">
        <v>29</v>
      </c>
      <c r="R386" t="s">
        <v>124</v>
      </c>
    </row>
    <row r="387" spans="1:18" x14ac:dyDescent="0.25">
      <c r="A387">
        <v>2003</v>
      </c>
      <c r="B387">
        <v>4625</v>
      </c>
      <c r="C387" t="s">
        <v>1155</v>
      </c>
      <c r="D387" t="s">
        <v>1156</v>
      </c>
      <c r="E387">
        <v>336390</v>
      </c>
      <c r="F387" t="s">
        <v>60</v>
      </c>
      <c r="G387" t="s">
        <v>61</v>
      </c>
      <c r="H387" t="s">
        <v>21</v>
      </c>
      <c r="I387" t="s">
        <v>209</v>
      </c>
      <c r="J387" t="s">
        <v>210</v>
      </c>
      <c r="K387" t="s">
        <v>211</v>
      </c>
      <c r="L387" t="s">
        <v>25</v>
      </c>
      <c r="M387" t="s">
        <v>26</v>
      </c>
      <c r="N387" t="s">
        <v>595</v>
      </c>
      <c r="O387" t="s">
        <v>596</v>
      </c>
      <c r="P387">
        <v>0.97199999999999998</v>
      </c>
      <c r="Q387" t="s">
        <v>29</v>
      </c>
      <c r="R387" t="s">
        <v>50</v>
      </c>
    </row>
    <row r="388" spans="1:18" x14ac:dyDescent="0.25">
      <c r="A388">
        <v>2017</v>
      </c>
      <c r="B388">
        <v>10105</v>
      </c>
      <c r="C388" t="s">
        <v>1157</v>
      </c>
      <c r="D388" t="s">
        <v>1158</v>
      </c>
      <c r="E388">
        <v>336360</v>
      </c>
      <c r="F388" t="s">
        <v>1159</v>
      </c>
      <c r="G388" t="s">
        <v>1160</v>
      </c>
      <c r="H388" t="s">
        <v>21</v>
      </c>
      <c r="I388" t="s">
        <v>152</v>
      </c>
      <c r="J388" t="s">
        <v>153</v>
      </c>
      <c r="K388" t="s">
        <v>154</v>
      </c>
      <c r="L388" t="s">
        <v>25</v>
      </c>
      <c r="M388" t="s">
        <v>26</v>
      </c>
      <c r="N388" t="s">
        <v>38</v>
      </c>
      <c r="O388" t="s">
        <v>39</v>
      </c>
      <c r="P388">
        <v>8.0500000000000007</v>
      </c>
      <c r="Q388" t="s">
        <v>29</v>
      </c>
      <c r="R388" t="s">
        <v>50</v>
      </c>
    </row>
    <row r="389" spans="1:18" x14ac:dyDescent="0.25">
      <c r="A389">
        <v>2018</v>
      </c>
      <c r="B389">
        <v>10215</v>
      </c>
      <c r="C389" t="s">
        <v>125</v>
      </c>
      <c r="D389" t="s">
        <v>1161</v>
      </c>
      <c r="E389">
        <v>412110</v>
      </c>
      <c r="F389" t="s">
        <v>127</v>
      </c>
      <c r="G389" t="s">
        <v>128</v>
      </c>
      <c r="H389" t="s">
        <v>85</v>
      </c>
      <c r="I389" t="s">
        <v>70</v>
      </c>
      <c r="J389" t="s">
        <v>71</v>
      </c>
      <c r="K389" t="s">
        <v>72</v>
      </c>
      <c r="L389" t="s">
        <v>25</v>
      </c>
      <c r="M389" t="s">
        <v>26</v>
      </c>
      <c r="N389" t="s">
        <v>155</v>
      </c>
      <c r="O389" t="s">
        <v>156</v>
      </c>
      <c r="P389">
        <v>7.46E-2</v>
      </c>
      <c r="Q389" t="s">
        <v>29</v>
      </c>
      <c r="R389" t="s">
        <v>30</v>
      </c>
    </row>
    <row r="390" spans="1:18" x14ac:dyDescent="0.25">
      <c r="A390">
        <v>1993</v>
      </c>
      <c r="B390">
        <v>3928</v>
      </c>
      <c r="C390" t="s">
        <v>1162</v>
      </c>
      <c r="D390" t="s">
        <v>228</v>
      </c>
      <c r="E390">
        <v>324110</v>
      </c>
      <c r="F390" t="s">
        <v>95</v>
      </c>
      <c r="G390" t="s">
        <v>96</v>
      </c>
      <c r="H390" t="s">
        <v>79</v>
      </c>
      <c r="I390" t="s">
        <v>1163</v>
      </c>
      <c r="J390" t="s">
        <v>1164</v>
      </c>
      <c r="K390" t="s">
        <v>1165</v>
      </c>
      <c r="L390" t="s">
        <v>89</v>
      </c>
      <c r="M390" t="s">
        <v>90</v>
      </c>
      <c r="N390" t="s">
        <v>166</v>
      </c>
      <c r="O390" t="s">
        <v>167</v>
      </c>
      <c r="P390">
        <v>4.0000000000000001E-3</v>
      </c>
      <c r="Q390" t="s">
        <v>29</v>
      </c>
    </row>
    <row r="391" spans="1:18" x14ac:dyDescent="0.25">
      <c r="A391">
        <v>2009</v>
      </c>
      <c r="B391">
        <v>5455</v>
      </c>
      <c r="C391" t="s">
        <v>652</v>
      </c>
      <c r="D391" t="s">
        <v>652</v>
      </c>
      <c r="E391">
        <v>562990</v>
      </c>
      <c r="F391" t="s">
        <v>104</v>
      </c>
      <c r="G391" t="s">
        <v>105</v>
      </c>
      <c r="H391" t="s">
        <v>79</v>
      </c>
      <c r="I391" t="s">
        <v>331</v>
      </c>
      <c r="J391" t="s">
        <v>332</v>
      </c>
      <c r="K391" t="s">
        <v>333</v>
      </c>
      <c r="L391" t="s">
        <v>89</v>
      </c>
      <c r="M391" t="s">
        <v>90</v>
      </c>
      <c r="N391" t="s">
        <v>166</v>
      </c>
      <c r="O391" t="s">
        <v>167</v>
      </c>
      <c r="P391">
        <v>43.448</v>
      </c>
      <c r="Q391" t="s">
        <v>29</v>
      </c>
      <c r="R391" t="s">
        <v>50</v>
      </c>
    </row>
    <row r="392" spans="1:18" x14ac:dyDescent="0.25">
      <c r="A392">
        <v>2000</v>
      </c>
      <c r="B392">
        <v>5111</v>
      </c>
      <c r="C392" t="s">
        <v>1166</v>
      </c>
      <c r="D392" t="s">
        <v>1167</v>
      </c>
      <c r="E392">
        <v>562210</v>
      </c>
      <c r="F392" t="s">
        <v>52</v>
      </c>
      <c r="G392" t="s">
        <v>53</v>
      </c>
      <c r="H392" t="s">
        <v>69</v>
      </c>
      <c r="I392" t="s">
        <v>264</v>
      </c>
      <c r="J392" t="s">
        <v>265</v>
      </c>
      <c r="K392" t="s">
        <v>266</v>
      </c>
      <c r="L392" t="s">
        <v>89</v>
      </c>
      <c r="M392" t="s">
        <v>90</v>
      </c>
      <c r="N392" t="s">
        <v>166</v>
      </c>
      <c r="O392" t="s">
        <v>167</v>
      </c>
      <c r="P392">
        <v>5.5270000000000001</v>
      </c>
      <c r="Q392" t="s">
        <v>29</v>
      </c>
      <c r="R392" t="s">
        <v>442</v>
      </c>
    </row>
    <row r="393" spans="1:18" x14ac:dyDescent="0.25">
      <c r="A393">
        <v>2019</v>
      </c>
      <c r="B393">
        <v>26403</v>
      </c>
      <c r="C393" t="s">
        <v>1168</v>
      </c>
      <c r="D393" t="s">
        <v>1169</v>
      </c>
      <c r="E393">
        <v>211142</v>
      </c>
      <c r="F393" t="s">
        <v>357</v>
      </c>
      <c r="G393" t="s">
        <v>358</v>
      </c>
      <c r="H393" t="s">
        <v>85</v>
      </c>
      <c r="I393" t="s">
        <v>923</v>
      </c>
      <c r="J393" t="s">
        <v>924</v>
      </c>
      <c r="K393" t="s">
        <v>924</v>
      </c>
      <c r="L393" t="s">
        <v>89</v>
      </c>
      <c r="M393" t="s">
        <v>90</v>
      </c>
      <c r="N393" t="s">
        <v>166</v>
      </c>
      <c r="O393" t="s">
        <v>167</v>
      </c>
      <c r="P393">
        <v>0.44259999999999999</v>
      </c>
      <c r="Q393" t="s">
        <v>29</v>
      </c>
      <c r="R393" t="s">
        <v>30</v>
      </c>
    </row>
    <row r="394" spans="1:18" x14ac:dyDescent="0.25">
      <c r="A394">
        <v>2023</v>
      </c>
      <c r="B394">
        <v>3949</v>
      </c>
      <c r="C394" t="s">
        <v>1170</v>
      </c>
      <c r="D394" t="s">
        <v>1171</v>
      </c>
      <c r="E394">
        <v>336370</v>
      </c>
      <c r="F394" t="s">
        <v>1022</v>
      </c>
      <c r="G394" t="s">
        <v>587</v>
      </c>
      <c r="H394" t="s">
        <v>21</v>
      </c>
      <c r="I394" t="s">
        <v>209</v>
      </c>
      <c r="J394" t="s">
        <v>210</v>
      </c>
      <c r="K394" t="s">
        <v>211</v>
      </c>
      <c r="L394" t="s">
        <v>25</v>
      </c>
      <c r="M394" t="s">
        <v>26</v>
      </c>
      <c r="N394" t="s">
        <v>38</v>
      </c>
      <c r="O394" t="s">
        <v>39</v>
      </c>
      <c r="P394">
        <v>74.483099999999993</v>
      </c>
      <c r="Q394" t="s">
        <v>29</v>
      </c>
      <c r="R394" t="s">
        <v>50</v>
      </c>
    </row>
    <row r="395" spans="1:18" x14ac:dyDescent="0.25">
      <c r="A395">
        <v>2014</v>
      </c>
      <c r="B395">
        <v>4527</v>
      </c>
      <c r="C395" t="s">
        <v>1172</v>
      </c>
      <c r="D395" t="s">
        <v>1173</v>
      </c>
      <c r="E395">
        <v>332810</v>
      </c>
      <c r="F395" t="s">
        <v>361</v>
      </c>
      <c r="G395" t="s">
        <v>362</v>
      </c>
      <c r="H395" t="s">
        <v>21</v>
      </c>
      <c r="I395" t="s">
        <v>129</v>
      </c>
      <c r="J395" t="s">
        <v>130</v>
      </c>
      <c r="K395" t="s">
        <v>131</v>
      </c>
      <c r="L395" t="s">
        <v>25</v>
      </c>
      <c r="M395" t="s">
        <v>26</v>
      </c>
      <c r="N395" t="s">
        <v>48</v>
      </c>
      <c r="O395" t="s">
        <v>49</v>
      </c>
      <c r="P395">
        <v>1.7190000000000001</v>
      </c>
      <c r="Q395" t="s">
        <v>29</v>
      </c>
      <c r="R395" t="s">
        <v>50</v>
      </c>
    </row>
    <row r="396" spans="1:18" x14ac:dyDescent="0.25">
      <c r="A396">
        <v>2002</v>
      </c>
      <c r="B396">
        <v>2070</v>
      </c>
      <c r="C396" t="s">
        <v>701</v>
      </c>
      <c r="E396">
        <v>324190</v>
      </c>
      <c r="F396" t="s">
        <v>702</v>
      </c>
      <c r="G396" t="s">
        <v>667</v>
      </c>
      <c r="H396" t="s">
        <v>21</v>
      </c>
      <c r="I396" t="s">
        <v>1174</v>
      </c>
      <c r="J396" t="s">
        <v>1175</v>
      </c>
      <c r="K396" t="s">
        <v>1176</v>
      </c>
      <c r="L396" t="s">
        <v>89</v>
      </c>
      <c r="M396" t="s">
        <v>90</v>
      </c>
      <c r="N396" t="s">
        <v>120</v>
      </c>
      <c r="O396" t="s">
        <v>121</v>
      </c>
      <c r="P396">
        <v>1.2070000000000001</v>
      </c>
      <c r="Q396" t="s">
        <v>29</v>
      </c>
      <c r="R396" t="s">
        <v>30</v>
      </c>
    </row>
    <row r="397" spans="1:18" x14ac:dyDescent="0.25">
      <c r="A397">
        <v>2020</v>
      </c>
      <c r="B397">
        <v>29593</v>
      </c>
      <c r="C397" t="s">
        <v>1177</v>
      </c>
      <c r="D397" t="s">
        <v>1178</v>
      </c>
      <c r="E397">
        <v>339990</v>
      </c>
      <c r="F397" t="s">
        <v>1179</v>
      </c>
      <c r="G397" t="s">
        <v>872</v>
      </c>
      <c r="H397" t="s">
        <v>79</v>
      </c>
      <c r="I397" t="s">
        <v>1180</v>
      </c>
      <c r="J397" t="s">
        <v>1181</v>
      </c>
      <c r="K397" t="s">
        <v>1182</v>
      </c>
      <c r="L397" t="s">
        <v>89</v>
      </c>
      <c r="M397" t="s">
        <v>90</v>
      </c>
      <c r="N397" t="s">
        <v>100</v>
      </c>
      <c r="O397" t="s">
        <v>101</v>
      </c>
      <c r="P397">
        <v>0</v>
      </c>
      <c r="Q397" t="s">
        <v>29</v>
      </c>
      <c r="R397" t="s">
        <v>30</v>
      </c>
    </row>
    <row r="398" spans="1:18" x14ac:dyDescent="0.25">
      <c r="A398">
        <v>2022</v>
      </c>
      <c r="B398">
        <v>10229</v>
      </c>
      <c r="C398" t="s">
        <v>125</v>
      </c>
      <c r="D398" t="s">
        <v>1183</v>
      </c>
      <c r="E398">
        <v>412110</v>
      </c>
      <c r="F398" t="s">
        <v>589</v>
      </c>
      <c r="G398" t="s">
        <v>590</v>
      </c>
      <c r="H398" t="s">
        <v>21</v>
      </c>
      <c r="I398" t="s">
        <v>703</v>
      </c>
      <c r="J398" t="s">
        <v>1127</v>
      </c>
      <c r="K398" t="s">
        <v>1128</v>
      </c>
      <c r="L398" t="s">
        <v>89</v>
      </c>
      <c r="M398" t="s">
        <v>90</v>
      </c>
      <c r="N398" t="s">
        <v>120</v>
      </c>
      <c r="O398" t="s">
        <v>121</v>
      </c>
      <c r="P398">
        <v>6.9999999999999999E-4</v>
      </c>
      <c r="Q398" t="s">
        <v>29</v>
      </c>
      <c r="R398" t="s">
        <v>30</v>
      </c>
    </row>
    <row r="399" spans="1:18" x14ac:dyDescent="0.25">
      <c r="A399">
        <v>2006</v>
      </c>
      <c r="B399">
        <v>6797</v>
      </c>
      <c r="C399" t="s">
        <v>122</v>
      </c>
      <c r="D399" t="s">
        <v>1184</v>
      </c>
      <c r="E399">
        <v>562990</v>
      </c>
      <c r="F399" t="s">
        <v>104</v>
      </c>
      <c r="G399" t="s">
        <v>105</v>
      </c>
      <c r="H399" t="s">
        <v>85</v>
      </c>
      <c r="I399" t="s">
        <v>331</v>
      </c>
      <c r="J399" t="s">
        <v>332</v>
      </c>
      <c r="K399" t="s">
        <v>333</v>
      </c>
      <c r="L399" t="s">
        <v>25</v>
      </c>
      <c r="M399" t="s">
        <v>26</v>
      </c>
      <c r="N399" t="s">
        <v>48</v>
      </c>
      <c r="O399" t="s">
        <v>49</v>
      </c>
      <c r="P399">
        <v>1.879</v>
      </c>
      <c r="Q399" t="s">
        <v>29</v>
      </c>
      <c r="R399" t="s">
        <v>30</v>
      </c>
    </row>
    <row r="400" spans="1:18" x14ac:dyDescent="0.25">
      <c r="A400">
        <v>2003</v>
      </c>
      <c r="B400">
        <v>5753</v>
      </c>
      <c r="C400" t="s">
        <v>1185</v>
      </c>
      <c r="D400" t="s">
        <v>1186</v>
      </c>
      <c r="E400">
        <v>337214</v>
      </c>
      <c r="F400" t="s">
        <v>738</v>
      </c>
      <c r="G400" t="s">
        <v>1187</v>
      </c>
      <c r="H400" t="s">
        <v>21</v>
      </c>
      <c r="I400" t="s">
        <v>209</v>
      </c>
      <c r="J400" t="s">
        <v>210</v>
      </c>
      <c r="K400" t="s">
        <v>211</v>
      </c>
      <c r="L400" t="s">
        <v>25</v>
      </c>
      <c r="M400" t="s">
        <v>26</v>
      </c>
      <c r="N400" t="s">
        <v>38</v>
      </c>
      <c r="O400" t="s">
        <v>39</v>
      </c>
      <c r="P400">
        <v>20.879000000000001</v>
      </c>
      <c r="Q400" t="s">
        <v>29</v>
      </c>
      <c r="R400" t="s">
        <v>30</v>
      </c>
    </row>
    <row r="401" spans="1:18" x14ac:dyDescent="0.25">
      <c r="A401">
        <v>2020</v>
      </c>
      <c r="B401">
        <v>21548</v>
      </c>
      <c r="C401" t="s">
        <v>1043</v>
      </c>
      <c r="D401" t="s">
        <v>1188</v>
      </c>
      <c r="E401">
        <v>211141</v>
      </c>
      <c r="F401" t="s">
        <v>1189</v>
      </c>
      <c r="G401" t="s">
        <v>1190</v>
      </c>
      <c r="H401" t="s">
        <v>85</v>
      </c>
      <c r="I401" t="s">
        <v>923</v>
      </c>
      <c r="J401" t="s">
        <v>924</v>
      </c>
      <c r="K401" t="s">
        <v>924</v>
      </c>
      <c r="L401" t="s">
        <v>25</v>
      </c>
      <c r="M401" t="s">
        <v>26</v>
      </c>
      <c r="N401" t="s">
        <v>380</v>
      </c>
      <c r="O401" t="s">
        <v>381</v>
      </c>
      <c r="P401">
        <v>0</v>
      </c>
      <c r="Q401" t="s">
        <v>29</v>
      </c>
      <c r="R401" t="s">
        <v>30</v>
      </c>
    </row>
    <row r="402" spans="1:18" x14ac:dyDescent="0.25">
      <c r="A402">
        <v>2018</v>
      </c>
      <c r="B402">
        <v>5928</v>
      </c>
      <c r="C402" t="s">
        <v>642</v>
      </c>
      <c r="D402" t="s">
        <v>1191</v>
      </c>
      <c r="E402">
        <v>562110</v>
      </c>
      <c r="F402" t="s">
        <v>644</v>
      </c>
      <c r="G402" t="s">
        <v>645</v>
      </c>
      <c r="H402" t="s">
        <v>21</v>
      </c>
      <c r="I402" t="s">
        <v>461</v>
      </c>
      <c r="J402" t="s">
        <v>462</v>
      </c>
      <c r="K402" t="s">
        <v>463</v>
      </c>
      <c r="L402" t="s">
        <v>89</v>
      </c>
      <c r="M402" t="s">
        <v>90</v>
      </c>
      <c r="N402" t="s">
        <v>120</v>
      </c>
      <c r="O402" t="s">
        <v>121</v>
      </c>
      <c r="P402">
        <v>90.015500000000003</v>
      </c>
      <c r="Q402" t="s">
        <v>40</v>
      </c>
      <c r="R402" t="s">
        <v>50</v>
      </c>
    </row>
    <row r="403" spans="1:18" x14ac:dyDescent="0.25">
      <c r="A403">
        <v>2003</v>
      </c>
      <c r="B403">
        <v>126</v>
      </c>
      <c r="C403" t="s">
        <v>1192</v>
      </c>
      <c r="D403" t="s">
        <v>1193</v>
      </c>
      <c r="E403">
        <v>325110</v>
      </c>
      <c r="F403" t="s">
        <v>1194</v>
      </c>
      <c r="G403" t="s">
        <v>445</v>
      </c>
      <c r="H403" t="s">
        <v>85</v>
      </c>
      <c r="I403" t="s">
        <v>1123</v>
      </c>
      <c r="J403" t="s">
        <v>1124</v>
      </c>
      <c r="K403" t="s">
        <v>1125</v>
      </c>
      <c r="L403" t="s">
        <v>89</v>
      </c>
      <c r="M403" t="s">
        <v>90</v>
      </c>
      <c r="N403" t="s">
        <v>166</v>
      </c>
      <c r="O403" t="s">
        <v>167</v>
      </c>
      <c r="P403">
        <v>99.5</v>
      </c>
      <c r="Q403" t="s">
        <v>29</v>
      </c>
      <c r="R403" t="s">
        <v>50</v>
      </c>
    </row>
    <row r="404" spans="1:18" x14ac:dyDescent="0.25">
      <c r="A404">
        <v>2007</v>
      </c>
      <c r="B404">
        <v>5481</v>
      </c>
      <c r="C404" t="s">
        <v>1195</v>
      </c>
      <c r="D404" t="s">
        <v>1196</v>
      </c>
      <c r="E404">
        <v>336410</v>
      </c>
      <c r="F404" t="s">
        <v>260</v>
      </c>
      <c r="G404" t="s">
        <v>261</v>
      </c>
      <c r="H404" t="s">
        <v>79</v>
      </c>
      <c r="I404" t="s">
        <v>461</v>
      </c>
      <c r="J404" t="s">
        <v>462</v>
      </c>
      <c r="K404" t="s">
        <v>463</v>
      </c>
      <c r="L404" t="s">
        <v>89</v>
      </c>
      <c r="M404" t="s">
        <v>90</v>
      </c>
      <c r="N404" t="s">
        <v>91</v>
      </c>
      <c r="O404" t="s">
        <v>92</v>
      </c>
      <c r="P404">
        <v>615</v>
      </c>
      <c r="Q404" t="s">
        <v>40</v>
      </c>
      <c r="R404" t="s">
        <v>30</v>
      </c>
    </row>
    <row r="405" spans="1:18" x14ac:dyDescent="0.25">
      <c r="A405">
        <v>2003</v>
      </c>
      <c r="B405">
        <v>4537</v>
      </c>
      <c r="C405" t="s">
        <v>1197</v>
      </c>
      <c r="E405">
        <v>336370</v>
      </c>
      <c r="F405" t="s">
        <v>586</v>
      </c>
      <c r="G405" t="s">
        <v>587</v>
      </c>
      <c r="H405" t="s">
        <v>21</v>
      </c>
      <c r="I405" t="s">
        <v>177</v>
      </c>
      <c r="J405" t="s">
        <v>178</v>
      </c>
      <c r="K405" t="s">
        <v>179</v>
      </c>
      <c r="L405" t="s">
        <v>89</v>
      </c>
      <c r="M405" t="s">
        <v>90</v>
      </c>
      <c r="N405" t="s">
        <v>166</v>
      </c>
      <c r="O405" t="s">
        <v>167</v>
      </c>
      <c r="P405">
        <v>0</v>
      </c>
      <c r="Q405" t="s">
        <v>29</v>
      </c>
      <c r="R405" t="s">
        <v>258</v>
      </c>
    </row>
    <row r="406" spans="1:18" x14ac:dyDescent="0.25">
      <c r="A406">
        <v>2023</v>
      </c>
      <c r="B406">
        <v>3790</v>
      </c>
      <c r="C406" t="s">
        <v>276</v>
      </c>
      <c r="D406" t="s">
        <v>1198</v>
      </c>
      <c r="E406">
        <v>336110</v>
      </c>
      <c r="F406" t="s">
        <v>43</v>
      </c>
      <c r="G406" t="s">
        <v>44</v>
      </c>
      <c r="H406" t="s">
        <v>21</v>
      </c>
      <c r="I406" t="s">
        <v>152</v>
      </c>
      <c r="J406" t="s">
        <v>153</v>
      </c>
      <c r="K406" t="s">
        <v>154</v>
      </c>
      <c r="L406" t="s">
        <v>25</v>
      </c>
      <c r="M406" t="s">
        <v>26</v>
      </c>
      <c r="N406" t="s">
        <v>48</v>
      </c>
      <c r="O406" t="s">
        <v>49</v>
      </c>
      <c r="P406">
        <v>0.33300000000000002</v>
      </c>
      <c r="Q406" t="s">
        <v>29</v>
      </c>
      <c r="R406" t="s">
        <v>30</v>
      </c>
    </row>
    <row r="407" spans="1:18" x14ac:dyDescent="0.25">
      <c r="A407">
        <v>2005</v>
      </c>
      <c r="B407">
        <v>2776</v>
      </c>
      <c r="C407" t="s">
        <v>93</v>
      </c>
      <c r="D407" t="s">
        <v>1199</v>
      </c>
      <c r="E407">
        <v>324110</v>
      </c>
      <c r="F407" t="s">
        <v>95</v>
      </c>
      <c r="G407" t="s">
        <v>96</v>
      </c>
      <c r="H407" t="s">
        <v>69</v>
      </c>
      <c r="I407" t="s">
        <v>152</v>
      </c>
      <c r="J407" t="s">
        <v>153</v>
      </c>
      <c r="K407" t="s">
        <v>154</v>
      </c>
      <c r="L407" t="s">
        <v>89</v>
      </c>
      <c r="M407" t="s">
        <v>90</v>
      </c>
      <c r="N407" t="s">
        <v>120</v>
      </c>
      <c r="O407" t="s">
        <v>121</v>
      </c>
      <c r="P407">
        <v>1.21</v>
      </c>
      <c r="Q407" t="s">
        <v>29</v>
      </c>
      <c r="R407" t="s">
        <v>30</v>
      </c>
    </row>
    <row r="408" spans="1:18" x14ac:dyDescent="0.25">
      <c r="A408">
        <v>2003</v>
      </c>
      <c r="B408">
        <v>1562</v>
      </c>
      <c r="C408" t="s">
        <v>1200</v>
      </c>
      <c r="E408">
        <v>325510</v>
      </c>
      <c r="F408" t="s">
        <v>143</v>
      </c>
      <c r="G408" t="s">
        <v>112</v>
      </c>
      <c r="H408" t="s">
        <v>21</v>
      </c>
      <c r="I408" t="s">
        <v>520</v>
      </c>
      <c r="J408" t="s">
        <v>521</v>
      </c>
      <c r="K408" t="s">
        <v>522</v>
      </c>
      <c r="L408" t="s">
        <v>25</v>
      </c>
      <c r="M408" t="s">
        <v>26</v>
      </c>
      <c r="N408" t="s">
        <v>48</v>
      </c>
      <c r="O408" t="s">
        <v>49</v>
      </c>
      <c r="P408">
        <v>0.59</v>
      </c>
      <c r="Q408" t="s">
        <v>29</v>
      </c>
      <c r="R408" t="s">
        <v>157</v>
      </c>
    </row>
    <row r="409" spans="1:18" x14ac:dyDescent="0.25">
      <c r="A409">
        <v>2014</v>
      </c>
      <c r="B409">
        <v>1096</v>
      </c>
      <c r="C409" t="s">
        <v>484</v>
      </c>
      <c r="D409" t="s">
        <v>485</v>
      </c>
      <c r="E409">
        <v>418410</v>
      </c>
      <c r="F409" t="s">
        <v>433</v>
      </c>
      <c r="G409" t="s">
        <v>434</v>
      </c>
      <c r="H409" t="s">
        <v>21</v>
      </c>
      <c r="I409" t="s">
        <v>70</v>
      </c>
      <c r="J409" t="s">
        <v>71</v>
      </c>
      <c r="K409" t="s">
        <v>72</v>
      </c>
      <c r="L409" t="s">
        <v>25</v>
      </c>
      <c r="M409" t="s">
        <v>26</v>
      </c>
      <c r="N409" t="s">
        <v>155</v>
      </c>
      <c r="O409" t="s">
        <v>156</v>
      </c>
      <c r="P409">
        <v>5.3097000000000003</v>
      </c>
      <c r="Q409" t="s">
        <v>29</v>
      </c>
      <c r="R409" t="s">
        <v>30</v>
      </c>
    </row>
    <row r="410" spans="1:18" x14ac:dyDescent="0.25">
      <c r="A410">
        <v>2021</v>
      </c>
      <c r="B410">
        <v>29088</v>
      </c>
      <c r="C410" t="s">
        <v>1201</v>
      </c>
      <c r="D410" t="s">
        <v>1201</v>
      </c>
      <c r="E410">
        <v>331317</v>
      </c>
      <c r="F410" t="s">
        <v>768</v>
      </c>
      <c r="G410" t="s">
        <v>769</v>
      </c>
      <c r="H410" t="s">
        <v>79</v>
      </c>
      <c r="I410" t="s">
        <v>117</v>
      </c>
      <c r="J410" t="s">
        <v>118</v>
      </c>
      <c r="K410" t="s">
        <v>119</v>
      </c>
      <c r="L410" t="s">
        <v>25</v>
      </c>
      <c r="M410" t="s">
        <v>26</v>
      </c>
      <c r="N410" t="s">
        <v>38</v>
      </c>
      <c r="O410" t="s">
        <v>39</v>
      </c>
      <c r="P410">
        <v>482.1</v>
      </c>
      <c r="Q410" t="s">
        <v>29</v>
      </c>
      <c r="R410" t="s">
        <v>50</v>
      </c>
    </row>
    <row r="411" spans="1:18" x14ac:dyDescent="0.25">
      <c r="A411">
        <v>2019</v>
      </c>
      <c r="B411">
        <v>11576</v>
      </c>
      <c r="C411" t="s">
        <v>276</v>
      </c>
      <c r="D411" t="s">
        <v>1202</v>
      </c>
      <c r="E411">
        <v>336110</v>
      </c>
      <c r="F411" t="s">
        <v>43</v>
      </c>
      <c r="G411" t="s">
        <v>44</v>
      </c>
      <c r="H411" t="s">
        <v>21</v>
      </c>
      <c r="I411" t="s">
        <v>402</v>
      </c>
      <c r="J411" t="s">
        <v>403</v>
      </c>
      <c r="K411" t="s">
        <v>404</v>
      </c>
      <c r="L411" t="s">
        <v>25</v>
      </c>
      <c r="M411" t="s">
        <v>26</v>
      </c>
      <c r="N411" t="s">
        <v>48</v>
      </c>
      <c r="O411" t="s">
        <v>49</v>
      </c>
      <c r="P411">
        <v>7.0000000000000001E-3</v>
      </c>
      <c r="Q411" t="s">
        <v>29</v>
      </c>
      <c r="R411" t="s">
        <v>30</v>
      </c>
    </row>
    <row r="412" spans="1:18" x14ac:dyDescent="0.25">
      <c r="A412">
        <v>2015</v>
      </c>
      <c r="B412">
        <v>7161</v>
      </c>
      <c r="C412" t="s">
        <v>1203</v>
      </c>
      <c r="D412" t="s">
        <v>1204</v>
      </c>
      <c r="E412">
        <v>335930</v>
      </c>
      <c r="F412" t="s">
        <v>1205</v>
      </c>
      <c r="G412" t="s">
        <v>1206</v>
      </c>
      <c r="H412" t="s">
        <v>21</v>
      </c>
      <c r="I412" t="s">
        <v>35</v>
      </c>
      <c r="J412" t="s">
        <v>36</v>
      </c>
      <c r="K412" t="s">
        <v>37</v>
      </c>
      <c r="L412" t="s">
        <v>89</v>
      </c>
      <c r="M412" t="s">
        <v>90</v>
      </c>
      <c r="N412" t="s">
        <v>166</v>
      </c>
      <c r="O412" t="s">
        <v>167</v>
      </c>
      <c r="P412">
        <v>1.4079999999999999</v>
      </c>
      <c r="Q412" t="s">
        <v>40</v>
      </c>
      <c r="R412" t="s">
        <v>30</v>
      </c>
    </row>
    <row r="413" spans="1:18" x14ac:dyDescent="0.25">
      <c r="A413">
        <v>2014</v>
      </c>
      <c r="B413">
        <v>5965</v>
      </c>
      <c r="C413" t="s">
        <v>1207</v>
      </c>
      <c r="D413" t="s">
        <v>217</v>
      </c>
      <c r="E413">
        <v>325410</v>
      </c>
      <c r="F413" t="s">
        <v>1208</v>
      </c>
      <c r="G413" t="s">
        <v>219</v>
      </c>
      <c r="H413" t="s">
        <v>21</v>
      </c>
      <c r="I413" t="s">
        <v>55</v>
      </c>
      <c r="J413" t="s">
        <v>56</v>
      </c>
      <c r="K413" t="s">
        <v>57</v>
      </c>
      <c r="L413" t="s">
        <v>89</v>
      </c>
      <c r="M413" t="s">
        <v>90</v>
      </c>
      <c r="N413" t="s">
        <v>166</v>
      </c>
      <c r="O413" t="s">
        <v>167</v>
      </c>
      <c r="P413">
        <v>523.70000000000005</v>
      </c>
      <c r="Q413" t="s">
        <v>29</v>
      </c>
      <c r="R413" t="s">
        <v>50</v>
      </c>
    </row>
    <row r="414" spans="1:18" x14ac:dyDescent="0.25">
      <c r="A414">
        <v>1998</v>
      </c>
      <c r="B414">
        <v>4173</v>
      </c>
      <c r="C414" t="s">
        <v>1209</v>
      </c>
      <c r="D414" t="s">
        <v>386</v>
      </c>
      <c r="E414">
        <v>336110</v>
      </c>
      <c r="F414" t="s">
        <v>377</v>
      </c>
      <c r="G414" t="s">
        <v>44</v>
      </c>
      <c r="H414" t="s">
        <v>21</v>
      </c>
      <c r="I414" t="s">
        <v>152</v>
      </c>
      <c r="J414" t="s">
        <v>153</v>
      </c>
      <c r="K414" t="s">
        <v>154</v>
      </c>
      <c r="L414" t="s">
        <v>89</v>
      </c>
      <c r="M414" t="s">
        <v>90</v>
      </c>
      <c r="N414" t="s">
        <v>91</v>
      </c>
      <c r="O414" t="s">
        <v>92</v>
      </c>
      <c r="P414">
        <v>6.7000000000000004E-2</v>
      </c>
      <c r="Q414" t="s">
        <v>29</v>
      </c>
      <c r="R414" t="s">
        <v>30</v>
      </c>
    </row>
    <row r="415" spans="1:18" x14ac:dyDescent="0.25">
      <c r="A415">
        <v>2016</v>
      </c>
      <c r="B415">
        <v>4609</v>
      </c>
      <c r="C415" t="s">
        <v>1210</v>
      </c>
      <c r="D415" t="s">
        <v>1211</v>
      </c>
      <c r="E415">
        <v>321114</v>
      </c>
      <c r="F415" t="s">
        <v>1212</v>
      </c>
      <c r="G415" t="s">
        <v>366</v>
      </c>
      <c r="H415" t="s">
        <v>483</v>
      </c>
      <c r="I415" t="s">
        <v>244</v>
      </c>
      <c r="J415" t="s">
        <v>245</v>
      </c>
      <c r="K415" t="s">
        <v>246</v>
      </c>
      <c r="L415" t="s">
        <v>89</v>
      </c>
      <c r="M415" t="s">
        <v>90</v>
      </c>
      <c r="N415" t="s">
        <v>166</v>
      </c>
      <c r="O415" t="s">
        <v>167</v>
      </c>
      <c r="P415">
        <v>268.202</v>
      </c>
      <c r="Q415" t="s">
        <v>40</v>
      </c>
      <c r="R415" t="s">
        <v>430</v>
      </c>
    </row>
    <row r="416" spans="1:18" x14ac:dyDescent="0.25">
      <c r="A416">
        <v>2004</v>
      </c>
      <c r="B416">
        <v>1562</v>
      </c>
      <c r="C416" t="s">
        <v>1213</v>
      </c>
      <c r="D416" t="s">
        <v>1213</v>
      </c>
      <c r="E416">
        <v>325510</v>
      </c>
      <c r="F416" t="s">
        <v>143</v>
      </c>
      <c r="G416" t="s">
        <v>112</v>
      </c>
      <c r="H416" t="s">
        <v>21</v>
      </c>
      <c r="I416" t="s">
        <v>520</v>
      </c>
      <c r="J416" t="s">
        <v>521</v>
      </c>
      <c r="K416" t="s">
        <v>522</v>
      </c>
      <c r="L416" t="s">
        <v>25</v>
      </c>
      <c r="M416" t="s">
        <v>26</v>
      </c>
      <c r="N416" t="s">
        <v>48</v>
      </c>
      <c r="O416" t="s">
        <v>49</v>
      </c>
      <c r="P416">
        <v>0.67</v>
      </c>
      <c r="Q416" t="s">
        <v>29</v>
      </c>
      <c r="R416" t="s">
        <v>157</v>
      </c>
    </row>
    <row r="417" spans="1:18" x14ac:dyDescent="0.25">
      <c r="A417">
        <v>2013</v>
      </c>
      <c r="B417">
        <v>20197</v>
      </c>
      <c r="C417" t="s">
        <v>65</v>
      </c>
      <c r="D417" t="s">
        <v>1214</v>
      </c>
      <c r="E417">
        <v>562210</v>
      </c>
      <c r="F417" t="s">
        <v>84</v>
      </c>
      <c r="G417" t="s">
        <v>53</v>
      </c>
      <c r="H417" t="s">
        <v>69</v>
      </c>
      <c r="I417" t="s">
        <v>271</v>
      </c>
      <c r="J417" t="s">
        <v>272</v>
      </c>
      <c r="K417" t="s">
        <v>273</v>
      </c>
      <c r="L417" t="s">
        <v>25</v>
      </c>
      <c r="M417" t="s">
        <v>26</v>
      </c>
      <c r="N417" t="s">
        <v>73</v>
      </c>
      <c r="O417" t="s">
        <v>74</v>
      </c>
      <c r="P417">
        <v>66.45</v>
      </c>
      <c r="Q417" t="s">
        <v>29</v>
      </c>
      <c r="R417" t="s">
        <v>50</v>
      </c>
    </row>
    <row r="418" spans="1:18" x14ac:dyDescent="0.25">
      <c r="A418">
        <v>2016</v>
      </c>
      <c r="B418">
        <v>10286</v>
      </c>
      <c r="C418" t="s">
        <v>1215</v>
      </c>
      <c r="D418" t="s">
        <v>1215</v>
      </c>
      <c r="E418">
        <v>333310</v>
      </c>
      <c r="F418" t="s">
        <v>1216</v>
      </c>
      <c r="G418" t="s">
        <v>1217</v>
      </c>
      <c r="H418" t="s">
        <v>21</v>
      </c>
      <c r="I418" t="s">
        <v>136</v>
      </c>
      <c r="J418" t="s">
        <v>137</v>
      </c>
      <c r="K418" t="s">
        <v>138</v>
      </c>
      <c r="L418" t="s">
        <v>25</v>
      </c>
      <c r="M418" t="s">
        <v>26</v>
      </c>
      <c r="N418" t="s">
        <v>38</v>
      </c>
      <c r="O418" t="s">
        <v>39</v>
      </c>
      <c r="P418">
        <v>8.8729999999999993</v>
      </c>
      <c r="Q418" t="s">
        <v>29</v>
      </c>
      <c r="R418" t="s">
        <v>30</v>
      </c>
    </row>
    <row r="419" spans="1:18" x14ac:dyDescent="0.25">
      <c r="A419">
        <v>1993</v>
      </c>
      <c r="B419">
        <v>2773</v>
      </c>
      <c r="C419" t="s">
        <v>1218</v>
      </c>
      <c r="D419" t="s">
        <v>1219</v>
      </c>
      <c r="E419">
        <v>325510</v>
      </c>
      <c r="F419" t="s">
        <v>143</v>
      </c>
      <c r="G419" t="s">
        <v>112</v>
      </c>
      <c r="H419" t="s">
        <v>79</v>
      </c>
      <c r="I419" t="s">
        <v>271</v>
      </c>
      <c r="J419" t="s">
        <v>387</v>
      </c>
      <c r="K419" t="s">
        <v>388</v>
      </c>
      <c r="L419" t="s">
        <v>89</v>
      </c>
      <c r="M419" t="s">
        <v>90</v>
      </c>
      <c r="N419" t="s">
        <v>166</v>
      </c>
      <c r="O419" t="s">
        <v>167</v>
      </c>
      <c r="P419">
        <v>2.5000000000000001E-2</v>
      </c>
      <c r="Q419" t="s">
        <v>29</v>
      </c>
    </row>
    <row r="420" spans="1:18" x14ac:dyDescent="0.25">
      <c r="A420">
        <v>2013</v>
      </c>
      <c r="B420">
        <v>1464</v>
      </c>
      <c r="C420" t="s">
        <v>194</v>
      </c>
      <c r="D420" t="s">
        <v>443</v>
      </c>
      <c r="E420">
        <v>325110</v>
      </c>
      <c r="F420" t="s">
        <v>444</v>
      </c>
      <c r="G420" t="s">
        <v>445</v>
      </c>
      <c r="H420" t="s">
        <v>21</v>
      </c>
      <c r="I420" t="s">
        <v>837</v>
      </c>
      <c r="J420" t="s">
        <v>838</v>
      </c>
      <c r="K420" t="s">
        <v>839</v>
      </c>
      <c r="L420" t="s">
        <v>89</v>
      </c>
      <c r="M420" t="s">
        <v>90</v>
      </c>
      <c r="N420" t="s">
        <v>166</v>
      </c>
      <c r="O420" t="s">
        <v>167</v>
      </c>
      <c r="P420">
        <v>3.0999999999999999E-3</v>
      </c>
      <c r="Q420" t="s">
        <v>40</v>
      </c>
      <c r="R420" t="s">
        <v>124</v>
      </c>
    </row>
    <row r="421" spans="1:18" x14ac:dyDescent="0.25">
      <c r="A421">
        <v>2006</v>
      </c>
      <c r="B421">
        <v>11360</v>
      </c>
      <c r="C421" t="s">
        <v>1220</v>
      </c>
      <c r="D421" t="s">
        <v>1221</v>
      </c>
      <c r="E421">
        <v>326290</v>
      </c>
      <c r="F421" t="s">
        <v>451</v>
      </c>
      <c r="G421" t="s">
        <v>452</v>
      </c>
      <c r="H421" t="s">
        <v>21</v>
      </c>
      <c r="I421" t="s">
        <v>45</v>
      </c>
      <c r="J421" t="s">
        <v>46</v>
      </c>
      <c r="K421" t="s">
        <v>47</v>
      </c>
      <c r="L421" t="s">
        <v>89</v>
      </c>
      <c r="M421" t="s">
        <v>90</v>
      </c>
      <c r="N421" t="s">
        <v>166</v>
      </c>
      <c r="O421" t="s">
        <v>167</v>
      </c>
      <c r="P421">
        <v>1.7529999999999999</v>
      </c>
      <c r="Q421" t="s">
        <v>29</v>
      </c>
      <c r="R421" t="s">
        <v>50</v>
      </c>
    </row>
    <row r="422" spans="1:18" x14ac:dyDescent="0.25">
      <c r="A422">
        <v>2016</v>
      </c>
      <c r="B422">
        <v>10228</v>
      </c>
      <c r="C422" t="s">
        <v>125</v>
      </c>
      <c r="D422" t="s">
        <v>1222</v>
      </c>
      <c r="E422">
        <v>412110</v>
      </c>
      <c r="F422" t="s">
        <v>127</v>
      </c>
      <c r="G422" t="s">
        <v>128</v>
      </c>
      <c r="H422" t="s">
        <v>243</v>
      </c>
      <c r="I422" t="s">
        <v>1050</v>
      </c>
      <c r="J422" t="s">
        <v>1051</v>
      </c>
      <c r="K422" t="s">
        <v>1052</v>
      </c>
      <c r="L422" t="s">
        <v>25</v>
      </c>
      <c r="M422" t="s">
        <v>26</v>
      </c>
      <c r="N422" t="s">
        <v>380</v>
      </c>
      <c r="O422" t="s">
        <v>381</v>
      </c>
      <c r="P422">
        <v>473.47890000000001</v>
      </c>
      <c r="Q422" t="s">
        <v>40</v>
      </c>
      <c r="R422" t="s">
        <v>30</v>
      </c>
    </row>
    <row r="423" spans="1:18" x14ac:dyDescent="0.25">
      <c r="A423">
        <v>2023</v>
      </c>
      <c r="B423">
        <v>3713</v>
      </c>
      <c r="C423" t="s">
        <v>1223</v>
      </c>
      <c r="D423" t="s">
        <v>1224</v>
      </c>
      <c r="E423">
        <v>331110</v>
      </c>
      <c r="F423" t="s">
        <v>627</v>
      </c>
      <c r="G423" t="s">
        <v>336</v>
      </c>
      <c r="H423" t="s">
        <v>21</v>
      </c>
      <c r="I423" t="s">
        <v>62</v>
      </c>
      <c r="J423" t="s">
        <v>63</v>
      </c>
      <c r="K423" t="s">
        <v>64</v>
      </c>
      <c r="L423" t="s">
        <v>25</v>
      </c>
      <c r="M423" t="s">
        <v>26</v>
      </c>
      <c r="N423" t="s">
        <v>155</v>
      </c>
      <c r="O423" t="s">
        <v>156</v>
      </c>
      <c r="P423">
        <v>2.6243949999999998</v>
      </c>
      <c r="Q423" t="s">
        <v>29</v>
      </c>
      <c r="R423" t="s">
        <v>50</v>
      </c>
    </row>
    <row r="424" spans="1:18" x14ac:dyDescent="0.25">
      <c r="A424">
        <v>2009</v>
      </c>
      <c r="B424">
        <v>1953</v>
      </c>
      <c r="C424" t="s">
        <v>305</v>
      </c>
      <c r="D424" t="s">
        <v>1056</v>
      </c>
      <c r="E424">
        <v>325510</v>
      </c>
      <c r="F424" t="s">
        <v>143</v>
      </c>
      <c r="G424" t="s">
        <v>112</v>
      </c>
      <c r="H424" t="s">
        <v>21</v>
      </c>
      <c r="I424" t="s">
        <v>778</v>
      </c>
      <c r="J424" t="s">
        <v>779</v>
      </c>
      <c r="K424" t="s">
        <v>780</v>
      </c>
      <c r="L424" t="s">
        <v>25</v>
      </c>
      <c r="M424" t="s">
        <v>26</v>
      </c>
      <c r="N424" t="s">
        <v>48</v>
      </c>
      <c r="O424" t="s">
        <v>49</v>
      </c>
      <c r="P424">
        <v>0</v>
      </c>
      <c r="Q424" t="s">
        <v>29</v>
      </c>
      <c r="R424" t="s">
        <v>30</v>
      </c>
    </row>
    <row r="425" spans="1:18" x14ac:dyDescent="0.25">
      <c r="A425">
        <v>2019</v>
      </c>
      <c r="B425">
        <v>10238</v>
      </c>
      <c r="C425" t="s">
        <v>125</v>
      </c>
      <c r="D425" t="s">
        <v>126</v>
      </c>
      <c r="E425">
        <v>412110</v>
      </c>
      <c r="F425" t="s">
        <v>127</v>
      </c>
      <c r="G425" t="s">
        <v>128</v>
      </c>
      <c r="H425" t="s">
        <v>69</v>
      </c>
      <c r="I425" t="s">
        <v>348</v>
      </c>
      <c r="J425" t="s">
        <v>349</v>
      </c>
      <c r="K425" t="s">
        <v>350</v>
      </c>
      <c r="L425" t="s">
        <v>25</v>
      </c>
      <c r="M425" t="s">
        <v>26</v>
      </c>
      <c r="N425" t="s">
        <v>380</v>
      </c>
      <c r="O425" t="s">
        <v>381</v>
      </c>
      <c r="P425">
        <v>26.130299999999998</v>
      </c>
      <c r="Q425" t="s">
        <v>29</v>
      </c>
      <c r="R425" t="s">
        <v>30</v>
      </c>
    </row>
    <row r="426" spans="1:18" x14ac:dyDescent="0.25">
      <c r="A426">
        <v>2006</v>
      </c>
      <c r="B426">
        <v>4781</v>
      </c>
      <c r="C426" t="s">
        <v>375</v>
      </c>
      <c r="D426" t="s">
        <v>774</v>
      </c>
      <c r="E426">
        <v>336310</v>
      </c>
      <c r="F426" t="s">
        <v>775</v>
      </c>
      <c r="G426" t="s">
        <v>776</v>
      </c>
      <c r="H426" t="s">
        <v>21</v>
      </c>
      <c r="I426" t="s">
        <v>35</v>
      </c>
      <c r="J426" t="s">
        <v>36</v>
      </c>
      <c r="K426" t="s">
        <v>37</v>
      </c>
      <c r="L426" t="s">
        <v>25</v>
      </c>
      <c r="M426" t="s">
        <v>26</v>
      </c>
      <c r="N426" t="s">
        <v>38</v>
      </c>
      <c r="O426" t="s">
        <v>39</v>
      </c>
      <c r="P426">
        <v>3378.2</v>
      </c>
      <c r="Q426" t="s">
        <v>40</v>
      </c>
      <c r="R426" t="s">
        <v>50</v>
      </c>
    </row>
    <row r="427" spans="1:18" x14ac:dyDescent="0.25">
      <c r="A427">
        <v>1999</v>
      </c>
      <c r="B427">
        <v>3146</v>
      </c>
      <c r="C427" t="s">
        <v>1225</v>
      </c>
      <c r="D427" t="s">
        <v>1226</v>
      </c>
      <c r="E427">
        <v>325190</v>
      </c>
      <c r="F427" t="s">
        <v>832</v>
      </c>
      <c r="G427" t="s">
        <v>601</v>
      </c>
      <c r="H427" t="s">
        <v>21</v>
      </c>
      <c r="I427" t="s">
        <v>348</v>
      </c>
      <c r="J427" t="s">
        <v>349</v>
      </c>
      <c r="K427" t="s">
        <v>350</v>
      </c>
      <c r="L427" t="s">
        <v>89</v>
      </c>
      <c r="M427" t="s">
        <v>90</v>
      </c>
      <c r="N427" t="s">
        <v>166</v>
      </c>
      <c r="O427" t="s">
        <v>167</v>
      </c>
      <c r="P427">
        <v>12.151999999999999</v>
      </c>
      <c r="Q427" t="s">
        <v>29</v>
      </c>
      <c r="R427" t="s">
        <v>50</v>
      </c>
    </row>
    <row r="428" spans="1:18" x14ac:dyDescent="0.25">
      <c r="A428">
        <v>2013</v>
      </c>
      <c r="B428">
        <v>5438</v>
      </c>
      <c r="C428" t="s">
        <v>1227</v>
      </c>
      <c r="D428" t="s">
        <v>583</v>
      </c>
      <c r="E428">
        <v>325620</v>
      </c>
      <c r="F428" t="s">
        <v>1228</v>
      </c>
      <c r="G428" t="s">
        <v>1229</v>
      </c>
      <c r="H428" t="s">
        <v>79</v>
      </c>
      <c r="I428" t="s">
        <v>504</v>
      </c>
      <c r="J428" t="s">
        <v>505</v>
      </c>
      <c r="K428" t="s">
        <v>506</v>
      </c>
      <c r="L428" t="s">
        <v>89</v>
      </c>
      <c r="M428" t="s">
        <v>90</v>
      </c>
      <c r="N428" t="s">
        <v>166</v>
      </c>
      <c r="O428" t="s">
        <v>167</v>
      </c>
      <c r="P428">
        <v>0.88400000000000001</v>
      </c>
      <c r="Q428" t="s">
        <v>29</v>
      </c>
      <c r="R428" t="s">
        <v>50</v>
      </c>
    </row>
    <row r="429" spans="1:18" x14ac:dyDescent="0.25">
      <c r="A429">
        <v>2022</v>
      </c>
      <c r="B429">
        <v>3713</v>
      </c>
      <c r="C429" t="s">
        <v>1223</v>
      </c>
      <c r="D429" t="s">
        <v>1224</v>
      </c>
      <c r="E429">
        <v>331110</v>
      </c>
      <c r="F429" t="s">
        <v>627</v>
      </c>
      <c r="G429" t="s">
        <v>336</v>
      </c>
      <c r="H429" t="s">
        <v>21</v>
      </c>
      <c r="I429" t="s">
        <v>70</v>
      </c>
      <c r="J429" t="s">
        <v>71</v>
      </c>
      <c r="K429" t="s">
        <v>72</v>
      </c>
      <c r="L429" t="s">
        <v>89</v>
      </c>
      <c r="M429" t="s">
        <v>90</v>
      </c>
      <c r="N429" t="s">
        <v>91</v>
      </c>
      <c r="O429" t="s">
        <v>92</v>
      </c>
      <c r="P429">
        <v>3.1999999999999999E-5</v>
      </c>
      <c r="Q429" t="s">
        <v>29</v>
      </c>
      <c r="R429" t="s">
        <v>50</v>
      </c>
    </row>
    <row r="430" spans="1:18" x14ac:dyDescent="0.25">
      <c r="A430">
        <v>2004</v>
      </c>
      <c r="B430">
        <v>442</v>
      </c>
      <c r="C430" t="s">
        <v>125</v>
      </c>
      <c r="D430" t="s">
        <v>1230</v>
      </c>
      <c r="E430">
        <v>211114</v>
      </c>
      <c r="F430" t="s">
        <v>835</v>
      </c>
      <c r="G430" t="s">
        <v>836</v>
      </c>
      <c r="H430" t="s">
        <v>85</v>
      </c>
      <c r="I430" t="s">
        <v>348</v>
      </c>
      <c r="J430" t="s">
        <v>349</v>
      </c>
      <c r="K430" t="s">
        <v>350</v>
      </c>
      <c r="L430" t="s">
        <v>89</v>
      </c>
      <c r="M430" t="s">
        <v>90</v>
      </c>
      <c r="N430" t="s">
        <v>166</v>
      </c>
      <c r="O430" t="s">
        <v>167</v>
      </c>
      <c r="P430">
        <v>1.7000000000000001E-2</v>
      </c>
      <c r="Q430" t="s">
        <v>29</v>
      </c>
      <c r="R430" t="s">
        <v>30</v>
      </c>
    </row>
    <row r="431" spans="1:18" x14ac:dyDescent="0.25">
      <c r="A431">
        <v>2008</v>
      </c>
      <c r="B431">
        <v>3476</v>
      </c>
      <c r="C431" t="s">
        <v>1231</v>
      </c>
      <c r="D431" t="s">
        <v>1104</v>
      </c>
      <c r="E431">
        <v>336110</v>
      </c>
      <c r="F431" t="s">
        <v>377</v>
      </c>
      <c r="G431" t="s">
        <v>44</v>
      </c>
      <c r="H431" t="s">
        <v>21</v>
      </c>
      <c r="I431" t="s">
        <v>402</v>
      </c>
      <c r="J431" t="s">
        <v>403</v>
      </c>
      <c r="K431" t="s">
        <v>404</v>
      </c>
      <c r="L431" t="s">
        <v>89</v>
      </c>
      <c r="M431" t="s">
        <v>90</v>
      </c>
      <c r="N431" t="s">
        <v>100</v>
      </c>
      <c r="O431" t="s">
        <v>101</v>
      </c>
      <c r="P431">
        <v>28.774000000000001</v>
      </c>
      <c r="Q431" t="s">
        <v>29</v>
      </c>
      <c r="R431" t="s">
        <v>30</v>
      </c>
    </row>
    <row r="432" spans="1:18" x14ac:dyDescent="0.25">
      <c r="A432">
        <v>2008</v>
      </c>
      <c r="B432">
        <v>5927</v>
      </c>
      <c r="C432" t="s">
        <v>1232</v>
      </c>
      <c r="D432" t="s">
        <v>741</v>
      </c>
      <c r="E432">
        <v>332999</v>
      </c>
      <c r="F432" t="s">
        <v>309</v>
      </c>
      <c r="G432" t="s">
        <v>304</v>
      </c>
      <c r="H432" t="s">
        <v>21</v>
      </c>
      <c r="I432" t="s">
        <v>337</v>
      </c>
      <c r="J432" t="s">
        <v>338</v>
      </c>
      <c r="K432" t="s">
        <v>339</v>
      </c>
      <c r="L432" t="s">
        <v>25</v>
      </c>
      <c r="M432" t="s">
        <v>26</v>
      </c>
      <c r="N432" t="s">
        <v>288</v>
      </c>
      <c r="O432" t="s">
        <v>289</v>
      </c>
      <c r="P432">
        <v>18.873999999999999</v>
      </c>
      <c r="Q432" t="s">
        <v>29</v>
      </c>
      <c r="R432" t="s">
        <v>30</v>
      </c>
    </row>
    <row r="433" spans="1:18" x14ac:dyDescent="0.25">
      <c r="A433">
        <v>2014</v>
      </c>
      <c r="B433">
        <v>3916</v>
      </c>
      <c r="C433" t="s">
        <v>1109</v>
      </c>
      <c r="D433" t="s">
        <v>1233</v>
      </c>
      <c r="E433">
        <v>331410</v>
      </c>
      <c r="F433" t="s">
        <v>1234</v>
      </c>
      <c r="G433" t="s">
        <v>1235</v>
      </c>
      <c r="H433" t="s">
        <v>79</v>
      </c>
      <c r="I433" t="s">
        <v>35</v>
      </c>
      <c r="J433" t="s">
        <v>36</v>
      </c>
      <c r="K433" t="s">
        <v>37</v>
      </c>
      <c r="L433" t="s">
        <v>89</v>
      </c>
      <c r="M433" t="s">
        <v>90</v>
      </c>
      <c r="N433" t="s">
        <v>100</v>
      </c>
      <c r="O433" t="s">
        <v>101</v>
      </c>
      <c r="P433">
        <v>31.97</v>
      </c>
      <c r="Q433" t="s">
        <v>40</v>
      </c>
      <c r="R433" t="s">
        <v>124</v>
      </c>
    </row>
    <row r="434" spans="1:18" x14ac:dyDescent="0.25">
      <c r="A434">
        <v>2009</v>
      </c>
      <c r="B434">
        <v>3655</v>
      </c>
      <c r="C434" t="s">
        <v>1236</v>
      </c>
      <c r="D434" t="s">
        <v>1237</v>
      </c>
      <c r="E434">
        <v>418110</v>
      </c>
      <c r="F434" t="s">
        <v>1238</v>
      </c>
      <c r="G434" t="s">
        <v>1239</v>
      </c>
      <c r="H434" t="s">
        <v>79</v>
      </c>
      <c r="I434" t="s">
        <v>177</v>
      </c>
      <c r="J434" t="s">
        <v>178</v>
      </c>
      <c r="K434" t="s">
        <v>179</v>
      </c>
      <c r="L434" t="s">
        <v>89</v>
      </c>
      <c r="M434" t="s">
        <v>90</v>
      </c>
      <c r="N434" t="s">
        <v>472</v>
      </c>
      <c r="O434" t="s">
        <v>473</v>
      </c>
      <c r="P434">
        <v>1E-3</v>
      </c>
      <c r="Q434" t="s">
        <v>29</v>
      </c>
      <c r="R434" t="s">
        <v>124</v>
      </c>
    </row>
    <row r="435" spans="1:18" x14ac:dyDescent="0.25">
      <c r="A435">
        <v>2019</v>
      </c>
      <c r="B435">
        <v>4781</v>
      </c>
      <c r="C435" t="s">
        <v>856</v>
      </c>
      <c r="D435" t="s">
        <v>774</v>
      </c>
      <c r="E435">
        <v>336310</v>
      </c>
      <c r="F435" t="s">
        <v>857</v>
      </c>
      <c r="G435" t="s">
        <v>776</v>
      </c>
      <c r="H435" t="s">
        <v>21</v>
      </c>
      <c r="I435" t="s">
        <v>177</v>
      </c>
      <c r="J435" t="s">
        <v>178</v>
      </c>
      <c r="K435" t="s">
        <v>179</v>
      </c>
      <c r="L435" t="s">
        <v>89</v>
      </c>
      <c r="M435" t="s">
        <v>90</v>
      </c>
      <c r="N435" t="s">
        <v>100</v>
      </c>
      <c r="O435" t="s">
        <v>101</v>
      </c>
      <c r="P435">
        <v>5.0000000000000001E-3</v>
      </c>
      <c r="Q435" t="s">
        <v>29</v>
      </c>
      <c r="R435" t="s">
        <v>30</v>
      </c>
    </row>
    <row r="436" spans="1:18" x14ac:dyDescent="0.25">
      <c r="A436">
        <v>2008</v>
      </c>
      <c r="B436">
        <v>5810</v>
      </c>
      <c r="C436" t="s">
        <v>1240</v>
      </c>
      <c r="D436" t="s">
        <v>1241</v>
      </c>
      <c r="E436">
        <v>325610</v>
      </c>
      <c r="F436" t="s">
        <v>612</v>
      </c>
      <c r="G436" t="s">
        <v>613</v>
      </c>
      <c r="H436" t="s">
        <v>21</v>
      </c>
      <c r="I436" t="s">
        <v>614</v>
      </c>
      <c r="J436" t="s">
        <v>615</v>
      </c>
      <c r="K436" t="s">
        <v>616</v>
      </c>
      <c r="L436" t="s">
        <v>89</v>
      </c>
      <c r="M436" t="s">
        <v>90</v>
      </c>
      <c r="N436" t="s">
        <v>120</v>
      </c>
      <c r="O436" t="s">
        <v>121</v>
      </c>
      <c r="P436">
        <v>0.36899999999999999</v>
      </c>
      <c r="Q436" t="s">
        <v>29</v>
      </c>
      <c r="R436" t="s">
        <v>50</v>
      </c>
    </row>
    <row r="437" spans="1:18" x14ac:dyDescent="0.25">
      <c r="A437">
        <v>2021</v>
      </c>
      <c r="B437">
        <v>7366</v>
      </c>
      <c r="C437" t="s">
        <v>1242</v>
      </c>
      <c r="D437" t="s">
        <v>1243</v>
      </c>
      <c r="E437">
        <v>332999</v>
      </c>
      <c r="F437" t="s">
        <v>303</v>
      </c>
      <c r="G437" t="s">
        <v>304</v>
      </c>
      <c r="H437" t="s">
        <v>21</v>
      </c>
      <c r="I437" t="s">
        <v>136</v>
      </c>
      <c r="J437" t="s">
        <v>137</v>
      </c>
      <c r="K437" t="s">
        <v>138</v>
      </c>
      <c r="L437" t="s">
        <v>25</v>
      </c>
      <c r="M437" t="s">
        <v>26</v>
      </c>
      <c r="N437" t="s">
        <v>38</v>
      </c>
      <c r="O437" t="s">
        <v>39</v>
      </c>
      <c r="P437">
        <v>10.363</v>
      </c>
      <c r="Q437" t="s">
        <v>29</v>
      </c>
      <c r="R437" t="s">
        <v>50</v>
      </c>
    </row>
    <row r="438" spans="1:18" x14ac:dyDescent="0.25">
      <c r="A438">
        <v>2013</v>
      </c>
      <c r="B438">
        <v>22378</v>
      </c>
      <c r="C438" t="s">
        <v>1244</v>
      </c>
      <c r="D438" t="s">
        <v>1245</v>
      </c>
      <c r="E438">
        <v>211114</v>
      </c>
      <c r="F438" t="s">
        <v>956</v>
      </c>
      <c r="G438" t="s">
        <v>836</v>
      </c>
      <c r="H438" t="s">
        <v>85</v>
      </c>
      <c r="I438" t="s">
        <v>70</v>
      </c>
      <c r="J438" t="s">
        <v>71</v>
      </c>
      <c r="K438" t="s">
        <v>72</v>
      </c>
      <c r="L438" t="s">
        <v>89</v>
      </c>
      <c r="M438" t="s">
        <v>90</v>
      </c>
      <c r="N438" t="s">
        <v>166</v>
      </c>
      <c r="O438" t="s">
        <v>167</v>
      </c>
      <c r="P438">
        <v>3.2000000000000001E-2</v>
      </c>
      <c r="Q438" t="s">
        <v>29</v>
      </c>
      <c r="R438" t="s">
        <v>30</v>
      </c>
    </row>
    <row r="439" spans="1:18" x14ac:dyDescent="0.25">
      <c r="A439">
        <v>2010</v>
      </c>
      <c r="B439">
        <v>3071</v>
      </c>
      <c r="C439" t="s">
        <v>1246</v>
      </c>
      <c r="D439" t="s">
        <v>1247</v>
      </c>
      <c r="E439">
        <v>324110</v>
      </c>
      <c r="F439" t="s">
        <v>95</v>
      </c>
      <c r="G439" t="s">
        <v>96</v>
      </c>
      <c r="H439" t="s">
        <v>21</v>
      </c>
      <c r="I439" t="s">
        <v>129</v>
      </c>
      <c r="J439" t="s">
        <v>130</v>
      </c>
      <c r="K439" t="s">
        <v>131</v>
      </c>
      <c r="L439" t="s">
        <v>89</v>
      </c>
      <c r="M439" t="s">
        <v>90</v>
      </c>
      <c r="N439" t="s">
        <v>120</v>
      </c>
      <c r="O439" t="s">
        <v>121</v>
      </c>
      <c r="P439">
        <v>0.32179999999999997</v>
      </c>
      <c r="Q439" t="s">
        <v>29</v>
      </c>
      <c r="R439" t="s">
        <v>30</v>
      </c>
    </row>
    <row r="440" spans="1:18" x14ac:dyDescent="0.25">
      <c r="A440">
        <v>1998</v>
      </c>
      <c r="B440">
        <v>3254</v>
      </c>
      <c r="C440" t="s">
        <v>1248</v>
      </c>
      <c r="D440" t="s">
        <v>1249</v>
      </c>
      <c r="E440">
        <v>336410</v>
      </c>
      <c r="F440" t="s">
        <v>260</v>
      </c>
      <c r="G440" t="s">
        <v>261</v>
      </c>
      <c r="H440" t="s">
        <v>79</v>
      </c>
      <c r="I440" t="s">
        <v>62</v>
      </c>
      <c r="J440" t="s">
        <v>63</v>
      </c>
      <c r="K440" t="s">
        <v>64</v>
      </c>
      <c r="L440" t="s">
        <v>25</v>
      </c>
      <c r="M440" t="s">
        <v>26</v>
      </c>
      <c r="N440" t="s">
        <v>38</v>
      </c>
      <c r="O440" t="s">
        <v>39</v>
      </c>
      <c r="P440">
        <v>14.112</v>
      </c>
      <c r="Q440" t="s">
        <v>29</v>
      </c>
      <c r="R440" t="s">
        <v>30</v>
      </c>
    </row>
    <row r="441" spans="1:18" x14ac:dyDescent="0.25">
      <c r="A441">
        <v>2017</v>
      </c>
      <c r="B441">
        <v>3071</v>
      </c>
      <c r="C441" t="s">
        <v>1250</v>
      </c>
      <c r="D441" t="s">
        <v>1247</v>
      </c>
      <c r="E441">
        <v>324110</v>
      </c>
      <c r="F441" t="s">
        <v>196</v>
      </c>
      <c r="G441" t="s">
        <v>96</v>
      </c>
      <c r="H441" t="s">
        <v>21</v>
      </c>
      <c r="I441" t="s">
        <v>1251</v>
      </c>
      <c r="J441" t="s">
        <v>1252</v>
      </c>
      <c r="K441" t="s">
        <v>1253</v>
      </c>
      <c r="L441" t="s">
        <v>89</v>
      </c>
      <c r="M441" t="s">
        <v>90</v>
      </c>
      <c r="N441" t="s">
        <v>91</v>
      </c>
      <c r="O441" t="s">
        <v>92</v>
      </c>
      <c r="P441">
        <v>19.072800000000001</v>
      </c>
      <c r="Q441" t="s">
        <v>40</v>
      </c>
      <c r="R441" t="s">
        <v>124</v>
      </c>
    </row>
    <row r="442" spans="1:18" x14ac:dyDescent="0.25">
      <c r="A442">
        <v>2000</v>
      </c>
      <c r="B442">
        <v>4820</v>
      </c>
      <c r="C442" t="s">
        <v>1254</v>
      </c>
      <c r="D442" t="s">
        <v>1255</v>
      </c>
      <c r="E442">
        <v>332999</v>
      </c>
      <c r="F442" t="s">
        <v>309</v>
      </c>
      <c r="G442" t="s">
        <v>304</v>
      </c>
      <c r="H442" t="s">
        <v>54</v>
      </c>
      <c r="I442" t="s">
        <v>136</v>
      </c>
      <c r="J442" t="s">
        <v>137</v>
      </c>
      <c r="K442" t="s">
        <v>138</v>
      </c>
      <c r="L442" t="s">
        <v>89</v>
      </c>
      <c r="M442" t="s">
        <v>90</v>
      </c>
      <c r="N442" t="s">
        <v>100</v>
      </c>
      <c r="O442" t="s">
        <v>101</v>
      </c>
      <c r="P442">
        <v>0.28000000000000003</v>
      </c>
      <c r="Q442" t="s">
        <v>29</v>
      </c>
      <c r="R442" t="s">
        <v>442</v>
      </c>
    </row>
    <row r="443" spans="1:18" x14ac:dyDescent="0.25">
      <c r="A443">
        <v>2011</v>
      </c>
      <c r="B443">
        <v>139</v>
      </c>
      <c r="C443" t="s">
        <v>1256</v>
      </c>
      <c r="D443" t="s">
        <v>902</v>
      </c>
      <c r="E443">
        <v>332810</v>
      </c>
      <c r="F443" t="s">
        <v>237</v>
      </c>
      <c r="G443" t="s">
        <v>238</v>
      </c>
      <c r="H443" t="s">
        <v>21</v>
      </c>
      <c r="I443" t="s">
        <v>22</v>
      </c>
      <c r="J443" t="s">
        <v>23</v>
      </c>
      <c r="K443" t="s">
        <v>24</v>
      </c>
      <c r="L443" t="s">
        <v>89</v>
      </c>
      <c r="M443" t="s">
        <v>90</v>
      </c>
      <c r="N443" t="s">
        <v>166</v>
      </c>
      <c r="O443" t="s">
        <v>167</v>
      </c>
      <c r="P443">
        <v>0.19570000000000001</v>
      </c>
      <c r="Q443" t="s">
        <v>29</v>
      </c>
      <c r="R443" t="s">
        <v>50</v>
      </c>
    </row>
    <row r="444" spans="1:18" x14ac:dyDescent="0.25">
      <c r="A444">
        <v>2016</v>
      </c>
      <c r="B444">
        <v>10276</v>
      </c>
      <c r="C444" t="s">
        <v>1257</v>
      </c>
      <c r="D444" t="s">
        <v>1258</v>
      </c>
      <c r="E444">
        <v>562920</v>
      </c>
      <c r="F444" t="s">
        <v>329</v>
      </c>
      <c r="G444" t="s">
        <v>330</v>
      </c>
      <c r="H444" t="s">
        <v>21</v>
      </c>
      <c r="I444" t="s">
        <v>317</v>
      </c>
      <c r="J444" t="s">
        <v>318</v>
      </c>
      <c r="K444" t="s">
        <v>319</v>
      </c>
      <c r="L444" t="s">
        <v>89</v>
      </c>
      <c r="M444" t="s">
        <v>90</v>
      </c>
      <c r="N444" t="s">
        <v>166</v>
      </c>
      <c r="O444" t="s">
        <v>167</v>
      </c>
      <c r="P444">
        <v>0.49880000000000002</v>
      </c>
      <c r="Q444" t="s">
        <v>29</v>
      </c>
      <c r="R444" t="s">
        <v>50</v>
      </c>
    </row>
    <row r="445" spans="1:18" x14ac:dyDescent="0.25">
      <c r="A445">
        <v>2022</v>
      </c>
      <c r="B445">
        <v>28660</v>
      </c>
      <c r="C445" t="s">
        <v>1259</v>
      </c>
      <c r="D445" t="s">
        <v>1259</v>
      </c>
      <c r="E445">
        <v>333110</v>
      </c>
      <c r="F445" t="s">
        <v>1260</v>
      </c>
      <c r="G445" t="s">
        <v>1261</v>
      </c>
      <c r="H445" t="s">
        <v>79</v>
      </c>
      <c r="I445" t="s">
        <v>209</v>
      </c>
      <c r="J445" t="s">
        <v>210</v>
      </c>
      <c r="K445" t="s">
        <v>211</v>
      </c>
      <c r="L445" t="s">
        <v>25</v>
      </c>
      <c r="M445" t="s">
        <v>26</v>
      </c>
      <c r="N445" t="s">
        <v>38</v>
      </c>
      <c r="O445" t="s">
        <v>39</v>
      </c>
      <c r="P445">
        <v>10.08</v>
      </c>
      <c r="Q445" t="s">
        <v>29</v>
      </c>
      <c r="R445" t="s">
        <v>50</v>
      </c>
    </row>
    <row r="446" spans="1:18" x14ac:dyDescent="0.25">
      <c r="A446">
        <v>2005</v>
      </c>
      <c r="B446">
        <v>5302</v>
      </c>
      <c r="C446" t="s">
        <v>122</v>
      </c>
      <c r="D446" t="s">
        <v>1262</v>
      </c>
      <c r="E446">
        <v>562210</v>
      </c>
      <c r="F446" t="s">
        <v>52</v>
      </c>
      <c r="G446" t="s">
        <v>53</v>
      </c>
      <c r="H446" t="s">
        <v>85</v>
      </c>
      <c r="I446" t="s">
        <v>331</v>
      </c>
      <c r="J446" t="s">
        <v>332</v>
      </c>
      <c r="K446" t="s">
        <v>333</v>
      </c>
      <c r="L446" t="s">
        <v>25</v>
      </c>
      <c r="M446" t="s">
        <v>26</v>
      </c>
      <c r="N446" t="s">
        <v>380</v>
      </c>
      <c r="O446" t="s">
        <v>381</v>
      </c>
      <c r="P446">
        <v>98.234999999999999</v>
      </c>
      <c r="Q446" t="s">
        <v>29</v>
      </c>
      <c r="R446" t="s">
        <v>124</v>
      </c>
    </row>
    <row r="447" spans="1:18" x14ac:dyDescent="0.25">
      <c r="A447">
        <v>2006</v>
      </c>
      <c r="B447">
        <v>6097</v>
      </c>
      <c r="C447" t="s">
        <v>1010</v>
      </c>
      <c r="D447" t="s">
        <v>1011</v>
      </c>
      <c r="E447">
        <v>325410</v>
      </c>
      <c r="F447" t="s">
        <v>218</v>
      </c>
      <c r="G447" t="s">
        <v>219</v>
      </c>
      <c r="H447" t="s">
        <v>1012</v>
      </c>
      <c r="I447" t="s">
        <v>435</v>
      </c>
      <c r="J447" t="s">
        <v>436</v>
      </c>
      <c r="K447" t="s">
        <v>437</v>
      </c>
      <c r="L447" t="s">
        <v>89</v>
      </c>
      <c r="M447" t="s">
        <v>90</v>
      </c>
      <c r="N447" t="s">
        <v>472</v>
      </c>
      <c r="O447" t="s">
        <v>473</v>
      </c>
      <c r="P447">
        <v>0</v>
      </c>
      <c r="Q447" t="s">
        <v>29</v>
      </c>
      <c r="R447" t="s">
        <v>30</v>
      </c>
    </row>
    <row r="448" spans="1:18" x14ac:dyDescent="0.25">
      <c r="A448">
        <v>2003</v>
      </c>
      <c r="B448">
        <v>2559</v>
      </c>
      <c r="C448" t="s">
        <v>1263</v>
      </c>
      <c r="D448" t="s">
        <v>1263</v>
      </c>
      <c r="E448">
        <v>313320</v>
      </c>
      <c r="F448" t="s">
        <v>1264</v>
      </c>
      <c r="G448" t="s">
        <v>1265</v>
      </c>
      <c r="H448" t="s">
        <v>79</v>
      </c>
      <c r="I448" t="s">
        <v>70</v>
      </c>
      <c r="J448" t="s">
        <v>71</v>
      </c>
      <c r="K448" t="s">
        <v>72</v>
      </c>
      <c r="L448" t="s">
        <v>89</v>
      </c>
      <c r="M448" t="s">
        <v>90</v>
      </c>
      <c r="N448" t="s">
        <v>166</v>
      </c>
      <c r="O448" t="s">
        <v>167</v>
      </c>
      <c r="P448">
        <v>27.9</v>
      </c>
      <c r="Q448" t="s">
        <v>29</v>
      </c>
      <c r="R448" t="s">
        <v>50</v>
      </c>
    </row>
    <row r="449" spans="1:18" x14ac:dyDescent="0.25">
      <c r="A449">
        <v>2015</v>
      </c>
      <c r="B449">
        <v>4797</v>
      </c>
      <c r="C449" t="s">
        <v>113</v>
      </c>
      <c r="D449" t="s">
        <v>114</v>
      </c>
      <c r="E449">
        <v>332113</v>
      </c>
      <c r="F449" t="s">
        <v>115</v>
      </c>
      <c r="G449" t="s">
        <v>116</v>
      </c>
      <c r="H449" t="s">
        <v>79</v>
      </c>
      <c r="I449" t="s">
        <v>136</v>
      </c>
      <c r="J449" t="s">
        <v>137</v>
      </c>
      <c r="K449" t="s">
        <v>138</v>
      </c>
      <c r="L449" t="s">
        <v>89</v>
      </c>
      <c r="M449" t="s">
        <v>90</v>
      </c>
      <c r="N449" t="s">
        <v>120</v>
      </c>
      <c r="O449" t="s">
        <v>121</v>
      </c>
      <c r="P449">
        <v>18.295999999999999</v>
      </c>
      <c r="Q449" t="s">
        <v>29</v>
      </c>
      <c r="R449" t="s">
        <v>30</v>
      </c>
    </row>
    <row r="450" spans="1:18" x14ac:dyDescent="0.25">
      <c r="A450">
        <v>2021</v>
      </c>
      <c r="B450">
        <v>3845</v>
      </c>
      <c r="C450" t="s">
        <v>1266</v>
      </c>
      <c r="D450" t="s">
        <v>1267</v>
      </c>
      <c r="E450">
        <v>332810</v>
      </c>
      <c r="F450" t="s">
        <v>361</v>
      </c>
      <c r="G450" t="s">
        <v>362</v>
      </c>
      <c r="H450" t="s">
        <v>21</v>
      </c>
      <c r="I450" t="s">
        <v>35</v>
      </c>
      <c r="J450" t="s">
        <v>36</v>
      </c>
      <c r="K450" t="s">
        <v>37</v>
      </c>
      <c r="L450" t="s">
        <v>89</v>
      </c>
      <c r="M450" t="s">
        <v>90</v>
      </c>
      <c r="N450" t="s">
        <v>91</v>
      </c>
      <c r="O450" t="s">
        <v>92</v>
      </c>
      <c r="P450">
        <v>6.7030000000000003</v>
      </c>
      <c r="Q450" t="s">
        <v>40</v>
      </c>
      <c r="R450" t="s">
        <v>30</v>
      </c>
    </row>
    <row r="451" spans="1:18" x14ac:dyDescent="0.25">
      <c r="A451">
        <v>2008</v>
      </c>
      <c r="B451">
        <v>5370</v>
      </c>
      <c r="C451" t="s">
        <v>1268</v>
      </c>
      <c r="D451" t="s">
        <v>1269</v>
      </c>
      <c r="E451">
        <v>211113</v>
      </c>
      <c r="F451" t="s">
        <v>425</v>
      </c>
      <c r="G451" t="s">
        <v>426</v>
      </c>
      <c r="H451" t="s">
        <v>85</v>
      </c>
      <c r="I451" t="s">
        <v>491</v>
      </c>
      <c r="J451" t="s">
        <v>492</v>
      </c>
      <c r="K451" t="s">
        <v>492</v>
      </c>
      <c r="L451" t="s">
        <v>25</v>
      </c>
      <c r="M451" t="s">
        <v>26</v>
      </c>
      <c r="N451" t="s">
        <v>73</v>
      </c>
      <c r="O451" t="s">
        <v>74</v>
      </c>
      <c r="P451">
        <v>0.187</v>
      </c>
      <c r="Q451" t="s">
        <v>29</v>
      </c>
      <c r="R451" t="s">
        <v>30</v>
      </c>
    </row>
    <row r="452" spans="1:18" x14ac:dyDescent="0.25">
      <c r="A452">
        <v>2005</v>
      </c>
      <c r="B452">
        <v>5456</v>
      </c>
      <c r="C452" t="s">
        <v>1270</v>
      </c>
      <c r="D452" t="s">
        <v>1270</v>
      </c>
      <c r="E452">
        <v>332810</v>
      </c>
      <c r="F452" t="s">
        <v>237</v>
      </c>
      <c r="G452" t="s">
        <v>238</v>
      </c>
      <c r="H452" t="s">
        <v>79</v>
      </c>
      <c r="I452" t="s">
        <v>86</v>
      </c>
      <c r="J452" t="s">
        <v>87</v>
      </c>
      <c r="K452" t="s">
        <v>88</v>
      </c>
      <c r="L452" t="s">
        <v>89</v>
      </c>
      <c r="M452" t="s">
        <v>90</v>
      </c>
      <c r="N452" t="s">
        <v>100</v>
      </c>
      <c r="O452" t="s">
        <v>101</v>
      </c>
      <c r="P452">
        <v>0</v>
      </c>
      <c r="Q452" t="s">
        <v>29</v>
      </c>
      <c r="R452" t="s">
        <v>30</v>
      </c>
    </row>
    <row r="453" spans="1:18" x14ac:dyDescent="0.25">
      <c r="A453">
        <v>2018</v>
      </c>
      <c r="B453">
        <v>4740</v>
      </c>
      <c r="C453" t="s">
        <v>1271</v>
      </c>
      <c r="D453" t="s">
        <v>1271</v>
      </c>
      <c r="E453">
        <v>336390</v>
      </c>
      <c r="F453" t="s">
        <v>182</v>
      </c>
      <c r="G453" t="s">
        <v>61</v>
      </c>
      <c r="H453" t="s">
        <v>21</v>
      </c>
      <c r="I453" t="s">
        <v>209</v>
      </c>
      <c r="J453" t="s">
        <v>210</v>
      </c>
      <c r="K453" t="s">
        <v>211</v>
      </c>
      <c r="L453" t="s">
        <v>89</v>
      </c>
      <c r="M453" t="s">
        <v>90</v>
      </c>
      <c r="N453" t="s">
        <v>91</v>
      </c>
      <c r="O453" t="s">
        <v>92</v>
      </c>
      <c r="P453">
        <v>0.16600000000000001</v>
      </c>
      <c r="Q453" t="s">
        <v>29</v>
      </c>
      <c r="R453" t="s">
        <v>50</v>
      </c>
    </row>
    <row r="454" spans="1:18" x14ac:dyDescent="0.25">
      <c r="A454">
        <v>2012</v>
      </c>
      <c r="B454">
        <v>7661</v>
      </c>
      <c r="C454" t="s">
        <v>1272</v>
      </c>
      <c r="D454" t="s">
        <v>1273</v>
      </c>
      <c r="E454">
        <v>331317</v>
      </c>
      <c r="F454" t="s">
        <v>768</v>
      </c>
      <c r="G454" t="s">
        <v>769</v>
      </c>
      <c r="H454" t="s">
        <v>21</v>
      </c>
      <c r="I454" t="s">
        <v>461</v>
      </c>
      <c r="J454" t="s">
        <v>462</v>
      </c>
      <c r="K454" t="s">
        <v>463</v>
      </c>
      <c r="L454" t="s">
        <v>89</v>
      </c>
      <c r="M454" t="s">
        <v>90</v>
      </c>
      <c r="N454" t="s">
        <v>166</v>
      </c>
      <c r="O454" t="s">
        <v>167</v>
      </c>
      <c r="P454">
        <v>9.64</v>
      </c>
      <c r="Q454" t="s">
        <v>40</v>
      </c>
      <c r="R454" t="s">
        <v>30</v>
      </c>
    </row>
    <row r="455" spans="1:18" x14ac:dyDescent="0.25">
      <c r="A455">
        <v>2004</v>
      </c>
      <c r="B455">
        <v>117</v>
      </c>
      <c r="C455" t="s">
        <v>1274</v>
      </c>
      <c r="D455" t="s">
        <v>1275</v>
      </c>
      <c r="E455">
        <v>336330</v>
      </c>
      <c r="F455" t="s">
        <v>1276</v>
      </c>
      <c r="G455" t="s">
        <v>675</v>
      </c>
      <c r="H455" t="s">
        <v>21</v>
      </c>
      <c r="I455" t="s">
        <v>62</v>
      </c>
      <c r="J455" t="s">
        <v>63</v>
      </c>
      <c r="K455" t="s">
        <v>64</v>
      </c>
      <c r="L455" t="s">
        <v>89</v>
      </c>
      <c r="M455" t="s">
        <v>90</v>
      </c>
      <c r="N455" t="s">
        <v>100</v>
      </c>
      <c r="O455" t="s">
        <v>101</v>
      </c>
      <c r="P455">
        <v>2.5999999999999999E-2</v>
      </c>
      <c r="Q455" t="s">
        <v>29</v>
      </c>
      <c r="R455" t="s">
        <v>124</v>
      </c>
    </row>
    <row r="456" spans="1:18" x14ac:dyDescent="0.25">
      <c r="A456">
        <v>2007</v>
      </c>
      <c r="B456">
        <v>1816</v>
      </c>
      <c r="C456" t="s">
        <v>1277</v>
      </c>
      <c r="D456" t="s">
        <v>1278</v>
      </c>
      <c r="E456">
        <v>335110</v>
      </c>
      <c r="F456" t="s">
        <v>1279</v>
      </c>
      <c r="G456" t="s">
        <v>1280</v>
      </c>
      <c r="H456" t="s">
        <v>79</v>
      </c>
      <c r="I456" t="s">
        <v>271</v>
      </c>
      <c r="J456" t="s">
        <v>272</v>
      </c>
      <c r="K456" t="s">
        <v>273</v>
      </c>
      <c r="L456" t="s">
        <v>25</v>
      </c>
      <c r="M456" t="s">
        <v>26</v>
      </c>
      <c r="N456" t="s">
        <v>48</v>
      </c>
      <c r="O456" t="s">
        <v>49</v>
      </c>
      <c r="P456">
        <v>18.399999999999999</v>
      </c>
      <c r="Q456" t="s">
        <v>29</v>
      </c>
      <c r="R456" t="s">
        <v>124</v>
      </c>
    </row>
    <row r="457" spans="1:18" x14ac:dyDescent="0.25">
      <c r="A457">
        <v>2002</v>
      </c>
      <c r="B457">
        <v>2685</v>
      </c>
      <c r="C457" t="s">
        <v>1281</v>
      </c>
      <c r="E457">
        <v>336370</v>
      </c>
      <c r="F457" t="s">
        <v>586</v>
      </c>
      <c r="G457" t="s">
        <v>587</v>
      </c>
      <c r="H457" t="s">
        <v>21</v>
      </c>
      <c r="I457" t="s">
        <v>136</v>
      </c>
      <c r="J457" t="s">
        <v>137</v>
      </c>
      <c r="K457" t="s">
        <v>138</v>
      </c>
      <c r="L457" t="s">
        <v>25</v>
      </c>
      <c r="M457" t="s">
        <v>26</v>
      </c>
      <c r="N457" t="s">
        <v>38</v>
      </c>
      <c r="O457" t="s">
        <v>39</v>
      </c>
      <c r="P457">
        <v>133.19</v>
      </c>
      <c r="Q457" t="s">
        <v>29</v>
      </c>
      <c r="R457" t="s">
        <v>30</v>
      </c>
    </row>
    <row r="458" spans="1:18" x14ac:dyDescent="0.25">
      <c r="A458">
        <v>2019</v>
      </c>
      <c r="B458">
        <v>11580</v>
      </c>
      <c r="C458" t="s">
        <v>1070</v>
      </c>
      <c r="D458" t="s">
        <v>1282</v>
      </c>
      <c r="E458">
        <v>325510</v>
      </c>
      <c r="F458" t="s">
        <v>111</v>
      </c>
      <c r="G458" t="s">
        <v>112</v>
      </c>
      <c r="H458" t="s">
        <v>21</v>
      </c>
      <c r="I458" t="s">
        <v>778</v>
      </c>
      <c r="J458" t="s">
        <v>779</v>
      </c>
      <c r="K458" t="s">
        <v>780</v>
      </c>
      <c r="L458" t="s">
        <v>25</v>
      </c>
      <c r="M458" t="s">
        <v>26</v>
      </c>
      <c r="N458" t="s">
        <v>27</v>
      </c>
      <c r="O458" t="s">
        <v>28</v>
      </c>
      <c r="P458">
        <v>0.02</v>
      </c>
      <c r="Q458" t="s">
        <v>29</v>
      </c>
      <c r="R458" t="s">
        <v>30</v>
      </c>
    </row>
    <row r="459" spans="1:18" x14ac:dyDescent="0.25">
      <c r="A459">
        <v>2017</v>
      </c>
      <c r="B459">
        <v>8645</v>
      </c>
      <c r="C459" t="s">
        <v>642</v>
      </c>
      <c r="D459" t="s">
        <v>712</v>
      </c>
      <c r="E459">
        <v>562110</v>
      </c>
      <c r="F459" t="s">
        <v>644</v>
      </c>
      <c r="G459" t="s">
        <v>645</v>
      </c>
      <c r="H459" t="s">
        <v>79</v>
      </c>
      <c r="I459" t="s">
        <v>22</v>
      </c>
      <c r="J459" t="s">
        <v>23</v>
      </c>
      <c r="K459" t="s">
        <v>24</v>
      </c>
      <c r="L459" t="s">
        <v>89</v>
      </c>
      <c r="M459" t="s">
        <v>90</v>
      </c>
      <c r="N459" t="s">
        <v>120</v>
      </c>
      <c r="O459" t="s">
        <v>121</v>
      </c>
      <c r="P459">
        <v>44.1751</v>
      </c>
      <c r="Q459" t="s">
        <v>29</v>
      </c>
      <c r="R459" t="s">
        <v>50</v>
      </c>
    </row>
    <row r="460" spans="1:18" x14ac:dyDescent="0.25">
      <c r="A460">
        <v>2014</v>
      </c>
      <c r="B460">
        <v>3698</v>
      </c>
      <c r="C460" t="s">
        <v>194</v>
      </c>
      <c r="D460" t="s">
        <v>1283</v>
      </c>
      <c r="E460">
        <v>412110</v>
      </c>
      <c r="F460" t="s">
        <v>127</v>
      </c>
      <c r="G460" t="s">
        <v>128</v>
      </c>
      <c r="H460" t="s">
        <v>483</v>
      </c>
      <c r="I460" t="s">
        <v>427</v>
      </c>
      <c r="J460" t="s">
        <v>428</v>
      </c>
      <c r="K460" t="s">
        <v>429</v>
      </c>
      <c r="L460" t="s">
        <v>89</v>
      </c>
      <c r="M460" t="s">
        <v>90</v>
      </c>
      <c r="N460" t="s">
        <v>166</v>
      </c>
      <c r="O460" t="s">
        <v>167</v>
      </c>
      <c r="P460">
        <v>0.5</v>
      </c>
      <c r="Q460" t="s">
        <v>29</v>
      </c>
      <c r="R460" t="s">
        <v>30</v>
      </c>
    </row>
    <row r="461" spans="1:18" x14ac:dyDescent="0.25">
      <c r="A461">
        <v>2023</v>
      </c>
      <c r="B461">
        <v>3713</v>
      </c>
      <c r="C461" t="s">
        <v>1223</v>
      </c>
      <c r="D461" t="s">
        <v>1224</v>
      </c>
      <c r="E461">
        <v>331110</v>
      </c>
      <c r="F461" t="s">
        <v>627</v>
      </c>
      <c r="G461" t="s">
        <v>336</v>
      </c>
      <c r="H461" t="s">
        <v>21</v>
      </c>
      <c r="I461" t="s">
        <v>70</v>
      </c>
      <c r="J461" t="s">
        <v>71</v>
      </c>
      <c r="K461" t="s">
        <v>72</v>
      </c>
      <c r="L461" t="s">
        <v>25</v>
      </c>
      <c r="M461" t="s">
        <v>26</v>
      </c>
      <c r="N461" t="s">
        <v>155</v>
      </c>
      <c r="O461" t="s">
        <v>156</v>
      </c>
      <c r="P461">
        <v>7.2000000000000002E-5</v>
      </c>
      <c r="Q461" t="s">
        <v>29</v>
      </c>
      <c r="R461" t="s">
        <v>50</v>
      </c>
    </row>
    <row r="462" spans="1:18" x14ac:dyDescent="0.25">
      <c r="A462">
        <v>2016</v>
      </c>
      <c r="B462">
        <v>3698</v>
      </c>
      <c r="C462" t="s">
        <v>194</v>
      </c>
      <c r="D462" t="s">
        <v>1097</v>
      </c>
      <c r="E462">
        <v>412110</v>
      </c>
      <c r="F462" t="s">
        <v>127</v>
      </c>
      <c r="G462" t="s">
        <v>128</v>
      </c>
      <c r="H462" t="s">
        <v>483</v>
      </c>
      <c r="I462" t="s">
        <v>543</v>
      </c>
      <c r="J462" t="s">
        <v>544</v>
      </c>
      <c r="K462" t="s">
        <v>545</v>
      </c>
      <c r="L462" t="s">
        <v>89</v>
      </c>
      <c r="M462" t="s">
        <v>90</v>
      </c>
      <c r="N462" t="s">
        <v>91</v>
      </c>
      <c r="O462" t="s">
        <v>92</v>
      </c>
      <c r="P462">
        <v>19.197299999999998</v>
      </c>
      <c r="Q462" t="s">
        <v>40</v>
      </c>
      <c r="R462" t="s">
        <v>30</v>
      </c>
    </row>
    <row r="463" spans="1:18" x14ac:dyDescent="0.25">
      <c r="A463">
        <v>2007</v>
      </c>
      <c r="B463">
        <v>4756</v>
      </c>
      <c r="C463" t="s">
        <v>1284</v>
      </c>
      <c r="D463" t="s">
        <v>1285</v>
      </c>
      <c r="E463">
        <v>336390</v>
      </c>
      <c r="F463" t="s">
        <v>60</v>
      </c>
      <c r="G463" t="s">
        <v>61</v>
      </c>
      <c r="H463" t="s">
        <v>21</v>
      </c>
      <c r="I463" t="s">
        <v>62</v>
      </c>
      <c r="J463" t="s">
        <v>63</v>
      </c>
      <c r="K463" t="s">
        <v>64</v>
      </c>
      <c r="L463" t="s">
        <v>89</v>
      </c>
      <c r="M463" t="s">
        <v>90</v>
      </c>
      <c r="N463" t="s">
        <v>100</v>
      </c>
      <c r="O463" t="s">
        <v>101</v>
      </c>
      <c r="P463">
        <v>2.3E-2</v>
      </c>
      <c r="Q463" t="s">
        <v>29</v>
      </c>
      <c r="R463" t="s">
        <v>124</v>
      </c>
    </row>
    <row r="464" spans="1:18" x14ac:dyDescent="0.25">
      <c r="A464">
        <v>2010</v>
      </c>
      <c r="B464">
        <v>2070</v>
      </c>
      <c r="C464" t="s">
        <v>1286</v>
      </c>
      <c r="D464" t="s">
        <v>1287</v>
      </c>
      <c r="E464">
        <v>325190</v>
      </c>
      <c r="F464" t="s">
        <v>832</v>
      </c>
      <c r="G464" t="s">
        <v>601</v>
      </c>
      <c r="H464" t="s">
        <v>21</v>
      </c>
      <c r="I464" t="s">
        <v>172</v>
      </c>
      <c r="J464" t="s">
        <v>173</v>
      </c>
      <c r="K464" t="s">
        <v>174</v>
      </c>
      <c r="L464" t="s">
        <v>89</v>
      </c>
      <c r="M464" t="s">
        <v>90</v>
      </c>
      <c r="N464" t="s">
        <v>166</v>
      </c>
      <c r="O464" t="s">
        <v>167</v>
      </c>
      <c r="P464">
        <v>0.02</v>
      </c>
      <c r="Q464" t="s">
        <v>29</v>
      </c>
      <c r="R464" t="s">
        <v>30</v>
      </c>
    </row>
    <row r="465" spans="1:18" x14ac:dyDescent="0.25">
      <c r="A465">
        <v>2006</v>
      </c>
      <c r="B465">
        <v>1495</v>
      </c>
      <c r="C465" t="s">
        <v>1288</v>
      </c>
      <c r="D465" t="s">
        <v>1289</v>
      </c>
      <c r="E465">
        <v>325189</v>
      </c>
      <c r="F465" t="s">
        <v>1290</v>
      </c>
      <c r="G465" t="s">
        <v>1291</v>
      </c>
      <c r="H465" t="s">
        <v>21</v>
      </c>
      <c r="I465" t="s">
        <v>35</v>
      </c>
      <c r="J465" t="s">
        <v>36</v>
      </c>
      <c r="K465" t="s">
        <v>37</v>
      </c>
      <c r="L465" t="s">
        <v>89</v>
      </c>
      <c r="M465" t="s">
        <v>90</v>
      </c>
      <c r="N465" t="s">
        <v>100</v>
      </c>
      <c r="O465" t="s">
        <v>101</v>
      </c>
      <c r="P465">
        <v>95</v>
      </c>
      <c r="Q465" t="s">
        <v>40</v>
      </c>
      <c r="R465" t="s">
        <v>124</v>
      </c>
    </row>
    <row r="466" spans="1:18" x14ac:dyDescent="0.25">
      <c r="A466">
        <v>2017</v>
      </c>
      <c r="B466">
        <v>7293</v>
      </c>
      <c r="C466" t="s">
        <v>1292</v>
      </c>
      <c r="D466" t="s">
        <v>1293</v>
      </c>
      <c r="E466">
        <v>336390</v>
      </c>
      <c r="F466" t="s">
        <v>182</v>
      </c>
      <c r="G466" t="s">
        <v>61</v>
      </c>
      <c r="H466" t="s">
        <v>21</v>
      </c>
      <c r="I466" t="s">
        <v>136</v>
      </c>
      <c r="J466" t="s">
        <v>137</v>
      </c>
      <c r="K466" t="s">
        <v>138</v>
      </c>
      <c r="L466" t="s">
        <v>25</v>
      </c>
      <c r="M466" t="s">
        <v>26</v>
      </c>
      <c r="N466" t="s">
        <v>38</v>
      </c>
      <c r="O466" t="s">
        <v>39</v>
      </c>
      <c r="P466">
        <v>356.17899999999997</v>
      </c>
      <c r="Q466" t="s">
        <v>29</v>
      </c>
      <c r="R466" t="s">
        <v>124</v>
      </c>
    </row>
    <row r="467" spans="1:18" x14ac:dyDescent="0.25">
      <c r="A467">
        <v>2019</v>
      </c>
      <c r="B467">
        <v>1541</v>
      </c>
      <c r="C467" t="s">
        <v>1294</v>
      </c>
      <c r="D467" t="s">
        <v>767</v>
      </c>
      <c r="E467">
        <v>331317</v>
      </c>
      <c r="F467" t="s">
        <v>768</v>
      </c>
      <c r="G467" t="s">
        <v>769</v>
      </c>
      <c r="H467" t="s">
        <v>85</v>
      </c>
      <c r="I467" t="s">
        <v>1295</v>
      </c>
      <c r="J467" t="s">
        <v>1296</v>
      </c>
      <c r="K467" t="s">
        <v>1297</v>
      </c>
      <c r="L467" t="s">
        <v>25</v>
      </c>
      <c r="M467" t="s">
        <v>26</v>
      </c>
      <c r="N467" t="s">
        <v>38</v>
      </c>
      <c r="O467" t="s">
        <v>39</v>
      </c>
      <c r="P467">
        <v>6.0000000000000001E-3</v>
      </c>
      <c r="Q467" t="s">
        <v>29</v>
      </c>
      <c r="R467" t="s">
        <v>50</v>
      </c>
    </row>
    <row r="468" spans="1:18" x14ac:dyDescent="0.25">
      <c r="A468">
        <v>2014</v>
      </c>
      <c r="B468">
        <v>199</v>
      </c>
      <c r="C468" t="s">
        <v>1108</v>
      </c>
      <c r="D468" t="s">
        <v>969</v>
      </c>
      <c r="E468">
        <v>331523</v>
      </c>
      <c r="F468" t="s">
        <v>33</v>
      </c>
      <c r="G468" t="s">
        <v>34</v>
      </c>
      <c r="H468" t="s">
        <v>21</v>
      </c>
      <c r="I468" t="s">
        <v>152</v>
      </c>
      <c r="J468" t="s">
        <v>153</v>
      </c>
      <c r="K468" t="s">
        <v>154</v>
      </c>
      <c r="L468" t="s">
        <v>89</v>
      </c>
      <c r="M468" t="s">
        <v>90</v>
      </c>
      <c r="N468" t="s">
        <v>120</v>
      </c>
      <c r="O468" t="s">
        <v>121</v>
      </c>
      <c r="P468">
        <v>1E-3</v>
      </c>
      <c r="Q468" t="s">
        <v>29</v>
      </c>
      <c r="R468" t="s">
        <v>30</v>
      </c>
    </row>
    <row r="469" spans="1:18" x14ac:dyDescent="0.25">
      <c r="A469">
        <v>2022</v>
      </c>
      <c r="B469">
        <v>8645</v>
      </c>
      <c r="C469" t="s">
        <v>995</v>
      </c>
      <c r="D469" t="s">
        <v>712</v>
      </c>
      <c r="E469">
        <v>562110</v>
      </c>
      <c r="F469" t="s">
        <v>644</v>
      </c>
      <c r="G469" t="s">
        <v>645</v>
      </c>
      <c r="H469" t="s">
        <v>79</v>
      </c>
      <c r="I469" t="s">
        <v>1123</v>
      </c>
      <c r="J469" t="s">
        <v>1124</v>
      </c>
      <c r="K469" t="s">
        <v>1125</v>
      </c>
      <c r="L469" t="s">
        <v>89</v>
      </c>
      <c r="M469" t="s">
        <v>90</v>
      </c>
      <c r="N469" t="s">
        <v>166</v>
      </c>
      <c r="O469" t="s">
        <v>167</v>
      </c>
      <c r="P469">
        <v>18.170300000000001</v>
      </c>
      <c r="Q469" t="s">
        <v>29</v>
      </c>
      <c r="R469" t="s">
        <v>50</v>
      </c>
    </row>
    <row r="470" spans="1:18" x14ac:dyDescent="0.25">
      <c r="A470">
        <v>2009</v>
      </c>
      <c r="B470">
        <v>4756</v>
      </c>
      <c r="C470" t="s">
        <v>1284</v>
      </c>
      <c r="D470" t="s">
        <v>1285</v>
      </c>
      <c r="E470">
        <v>336390</v>
      </c>
      <c r="F470" t="s">
        <v>60</v>
      </c>
      <c r="G470" t="s">
        <v>61</v>
      </c>
      <c r="H470" t="s">
        <v>21</v>
      </c>
      <c r="I470" t="s">
        <v>152</v>
      </c>
      <c r="J470" t="s">
        <v>153</v>
      </c>
      <c r="K470" t="s">
        <v>154</v>
      </c>
      <c r="L470" t="s">
        <v>89</v>
      </c>
      <c r="M470" t="s">
        <v>90</v>
      </c>
      <c r="N470" t="s">
        <v>100</v>
      </c>
      <c r="O470" t="s">
        <v>101</v>
      </c>
      <c r="P470">
        <v>0</v>
      </c>
      <c r="Q470" t="s">
        <v>29</v>
      </c>
      <c r="R470" t="s">
        <v>124</v>
      </c>
    </row>
    <row r="471" spans="1:18" x14ac:dyDescent="0.25">
      <c r="A471">
        <v>2004</v>
      </c>
      <c r="B471">
        <v>4048</v>
      </c>
      <c r="C471" t="s">
        <v>1298</v>
      </c>
      <c r="D471" t="s">
        <v>1299</v>
      </c>
      <c r="E471">
        <v>324110</v>
      </c>
      <c r="F471" t="s">
        <v>95</v>
      </c>
      <c r="G471" t="s">
        <v>96</v>
      </c>
      <c r="H471" t="s">
        <v>243</v>
      </c>
      <c r="I471" t="s">
        <v>525</v>
      </c>
      <c r="J471" t="s">
        <v>526</v>
      </c>
      <c r="K471" t="s">
        <v>527</v>
      </c>
      <c r="L471" t="s">
        <v>89</v>
      </c>
      <c r="M471" t="s">
        <v>90</v>
      </c>
      <c r="N471" t="s">
        <v>100</v>
      </c>
      <c r="O471" t="s">
        <v>101</v>
      </c>
      <c r="P471">
        <v>0.14399999999999999</v>
      </c>
      <c r="Q471" t="s">
        <v>29</v>
      </c>
      <c r="R471" t="s">
        <v>124</v>
      </c>
    </row>
    <row r="472" spans="1:18" x14ac:dyDescent="0.25">
      <c r="A472">
        <v>2006</v>
      </c>
      <c r="B472">
        <v>1012</v>
      </c>
      <c r="C472" t="s">
        <v>1300</v>
      </c>
      <c r="D472" t="s">
        <v>1301</v>
      </c>
      <c r="E472">
        <v>488190</v>
      </c>
      <c r="F472" t="s">
        <v>1302</v>
      </c>
      <c r="G472" t="s">
        <v>1303</v>
      </c>
      <c r="H472" t="s">
        <v>79</v>
      </c>
      <c r="I472" t="s">
        <v>331</v>
      </c>
      <c r="J472" t="s">
        <v>332</v>
      </c>
      <c r="K472" t="s">
        <v>333</v>
      </c>
      <c r="L472" t="s">
        <v>25</v>
      </c>
      <c r="M472" t="s">
        <v>26</v>
      </c>
      <c r="N472" t="s">
        <v>380</v>
      </c>
      <c r="O472" t="s">
        <v>381</v>
      </c>
      <c r="P472">
        <v>42.957000000000001</v>
      </c>
      <c r="Q472" t="s">
        <v>29</v>
      </c>
      <c r="R472" t="s">
        <v>258</v>
      </c>
    </row>
    <row r="473" spans="1:18" x14ac:dyDescent="0.25">
      <c r="A473">
        <v>2023</v>
      </c>
      <c r="B473">
        <v>5471</v>
      </c>
      <c r="C473" t="s">
        <v>1304</v>
      </c>
      <c r="D473" t="s">
        <v>1305</v>
      </c>
      <c r="E473">
        <v>322122</v>
      </c>
      <c r="F473" t="s">
        <v>1061</v>
      </c>
      <c r="G473" t="s">
        <v>1062</v>
      </c>
      <c r="H473" t="s">
        <v>79</v>
      </c>
      <c r="I473" t="s">
        <v>324</v>
      </c>
      <c r="J473" t="s">
        <v>325</v>
      </c>
      <c r="K473" t="s">
        <v>326</v>
      </c>
      <c r="L473" t="s">
        <v>25</v>
      </c>
      <c r="M473" t="s">
        <v>26</v>
      </c>
      <c r="N473" t="s">
        <v>155</v>
      </c>
      <c r="O473" t="s">
        <v>156</v>
      </c>
      <c r="P473">
        <v>74.069999999999993</v>
      </c>
      <c r="Q473" t="s">
        <v>40</v>
      </c>
      <c r="R473" t="s">
        <v>124</v>
      </c>
    </row>
    <row r="474" spans="1:18" x14ac:dyDescent="0.25">
      <c r="A474">
        <v>2018</v>
      </c>
      <c r="B474">
        <v>11602</v>
      </c>
      <c r="C474" t="s">
        <v>1306</v>
      </c>
      <c r="D474" t="s">
        <v>1307</v>
      </c>
      <c r="E474">
        <v>335315</v>
      </c>
      <c r="F474" t="s">
        <v>1033</v>
      </c>
      <c r="G474" t="s">
        <v>1034</v>
      </c>
      <c r="H474" t="s">
        <v>21</v>
      </c>
      <c r="I474" t="s">
        <v>152</v>
      </c>
      <c r="J474" t="s">
        <v>153</v>
      </c>
      <c r="K474" t="s">
        <v>154</v>
      </c>
      <c r="L474" t="s">
        <v>25</v>
      </c>
      <c r="M474" t="s">
        <v>26</v>
      </c>
      <c r="N474" t="s">
        <v>38</v>
      </c>
      <c r="O474" t="s">
        <v>39</v>
      </c>
      <c r="P474">
        <v>8.6739999999999995</v>
      </c>
      <c r="Q474" t="s">
        <v>29</v>
      </c>
      <c r="R474" t="s">
        <v>50</v>
      </c>
    </row>
    <row r="475" spans="1:18" x14ac:dyDescent="0.25">
      <c r="A475">
        <v>2000</v>
      </c>
      <c r="B475">
        <v>397</v>
      </c>
      <c r="C475" t="s">
        <v>1308</v>
      </c>
      <c r="D475" t="s">
        <v>1309</v>
      </c>
      <c r="E475">
        <v>336110</v>
      </c>
      <c r="F475" t="s">
        <v>377</v>
      </c>
      <c r="G475" t="s">
        <v>44</v>
      </c>
      <c r="H475" t="s">
        <v>21</v>
      </c>
      <c r="I475" t="s">
        <v>152</v>
      </c>
      <c r="J475" t="s">
        <v>153</v>
      </c>
      <c r="K475" t="s">
        <v>154</v>
      </c>
      <c r="L475" t="s">
        <v>25</v>
      </c>
      <c r="M475" t="s">
        <v>26</v>
      </c>
      <c r="N475" t="s">
        <v>38</v>
      </c>
      <c r="O475" t="s">
        <v>39</v>
      </c>
      <c r="P475">
        <v>23.4</v>
      </c>
      <c r="Q475" t="s">
        <v>29</v>
      </c>
      <c r="R475" t="s">
        <v>50</v>
      </c>
    </row>
    <row r="476" spans="1:18" x14ac:dyDescent="0.25">
      <c r="A476">
        <v>2014</v>
      </c>
      <c r="B476">
        <v>800</v>
      </c>
      <c r="C476" t="s">
        <v>1310</v>
      </c>
      <c r="D476" t="s">
        <v>1311</v>
      </c>
      <c r="E476">
        <v>325190</v>
      </c>
      <c r="F476" t="s">
        <v>600</v>
      </c>
      <c r="G476" t="s">
        <v>601</v>
      </c>
      <c r="H476" t="s">
        <v>21</v>
      </c>
      <c r="I476" t="s">
        <v>520</v>
      </c>
      <c r="J476" t="s">
        <v>521</v>
      </c>
      <c r="K476" t="s">
        <v>522</v>
      </c>
      <c r="L476" t="s">
        <v>89</v>
      </c>
      <c r="M476" t="s">
        <v>90</v>
      </c>
      <c r="N476" t="s">
        <v>166</v>
      </c>
      <c r="O476" t="s">
        <v>167</v>
      </c>
      <c r="P476">
        <v>24.58</v>
      </c>
      <c r="Q476" t="s">
        <v>29</v>
      </c>
      <c r="R476" t="s">
        <v>30</v>
      </c>
    </row>
    <row r="477" spans="1:18" x14ac:dyDescent="0.25">
      <c r="A477">
        <v>1998</v>
      </c>
      <c r="B477">
        <v>5647</v>
      </c>
      <c r="C477" t="s">
        <v>1312</v>
      </c>
      <c r="D477" t="s">
        <v>1313</v>
      </c>
      <c r="E477">
        <v>562210</v>
      </c>
      <c r="F477" t="s">
        <v>52</v>
      </c>
      <c r="G477" t="s">
        <v>53</v>
      </c>
      <c r="H477" t="s">
        <v>21</v>
      </c>
      <c r="I477" t="s">
        <v>129</v>
      </c>
      <c r="J477" t="s">
        <v>130</v>
      </c>
      <c r="K477" t="s">
        <v>131</v>
      </c>
      <c r="L477" t="s">
        <v>25</v>
      </c>
      <c r="M477" t="s">
        <v>26</v>
      </c>
      <c r="N477" t="s">
        <v>48</v>
      </c>
      <c r="O477" t="s">
        <v>49</v>
      </c>
      <c r="P477">
        <v>19.370999999999999</v>
      </c>
      <c r="Q477" t="s">
        <v>29</v>
      </c>
      <c r="R477" t="s">
        <v>442</v>
      </c>
    </row>
    <row r="478" spans="1:18" x14ac:dyDescent="0.25">
      <c r="A478">
        <v>2001</v>
      </c>
      <c r="B478">
        <v>1162</v>
      </c>
      <c r="C478" t="s">
        <v>1314</v>
      </c>
      <c r="D478" t="s">
        <v>1315</v>
      </c>
      <c r="E478">
        <v>325110</v>
      </c>
      <c r="F478" t="s">
        <v>1194</v>
      </c>
      <c r="G478" t="s">
        <v>445</v>
      </c>
      <c r="H478" t="s">
        <v>85</v>
      </c>
      <c r="I478" t="s">
        <v>106</v>
      </c>
      <c r="J478" t="s">
        <v>107</v>
      </c>
      <c r="K478" t="s">
        <v>108</v>
      </c>
      <c r="L478" t="s">
        <v>25</v>
      </c>
      <c r="M478" t="s">
        <v>26</v>
      </c>
      <c r="N478" t="s">
        <v>38</v>
      </c>
      <c r="O478" t="s">
        <v>39</v>
      </c>
      <c r="P478">
        <v>19</v>
      </c>
      <c r="Q478" t="s">
        <v>40</v>
      </c>
      <c r="R478" t="s">
        <v>442</v>
      </c>
    </row>
    <row r="479" spans="1:18" x14ac:dyDescent="0.25">
      <c r="A479">
        <v>1996</v>
      </c>
      <c r="B479">
        <v>3427</v>
      </c>
      <c r="C479" t="s">
        <v>1070</v>
      </c>
      <c r="E479">
        <v>325510</v>
      </c>
      <c r="F479" t="s">
        <v>143</v>
      </c>
      <c r="G479" t="s">
        <v>112</v>
      </c>
      <c r="H479" t="s">
        <v>85</v>
      </c>
      <c r="I479" t="s">
        <v>271</v>
      </c>
      <c r="J479" t="s">
        <v>387</v>
      </c>
      <c r="K479" t="s">
        <v>388</v>
      </c>
      <c r="L479" t="s">
        <v>25</v>
      </c>
      <c r="M479" t="s">
        <v>26</v>
      </c>
      <c r="N479" t="s">
        <v>48</v>
      </c>
      <c r="O479" t="s">
        <v>49</v>
      </c>
      <c r="P479">
        <v>0.33500000000000002</v>
      </c>
      <c r="Q479" t="s">
        <v>29</v>
      </c>
      <c r="R479" t="s">
        <v>30</v>
      </c>
    </row>
    <row r="480" spans="1:18" x14ac:dyDescent="0.25">
      <c r="A480">
        <v>2017</v>
      </c>
      <c r="B480">
        <v>8645</v>
      </c>
      <c r="C480" t="s">
        <v>642</v>
      </c>
      <c r="D480" t="s">
        <v>712</v>
      </c>
      <c r="E480">
        <v>562110</v>
      </c>
      <c r="F480" t="s">
        <v>644</v>
      </c>
      <c r="G480" t="s">
        <v>645</v>
      </c>
      <c r="H480" t="s">
        <v>79</v>
      </c>
      <c r="I480" t="s">
        <v>1316</v>
      </c>
      <c r="J480" t="s">
        <v>1317</v>
      </c>
      <c r="K480" t="s">
        <v>1318</v>
      </c>
      <c r="L480" t="s">
        <v>89</v>
      </c>
      <c r="M480" t="s">
        <v>90</v>
      </c>
      <c r="N480" t="s">
        <v>120</v>
      </c>
      <c r="O480" t="s">
        <v>121</v>
      </c>
      <c r="P480">
        <v>8.6452000000000009</v>
      </c>
      <c r="Q480" t="s">
        <v>29</v>
      </c>
      <c r="R480" t="s">
        <v>50</v>
      </c>
    </row>
    <row r="481" spans="1:18" x14ac:dyDescent="0.25">
      <c r="A481">
        <v>1994</v>
      </c>
      <c r="B481">
        <v>2528</v>
      </c>
      <c r="C481" t="s">
        <v>1319</v>
      </c>
      <c r="E481">
        <v>325110</v>
      </c>
      <c r="F481" t="s">
        <v>1194</v>
      </c>
      <c r="G481" t="s">
        <v>445</v>
      </c>
      <c r="H481" t="s">
        <v>69</v>
      </c>
      <c r="I481" t="s">
        <v>331</v>
      </c>
      <c r="J481" t="s">
        <v>332</v>
      </c>
      <c r="K481" t="s">
        <v>333</v>
      </c>
      <c r="L481" t="s">
        <v>89</v>
      </c>
      <c r="M481" t="s">
        <v>90</v>
      </c>
      <c r="N481" t="s">
        <v>166</v>
      </c>
      <c r="O481" t="s">
        <v>167</v>
      </c>
      <c r="P481">
        <v>0.1</v>
      </c>
      <c r="Q481" t="s">
        <v>29</v>
      </c>
      <c r="R481" t="s">
        <v>30</v>
      </c>
    </row>
    <row r="482" spans="1:18" x14ac:dyDescent="0.25">
      <c r="A482">
        <v>2011</v>
      </c>
      <c r="B482">
        <v>10215</v>
      </c>
      <c r="C482" t="s">
        <v>125</v>
      </c>
      <c r="D482" t="s">
        <v>1161</v>
      </c>
      <c r="E482">
        <v>412110</v>
      </c>
      <c r="F482" t="s">
        <v>346</v>
      </c>
      <c r="G482" t="s">
        <v>347</v>
      </c>
      <c r="H482" t="s">
        <v>85</v>
      </c>
      <c r="I482" t="s">
        <v>844</v>
      </c>
      <c r="J482" t="s">
        <v>845</v>
      </c>
      <c r="K482" t="s">
        <v>846</v>
      </c>
      <c r="L482" t="s">
        <v>25</v>
      </c>
      <c r="M482" t="s">
        <v>26</v>
      </c>
      <c r="N482" t="s">
        <v>380</v>
      </c>
      <c r="O482" t="s">
        <v>381</v>
      </c>
      <c r="P482">
        <v>15.363799999999999</v>
      </c>
      <c r="Q482" t="s">
        <v>29</v>
      </c>
      <c r="R482" t="s">
        <v>30</v>
      </c>
    </row>
    <row r="483" spans="1:18" x14ac:dyDescent="0.25">
      <c r="A483">
        <v>2009</v>
      </c>
      <c r="B483">
        <v>2390</v>
      </c>
      <c r="C483" t="s">
        <v>1320</v>
      </c>
      <c r="D483" t="s">
        <v>1321</v>
      </c>
      <c r="E483">
        <v>336360</v>
      </c>
      <c r="F483" t="s">
        <v>1322</v>
      </c>
      <c r="G483" t="s">
        <v>1160</v>
      </c>
      <c r="H483" t="s">
        <v>21</v>
      </c>
      <c r="I483" t="s">
        <v>1180</v>
      </c>
      <c r="J483" t="s">
        <v>1181</v>
      </c>
      <c r="K483" t="s">
        <v>1182</v>
      </c>
      <c r="L483" t="s">
        <v>89</v>
      </c>
      <c r="M483" t="s">
        <v>90</v>
      </c>
      <c r="N483" t="s">
        <v>166</v>
      </c>
      <c r="O483" t="s">
        <v>167</v>
      </c>
      <c r="P483">
        <v>5.0000000000000001E-3</v>
      </c>
      <c r="Q483" t="s">
        <v>29</v>
      </c>
      <c r="R483" t="s">
        <v>30</v>
      </c>
    </row>
    <row r="484" spans="1:18" x14ac:dyDescent="0.25">
      <c r="A484">
        <v>2023</v>
      </c>
      <c r="B484">
        <v>27506</v>
      </c>
      <c r="C484" t="s">
        <v>1323</v>
      </c>
      <c r="D484" t="s">
        <v>1324</v>
      </c>
      <c r="E484">
        <v>211142</v>
      </c>
      <c r="F484" t="s">
        <v>357</v>
      </c>
      <c r="G484" t="s">
        <v>358</v>
      </c>
      <c r="H484" t="s">
        <v>85</v>
      </c>
      <c r="I484" t="s">
        <v>106</v>
      </c>
      <c r="J484" t="s">
        <v>107</v>
      </c>
      <c r="K484" t="s">
        <v>108</v>
      </c>
      <c r="L484" t="s">
        <v>25</v>
      </c>
      <c r="M484" t="s">
        <v>26</v>
      </c>
      <c r="N484" t="s">
        <v>27</v>
      </c>
      <c r="O484" t="s">
        <v>28</v>
      </c>
      <c r="P484">
        <v>1.8E-5</v>
      </c>
      <c r="Q484" t="s">
        <v>40</v>
      </c>
      <c r="R484" t="s">
        <v>30</v>
      </c>
    </row>
    <row r="485" spans="1:18" x14ac:dyDescent="0.25">
      <c r="A485">
        <v>2002</v>
      </c>
      <c r="B485">
        <v>3238</v>
      </c>
      <c r="C485" t="s">
        <v>824</v>
      </c>
      <c r="D485" t="s">
        <v>1325</v>
      </c>
      <c r="E485">
        <v>221112</v>
      </c>
      <c r="F485" t="s">
        <v>134</v>
      </c>
      <c r="G485" t="s">
        <v>135</v>
      </c>
      <c r="H485" t="s">
        <v>21</v>
      </c>
      <c r="I485" t="s">
        <v>35</v>
      </c>
      <c r="J485" t="s">
        <v>36</v>
      </c>
      <c r="K485" t="s">
        <v>37</v>
      </c>
      <c r="L485" t="s">
        <v>25</v>
      </c>
      <c r="M485" t="s">
        <v>26</v>
      </c>
      <c r="N485" t="s">
        <v>155</v>
      </c>
      <c r="O485" t="s">
        <v>156</v>
      </c>
      <c r="P485">
        <v>1470</v>
      </c>
      <c r="Q485" t="s">
        <v>40</v>
      </c>
      <c r="R485" t="s">
        <v>50</v>
      </c>
    </row>
    <row r="486" spans="1:18" x14ac:dyDescent="0.25">
      <c r="A486">
        <v>2018</v>
      </c>
      <c r="B486">
        <v>7728</v>
      </c>
      <c r="C486" t="s">
        <v>1326</v>
      </c>
      <c r="D486" t="s">
        <v>1327</v>
      </c>
      <c r="E486">
        <v>486210</v>
      </c>
      <c r="F486" t="s">
        <v>1328</v>
      </c>
      <c r="G486" t="s">
        <v>1329</v>
      </c>
      <c r="H486" t="s">
        <v>69</v>
      </c>
      <c r="I486" t="s">
        <v>35</v>
      </c>
      <c r="J486" t="s">
        <v>36</v>
      </c>
      <c r="K486" t="s">
        <v>37</v>
      </c>
      <c r="L486" t="s">
        <v>25</v>
      </c>
      <c r="M486" t="s">
        <v>26</v>
      </c>
      <c r="N486" t="s">
        <v>38</v>
      </c>
      <c r="O486" t="s">
        <v>39</v>
      </c>
      <c r="P486">
        <v>2968</v>
      </c>
      <c r="Q486" t="s">
        <v>40</v>
      </c>
      <c r="R486" t="s">
        <v>50</v>
      </c>
    </row>
    <row r="487" spans="1:18" x14ac:dyDescent="0.25">
      <c r="A487">
        <v>2005</v>
      </c>
      <c r="B487">
        <v>5354</v>
      </c>
      <c r="C487" t="s">
        <v>1330</v>
      </c>
      <c r="D487" t="s">
        <v>1331</v>
      </c>
      <c r="E487">
        <v>221121</v>
      </c>
      <c r="F487" t="s">
        <v>1332</v>
      </c>
      <c r="G487" t="s">
        <v>1333</v>
      </c>
      <c r="H487" t="s">
        <v>54</v>
      </c>
      <c r="I487" t="s">
        <v>106</v>
      </c>
      <c r="J487" t="s">
        <v>107</v>
      </c>
      <c r="K487" t="s">
        <v>108</v>
      </c>
      <c r="L487" t="s">
        <v>25</v>
      </c>
      <c r="M487" t="s">
        <v>26</v>
      </c>
      <c r="N487" t="s">
        <v>155</v>
      </c>
      <c r="O487" t="s">
        <v>156</v>
      </c>
      <c r="P487">
        <v>431.68200000000002</v>
      </c>
      <c r="Q487" t="s">
        <v>40</v>
      </c>
      <c r="R487" t="s">
        <v>50</v>
      </c>
    </row>
    <row r="488" spans="1:18" x14ac:dyDescent="0.25">
      <c r="A488">
        <v>2000</v>
      </c>
      <c r="B488">
        <v>5351</v>
      </c>
      <c r="C488" t="s">
        <v>1334</v>
      </c>
      <c r="D488" t="s">
        <v>1335</v>
      </c>
      <c r="E488">
        <v>213118</v>
      </c>
      <c r="F488" t="s">
        <v>1336</v>
      </c>
      <c r="G488" t="s">
        <v>1337</v>
      </c>
      <c r="H488" t="s">
        <v>85</v>
      </c>
      <c r="I488" t="s">
        <v>271</v>
      </c>
      <c r="J488" t="s">
        <v>272</v>
      </c>
      <c r="K488" t="s">
        <v>273</v>
      </c>
      <c r="L488" t="s">
        <v>25</v>
      </c>
      <c r="M488" t="s">
        <v>26</v>
      </c>
      <c r="N488" t="s">
        <v>48</v>
      </c>
      <c r="O488" t="s">
        <v>49</v>
      </c>
      <c r="P488">
        <v>5.117</v>
      </c>
      <c r="Q488" t="s">
        <v>29</v>
      </c>
      <c r="R488" t="s">
        <v>30</v>
      </c>
    </row>
    <row r="489" spans="1:18" x14ac:dyDescent="0.25">
      <c r="A489">
        <v>2020</v>
      </c>
      <c r="B489">
        <v>2134</v>
      </c>
      <c r="C489" t="s">
        <v>1115</v>
      </c>
      <c r="D489" t="s">
        <v>1338</v>
      </c>
      <c r="E489">
        <v>325313</v>
      </c>
      <c r="F489" t="s">
        <v>1054</v>
      </c>
      <c r="G489" t="s">
        <v>1055</v>
      </c>
      <c r="H489" t="s">
        <v>85</v>
      </c>
      <c r="I489" t="s">
        <v>184</v>
      </c>
      <c r="J489" t="s">
        <v>185</v>
      </c>
      <c r="K489" t="s">
        <v>186</v>
      </c>
      <c r="L489" t="s">
        <v>89</v>
      </c>
      <c r="M489" t="s">
        <v>90</v>
      </c>
      <c r="N489" t="s">
        <v>100</v>
      </c>
      <c r="O489" t="s">
        <v>101</v>
      </c>
      <c r="P489">
        <v>0.66</v>
      </c>
      <c r="Q489" t="s">
        <v>40</v>
      </c>
      <c r="R489" t="s">
        <v>124</v>
      </c>
    </row>
    <row r="490" spans="1:18" x14ac:dyDescent="0.25">
      <c r="A490">
        <v>2014</v>
      </c>
      <c r="B490">
        <v>23544</v>
      </c>
      <c r="C490" t="s">
        <v>1339</v>
      </c>
      <c r="D490" t="s">
        <v>1340</v>
      </c>
      <c r="E490">
        <v>562990</v>
      </c>
      <c r="F490" t="s">
        <v>581</v>
      </c>
      <c r="G490" t="s">
        <v>105</v>
      </c>
      <c r="H490" t="s">
        <v>85</v>
      </c>
      <c r="I490" t="s">
        <v>331</v>
      </c>
      <c r="J490" t="s">
        <v>332</v>
      </c>
      <c r="K490" t="s">
        <v>333</v>
      </c>
      <c r="L490" t="s">
        <v>25</v>
      </c>
      <c r="M490" t="s">
        <v>26</v>
      </c>
      <c r="N490" t="s">
        <v>155</v>
      </c>
      <c r="O490" t="s">
        <v>156</v>
      </c>
      <c r="P490">
        <v>95</v>
      </c>
      <c r="Q490" t="s">
        <v>29</v>
      </c>
      <c r="R490" t="s">
        <v>30</v>
      </c>
    </row>
    <row r="491" spans="1:18" x14ac:dyDescent="0.25">
      <c r="A491">
        <v>2005</v>
      </c>
      <c r="B491">
        <v>7239</v>
      </c>
      <c r="C491" t="s">
        <v>1341</v>
      </c>
      <c r="D491" t="s">
        <v>1342</v>
      </c>
      <c r="E491">
        <v>336390</v>
      </c>
      <c r="F491" t="s">
        <v>60</v>
      </c>
      <c r="G491" t="s">
        <v>61</v>
      </c>
      <c r="H491" t="s">
        <v>21</v>
      </c>
      <c r="I491" t="s">
        <v>35</v>
      </c>
      <c r="J491" t="s">
        <v>36</v>
      </c>
      <c r="K491" t="s">
        <v>37</v>
      </c>
      <c r="L491" t="s">
        <v>89</v>
      </c>
      <c r="M491" t="s">
        <v>90</v>
      </c>
      <c r="N491" t="s">
        <v>91</v>
      </c>
      <c r="O491" t="s">
        <v>92</v>
      </c>
      <c r="P491">
        <v>99.76</v>
      </c>
      <c r="Q491" t="s">
        <v>40</v>
      </c>
      <c r="R491" t="s">
        <v>124</v>
      </c>
    </row>
    <row r="492" spans="1:18" x14ac:dyDescent="0.25">
      <c r="A492">
        <v>1999</v>
      </c>
      <c r="B492">
        <v>3953</v>
      </c>
      <c r="C492" t="s">
        <v>1343</v>
      </c>
      <c r="D492" t="s">
        <v>1344</v>
      </c>
      <c r="E492">
        <v>331110</v>
      </c>
      <c r="F492" t="s">
        <v>335</v>
      </c>
      <c r="G492" t="s">
        <v>336</v>
      </c>
      <c r="H492" t="s">
        <v>79</v>
      </c>
      <c r="I492" t="s">
        <v>209</v>
      </c>
      <c r="J492" t="s">
        <v>210</v>
      </c>
      <c r="K492" t="s">
        <v>211</v>
      </c>
      <c r="L492" t="s">
        <v>89</v>
      </c>
      <c r="M492" t="s">
        <v>90</v>
      </c>
      <c r="N492" t="s">
        <v>120</v>
      </c>
      <c r="O492" t="s">
        <v>121</v>
      </c>
      <c r="P492">
        <v>272.95999999999998</v>
      </c>
      <c r="Q492" t="s">
        <v>29</v>
      </c>
      <c r="R492" t="s">
        <v>30</v>
      </c>
    </row>
    <row r="493" spans="1:18" x14ac:dyDescent="0.25">
      <c r="A493">
        <v>2002</v>
      </c>
      <c r="B493">
        <v>4785</v>
      </c>
      <c r="C493" t="s">
        <v>1345</v>
      </c>
      <c r="D493" t="s">
        <v>1346</v>
      </c>
      <c r="E493">
        <v>332319</v>
      </c>
      <c r="F493" t="s">
        <v>1347</v>
      </c>
      <c r="G493" t="s">
        <v>773</v>
      </c>
      <c r="H493" t="s">
        <v>21</v>
      </c>
      <c r="I493" t="s">
        <v>177</v>
      </c>
      <c r="J493" t="s">
        <v>178</v>
      </c>
      <c r="K493" t="s">
        <v>179</v>
      </c>
      <c r="L493" t="s">
        <v>25</v>
      </c>
      <c r="M493" t="s">
        <v>26</v>
      </c>
      <c r="N493" t="s">
        <v>38</v>
      </c>
      <c r="O493" t="s">
        <v>39</v>
      </c>
      <c r="P493">
        <v>21.1</v>
      </c>
      <c r="Q493" t="s">
        <v>29</v>
      </c>
      <c r="R493" t="s">
        <v>30</v>
      </c>
    </row>
    <row r="494" spans="1:18" x14ac:dyDescent="0.25">
      <c r="A494">
        <v>2021</v>
      </c>
      <c r="B494">
        <v>8696</v>
      </c>
      <c r="C494" t="s">
        <v>1348</v>
      </c>
      <c r="D494" t="s">
        <v>1348</v>
      </c>
      <c r="E494">
        <v>562990</v>
      </c>
      <c r="F494" t="s">
        <v>581</v>
      </c>
      <c r="G494" t="s">
        <v>105</v>
      </c>
      <c r="H494" t="s">
        <v>79</v>
      </c>
      <c r="I494" t="s">
        <v>70</v>
      </c>
      <c r="J494" t="s">
        <v>71</v>
      </c>
      <c r="K494" t="s">
        <v>72</v>
      </c>
      <c r="L494" t="s">
        <v>25</v>
      </c>
      <c r="M494" t="s">
        <v>26</v>
      </c>
      <c r="N494" t="s">
        <v>27</v>
      </c>
      <c r="O494" t="s">
        <v>28</v>
      </c>
      <c r="P494">
        <v>15.58</v>
      </c>
      <c r="Q494" t="s">
        <v>29</v>
      </c>
      <c r="R494" t="s">
        <v>50</v>
      </c>
    </row>
    <row r="495" spans="1:18" x14ac:dyDescent="0.25">
      <c r="A495">
        <v>2023</v>
      </c>
      <c r="B495">
        <v>10226</v>
      </c>
      <c r="C495" t="s">
        <v>125</v>
      </c>
      <c r="D495" t="s">
        <v>1349</v>
      </c>
      <c r="E495">
        <v>412110</v>
      </c>
      <c r="F495" t="s">
        <v>589</v>
      </c>
      <c r="G495" t="s">
        <v>590</v>
      </c>
      <c r="H495" t="s">
        <v>21</v>
      </c>
      <c r="I495" t="s">
        <v>1050</v>
      </c>
      <c r="J495" t="s">
        <v>1051</v>
      </c>
      <c r="K495" t="s">
        <v>1052</v>
      </c>
      <c r="L495" t="s">
        <v>25</v>
      </c>
      <c r="M495" t="s">
        <v>26</v>
      </c>
      <c r="N495" t="s">
        <v>380</v>
      </c>
      <c r="O495" t="s">
        <v>381</v>
      </c>
      <c r="P495">
        <v>19.921500000000002</v>
      </c>
      <c r="Q495" t="s">
        <v>40</v>
      </c>
      <c r="R495" t="s">
        <v>30</v>
      </c>
    </row>
    <row r="496" spans="1:18" x14ac:dyDescent="0.25">
      <c r="A496">
        <v>2007</v>
      </c>
      <c r="B496">
        <v>4799</v>
      </c>
      <c r="C496" t="s">
        <v>1350</v>
      </c>
      <c r="D496" t="s">
        <v>1351</v>
      </c>
      <c r="E496">
        <v>331511</v>
      </c>
      <c r="F496" t="s">
        <v>160</v>
      </c>
      <c r="G496" t="s">
        <v>161</v>
      </c>
      <c r="H496" t="s">
        <v>79</v>
      </c>
      <c r="I496" t="s">
        <v>324</v>
      </c>
      <c r="J496" t="s">
        <v>325</v>
      </c>
      <c r="K496" t="s">
        <v>326</v>
      </c>
      <c r="L496" t="s">
        <v>25</v>
      </c>
      <c r="M496" t="s">
        <v>26</v>
      </c>
      <c r="N496" t="s">
        <v>288</v>
      </c>
      <c r="O496" t="s">
        <v>289</v>
      </c>
      <c r="P496">
        <v>70</v>
      </c>
      <c r="Q496" t="s">
        <v>40</v>
      </c>
      <c r="R496" t="s">
        <v>50</v>
      </c>
    </row>
    <row r="497" spans="1:18" x14ac:dyDescent="0.25">
      <c r="A497">
        <v>2015</v>
      </c>
      <c r="B497">
        <v>5498</v>
      </c>
      <c r="C497" t="s">
        <v>1352</v>
      </c>
      <c r="D497" t="s">
        <v>1353</v>
      </c>
      <c r="E497">
        <v>311990</v>
      </c>
      <c r="F497" t="s">
        <v>1354</v>
      </c>
      <c r="G497" t="s">
        <v>1039</v>
      </c>
      <c r="H497" t="s">
        <v>79</v>
      </c>
      <c r="I497" t="s">
        <v>97</v>
      </c>
      <c r="J497" t="s">
        <v>98</v>
      </c>
      <c r="K497" t="s">
        <v>99</v>
      </c>
      <c r="L497" t="s">
        <v>89</v>
      </c>
      <c r="M497" t="s">
        <v>90</v>
      </c>
      <c r="N497" t="s">
        <v>100</v>
      </c>
      <c r="O497" t="s">
        <v>101</v>
      </c>
      <c r="P497">
        <v>17.623000000000001</v>
      </c>
      <c r="Q497" t="s">
        <v>29</v>
      </c>
      <c r="R497" t="s">
        <v>124</v>
      </c>
    </row>
    <row r="498" spans="1:18" x14ac:dyDescent="0.25">
      <c r="A498">
        <v>2011</v>
      </c>
      <c r="B498">
        <v>397</v>
      </c>
      <c r="C498" t="s">
        <v>41</v>
      </c>
      <c r="D498" t="s">
        <v>42</v>
      </c>
      <c r="E498">
        <v>336110</v>
      </c>
      <c r="F498" t="s">
        <v>377</v>
      </c>
      <c r="G498" t="s">
        <v>44</v>
      </c>
      <c r="H498" t="s">
        <v>21</v>
      </c>
      <c r="I498" t="s">
        <v>129</v>
      </c>
      <c r="J498" t="s">
        <v>130</v>
      </c>
      <c r="K498" t="s">
        <v>131</v>
      </c>
      <c r="L498" t="s">
        <v>25</v>
      </c>
      <c r="M498" t="s">
        <v>26</v>
      </c>
      <c r="N498" t="s">
        <v>27</v>
      </c>
      <c r="O498" t="s">
        <v>28</v>
      </c>
      <c r="P498">
        <v>71.305000000000007</v>
      </c>
      <c r="Q498" t="s">
        <v>29</v>
      </c>
      <c r="R498" t="s">
        <v>124</v>
      </c>
    </row>
    <row r="499" spans="1:18" x14ac:dyDescent="0.25">
      <c r="A499">
        <v>2008</v>
      </c>
      <c r="B499">
        <v>6467</v>
      </c>
      <c r="C499" t="s">
        <v>1355</v>
      </c>
      <c r="D499" t="s">
        <v>1355</v>
      </c>
      <c r="E499">
        <v>332999</v>
      </c>
      <c r="F499" t="s">
        <v>309</v>
      </c>
      <c r="G499" t="s">
        <v>304</v>
      </c>
      <c r="H499" t="s">
        <v>79</v>
      </c>
      <c r="I499" t="s">
        <v>461</v>
      </c>
      <c r="J499" t="s">
        <v>462</v>
      </c>
      <c r="K499" t="s">
        <v>463</v>
      </c>
      <c r="L499" t="s">
        <v>89</v>
      </c>
      <c r="M499" t="s">
        <v>90</v>
      </c>
      <c r="N499" t="s">
        <v>91</v>
      </c>
      <c r="O499" t="s">
        <v>92</v>
      </c>
      <c r="P499">
        <v>10</v>
      </c>
      <c r="Q499" t="s">
        <v>40</v>
      </c>
      <c r="R499" t="s">
        <v>50</v>
      </c>
    </row>
    <row r="500" spans="1:18" x14ac:dyDescent="0.25">
      <c r="A500">
        <v>2017</v>
      </c>
      <c r="B500">
        <v>27506</v>
      </c>
      <c r="C500" t="s">
        <v>1323</v>
      </c>
      <c r="D500" t="s">
        <v>1356</v>
      </c>
      <c r="E500">
        <v>211142</v>
      </c>
      <c r="F500" t="s">
        <v>357</v>
      </c>
      <c r="G500" t="s">
        <v>358</v>
      </c>
      <c r="H500" t="s">
        <v>85</v>
      </c>
      <c r="I500" t="s">
        <v>391</v>
      </c>
      <c r="J500" t="s">
        <v>392</v>
      </c>
      <c r="K500" t="s">
        <v>393</v>
      </c>
      <c r="L500" t="s">
        <v>25</v>
      </c>
      <c r="M500" t="s">
        <v>26</v>
      </c>
      <c r="N500" t="s">
        <v>380</v>
      </c>
      <c r="O500" t="s">
        <v>381</v>
      </c>
      <c r="P500">
        <v>1.2E-2</v>
      </c>
      <c r="Q500" t="s">
        <v>40</v>
      </c>
      <c r="R500" t="s">
        <v>30</v>
      </c>
    </row>
    <row r="501" spans="1:18" x14ac:dyDescent="0.25">
      <c r="A501">
        <v>2011</v>
      </c>
      <c r="B501">
        <v>4377</v>
      </c>
      <c r="C501" t="s">
        <v>1357</v>
      </c>
      <c r="D501" t="s">
        <v>1357</v>
      </c>
      <c r="E501">
        <v>332999</v>
      </c>
      <c r="F501" t="s">
        <v>309</v>
      </c>
      <c r="G501" t="s">
        <v>304</v>
      </c>
      <c r="H501" t="s">
        <v>79</v>
      </c>
      <c r="I501" t="s">
        <v>152</v>
      </c>
      <c r="J501" t="s">
        <v>153</v>
      </c>
      <c r="K501" t="s">
        <v>154</v>
      </c>
      <c r="L501" t="s">
        <v>25</v>
      </c>
      <c r="M501" t="s">
        <v>26</v>
      </c>
      <c r="N501" t="s">
        <v>155</v>
      </c>
      <c r="O501" t="s">
        <v>156</v>
      </c>
      <c r="P501">
        <v>0</v>
      </c>
      <c r="Q501" t="s">
        <v>29</v>
      </c>
      <c r="R501" t="s">
        <v>50</v>
      </c>
    </row>
  </sheetData>
  <sheetProtection algorithmName="SHA-512" hashValue="uLXwGkds48F+z9K+tBsCJvvbV5IG0yhXyC3wP3MBMIZDuONw42ukE9jJOJJkt5HEkaMBiaqmSlh8J8YdMOUm5g==" saltValue="hqlbdnyA6ZY90Jbm4mE1lg==" spinCount="100000" sheet="1" objects="1" scenarios="1" selectLockedCells="1" selectUnlockedCell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2223F-2B0C-4446-83EA-88593A0F0C6C}">
  <sheetPr>
    <tabColor theme="8" tint="0.79998168889431442"/>
  </sheetPr>
  <dimension ref="A1:R501"/>
  <sheetViews>
    <sheetView workbookViewId="0"/>
  </sheetViews>
  <sheetFormatPr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2004</v>
      </c>
      <c r="B2">
        <v>4725</v>
      </c>
      <c r="C2" t="s">
        <v>1358</v>
      </c>
      <c r="D2" t="s">
        <v>1358</v>
      </c>
      <c r="E2">
        <v>332510</v>
      </c>
      <c r="F2" t="s">
        <v>1359</v>
      </c>
      <c r="G2" t="s">
        <v>1360</v>
      </c>
      <c r="H2" t="s">
        <v>21</v>
      </c>
      <c r="I2" t="s">
        <v>62</v>
      </c>
      <c r="J2" t="s">
        <v>63</v>
      </c>
      <c r="K2" t="s">
        <v>64</v>
      </c>
      <c r="L2" t="s">
        <v>1361</v>
      </c>
      <c r="M2" t="s">
        <v>1362</v>
      </c>
      <c r="N2" t="s">
        <v>1363</v>
      </c>
      <c r="O2" t="s">
        <v>1364</v>
      </c>
      <c r="P2">
        <v>5.0999999999999997E-2</v>
      </c>
      <c r="Q2" t="s">
        <v>29</v>
      </c>
      <c r="R2" t="s">
        <v>30</v>
      </c>
    </row>
    <row r="3" spans="1:18" x14ac:dyDescent="0.25">
      <c r="A3">
        <v>2017</v>
      </c>
      <c r="B3">
        <v>10450</v>
      </c>
      <c r="C3" t="s">
        <v>1365</v>
      </c>
      <c r="D3" t="s">
        <v>1366</v>
      </c>
      <c r="E3">
        <v>321111</v>
      </c>
      <c r="F3" t="s">
        <v>1367</v>
      </c>
      <c r="G3" t="s">
        <v>1368</v>
      </c>
      <c r="H3" t="s">
        <v>21</v>
      </c>
      <c r="I3" t="s">
        <v>1369</v>
      </c>
      <c r="J3" t="s">
        <v>1370</v>
      </c>
      <c r="K3" t="s">
        <v>1371</v>
      </c>
      <c r="L3" t="s">
        <v>1372</v>
      </c>
      <c r="M3" t="s">
        <v>1373</v>
      </c>
      <c r="N3" t="s">
        <v>1374</v>
      </c>
      <c r="O3" t="s">
        <v>1375</v>
      </c>
      <c r="P3">
        <v>23.3</v>
      </c>
      <c r="Q3" t="s">
        <v>29</v>
      </c>
      <c r="R3" t="s">
        <v>430</v>
      </c>
    </row>
    <row r="4" spans="1:18" x14ac:dyDescent="0.25">
      <c r="A4">
        <v>2009</v>
      </c>
      <c r="B4">
        <v>1797</v>
      </c>
      <c r="C4" t="s">
        <v>1376</v>
      </c>
      <c r="D4" t="s">
        <v>1377</v>
      </c>
      <c r="E4">
        <v>322112</v>
      </c>
      <c r="F4" t="s">
        <v>620</v>
      </c>
      <c r="G4" t="s">
        <v>621</v>
      </c>
      <c r="H4" t="s">
        <v>69</v>
      </c>
      <c r="I4" t="s">
        <v>191</v>
      </c>
      <c r="J4" t="s">
        <v>192</v>
      </c>
      <c r="K4" t="s">
        <v>193</v>
      </c>
      <c r="L4" t="s">
        <v>1378</v>
      </c>
      <c r="M4" t="s">
        <v>1379</v>
      </c>
      <c r="N4" t="s">
        <v>1380</v>
      </c>
      <c r="O4" t="s">
        <v>1381</v>
      </c>
      <c r="P4">
        <v>1.702</v>
      </c>
      <c r="Q4" t="s">
        <v>29</v>
      </c>
      <c r="R4" t="s">
        <v>430</v>
      </c>
    </row>
    <row r="5" spans="1:18" x14ac:dyDescent="0.25">
      <c r="A5">
        <v>2016</v>
      </c>
      <c r="B5">
        <v>1872</v>
      </c>
      <c r="C5" t="s">
        <v>1382</v>
      </c>
      <c r="D5" t="s">
        <v>1383</v>
      </c>
      <c r="E5">
        <v>322121</v>
      </c>
      <c r="F5" t="s">
        <v>938</v>
      </c>
      <c r="G5" t="s">
        <v>765</v>
      </c>
      <c r="H5" t="s">
        <v>79</v>
      </c>
      <c r="I5" t="s">
        <v>1251</v>
      </c>
      <c r="J5" t="s">
        <v>1252</v>
      </c>
      <c r="K5" t="s">
        <v>1253</v>
      </c>
      <c r="L5" t="s">
        <v>1372</v>
      </c>
      <c r="M5" t="s">
        <v>1373</v>
      </c>
      <c r="N5" t="s">
        <v>1374</v>
      </c>
      <c r="O5" t="s">
        <v>1375</v>
      </c>
      <c r="P5">
        <v>25</v>
      </c>
      <c r="Q5" t="s">
        <v>40</v>
      </c>
      <c r="R5" t="s">
        <v>157</v>
      </c>
    </row>
    <row r="6" spans="1:18" x14ac:dyDescent="0.25">
      <c r="A6">
        <v>2020</v>
      </c>
      <c r="B6">
        <v>4866</v>
      </c>
      <c r="C6" t="s">
        <v>1384</v>
      </c>
      <c r="D6" t="s">
        <v>1385</v>
      </c>
      <c r="E6">
        <v>212291</v>
      </c>
      <c r="F6" t="s">
        <v>241</v>
      </c>
      <c r="G6" t="s">
        <v>242</v>
      </c>
      <c r="H6" t="s">
        <v>243</v>
      </c>
      <c r="I6" t="s">
        <v>244</v>
      </c>
      <c r="J6" t="s">
        <v>245</v>
      </c>
      <c r="K6" t="s">
        <v>246</v>
      </c>
      <c r="L6" t="s">
        <v>1378</v>
      </c>
      <c r="M6" t="s">
        <v>1379</v>
      </c>
      <c r="N6" t="s">
        <v>1380</v>
      </c>
      <c r="O6" t="s">
        <v>1381</v>
      </c>
      <c r="P6">
        <v>47.125</v>
      </c>
      <c r="Q6" t="s">
        <v>40</v>
      </c>
      <c r="R6" t="s">
        <v>124</v>
      </c>
    </row>
    <row r="7" spans="1:18" x14ac:dyDescent="0.25">
      <c r="A7">
        <v>2017</v>
      </c>
      <c r="B7">
        <v>5544</v>
      </c>
      <c r="C7" t="s">
        <v>1386</v>
      </c>
      <c r="D7" t="s">
        <v>1387</v>
      </c>
      <c r="E7">
        <v>327310</v>
      </c>
      <c r="F7" t="s">
        <v>1388</v>
      </c>
      <c r="G7" t="s">
        <v>1389</v>
      </c>
      <c r="H7" t="s">
        <v>79</v>
      </c>
      <c r="I7" t="s">
        <v>1369</v>
      </c>
      <c r="J7" t="s">
        <v>1370</v>
      </c>
      <c r="K7" t="s">
        <v>1371</v>
      </c>
      <c r="L7" t="s">
        <v>1372</v>
      </c>
      <c r="M7" t="s">
        <v>1373</v>
      </c>
      <c r="N7" t="s">
        <v>1390</v>
      </c>
      <c r="O7" t="s">
        <v>1391</v>
      </c>
      <c r="P7">
        <v>15.8597</v>
      </c>
      <c r="Q7" t="s">
        <v>29</v>
      </c>
      <c r="R7" t="s">
        <v>430</v>
      </c>
    </row>
    <row r="8" spans="1:18" x14ac:dyDescent="0.25">
      <c r="A8">
        <v>2004</v>
      </c>
      <c r="B8">
        <v>7041</v>
      </c>
      <c r="C8" t="s">
        <v>1392</v>
      </c>
      <c r="D8" t="s">
        <v>1393</v>
      </c>
      <c r="E8">
        <v>221113</v>
      </c>
      <c r="F8" t="s">
        <v>911</v>
      </c>
      <c r="G8" t="s">
        <v>912</v>
      </c>
      <c r="H8" t="s">
        <v>21</v>
      </c>
      <c r="I8" t="s">
        <v>337</v>
      </c>
      <c r="J8" t="s">
        <v>338</v>
      </c>
      <c r="K8" t="s">
        <v>339</v>
      </c>
      <c r="L8" t="s">
        <v>1394</v>
      </c>
      <c r="M8" t="s">
        <v>1395</v>
      </c>
      <c r="N8" t="s">
        <v>1396</v>
      </c>
      <c r="O8" t="s">
        <v>1397</v>
      </c>
      <c r="P8">
        <v>3.0000000000000001E-3</v>
      </c>
      <c r="Q8" t="s">
        <v>29</v>
      </c>
      <c r="R8" t="s">
        <v>30</v>
      </c>
    </row>
    <row r="9" spans="1:18" x14ac:dyDescent="0.25">
      <c r="A9">
        <v>2007</v>
      </c>
      <c r="B9">
        <v>1464</v>
      </c>
      <c r="C9" t="s">
        <v>125</v>
      </c>
      <c r="D9" t="s">
        <v>1398</v>
      </c>
      <c r="E9">
        <v>325110</v>
      </c>
      <c r="F9" t="s">
        <v>1194</v>
      </c>
      <c r="G9" t="s">
        <v>445</v>
      </c>
      <c r="H9" t="s">
        <v>21</v>
      </c>
      <c r="I9" t="s">
        <v>129</v>
      </c>
      <c r="J9" t="s">
        <v>130</v>
      </c>
      <c r="K9" t="s">
        <v>131</v>
      </c>
      <c r="L9" t="s">
        <v>1372</v>
      </c>
      <c r="M9" t="s">
        <v>1373</v>
      </c>
      <c r="N9" t="s">
        <v>1399</v>
      </c>
      <c r="O9" t="s">
        <v>1400</v>
      </c>
      <c r="P9">
        <v>0.45700000000000002</v>
      </c>
      <c r="Q9" t="s">
        <v>29</v>
      </c>
      <c r="R9" t="s">
        <v>430</v>
      </c>
    </row>
    <row r="10" spans="1:18" x14ac:dyDescent="0.25">
      <c r="A10">
        <v>2003</v>
      </c>
      <c r="B10">
        <v>3758</v>
      </c>
      <c r="C10" t="s">
        <v>634</v>
      </c>
      <c r="D10" t="s">
        <v>1401</v>
      </c>
      <c r="E10">
        <v>211113</v>
      </c>
      <c r="F10" t="s">
        <v>425</v>
      </c>
      <c r="G10" t="s">
        <v>426</v>
      </c>
      <c r="H10" t="s">
        <v>85</v>
      </c>
      <c r="I10" t="s">
        <v>70</v>
      </c>
      <c r="J10" t="s">
        <v>71</v>
      </c>
      <c r="K10" t="s">
        <v>72</v>
      </c>
      <c r="L10" t="s">
        <v>1372</v>
      </c>
      <c r="M10" t="s">
        <v>1373</v>
      </c>
      <c r="N10" t="s">
        <v>1402</v>
      </c>
      <c r="O10" t="s">
        <v>1403</v>
      </c>
      <c r="P10">
        <v>2E-3</v>
      </c>
      <c r="Q10" t="s">
        <v>29</v>
      </c>
      <c r="R10" t="s">
        <v>30</v>
      </c>
    </row>
    <row r="11" spans="1:18" x14ac:dyDescent="0.25">
      <c r="A11">
        <v>2016</v>
      </c>
      <c r="B11">
        <v>4778</v>
      </c>
      <c r="C11" t="s">
        <v>1404</v>
      </c>
      <c r="D11" t="s">
        <v>1404</v>
      </c>
      <c r="E11">
        <v>331313</v>
      </c>
      <c r="F11" t="s">
        <v>1405</v>
      </c>
      <c r="G11" t="s">
        <v>1132</v>
      </c>
      <c r="H11" t="s">
        <v>79</v>
      </c>
      <c r="I11" t="s">
        <v>1406</v>
      </c>
      <c r="J11" t="s">
        <v>1407</v>
      </c>
      <c r="K11" t="s">
        <v>1408</v>
      </c>
      <c r="L11" t="s">
        <v>1372</v>
      </c>
      <c r="M11" t="s">
        <v>1373</v>
      </c>
      <c r="N11" t="s">
        <v>1409</v>
      </c>
      <c r="O11" t="s">
        <v>1410</v>
      </c>
      <c r="P11">
        <v>10.553000000000001</v>
      </c>
      <c r="Q11" t="s">
        <v>29</v>
      </c>
      <c r="R11" t="s">
        <v>50</v>
      </c>
    </row>
    <row r="12" spans="1:18" x14ac:dyDescent="0.25">
      <c r="A12">
        <v>2023</v>
      </c>
      <c r="B12">
        <v>32701</v>
      </c>
      <c r="C12" t="s">
        <v>1411</v>
      </c>
      <c r="D12" t="s">
        <v>1412</v>
      </c>
      <c r="E12">
        <v>211110</v>
      </c>
      <c r="F12" t="s">
        <v>233</v>
      </c>
      <c r="G12" t="s">
        <v>234</v>
      </c>
      <c r="H12" t="s">
        <v>85</v>
      </c>
      <c r="I12" t="s">
        <v>1413</v>
      </c>
      <c r="J12" t="s">
        <v>1414</v>
      </c>
      <c r="K12" t="s">
        <v>1415</v>
      </c>
      <c r="L12" t="s">
        <v>1372</v>
      </c>
      <c r="M12" t="s">
        <v>1373</v>
      </c>
      <c r="N12" t="s">
        <v>1374</v>
      </c>
      <c r="O12" t="s">
        <v>1375</v>
      </c>
      <c r="P12">
        <v>0</v>
      </c>
      <c r="Q12" t="s">
        <v>29</v>
      </c>
    </row>
    <row r="13" spans="1:18" x14ac:dyDescent="0.25">
      <c r="A13">
        <v>2015</v>
      </c>
      <c r="B13">
        <v>10153</v>
      </c>
      <c r="C13" t="s">
        <v>1109</v>
      </c>
      <c r="D13" t="s">
        <v>1416</v>
      </c>
      <c r="E13">
        <v>212233</v>
      </c>
      <c r="F13" t="s">
        <v>1111</v>
      </c>
      <c r="G13" t="s">
        <v>441</v>
      </c>
      <c r="H13" t="s">
        <v>21</v>
      </c>
      <c r="I13" t="s">
        <v>35</v>
      </c>
      <c r="J13" t="s">
        <v>36</v>
      </c>
      <c r="K13" t="s">
        <v>37</v>
      </c>
      <c r="L13" t="s">
        <v>1372</v>
      </c>
      <c r="M13" t="s">
        <v>1373</v>
      </c>
      <c r="N13" t="s">
        <v>1374</v>
      </c>
      <c r="O13" t="s">
        <v>1375</v>
      </c>
      <c r="P13">
        <v>95.3</v>
      </c>
      <c r="Q13" t="s">
        <v>40</v>
      </c>
      <c r="R13" t="s">
        <v>430</v>
      </c>
    </row>
    <row r="14" spans="1:18" x14ac:dyDescent="0.25">
      <c r="A14">
        <v>2020</v>
      </c>
      <c r="B14">
        <v>1885</v>
      </c>
      <c r="C14" t="s">
        <v>1417</v>
      </c>
      <c r="D14" t="s">
        <v>1418</v>
      </c>
      <c r="E14">
        <v>212396</v>
      </c>
      <c r="F14" t="s">
        <v>1419</v>
      </c>
      <c r="G14" t="s">
        <v>1420</v>
      </c>
      <c r="H14" t="s">
        <v>243</v>
      </c>
      <c r="I14" t="s">
        <v>1421</v>
      </c>
      <c r="J14" t="s">
        <v>1422</v>
      </c>
      <c r="K14" t="s">
        <v>1423</v>
      </c>
      <c r="L14" t="s">
        <v>1372</v>
      </c>
      <c r="M14" t="s">
        <v>1373</v>
      </c>
      <c r="N14" t="s">
        <v>1390</v>
      </c>
      <c r="O14" t="s">
        <v>1391</v>
      </c>
      <c r="P14">
        <v>0.39200000000000002</v>
      </c>
      <c r="Q14" t="s">
        <v>29</v>
      </c>
      <c r="R14" t="s">
        <v>430</v>
      </c>
    </row>
    <row r="15" spans="1:18" x14ac:dyDescent="0.25">
      <c r="A15">
        <v>2022</v>
      </c>
      <c r="B15">
        <v>11649</v>
      </c>
      <c r="C15" t="s">
        <v>1424</v>
      </c>
      <c r="D15" t="s">
        <v>1425</v>
      </c>
      <c r="E15">
        <v>331514</v>
      </c>
      <c r="F15" t="s">
        <v>292</v>
      </c>
      <c r="G15" t="s">
        <v>293</v>
      </c>
      <c r="H15" t="s">
        <v>21</v>
      </c>
      <c r="I15" t="s">
        <v>209</v>
      </c>
      <c r="J15" t="s">
        <v>210</v>
      </c>
      <c r="K15" t="s">
        <v>211</v>
      </c>
      <c r="L15" t="s">
        <v>1372</v>
      </c>
      <c r="M15" t="s">
        <v>1373</v>
      </c>
      <c r="N15" t="s">
        <v>1374</v>
      </c>
      <c r="O15" t="s">
        <v>1375</v>
      </c>
      <c r="P15">
        <v>3.2800000000000003E-2</v>
      </c>
      <c r="Q15" t="s">
        <v>29</v>
      </c>
      <c r="R15" t="s">
        <v>430</v>
      </c>
    </row>
    <row r="16" spans="1:18" x14ac:dyDescent="0.25">
      <c r="A16">
        <v>2018</v>
      </c>
      <c r="B16">
        <v>7345</v>
      </c>
      <c r="C16" t="s">
        <v>1426</v>
      </c>
      <c r="D16" t="s">
        <v>1427</v>
      </c>
      <c r="E16">
        <v>332118</v>
      </c>
      <c r="F16" t="s">
        <v>459</v>
      </c>
      <c r="G16" t="s">
        <v>460</v>
      </c>
      <c r="H16" t="s">
        <v>21</v>
      </c>
      <c r="I16" t="s">
        <v>271</v>
      </c>
      <c r="J16" t="s">
        <v>272</v>
      </c>
      <c r="K16" t="s">
        <v>273</v>
      </c>
      <c r="L16" t="s">
        <v>1361</v>
      </c>
      <c r="M16" t="s">
        <v>1362</v>
      </c>
      <c r="N16" t="s">
        <v>1363</v>
      </c>
      <c r="O16" t="s">
        <v>1364</v>
      </c>
      <c r="P16">
        <v>0.376</v>
      </c>
      <c r="Q16" t="s">
        <v>29</v>
      </c>
      <c r="R16" t="s">
        <v>50</v>
      </c>
    </row>
    <row r="17" spans="1:18" x14ac:dyDescent="0.25">
      <c r="A17">
        <v>2018</v>
      </c>
      <c r="B17">
        <v>6388</v>
      </c>
      <c r="C17" t="s">
        <v>1428</v>
      </c>
      <c r="D17" t="s">
        <v>1429</v>
      </c>
      <c r="E17">
        <v>221320</v>
      </c>
      <c r="F17" t="s">
        <v>146</v>
      </c>
      <c r="G17" t="s">
        <v>147</v>
      </c>
      <c r="H17" t="s">
        <v>79</v>
      </c>
      <c r="I17" t="s">
        <v>504</v>
      </c>
      <c r="J17" t="s">
        <v>505</v>
      </c>
      <c r="K17" t="s">
        <v>506</v>
      </c>
      <c r="L17" t="s">
        <v>1378</v>
      </c>
      <c r="M17" t="s">
        <v>1379</v>
      </c>
      <c r="N17" t="s">
        <v>1380</v>
      </c>
      <c r="O17" t="s">
        <v>1381</v>
      </c>
      <c r="P17">
        <v>206</v>
      </c>
      <c r="Q17" t="s">
        <v>29</v>
      </c>
      <c r="R17" t="s">
        <v>124</v>
      </c>
    </row>
    <row r="18" spans="1:18" x14ac:dyDescent="0.25">
      <c r="A18">
        <v>2008</v>
      </c>
      <c r="B18">
        <v>15416</v>
      </c>
      <c r="C18" t="s">
        <v>1430</v>
      </c>
      <c r="D18" t="s">
        <v>1431</v>
      </c>
      <c r="E18">
        <v>211113</v>
      </c>
      <c r="F18" t="s">
        <v>425</v>
      </c>
      <c r="G18" t="s">
        <v>426</v>
      </c>
      <c r="H18" t="s">
        <v>85</v>
      </c>
      <c r="I18" t="s">
        <v>1421</v>
      </c>
      <c r="J18" t="s">
        <v>1422</v>
      </c>
      <c r="K18" t="s">
        <v>1423</v>
      </c>
      <c r="L18" t="s">
        <v>1372</v>
      </c>
      <c r="M18" t="s">
        <v>1373</v>
      </c>
      <c r="N18" t="s">
        <v>1374</v>
      </c>
      <c r="O18" t="s">
        <v>1375</v>
      </c>
      <c r="P18">
        <v>3.9449999999999998</v>
      </c>
      <c r="Q18" t="s">
        <v>29</v>
      </c>
      <c r="R18" t="s">
        <v>430</v>
      </c>
    </row>
    <row r="19" spans="1:18" x14ac:dyDescent="0.25">
      <c r="A19">
        <v>2019</v>
      </c>
      <c r="B19">
        <v>2794</v>
      </c>
      <c r="C19" t="s">
        <v>1432</v>
      </c>
      <c r="D19" t="s">
        <v>1433</v>
      </c>
      <c r="E19">
        <v>212299</v>
      </c>
      <c r="F19" t="s">
        <v>1434</v>
      </c>
      <c r="G19" t="s">
        <v>1435</v>
      </c>
      <c r="H19" t="s">
        <v>69</v>
      </c>
      <c r="I19" t="s">
        <v>1369</v>
      </c>
      <c r="J19" t="s">
        <v>1370</v>
      </c>
      <c r="K19" t="s">
        <v>1371</v>
      </c>
      <c r="L19" t="s">
        <v>1372</v>
      </c>
      <c r="M19" t="s">
        <v>1373</v>
      </c>
      <c r="N19" t="s">
        <v>1390</v>
      </c>
      <c r="O19" t="s">
        <v>1391</v>
      </c>
      <c r="P19">
        <v>3.8969999999999998</v>
      </c>
      <c r="Q19" t="s">
        <v>29</v>
      </c>
      <c r="R19" t="s">
        <v>430</v>
      </c>
    </row>
    <row r="20" spans="1:18" x14ac:dyDescent="0.25">
      <c r="A20">
        <v>1994</v>
      </c>
      <c r="B20">
        <v>126</v>
      </c>
      <c r="C20" t="s">
        <v>1436</v>
      </c>
      <c r="E20">
        <v>325110</v>
      </c>
      <c r="F20" t="s">
        <v>1194</v>
      </c>
      <c r="G20" t="s">
        <v>445</v>
      </c>
      <c r="H20" t="s">
        <v>85</v>
      </c>
      <c r="I20" t="s">
        <v>1123</v>
      </c>
      <c r="J20" t="s">
        <v>1124</v>
      </c>
      <c r="K20" t="s">
        <v>1125</v>
      </c>
      <c r="L20" t="s">
        <v>1372</v>
      </c>
      <c r="M20" t="s">
        <v>1373</v>
      </c>
      <c r="N20" t="s">
        <v>1399</v>
      </c>
      <c r="O20" t="s">
        <v>1400</v>
      </c>
      <c r="P20">
        <v>3.7559999999999998</v>
      </c>
      <c r="Q20" t="s">
        <v>29</v>
      </c>
      <c r="R20" t="s">
        <v>30</v>
      </c>
    </row>
    <row r="21" spans="1:18" x14ac:dyDescent="0.25">
      <c r="A21">
        <v>2007</v>
      </c>
      <c r="B21">
        <v>2372</v>
      </c>
      <c r="C21" t="s">
        <v>1437</v>
      </c>
      <c r="D21" t="s">
        <v>1438</v>
      </c>
      <c r="E21">
        <v>212233</v>
      </c>
      <c r="F21" t="s">
        <v>440</v>
      </c>
      <c r="G21" t="s">
        <v>441</v>
      </c>
      <c r="H21" t="s">
        <v>69</v>
      </c>
      <c r="I21" t="s">
        <v>152</v>
      </c>
      <c r="J21" t="s">
        <v>153</v>
      </c>
      <c r="K21" t="s">
        <v>154</v>
      </c>
      <c r="L21" t="s">
        <v>1378</v>
      </c>
      <c r="M21" t="s">
        <v>1379</v>
      </c>
      <c r="N21" t="s">
        <v>1380</v>
      </c>
      <c r="O21" t="s">
        <v>1381</v>
      </c>
      <c r="P21">
        <v>3.47</v>
      </c>
      <c r="Q21" t="s">
        <v>29</v>
      </c>
      <c r="R21" t="s">
        <v>124</v>
      </c>
    </row>
    <row r="22" spans="1:18" x14ac:dyDescent="0.25">
      <c r="A22">
        <v>2008</v>
      </c>
      <c r="B22">
        <v>16657</v>
      </c>
      <c r="C22" t="s">
        <v>1439</v>
      </c>
      <c r="D22" t="s">
        <v>1440</v>
      </c>
      <c r="E22">
        <v>211113</v>
      </c>
      <c r="F22" t="s">
        <v>425</v>
      </c>
      <c r="G22" t="s">
        <v>426</v>
      </c>
      <c r="H22" t="s">
        <v>85</v>
      </c>
      <c r="I22" t="s">
        <v>1441</v>
      </c>
      <c r="J22" t="s">
        <v>1442</v>
      </c>
      <c r="K22" t="s">
        <v>1443</v>
      </c>
      <c r="L22" t="s">
        <v>1372</v>
      </c>
      <c r="M22" t="s">
        <v>1373</v>
      </c>
      <c r="N22" t="s">
        <v>1374</v>
      </c>
      <c r="O22" t="s">
        <v>1375</v>
      </c>
      <c r="P22">
        <v>24.061</v>
      </c>
      <c r="Q22" t="s">
        <v>29</v>
      </c>
      <c r="R22" t="s">
        <v>430</v>
      </c>
    </row>
    <row r="23" spans="1:18" x14ac:dyDescent="0.25">
      <c r="A23">
        <v>2004</v>
      </c>
      <c r="B23">
        <v>3928</v>
      </c>
      <c r="C23" t="s">
        <v>1444</v>
      </c>
      <c r="D23" t="s">
        <v>1445</v>
      </c>
      <c r="E23">
        <v>324110</v>
      </c>
      <c r="F23" t="s">
        <v>95</v>
      </c>
      <c r="G23" t="s">
        <v>96</v>
      </c>
      <c r="H23" t="s">
        <v>79</v>
      </c>
      <c r="I23" t="s">
        <v>391</v>
      </c>
      <c r="J23" t="s">
        <v>392</v>
      </c>
      <c r="K23" t="s">
        <v>393</v>
      </c>
      <c r="L23" t="s">
        <v>1372</v>
      </c>
      <c r="M23" t="s">
        <v>1373</v>
      </c>
      <c r="N23" t="s">
        <v>1374</v>
      </c>
      <c r="O23" t="s">
        <v>1375</v>
      </c>
      <c r="P23">
        <v>0.77900000000000003</v>
      </c>
      <c r="Q23" t="s">
        <v>40</v>
      </c>
      <c r="R23" t="s">
        <v>124</v>
      </c>
    </row>
    <row r="24" spans="1:18" x14ac:dyDescent="0.25">
      <c r="A24">
        <v>2014</v>
      </c>
      <c r="B24">
        <v>4743</v>
      </c>
      <c r="C24" t="s">
        <v>1446</v>
      </c>
      <c r="D24" t="s">
        <v>1447</v>
      </c>
      <c r="E24">
        <v>221320</v>
      </c>
      <c r="F24" t="s">
        <v>146</v>
      </c>
      <c r="G24" t="s">
        <v>147</v>
      </c>
      <c r="H24" t="s">
        <v>21</v>
      </c>
      <c r="I24" t="s">
        <v>152</v>
      </c>
      <c r="J24" t="s">
        <v>153</v>
      </c>
      <c r="K24" t="s">
        <v>154</v>
      </c>
      <c r="L24" t="s">
        <v>1378</v>
      </c>
      <c r="M24" t="s">
        <v>1379</v>
      </c>
      <c r="N24" t="s">
        <v>1402</v>
      </c>
      <c r="O24" t="s">
        <v>1403</v>
      </c>
      <c r="P24">
        <v>8.8000000000000005E-3</v>
      </c>
      <c r="Q24" t="s">
        <v>29</v>
      </c>
      <c r="R24" t="s">
        <v>124</v>
      </c>
    </row>
    <row r="25" spans="1:18" x14ac:dyDescent="0.25">
      <c r="A25">
        <v>2002</v>
      </c>
      <c r="B25">
        <v>7291</v>
      </c>
      <c r="C25" t="s">
        <v>1448</v>
      </c>
      <c r="E25">
        <v>312220</v>
      </c>
      <c r="F25" t="s">
        <v>1449</v>
      </c>
      <c r="G25" t="s">
        <v>1450</v>
      </c>
      <c r="H25" t="s">
        <v>21</v>
      </c>
      <c r="I25" t="s">
        <v>1369</v>
      </c>
      <c r="J25" t="s">
        <v>1370</v>
      </c>
      <c r="K25" t="s">
        <v>1371</v>
      </c>
      <c r="L25" t="s">
        <v>1372</v>
      </c>
      <c r="M25" t="s">
        <v>1373</v>
      </c>
      <c r="N25" t="s">
        <v>1374</v>
      </c>
      <c r="O25" t="s">
        <v>1375</v>
      </c>
      <c r="P25">
        <v>3.38</v>
      </c>
      <c r="Q25" t="s">
        <v>29</v>
      </c>
      <c r="R25" t="s">
        <v>157</v>
      </c>
    </row>
    <row r="26" spans="1:18" x14ac:dyDescent="0.25">
      <c r="A26">
        <v>2004</v>
      </c>
      <c r="B26">
        <v>1467</v>
      </c>
      <c r="C26" t="s">
        <v>1451</v>
      </c>
      <c r="D26" t="s">
        <v>1452</v>
      </c>
      <c r="E26">
        <v>331410</v>
      </c>
      <c r="F26" t="s">
        <v>1453</v>
      </c>
      <c r="G26" t="s">
        <v>1235</v>
      </c>
      <c r="H26" t="s">
        <v>21</v>
      </c>
      <c r="I26" t="s">
        <v>1369</v>
      </c>
      <c r="J26" t="s">
        <v>1370</v>
      </c>
      <c r="K26" t="s">
        <v>1371</v>
      </c>
      <c r="L26" t="s">
        <v>1372</v>
      </c>
      <c r="M26" t="s">
        <v>1373</v>
      </c>
      <c r="N26" t="s">
        <v>1374</v>
      </c>
      <c r="O26" t="s">
        <v>1375</v>
      </c>
      <c r="P26">
        <v>100.75</v>
      </c>
      <c r="Q26" t="s">
        <v>29</v>
      </c>
      <c r="R26" t="s">
        <v>30</v>
      </c>
    </row>
    <row r="27" spans="1:18" x14ac:dyDescent="0.25">
      <c r="A27">
        <v>2020</v>
      </c>
      <c r="B27">
        <v>28032</v>
      </c>
      <c r="C27" t="s">
        <v>1411</v>
      </c>
      <c r="D27" t="s">
        <v>1454</v>
      </c>
      <c r="E27">
        <v>211110</v>
      </c>
      <c r="F27" t="s">
        <v>233</v>
      </c>
      <c r="G27" t="s">
        <v>234</v>
      </c>
      <c r="H27" t="s">
        <v>85</v>
      </c>
      <c r="I27" t="s">
        <v>1421</v>
      </c>
      <c r="J27" t="s">
        <v>1422</v>
      </c>
      <c r="K27" t="s">
        <v>1423</v>
      </c>
      <c r="L27" t="s">
        <v>1372</v>
      </c>
      <c r="M27" t="s">
        <v>1373</v>
      </c>
      <c r="N27" t="s">
        <v>1374</v>
      </c>
      <c r="O27" t="s">
        <v>1375</v>
      </c>
      <c r="P27">
        <v>2.9000000000000001E-2</v>
      </c>
      <c r="Q27" t="s">
        <v>29</v>
      </c>
      <c r="R27" t="s">
        <v>430</v>
      </c>
    </row>
    <row r="28" spans="1:18" x14ac:dyDescent="0.25">
      <c r="A28">
        <v>2019</v>
      </c>
      <c r="B28">
        <v>28140</v>
      </c>
      <c r="C28" t="s">
        <v>1455</v>
      </c>
      <c r="D28" t="s">
        <v>1456</v>
      </c>
      <c r="E28">
        <v>211110</v>
      </c>
      <c r="F28" t="s">
        <v>233</v>
      </c>
      <c r="G28" t="s">
        <v>234</v>
      </c>
      <c r="H28" t="s">
        <v>85</v>
      </c>
      <c r="I28" t="s">
        <v>1457</v>
      </c>
      <c r="J28" t="s">
        <v>1458</v>
      </c>
      <c r="K28" t="s">
        <v>1459</v>
      </c>
      <c r="L28" t="s">
        <v>1372</v>
      </c>
      <c r="M28" t="s">
        <v>1373</v>
      </c>
      <c r="N28" t="s">
        <v>1402</v>
      </c>
      <c r="O28" t="s">
        <v>1403</v>
      </c>
      <c r="P28">
        <v>0</v>
      </c>
      <c r="Q28" t="s">
        <v>29</v>
      </c>
      <c r="R28" t="s">
        <v>258</v>
      </c>
    </row>
    <row r="29" spans="1:18" x14ac:dyDescent="0.25">
      <c r="A29">
        <v>2002</v>
      </c>
      <c r="B29">
        <v>5128</v>
      </c>
      <c r="C29" t="s">
        <v>1460</v>
      </c>
      <c r="D29" t="s">
        <v>1461</v>
      </c>
      <c r="E29">
        <v>321216</v>
      </c>
      <c r="F29" t="s">
        <v>1462</v>
      </c>
      <c r="G29" t="s">
        <v>1463</v>
      </c>
      <c r="H29" t="s">
        <v>69</v>
      </c>
      <c r="I29" t="s">
        <v>1421</v>
      </c>
      <c r="J29" t="s">
        <v>1422</v>
      </c>
      <c r="K29" t="s">
        <v>1423</v>
      </c>
      <c r="L29" t="s">
        <v>1372</v>
      </c>
      <c r="M29" t="s">
        <v>1373</v>
      </c>
      <c r="N29" t="s">
        <v>1374</v>
      </c>
      <c r="O29" t="s">
        <v>1375</v>
      </c>
      <c r="P29">
        <v>6.8</v>
      </c>
      <c r="Q29" t="s">
        <v>29</v>
      </c>
      <c r="R29" t="s">
        <v>30</v>
      </c>
    </row>
    <row r="30" spans="1:18" x14ac:dyDescent="0.25">
      <c r="A30">
        <v>2012</v>
      </c>
      <c r="B30">
        <v>2164</v>
      </c>
      <c r="C30" t="s">
        <v>1464</v>
      </c>
      <c r="D30" t="s">
        <v>1465</v>
      </c>
      <c r="E30">
        <v>325610</v>
      </c>
      <c r="F30" t="s">
        <v>300</v>
      </c>
      <c r="G30" t="s">
        <v>301</v>
      </c>
      <c r="H30" t="s">
        <v>21</v>
      </c>
      <c r="I30" t="s">
        <v>22</v>
      </c>
      <c r="J30" t="s">
        <v>23</v>
      </c>
      <c r="K30" t="s">
        <v>24</v>
      </c>
      <c r="L30" t="s">
        <v>1361</v>
      </c>
      <c r="M30" t="s">
        <v>1362</v>
      </c>
      <c r="N30" t="s">
        <v>1363</v>
      </c>
      <c r="O30" t="s">
        <v>1364</v>
      </c>
      <c r="P30">
        <v>0.39100000000000001</v>
      </c>
      <c r="Q30" t="s">
        <v>29</v>
      </c>
      <c r="R30" t="s">
        <v>30</v>
      </c>
    </row>
    <row r="31" spans="1:18" x14ac:dyDescent="0.25">
      <c r="A31">
        <v>2013</v>
      </c>
      <c r="B31">
        <v>18566</v>
      </c>
      <c r="C31" t="s">
        <v>1466</v>
      </c>
      <c r="D31" t="s">
        <v>1467</v>
      </c>
      <c r="E31">
        <v>211113</v>
      </c>
      <c r="F31" t="s">
        <v>786</v>
      </c>
      <c r="G31" t="s">
        <v>426</v>
      </c>
      <c r="H31" t="s">
        <v>85</v>
      </c>
      <c r="I31" t="s">
        <v>1421</v>
      </c>
      <c r="J31" t="s">
        <v>1422</v>
      </c>
      <c r="K31" t="s">
        <v>1423</v>
      </c>
      <c r="L31" t="s">
        <v>1372</v>
      </c>
      <c r="M31" t="s">
        <v>1373</v>
      </c>
      <c r="N31" t="s">
        <v>1374</v>
      </c>
      <c r="O31" t="s">
        <v>1375</v>
      </c>
      <c r="P31">
        <v>2.496</v>
      </c>
      <c r="Q31" t="s">
        <v>29</v>
      </c>
      <c r="R31" t="s">
        <v>430</v>
      </c>
    </row>
    <row r="32" spans="1:18" x14ac:dyDescent="0.25">
      <c r="A32">
        <v>2005</v>
      </c>
      <c r="B32">
        <v>1042</v>
      </c>
      <c r="C32" t="s">
        <v>1468</v>
      </c>
      <c r="D32" t="s">
        <v>1469</v>
      </c>
      <c r="E32">
        <v>562210</v>
      </c>
      <c r="F32" t="s">
        <v>52</v>
      </c>
      <c r="G32" t="s">
        <v>53</v>
      </c>
      <c r="H32" t="s">
        <v>85</v>
      </c>
      <c r="I32" t="s">
        <v>244</v>
      </c>
      <c r="J32" t="s">
        <v>245</v>
      </c>
      <c r="K32" t="s">
        <v>246</v>
      </c>
      <c r="L32" t="s">
        <v>1372</v>
      </c>
      <c r="M32" t="s">
        <v>1373</v>
      </c>
      <c r="N32" t="s">
        <v>1374</v>
      </c>
      <c r="O32" t="s">
        <v>1375</v>
      </c>
      <c r="P32">
        <v>7.0000000000000007E-2</v>
      </c>
      <c r="Q32" t="s">
        <v>40</v>
      </c>
      <c r="R32" t="s">
        <v>124</v>
      </c>
    </row>
    <row r="33" spans="1:18" x14ac:dyDescent="0.25">
      <c r="A33">
        <v>2017</v>
      </c>
      <c r="B33">
        <v>3419</v>
      </c>
      <c r="C33" t="s">
        <v>856</v>
      </c>
      <c r="D33" t="s">
        <v>926</v>
      </c>
      <c r="E33">
        <v>336110</v>
      </c>
      <c r="F33" t="s">
        <v>43</v>
      </c>
      <c r="G33" t="s">
        <v>44</v>
      </c>
      <c r="H33" t="s">
        <v>21</v>
      </c>
      <c r="I33" t="s">
        <v>271</v>
      </c>
      <c r="J33" t="s">
        <v>272</v>
      </c>
      <c r="K33" t="s">
        <v>273</v>
      </c>
      <c r="L33" t="s">
        <v>1372</v>
      </c>
      <c r="M33" t="s">
        <v>1373</v>
      </c>
      <c r="N33" t="s">
        <v>1374</v>
      </c>
      <c r="O33" t="s">
        <v>1375</v>
      </c>
      <c r="P33">
        <v>80.231499999999997</v>
      </c>
      <c r="Q33" t="s">
        <v>29</v>
      </c>
      <c r="R33" t="s">
        <v>30</v>
      </c>
    </row>
    <row r="34" spans="1:18" x14ac:dyDescent="0.25">
      <c r="A34">
        <v>1994</v>
      </c>
      <c r="B34">
        <v>1070</v>
      </c>
      <c r="C34" t="s">
        <v>1470</v>
      </c>
      <c r="D34" t="s">
        <v>1471</v>
      </c>
      <c r="E34">
        <v>331110</v>
      </c>
      <c r="F34" t="s">
        <v>335</v>
      </c>
      <c r="G34" t="s">
        <v>336</v>
      </c>
      <c r="H34" t="s">
        <v>21</v>
      </c>
      <c r="I34" t="s">
        <v>271</v>
      </c>
      <c r="J34" t="s">
        <v>387</v>
      </c>
      <c r="K34" t="s">
        <v>388</v>
      </c>
      <c r="L34" t="s">
        <v>1372</v>
      </c>
      <c r="M34" t="s">
        <v>1373</v>
      </c>
      <c r="N34" t="s">
        <v>1409</v>
      </c>
      <c r="O34" t="s">
        <v>1410</v>
      </c>
      <c r="P34">
        <v>1.03</v>
      </c>
      <c r="Q34" t="s">
        <v>29</v>
      </c>
      <c r="R34" t="s">
        <v>204</v>
      </c>
    </row>
    <row r="35" spans="1:18" x14ac:dyDescent="0.25">
      <c r="A35">
        <v>2003</v>
      </c>
      <c r="B35">
        <v>5365</v>
      </c>
      <c r="C35" t="s">
        <v>1472</v>
      </c>
      <c r="D35" t="s">
        <v>1473</v>
      </c>
      <c r="E35">
        <v>321111</v>
      </c>
      <c r="F35" t="s">
        <v>1474</v>
      </c>
      <c r="G35" t="s">
        <v>1368</v>
      </c>
      <c r="H35" t="s">
        <v>243</v>
      </c>
      <c r="I35" t="s">
        <v>1441</v>
      </c>
      <c r="J35" t="s">
        <v>1442</v>
      </c>
      <c r="K35" t="s">
        <v>1443</v>
      </c>
      <c r="L35" t="s">
        <v>1372</v>
      </c>
      <c r="M35" t="s">
        <v>1373</v>
      </c>
      <c r="N35" t="s">
        <v>1374</v>
      </c>
      <c r="O35" t="s">
        <v>1375</v>
      </c>
      <c r="P35">
        <v>2692.1709999999998</v>
      </c>
      <c r="Q35" t="s">
        <v>29</v>
      </c>
      <c r="R35" t="s">
        <v>430</v>
      </c>
    </row>
    <row r="36" spans="1:18" x14ac:dyDescent="0.25">
      <c r="A36">
        <v>2017</v>
      </c>
      <c r="B36">
        <v>1461</v>
      </c>
      <c r="C36" t="s">
        <v>1475</v>
      </c>
      <c r="D36" t="s">
        <v>1476</v>
      </c>
      <c r="E36">
        <v>336350</v>
      </c>
      <c r="F36" t="s">
        <v>1477</v>
      </c>
      <c r="G36" t="s">
        <v>1005</v>
      </c>
      <c r="H36" t="s">
        <v>21</v>
      </c>
      <c r="I36" t="s">
        <v>1369</v>
      </c>
      <c r="J36" t="s">
        <v>1370</v>
      </c>
      <c r="K36" t="s">
        <v>1371</v>
      </c>
      <c r="L36" t="s">
        <v>1372</v>
      </c>
      <c r="M36" t="s">
        <v>1373</v>
      </c>
      <c r="N36" t="s">
        <v>1374</v>
      </c>
      <c r="O36" t="s">
        <v>1375</v>
      </c>
      <c r="P36">
        <v>1.3069999999999999</v>
      </c>
      <c r="Q36" t="s">
        <v>29</v>
      </c>
      <c r="R36" t="s">
        <v>30</v>
      </c>
    </row>
    <row r="37" spans="1:18" x14ac:dyDescent="0.25">
      <c r="A37">
        <v>2019</v>
      </c>
      <c r="B37">
        <v>31761</v>
      </c>
      <c r="C37" t="s">
        <v>1478</v>
      </c>
      <c r="D37" t="s">
        <v>1479</v>
      </c>
      <c r="E37">
        <v>221112</v>
      </c>
      <c r="F37" t="s">
        <v>499</v>
      </c>
      <c r="G37" t="s">
        <v>135</v>
      </c>
      <c r="H37" t="s">
        <v>85</v>
      </c>
      <c r="I37" t="s">
        <v>1441</v>
      </c>
      <c r="J37" t="s">
        <v>1442</v>
      </c>
      <c r="K37" t="s">
        <v>1443</v>
      </c>
      <c r="L37" t="s">
        <v>1372</v>
      </c>
      <c r="M37" t="s">
        <v>1373</v>
      </c>
      <c r="N37" t="s">
        <v>1374</v>
      </c>
      <c r="O37" t="s">
        <v>1375</v>
      </c>
      <c r="P37">
        <v>54.668199999999999</v>
      </c>
      <c r="Q37" t="s">
        <v>29</v>
      </c>
      <c r="R37" t="s">
        <v>124</v>
      </c>
    </row>
    <row r="38" spans="1:18" x14ac:dyDescent="0.25">
      <c r="A38">
        <v>2020</v>
      </c>
      <c r="B38">
        <v>3790</v>
      </c>
      <c r="C38" t="s">
        <v>276</v>
      </c>
      <c r="D38" t="s">
        <v>1480</v>
      </c>
      <c r="E38">
        <v>336110</v>
      </c>
      <c r="F38" t="s">
        <v>43</v>
      </c>
      <c r="G38" t="s">
        <v>44</v>
      </c>
      <c r="H38" t="s">
        <v>21</v>
      </c>
      <c r="I38" t="s">
        <v>152</v>
      </c>
      <c r="J38" t="s">
        <v>153</v>
      </c>
      <c r="K38" t="s">
        <v>154</v>
      </c>
      <c r="L38" t="s">
        <v>1372</v>
      </c>
      <c r="M38" t="s">
        <v>1373</v>
      </c>
      <c r="N38" t="s">
        <v>1374</v>
      </c>
      <c r="O38" t="s">
        <v>1375</v>
      </c>
      <c r="P38">
        <v>0.16300000000000001</v>
      </c>
      <c r="Q38" t="s">
        <v>29</v>
      </c>
      <c r="R38" t="s">
        <v>30</v>
      </c>
    </row>
    <row r="39" spans="1:18" x14ac:dyDescent="0.25">
      <c r="A39">
        <v>2014</v>
      </c>
      <c r="B39">
        <v>2070</v>
      </c>
      <c r="C39" t="s">
        <v>1286</v>
      </c>
      <c r="D39" t="s">
        <v>1287</v>
      </c>
      <c r="E39">
        <v>325190</v>
      </c>
      <c r="F39" t="s">
        <v>600</v>
      </c>
      <c r="G39" t="s">
        <v>601</v>
      </c>
      <c r="H39" t="s">
        <v>21</v>
      </c>
      <c r="I39" t="s">
        <v>1457</v>
      </c>
      <c r="J39" t="s">
        <v>1458</v>
      </c>
      <c r="K39" t="s">
        <v>1459</v>
      </c>
      <c r="L39" t="s">
        <v>1372</v>
      </c>
      <c r="M39" t="s">
        <v>1373</v>
      </c>
      <c r="N39" t="s">
        <v>1409</v>
      </c>
      <c r="O39" t="s">
        <v>1410</v>
      </c>
      <c r="P39">
        <v>4.5999999999999996</v>
      </c>
      <c r="Q39" t="s">
        <v>29</v>
      </c>
      <c r="R39" t="s">
        <v>157</v>
      </c>
    </row>
    <row r="40" spans="1:18" x14ac:dyDescent="0.25">
      <c r="A40">
        <v>2018</v>
      </c>
      <c r="B40">
        <v>19280</v>
      </c>
      <c r="C40" t="s">
        <v>1481</v>
      </c>
      <c r="D40" t="s">
        <v>1482</v>
      </c>
      <c r="E40">
        <v>493110</v>
      </c>
      <c r="F40" t="s">
        <v>1483</v>
      </c>
      <c r="G40" t="s">
        <v>1484</v>
      </c>
      <c r="H40" t="s">
        <v>69</v>
      </c>
      <c r="I40" t="s">
        <v>1421</v>
      </c>
      <c r="J40" t="s">
        <v>1422</v>
      </c>
      <c r="K40" t="s">
        <v>1423</v>
      </c>
      <c r="L40" t="s">
        <v>1372</v>
      </c>
      <c r="M40" t="s">
        <v>1373</v>
      </c>
      <c r="N40" t="s">
        <v>1399</v>
      </c>
      <c r="O40" t="s">
        <v>1400</v>
      </c>
      <c r="P40">
        <v>1.17</v>
      </c>
      <c r="Q40" t="s">
        <v>29</v>
      </c>
      <c r="R40" t="s">
        <v>430</v>
      </c>
    </row>
    <row r="41" spans="1:18" x14ac:dyDescent="0.25">
      <c r="A41">
        <v>2019</v>
      </c>
      <c r="B41">
        <v>16437</v>
      </c>
      <c r="C41" t="s">
        <v>1485</v>
      </c>
      <c r="D41" t="s">
        <v>1486</v>
      </c>
      <c r="E41">
        <v>211110</v>
      </c>
      <c r="F41" t="s">
        <v>233</v>
      </c>
      <c r="G41" t="s">
        <v>234</v>
      </c>
      <c r="H41" t="s">
        <v>85</v>
      </c>
      <c r="I41" t="s">
        <v>1487</v>
      </c>
      <c r="J41" t="s">
        <v>1488</v>
      </c>
      <c r="K41" t="s">
        <v>1489</v>
      </c>
      <c r="L41" t="s">
        <v>1372</v>
      </c>
      <c r="M41" t="s">
        <v>1373</v>
      </c>
      <c r="N41" t="s">
        <v>1374</v>
      </c>
      <c r="O41" t="s">
        <v>1375</v>
      </c>
      <c r="P41">
        <v>0.112</v>
      </c>
      <c r="Q41" t="s">
        <v>29</v>
      </c>
      <c r="R41" t="s">
        <v>430</v>
      </c>
    </row>
    <row r="42" spans="1:18" x14ac:dyDescent="0.25">
      <c r="A42">
        <v>2014</v>
      </c>
      <c r="B42">
        <v>17153</v>
      </c>
      <c r="C42" t="s">
        <v>1490</v>
      </c>
      <c r="D42" t="s">
        <v>1491</v>
      </c>
      <c r="E42">
        <v>321111</v>
      </c>
      <c r="F42" t="s">
        <v>1367</v>
      </c>
      <c r="G42" t="s">
        <v>1368</v>
      </c>
      <c r="H42" t="s">
        <v>85</v>
      </c>
      <c r="I42" t="s">
        <v>35</v>
      </c>
      <c r="J42" t="s">
        <v>36</v>
      </c>
      <c r="K42" t="s">
        <v>37</v>
      </c>
      <c r="L42" t="s">
        <v>1372</v>
      </c>
      <c r="M42" t="s">
        <v>1373</v>
      </c>
      <c r="N42" t="s">
        <v>1374</v>
      </c>
      <c r="O42" t="s">
        <v>1375</v>
      </c>
      <c r="P42">
        <v>0.27600000000000002</v>
      </c>
      <c r="Q42" t="s">
        <v>40</v>
      </c>
      <c r="R42" t="s">
        <v>430</v>
      </c>
    </row>
    <row r="43" spans="1:18" x14ac:dyDescent="0.25">
      <c r="A43">
        <v>2015</v>
      </c>
      <c r="B43">
        <v>815</v>
      </c>
      <c r="C43" t="s">
        <v>1492</v>
      </c>
      <c r="D43" t="s">
        <v>1492</v>
      </c>
      <c r="E43">
        <v>322112</v>
      </c>
      <c r="F43" t="s">
        <v>660</v>
      </c>
      <c r="G43" t="s">
        <v>621</v>
      </c>
      <c r="H43" t="s">
        <v>483</v>
      </c>
      <c r="I43" t="s">
        <v>504</v>
      </c>
      <c r="J43" t="s">
        <v>505</v>
      </c>
      <c r="K43" t="s">
        <v>506</v>
      </c>
      <c r="L43" t="s">
        <v>1372</v>
      </c>
      <c r="M43" t="s">
        <v>1373</v>
      </c>
      <c r="N43" t="s">
        <v>1374</v>
      </c>
      <c r="O43" t="s">
        <v>1375</v>
      </c>
      <c r="P43">
        <v>37</v>
      </c>
      <c r="Q43" t="s">
        <v>29</v>
      </c>
      <c r="R43" t="s">
        <v>430</v>
      </c>
    </row>
    <row r="44" spans="1:18" x14ac:dyDescent="0.25">
      <c r="A44">
        <v>2018</v>
      </c>
      <c r="B44">
        <v>2875</v>
      </c>
      <c r="C44" t="s">
        <v>1493</v>
      </c>
      <c r="D44" t="s">
        <v>1494</v>
      </c>
      <c r="E44">
        <v>322112</v>
      </c>
      <c r="F44" t="s">
        <v>660</v>
      </c>
      <c r="G44" t="s">
        <v>621</v>
      </c>
      <c r="H44" t="s">
        <v>85</v>
      </c>
      <c r="I44" t="s">
        <v>55</v>
      </c>
      <c r="J44" t="s">
        <v>56</v>
      </c>
      <c r="K44" t="s">
        <v>57</v>
      </c>
      <c r="L44" t="s">
        <v>1378</v>
      </c>
      <c r="M44" t="s">
        <v>1379</v>
      </c>
      <c r="N44" t="s">
        <v>1380</v>
      </c>
      <c r="O44" t="s">
        <v>1381</v>
      </c>
      <c r="P44">
        <v>3.9287000000000001</v>
      </c>
      <c r="Q44" t="s">
        <v>29</v>
      </c>
      <c r="R44" t="s">
        <v>430</v>
      </c>
    </row>
    <row r="45" spans="1:18" x14ac:dyDescent="0.25">
      <c r="A45">
        <v>2008</v>
      </c>
      <c r="B45">
        <v>7614</v>
      </c>
      <c r="C45" t="s">
        <v>1495</v>
      </c>
      <c r="D45" t="s">
        <v>1496</v>
      </c>
      <c r="E45">
        <v>212323</v>
      </c>
      <c r="F45" t="s">
        <v>1497</v>
      </c>
      <c r="G45" t="s">
        <v>1498</v>
      </c>
      <c r="H45" t="s">
        <v>21</v>
      </c>
      <c r="I45" t="s">
        <v>1369</v>
      </c>
      <c r="J45" t="s">
        <v>1370</v>
      </c>
      <c r="K45" t="s">
        <v>1371</v>
      </c>
      <c r="L45" t="s">
        <v>1372</v>
      </c>
      <c r="M45" t="s">
        <v>1373</v>
      </c>
      <c r="N45" t="s">
        <v>1409</v>
      </c>
      <c r="O45" t="s">
        <v>1410</v>
      </c>
      <c r="P45">
        <v>8.7520000000000007</v>
      </c>
      <c r="Q45" t="s">
        <v>29</v>
      </c>
      <c r="R45" t="s">
        <v>430</v>
      </c>
    </row>
    <row r="46" spans="1:18" x14ac:dyDescent="0.25">
      <c r="A46">
        <v>2016</v>
      </c>
      <c r="B46">
        <v>5456</v>
      </c>
      <c r="C46" t="s">
        <v>1499</v>
      </c>
      <c r="D46" t="s">
        <v>1500</v>
      </c>
      <c r="E46">
        <v>332810</v>
      </c>
      <c r="F46" t="s">
        <v>361</v>
      </c>
      <c r="G46" t="s">
        <v>362</v>
      </c>
      <c r="H46" t="s">
        <v>79</v>
      </c>
      <c r="I46" t="s">
        <v>337</v>
      </c>
      <c r="J46" t="s">
        <v>338</v>
      </c>
      <c r="K46" t="s">
        <v>339</v>
      </c>
      <c r="L46" t="s">
        <v>1361</v>
      </c>
      <c r="M46" t="s">
        <v>1362</v>
      </c>
      <c r="N46" t="s">
        <v>1363</v>
      </c>
      <c r="O46" t="s">
        <v>1364</v>
      </c>
      <c r="P46">
        <v>0</v>
      </c>
      <c r="Q46" t="s">
        <v>29</v>
      </c>
      <c r="R46" t="s">
        <v>30</v>
      </c>
    </row>
    <row r="47" spans="1:18" x14ac:dyDescent="0.25">
      <c r="A47">
        <v>2002</v>
      </c>
      <c r="B47">
        <v>2106</v>
      </c>
      <c r="C47" t="s">
        <v>1501</v>
      </c>
      <c r="E47">
        <v>325510</v>
      </c>
      <c r="F47" t="s">
        <v>143</v>
      </c>
      <c r="G47" t="s">
        <v>112</v>
      </c>
      <c r="H47" t="s">
        <v>21</v>
      </c>
      <c r="I47" t="s">
        <v>427</v>
      </c>
      <c r="J47" t="s">
        <v>428</v>
      </c>
      <c r="K47" t="s">
        <v>429</v>
      </c>
      <c r="L47" t="s">
        <v>1361</v>
      </c>
      <c r="M47" t="s">
        <v>1362</v>
      </c>
      <c r="N47" t="s">
        <v>1363</v>
      </c>
      <c r="O47" t="s">
        <v>1364</v>
      </c>
      <c r="P47">
        <v>0.09</v>
      </c>
      <c r="Q47" t="s">
        <v>29</v>
      </c>
      <c r="R47" t="s">
        <v>204</v>
      </c>
    </row>
    <row r="48" spans="1:18" x14ac:dyDescent="0.25">
      <c r="A48">
        <v>2015</v>
      </c>
      <c r="B48">
        <v>3201</v>
      </c>
      <c r="C48" t="s">
        <v>781</v>
      </c>
      <c r="D48" t="s">
        <v>782</v>
      </c>
      <c r="E48">
        <v>322220</v>
      </c>
      <c r="F48" t="s">
        <v>783</v>
      </c>
      <c r="G48" t="s">
        <v>190</v>
      </c>
      <c r="H48" t="s">
        <v>21</v>
      </c>
      <c r="I48" t="s">
        <v>1369</v>
      </c>
      <c r="J48" t="s">
        <v>1370</v>
      </c>
      <c r="K48" t="s">
        <v>1371</v>
      </c>
      <c r="L48" t="s">
        <v>1372</v>
      </c>
      <c r="M48" t="s">
        <v>1373</v>
      </c>
      <c r="N48" t="s">
        <v>1374</v>
      </c>
      <c r="O48" t="s">
        <v>1375</v>
      </c>
      <c r="P48">
        <v>1.073</v>
      </c>
      <c r="Q48" t="s">
        <v>29</v>
      </c>
      <c r="R48" t="s">
        <v>30</v>
      </c>
    </row>
    <row r="49" spans="1:18" x14ac:dyDescent="0.25">
      <c r="A49">
        <v>2000</v>
      </c>
      <c r="B49">
        <v>2963</v>
      </c>
      <c r="C49" t="s">
        <v>1502</v>
      </c>
      <c r="D49" t="s">
        <v>1503</v>
      </c>
      <c r="E49">
        <v>325110</v>
      </c>
      <c r="F49" t="s">
        <v>1194</v>
      </c>
      <c r="G49" t="s">
        <v>445</v>
      </c>
      <c r="H49" t="s">
        <v>85</v>
      </c>
      <c r="I49" t="s">
        <v>1504</v>
      </c>
      <c r="J49" t="s">
        <v>1505</v>
      </c>
      <c r="K49" t="s">
        <v>1506</v>
      </c>
      <c r="L49" t="s">
        <v>1372</v>
      </c>
      <c r="M49" t="s">
        <v>1373</v>
      </c>
      <c r="N49" t="s">
        <v>1374</v>
      </c>
      <c r="O49" t="s">
        <v>1375</v>
      </c>
      <c r="P49">
        <v>1.0489999999999999</v>
      </c>
      <c r="Q49" t="s">
        <v>29</v>
      </c>
      <c r="R49" t="s">
        <v>442</v>
      </c>
    </row>
    <row r="50" spans="1:18" x14ac:dyDescent="0.25">
      <c r="A50">
        <v>2023</v>
      </c>
      <c r="B50">
        <v>4743</v>
      </c>
      <c r="C50" t="s">
        <v>1446</v>
      </c>
      <c r="D50" t="s">
        <v>1447</v>
      </c>
      <c r="E50">
        <v>221320</v>
      </c>
      <c r="F50" t="s">
        <v>146</v>
      </c>
      <c r="G50" t="s">
        <v>147</v>
      </c>
      <c r="H50" t="s">
        <v>21</v>
      </c>
      <c r="I50" t="s">
        <v>1413</v>
      </c>
      <c r="J50" t="s">
        <v>1414</v>
      </c>
      <c r="K50" t="s">
        <v>1415</v>
      </c>
      <c r="L50" t="s">
        <v>1372</v>
      </c>
      <c r="M50" t="s">
        <v>1373</v>
      </c>
      <c r="N50" t="s">
        <v>1374</v>
      </c>
      <c r="O50" t="s">
        <v>1375</v>
      </c>
      <c r="P50">
        <v>23.58</v>
      </c>
      <c r="Q50" t="s">
        <v>29</v>
      </c>
      <c r="R50" t="s">
        <v>430</v>
      </c>
    </row>
    <row r="51" spans="1:18" x14ac:dyDescent="0.25">
      <c r="A51">
        <v>2021</v>
      </c>
      <c r="B51">
        <v>26107</v>
      </c>
      <c r="C51" t="s">
        <v>1027</v>
      </c>
      <c r="D51" t="s">
        <v>1507</v>
      </c>
      <c r="E51">
        <v>211110</v>
      </c>
      <c r="F51" t="s">
        <v>233</v>
      </c>
      <c r="G51" t="s">
        <v>234</v>
      </c>
      <c r="H51" t="s">
        <v>85</v>
      </c>
      <c r="I51" t="s">
        <v>1413</v>
      </c>
      <c r="J51" t="s">
        <v>1414</v>
      </c>
      <c r="K51" t="s">
        <v>1415</v>
      </c>
      <c r="L51" t="s">
        <v>1372</v>
      </c>
      <c r="M51" t="s">
        <v>1373</v>
      </c>
      <c r="N51" t="s">
        <v>1374</v>
      </c>
      <c r="O51" t="s">
        <v>1375</v>
      </c>
      <c r="P51">
        <v>0</v>
      </c>
      <c r="Q51" t="s">
        <v>29</v>
      </c>
      <c r="R51" t="s">
        <v>258</v>
      </c>
    </row>
    <row r="52" spans="1:18" x14ac:dyDescent="0.25">
      <c r="A52">
        <v>2020</v>
      </c>
      <c r="B52">
        <v>21413</v>
      </c>
      <c r="C52" t="s">
        <v>1112</v>
      </c>
      <c r="D52" t="s">
        <v>1508</v>
      </c>
      <c r="E52">
        <v>211110</v>
      </c>
      <c r="F52" t="s">
        <v>233</v>
      </c>
      <c r="G52" t="s">
        <v>234</v>
      </c>
      <c r="H52" t="s">
        <v>69</v>
      </c>
      <c r="I52" t="s">
        <v>1457</v>
      </c>
      <c r="J52" t="s">
        <v>1458</v>
      </c>
      <c r="K52" t="s">
        <v>1459</v>
      </c>
      <c r="L52" t="s">
        <v>1372</v>
      </c>
      <c r="M52" t="s">
        <v>1373</v>
      </c>
      <c r="N52" t="s">
        <v>1399</v>
      </c>
      <c r="O52" t="s">
        <v>1400</v>
      </c>
      <c r="P52">
        <v>0</v>
      </c>
      <c r="Q52" t="s">
        <v>29</v>
      </c>
      <c r="R52" t="s">
        <v>30</v>
      </c>
    </row>
    <row r="53" spans="1:18" x14ac:dyDescent="0.25">
      <c r="A53">
        <v>2006</v>
      </c>
      <c r="B53">
        <v>10695</v>
      </c>
      <c r="C53" t="s">
        <v>1509</v>
      </c>
      <c r="D53" t="s">
        <v>1510</v>
      </c>
      <c r="E53">
        <v>332999</v>
      </c>
      <c r="F53" t="s">
        <v>309</v>
      </c>
      <c r="G53" t="s">
        <v>304</v>
      </c>
      <c r="H53" t="s">
        <v>21</v>
      </c>
      <c r="I53" t="s">
        <v>1369</v>
      </c>
      <c r="J53" t="s">
        <v>1370</v>
      </c>
      <c r="K53" t="s">
        <v>1371</v>
      </c>
      <c r="L53" t="s">
        <v>1372</v>
      </c>
      <c r="M53" t="s">
        <v>1373</v>
      </c>
      <c r="N53" t="s">
        <v>1374</v>
      </c>
      <c r="O53" t="s">
        <v>1375</v>
      </c>
      <c r="P53">
        <v>0.89200000000000002</v>
      </c>
      <c r="Q53" t="s">
        <v>29</v>
      </c>
      <c r="R53" t="s">
        <v>430</v>
      </c>
    </row>
    <row r="54" spans="1:18" x14ac:dyDescent="0.25">
      <c r="A54">
        <v>1994</v>
      </c>
      <c r="B54">
        <v>1902</v>
      </c>
      <c r="C54" t="s">
        <v>1511</v>
      </c>
      <c r="D54" t="s">
        <v>607</v>
      </c>
      <c r="E54">
        <v>211113</v>
      </c>
      <c r="F54" t="s">
        <v>425</v>
      </c>
      <c r="G54" t="s">
        <v>426</v>
      </c>
      <c r="H54" t="s">
        <v>85</v>
      </c>
      <c r="I54" t="s">
        <v>923</v>
      </c>
      <c r="J54" t="s">
        <v>924</v>
      </c>
      <c r="K54" t="s">
        <v>924</v>
      </c>
      <c r="L54" t="s">
        <v>1361</v>
      </c>
      <c r="M54" t="s">
        <v>1362</v>
      </c>
      <c r="N54" t="s">
        <v>1363</v>
      </c>
      <c r="O54" t="s">
        <v>1364</v>
      </c>
      <c r="P54">
        <v>0.66600000000000004</v>
      </c>
      <c r="Q54" t="s">
        <v>29</v>
      </c>
      <c r="R54" t="s">
        <v>204</v>
      </c>
    </row>
    <row r="55" spans="1:18" x14ac:dyDescent="0.25">
      <c r="A55">
        <v>2018</v>
      </c>
      <c r="B55">
        <v>718</v>
      </c>
      <c r="C55" t="s">
        <v>148</v>
      </c>
      <c r="D55" t="s">
        <v>1512</v>
      </c>
      <c r="E55">
        <v>321217</v>
      </c>
      <c r="F55" t="s">
        <v>150</v>
      </c>
      <c r="G55" t="s">
        <v>151</v>
      </c>
      <c r="H55" t="s">
        <v>69</v>
      </c>
      <c r="I55" t="s">
        <v>1421</v>
      </c>
      <c r="J55" t="s">
        <v>1422</v>
      </c>
      <c r="K55" t="s">
        <v>1423</v>
      </c>
      <c r="L55" t="s">
        <v>1372</v>
      </c>
      <c r="M55" t="s">
        <v>1373</v>
      </c>
      <c r="N55" t="s">
        <v>1374</v>
      </c>
      <c r="O55" t="s">
        <v>1375</v>
      </c>
      <c r="P55">
        <v>6.2430000000000003</v>
      </c>
      <c r="Q55" t="s">
        <v>29</v>
      </c>
      <c r="R55" t="s">
        <v>157</v>
      </c>
    </row>
    <row r="56" spans="1:18" x14ac:dyDescent="0.25">
      <c r="A56">
        <v>2021</v>
      </c>
      <c r="B56">
        <v>2230</v>
      </c>
      <c r="C56" t="s">
        <v>1513</v>
      </c>
      <c r="D56" t="s">
        <v>1514</v>
      </c>
      <c r="E56">
        <v>211142</v>
      </c>
      <c r="F56" t="s">
        <v>357</v>
      </c>
      <c r="G56" t="s">
        <v>358</v>
      </c>
      <c r="H56" t="s">
        <v>85</v>
      </c>
      <c r="I56" t="s">
        <v>1515</v>
      </c>
      <c r="J56" t="s">
        <v>1516</v>
      </c>
      <c r="K56" t="s">
        <v>1517</v>
      </c>
      <c r="L56" t="s">
        <v>1372</v>
      </c>
      <c r="M56" t="s">
        <v>1373</v>
      </c>
      <c r="N56" t="s">
        <v>1402</v>
      </c>
      <c r="O56" t="s">
        <v>1403</v>
      </c>
      <c r="P56">
        <v>3.3110000000000001E-3</v>
      </c>
      <c r="Q56" t="s">
        <v>29</v>
      </c>
      <c r="R56" t="s">
        <v>30</v>
      </c>
    </row>
    <row r="57" spans="1:18" x14ac:dyDescent="0.25">
      <c r="A57">
        <v>2009</v>
      </c>
      <c r="B57">
        <v>22750</v>
      </c>
      <c r="C57" t="s">
        <v>1518</v>
      </c>
      <c r="D57" t="s">
        <v>1519</v>
      </c>
      <c r="E57">
        <v>211114</v>
      </c>
      <c r="F57" t="s">
        <v>835</v>
      </c>
      <c r="G57" t="s">
        <v>836</v>
      </c>
      <c r="H57" t="s">
        <v>85</v>
      </c>
      <c r="I57" t="s">
        <v>348</v>
      </c>
      <c r="J57" t="s">
        <v>349</v>
      </c>
      <c r="K57" t="s">
        <v>350</v>
      </c>
      <c r="L57" t="s">
        <v>1372</v>
      </c>
      <c r="M57" t="s">
        <v>1373</v>
      </c>
      <c r="N57" t="s">
        <v>1520</v>
      </c>
      <c r="O57" t="s">
        <v>1521</v>
      </c>
      <c r="P57">
        <v>1.6819999999999999</v>
      </c>
      <c r="Q57" t="s">
        <v>29</v>
      </c>
      <c r="R57" t="s">
        <v>430</v>
      </c>
    </row>
    <row r="58" spans="1:18" x14ac:dyDescent="0.25">
      <c r="A58">
        <v>2013</v>
      </c>
      <c r="B58">
        <v>23275</v>
      </c>
      <c r="C58" t="s">
        <v>1027</v>
      </c>
      <c r="D58" t="s">
        <v>1522</v>
      </c>
      <c r="E58">
        <v>211114</v>
      </c>
      <c r="F58" t="s">
        <v>956</v>
      </c>
      <c r="G58" t="s">
        <v>836</v>
      </c>
      <c r="H58" t="s">
        <v>85</v>
      </c>
      <c r="I58" t="s">
        <v>184</v>
      </c>
      <c r="J58" t="s">
        <v>185</v>
      </c>
      <c r="K58" t="s">
        <v>186</v>
      </c>
      <c r="L58" t="s">
        <v>1372</v>
      </c>
      <c r="M58" t="s">
        <v>1373</v>
      </c>
      <c r="N58" t="s">
        <v>1374</v>
      </c>
      <c r="O58" t="s">
        <v>1375</v>
      </c>
      <c r="P58">
        <v>2E-3</v>
      </c>
      <c r="Q58" t="s">
        <v>29</v>
      </c>
      <c r="R58" t="s">
        <v>430</v>
      </c>
    </row>
    <row r="59" spans="1:18" x14ac:dyDescent="0.25">
      <c r="A59">
        <v>2009</v>
      </c>
      <c r="B59">
        <v>1071</v>
      </c>
      <c r="C59" t="s">
        <v>1523</v>
      </c>
      <c r="D59" t="s">
        <v>1523</v>
      </c>
      <c r="E59">
        <v>331313</v>
      </c>
      <c r="F59" t="s">
        <v>1131</v>
      </c>
      <c r="G59" t="s">
        <v>1132</v>
      </c>
      <c r="H59" t="s">
        <v>79</v>
      </c>
      <c r="I59" t="s">
        <v>1421</v>
      </c>
      <c r="J59" t="s">
        <v>1422</v>
      </c>
      <c r="K59" t="s">
        <v>1423</v>
      </c>
      <c r="L59" t="s">
        <v>1372</v>
      </c>
      <c r="M59" t="s">
        <v>1373</v>
      </c>
      <c r="N59" t="s">
        <v>1374</v>
      </c>
      <c r="O59" t="s">
        <v>1375</v>
      </c>
      <c r="P59">
        <v>149</v>
      </c>
      <c r="Q59" t="s">
        <v>29</v>
      </c>
      <c r="R59" t="s">
        <v>430</v>
      </c>
    </row>
    <row r="60" spans="1:18" x14ac:dyDescent="0.25">
      <c r="A60">
        <v>2015</v>
      </c>
      <c r="B60">
        <v>28890</v>
      </c>
      <c r="C60" t="s">
        <v>1027</v>
      </c>
      <c r="D60" t="s">
        <v>1524</v>
      </c>
      <c r="E60">
        <v>211113</v>
      </c>
      <c r="F60" t="s">
        <v>786</v>
      </c>
      <c r="G60" t="s">
        <v>426</v>
      </c>
      <c r="H60" t="s">
        <v>85</v>
      </c>
      <c r="I60" t="s">
        <v>1441</v>
      </c>
      <c r="J60" t="s">
        <v>1442</v>
      </c>
      <c r="K60" t="s">
        <v>1443</v>
      </c>
      <c r="L60" t="s">
        <v>1372</v>
      </c>
      <c r="M60" t="s">
        <v>1373</v>
      </c>
      <c r="N60" t="s">
        <v>1374</v>
      </c>
      <c r="O60" t="s">
        <v>1375</v>
      </c>
      <c r="P60">
        <v>62.968000000000004</v>
      </c>
      <c r="Q60" t="s">
        <v>29</v>
      </c>
      <c r="R60" t="s">
        <v>430</v>
      </c>
    </row>
    <row r="61" spans="1:18" x14ac:dyDescent="0.25">
      <c r="A61">
        <v>2016</v>
      </c>
      <c r="B61">
        <v>5614</v>
      </c>
      <c r="C61" t="s">
        <v>1525</v>
      </c>
      <c r="D61" t="s">
        <v>1526</v>
      </c>
      <c r="E61">
        <v>221320</v>
      </c>
      <c r="F61" t="s">
        <v>146</v>
      </c>
      <c r="G61" t="s">
        <v>147</v>
      </c>
      <c r="H61" t="s">
        <v>21</v>
      </c>
      <c r="I61" t="s">
        <v>97</v>
      </c>
      <c r="J61" t="s">
        <v>98</v>
      </c>
      <c r="K61" t="s">
        <v>99</v>
      </c>
      <c r="L61" t="s">
        <v>1378</v>
      </c>
      <c r="M61" t="s">
        <v>1379</v>
      </c>
      <c r="N61" t="s">
        <v>1380</v>
      </c>
      <c r="O61" t="s">
        <v>1381</v>
      </c>
      <c r="P61">
        <v>3.3</v>
      </c>
      <c r="Q61" t="s">
        <v>29</v>
      </c>
      <c r="R61" t="s">
        <v>124</v>
      </c>
    </row>
    <row r="62" spans="1:18" x14ac:dyDescent="0.25">
      <c r="A62">
        <v>2008</v>
      </c>
      <c r="B62">
        <v>16459</v>
      </c>
      <c r="C62" t="s">
        <v>1527</v>
      </c>
      <c r="D62" t="s">
        <v>1528</v>
      </c>
      <c r="E62">
        <v>211113</v>
      </c>
      <c r="F62" t="s">
        <v>425</v>
      </c>
      <c r="G62" t="s">
        <v>426</v>
      </c>
      <c r="H62" t="s">
        <v>69</v>
      </c>
      <c r="I62" t="s">
        <v>1441</v>
      </c>
      <c r="J62" t="s">
        <v>1442</v>
      </c>
      <c r="K62" t="s">
        <v>1443</v>
      </c>
      <c r="L62" t="s">
        <v>1372</v>
      </c>
      <c r="M62" t="s">
        <v>1373</v>
      </c>
      <c r="N62" t="s">
        <v>1374</v>
      </c>
      <c r="O62" t="s">
        <v>1375</v>
      </c>
      <c r="P62">
        <v>113.408</v>
      </c>
      <c r="Q62" t="s">
        <v>29</v>
      </c>
      <c r="R62" t="s">
        <v>430</v>
      </c>
    </row>
    <row r="63" spans="1:18" x14ac:dyDescent="0.25">
      <c r="A63">
        <v>2019</v>
      </c>
      <c r="B63">
        <v>15564</v>
      </c>
      <c r="C63" t="s">
        <v>1529</v>
      </c>
      <c r="D63" t="s">
        <v>1530</v>
      </c>
      <c r="E63">
        <v>211110</v>
      </c>
      <c r="F63" t="s">
        <v>233</v>
      </c>
      <c r="G63" t="s">
        <v>234</v>
      </c>
      <c r="H63" t="s">
        <v>85</v>
      </c>
      <c r="I63" t="s">
        <v>1421</v>
      </c>
      <c r="J63" t="s">
        <v>1422</v>
      </c>
      <c r="K63" t="s">
        <v>1423</v>
      </c>
      <c r="L63" t="s">
        <v>1372</v>
      </c>
      <c r="M63" t="s">
        <v>1373</v>
      </c>
      <c r="N63" t="s">
        <v>1374</v>
      </c>
      <c r="O63" t="s">
        <v>1375</v>
      </c>
      <c r="P63">
        <v>0.126</v>
      </c>
      <c r="Q63" t="s">
        <v>29</v>
      </c>
      <c r="R63" t="s">
        <v>430</v>
      </c>
    </row>
    <row r="64" spans="1:18" x14ac:dyDescent="0.25">
      <c r="A64">
        <v>2015</v>
      </c>
      <c r="B64">
        <v>11343</v>
      </c>
      <c r="C64" t="s">
        <v>1531</v>
      </c>
      <c r="D64" t="s">
        <v>1532</v>
      </c>
      <c r="E64">
        <v>339990</v>
      </c>
      <c r="F64" t="s">
        <v>1179</v>
      </c>
      <c r="G64" t="s">
        <v>872</v>
      </c>
      <c r="H64" t="s">
        <v>21</v>
      </c>
      <c r="I64" t="s">
        <v>1533</v>
      </c>
      <c r="J64" t="s">
        <v>1534</v>
      </c>
      <c r="K64" t="s">
        <v>1535</v>
      </c>
      <c r="L64" t="s">
        <v>1372</v>
      </c>
      <c r="M64" t="s">
        <v>1373</v>
      </c>
      <c r="N64" t="s">
        <v>1520</v>
      </c>
      <c r="O64" t="s">
        <v>1521</v>
      </c>
      <c r="P64">
        <v>0</v>
      </c>
      <c r="Q64" t="s">
        <v>29</v>
      </c>
      <c r="R64" t="s">
        <v>30</v>
      </c>
    </row>
    <row r="65" spans="1:18" x14ac:dyDescent="0.25">
      <c r="A65">
        <v>2020</v>
      </c>
      <c r="B65">
        <v>17042</v>
      </c>
      <c r="C65" t="s">
        <v>1027</v>
      </c>
      <c r="D65" t="s">
        <v>1536</v>
      </c>
      <c r="E65">
        <v>211110</v>
      </c>
      <c r="F65" t="s">
        <v>233</v>
      </c>
      <c r="G65" t="s">
        <v>234</v>
      </c>
      <c r="H65" t="s">
        <v>85</v>
      </c>
      <c r="I65" t="s">
        <v>1457</v>
      </c>
      <c r="J65" t="s">
        <v>1458</v>
      </c>
      <c r="K65" t="s">
        <v>1459</v>
      </c>
      <c r="L65" t="s">
        <v>1372</v>
      </c>
      <c r="M65" t="s">
        <v>1373</v>
      </c>
      <c r="N65" t="s">
        <v>1399</v>
      </c>
      <c r="O65" t="s">
        <v>1400</v>
      </c>
      <c r="P65">
        <v>13.4</v>
      </c>
      <c r="Q65" t="s">
        <v>29</v>
      </c>
      <c r="R65" t="s">
        <v>258</v>
      </c>
    </row>
    <row r="66" spans="1:18" x14ac:dyDescent="0.25">
      <c r="A66">
        <v>2010</v>
      </c>
      <c r="B66">
        <v>22106</v>
      </c>
      <c r="C66" t="s">
        <v>231</v>
      </c>
      <c r="D66" t="s">
        <v>1537</v>
      </c>
      <c r="E66">
        <v>211113</v>
      </c>
      <c r="F66" t="s">
        <v>425</v>
      </c>
      <c r="G66" t="s">
        <v>426</v>
      </c>
      <c r="H66" t="s">
        <v>85</v>
      </c>
      <c r="I66" t="s">
        <v>1369</v>
      </c>
      <c r="J66" t="s">
        <v>1370</v>
      </c>
      <c r="K66" t="s">
        <v>1371</v>
      </c>
      <c r="L66" t="s">
        <v>1372</v>
      </c>
      <c r="M66" t="s">
        <v>1373</v>
      </c>
      <c r="N66" t="s">
        <v>1374</v>
      </c>
      <c r="O66" t="s">
        <v>1375</v>
      </c>
      <c r="P66">
        <v>1.119</v>
      </c>
      <c r="Q66" t="s">
        <v>29</v>
      </c>
      <c r="R66" t="s">
        <v>430</v>
      </c>
    </row>
    <row r="67" spans="1:18" x14ac:dyDescent="0.25">
      <c r="A67">
        <v>2017</v>
      </c>
      <c r="B67">
        <v>20025</v>
      </c>
      <c r="C67" t="s">
        <v>1538</v>
      </c>
      <c r="D67" t="s">
        <v>1539</v>
      </c>
      <c r="E67">
        <v>324121</v>
      </c>
      <c r="F67" t="s">
        <v>1540</v>
      </c>
      <c r="G67" t="s">
        <v>1541</v>
      </c>
      <c r="H67" t="s">
        <v>69</v>
      </c>
      <c r="I67" t="s">
        <v>1487</v>
      </c>
      <c r="J67" t="s">
        <v>1488</v>
      </c>
      <c r="K67" t="s">
        <v>1489</v>
      </c>
      <c r="L67" t="s">
        <v>1372</v>
      </c>
      <c r="M67" t="s">
        <v>1373</v>
      </c>
      <c r="N67" t="s">
        <v>1374</v>
      </c>
      <c r="O67" t="s">
        <v>1375</v>
      </c>
      <c r="P67">
        <v>3.9800000000000002E-2</v>
      </c>
      <c r="Q67" t="s">
        <v>29</v>
      </c>
      <c r="R67" t="s">
        <v>430</v>
      </c>
    </row>
    <row r="68" spans="1:18" x14ac:dyDescent="0.25">
      <c r="A68">
        <v>2012</v>
      </c>
      <c r="B68">
        <v>26472</v>
      </c>
      <c r="C68" t="s">
        <v>1542</v>
      </c>
      <c r="D68" t="s">
        <v>1543</v>
      </c>
      <c r="E68">
        <v>562210</v>
      </c>
      <c r="F68" t="s">
        <v>84</v>
      </c>
      <c r="G68" t="s">
        <v>53</v>
      </c>
      <c r="H68" t="s">
        <v>21</v>
      </c>
      <c r="I68" t="s">
        <v>1441</v>
      </c>
      <c r="J68" t="s">
        <v>1442</v>
      </c>
      <c r="K68" t="s">
        <v>1443</v>
      </c>
      <c r="L68" t="s">
        <v>1372</v>
      </c>
      <c r="M68" t="s">
        <v>1373</v>
      </c>
      <c r="N68" t="s">
        <v>1374</v>
      </c>
      <c r="O68" t="s">
        <v>1375</v>
      </c>
      <c r="P68">
        <v>31.462</v>
      </c>
      <c r="Q68" t="s">
        <v>29</v>
      </c>
      <c r="R68" t="s">
        <v>430</v>
      </c>
    </row>
    <row r="69" spans="1:18" x14ac:dyDescent="0.25">
      <c r="A69">
        <v>2003</v>
      </c>
      <c r="B69">
        <v>428</v>
      </c>
      <c r="C69" t="s">
        <v>125</v>
      </c>
      <c r="D69" t="s">
        <v>1544</v>
      </c>
      <c r="E69">
        <v>211113</v>
      </c>
      <c r="F69" t="s">
        <v>425</v>
      </c>
      <c r="G69" t="s">
        <v>426</v>
      </c>
      <c r="H69" t="s">
        <v>379</v>
      </c>
      <c r="I69" t="s">
        <v>70</v>
      </c>
      <c r="J69" t="s">
        <v>71</v>
      </c>
      <c r="K69" t="s">
        <v>72</v>
      </c>
      <c r="L69" t="s">
        <v>1372</v>
      </c>
      <c r="M69" t="s">
        <v>1373</v>
      </c>
      <c r="N69" t="s">
        <v>1374</v>
      </c>
      <c r="O69" t="s">
        <v>1375</v>
      </c>
      <c r="P69">
        <v>0.16500000000000001</v>
      </c>
      <c r="Q69" t="s">
        <v>29</v>
      </c>
      <c r="R69" t="s">
        <v>430</v>
      </c>
    </row>
    <row r="70" spans="1:18" x14ac:dyDescent="0.25">
      <c r="A70">
        <v>2004</v>
      </c>
      <c r="B70">
        <v>10217</v>
      </c>
      <c r="C70" t="s">
        <v>125</v>
      </c>
      <c r="D70" t="s">
        <v>1545</v>
      </c>
      <c r="E70">
        <v>412110</v>
      </c>
      <c r="F70" t="s">
        <v>346</v>
      </c>
      <c r="G70" t="s">
        <v>347</v>
      </c>
      <c r="H70" t="s">
        <v>483</v>
      </c>
      <c r="I70" t="s">
        <v>844</v>
      </c>
      <c r="J70" t="s">
        <v>845</v>
      </c>
      <c r="K70" t="s">
        <v>846</v>
      </c>
      <c r="L70" t="s">
        <v>1372</v>
      </c>
      <c r="M70" t="s">
        <v>1373</v>
      </c>
      <c r="N70" t="s">
        <v>1399</v>
      </c>
      <c r="O70" t="s">
        <v>1400</v>
      </c>
      <c r="P70">
        <v>1.7000000000000001E-2</v>
      </c>
      <c r="Q70" t="s">
        <v>29</v>
      </c>
      <c r="R70" t="s">
        <v>430</v>
      </c>
    </row>
    <row r="71" spans="1:18" x14ac:dyDescent="0.25">
      <c r="A71">
        <v>2004</v>
      </c>
      <c r="B71">
        <v>16233</v>
      </c>
      <c r="C71" t="s">
        <v>1546</v>
      </c>
      <c r="D71" t="s">
        <v>1547</v>
      </c>
      <c r="E71">
        <v>211113</v>
      </c>
      <c r="F71" t="s">
        <v>425</v>
      </c>
      <c r="G71" t="s">
        <v>426</v>
      </c>
      <c r="H71" t="s">
        <v>85</v>
      </c>
      <c r="I71" t="s">
        <v>1369</v>
      </c>
      <c r="J71" t="s">
        <v>1370</v>
      </c>
      <c r="K71" t="s">
        <v>1371</v>
      </c>
      <c r="L71" t="s">
        <v>1372</v>
      </c>
      <c r="M71" t="s">
        <v>1373</v>
      </c>
      <c r="N71" t="s">
        <v>1374</v>
      </c>
      <c r="O71" t="s">
        <v>1375</v>
      </c>
      <c r="P71">
        <v>1.01</v>
      </c>
      <c r="Q71" t="s">
        <v>29</v>
      </c>
      <c r="R71" t="s">
        <v>430</v>
      </c>
    </row>
    <row r="72" spans="1:18" x14ac:dyDescent="0.25">
      <c r="A72">
        <v>2014</v>
      </c>
      <c r="B72">
        <v>3704</v>
      </c>
      <c r="C72" t="s">
        <v>194</v>
      </c>
      <c r="D72" t="s">
        <v>468</v>
      </c>
      <c r="E72">
        <v>324110</v>
      </c>
      <c r="F72" t="s">
        <v>196</v>
      </c>
      <c r="G72" t="s">
        <v>96</v>
      </c>
      <c r="H72" t="s">
        <v>21</v>
      </c>
      <c r="I72" t="s">
        <v>70</v>
      </c>
      <c r="J72" t="s">
        <v>71</v>
      </c>
      <c r="K72" t="s">
        <v>72</v>
      </c>
      <c r="L72" t="s">
        <v>1378</v>
      </c>
      <c r="M72" t="s">
        <v>1379</v>
      </c>
      <c r="N72" t="s">
        <v>1380</v>
      </c>
      <c r="O72" t="s">
        <v>1381</v>
      </c>
      <c r="P72">
        <v>5.1000000000000004E-3</v>
      </c>
      <c r="Q72" t="s">
        <v>29</v>
      </c>
      <c r="R72" t="s">
        <v>124</v>
      </c>
    </row>
    <row r="73" spans="1:18" x14ac:dyDescent="0.25">
      <c r="A73">
        <v>2011</v>
      </c>
      <c r="B73">
        <v>2230</v>
      </c>
      <c r="C73" t="s">
        <v>1548</v>
      </c>
      <c r="D73" t="s">
        <v>1514</v>
      </c>
      <c r="E73">
        <v>211114</v>
      </c>
      <c r="F73" t="s">
        <v>835</v>
      </c>
      <c r="G73" t="s">
        <v>836</v>
      </c>
      <c r="H73" t="s">
        <v>85</v>
      </c>
      <c r="I73" t="s">
        <v>1549</v>
      </c>
      <c r="J73" t="s">
        <v>1550</v>
      </c>
      <c r="K73" t="s">
        <v>1551</v>
      </c>
      <c r="L73" t="s">
        <v>1372</v>
      </c>
      <c r="M73" t="s">
        <v>1373</v>
      </c>
      <c r="N73" t="s">
        <v>1399</v>
      </c>
      <c r="O73" t="s">
        <v>1400</v>
      </c>
      <c r="P73">
        <v>1.7047000000000001</v>
      </c>
      <c r="Q73" t="s">
        <v>29</v>
      </c>
      <c r="R73" t="s">
        <v>124</v>
      </c>
    </row>
    <row r="74" spans="1:18" x14ac:dyDescent="0.25">
      <c r="A74">
        <v>2007</v>
      </c>
      <c r="B74">
        <v>5000</v>
      </c>
      <c r="C74" t="s">
        <v>1552</v>
      </c>
      <c r="D74" t="s">
        <v>1553</v>
      </c>
      <c r="E74">
        <v>311990</v>
      </c>
      <c r="F74" t="s">
        <v>1038</v>
      </c>
      <c r="G74" t="s">
        <v>1039</v>
      </c>
      <c r="H74" t="s">
        <v>1012</v>
      </c>
      <c r="I74" t="s">
        <v>1413</v>
      </c>
      <c r="J74" t="s">
        <v>1414</v>
      </c>
      <c r="K74" t="s">
        <v>1415</v>
      </c>
      <c r="L74" t="s">
        <v>1372</v>
      </c>
      <c r="M74" t="s">
        <v>1373</v>
      </c>
      <c r="N74" t="s">
        <v>1374</v>
      </c>
      <c r="O74" t="s">
        <v>1375</v>
      </c>
      <c r="P74">
        <v>160.6</v>
      </c>
      <c r="Q74" t="s">
        <v>29</v>
      </c>
      <c r="R74" t="s">
        <v>50</v>
      </c>
    </row>
    <row r="75" spans="1:18" x14ac:dyDescent="0.25">
      <c r="A75">
        <v>2003</v>
      </c>
      <c r="B75">
        <v>929</v>
      </c>
      <c r="C75" t="s">
        <v>1554</v>
      </c>
      <c r="D75" t="s">
        <v>1555</v>
      </c>
      <c r="E75">
        <v>322122</v>
      </c>
      <c r="F75" t="s">
        <v>1556</v>
      </c>
      <c r="G75" t="s">
        <v>1062</v>
      </c>
      <c r="H75" t="s">
        <v>79</v>
      </c>
      <c r="I75" t="s">
        <v>337</v>
      </c>
      <c r="J75" t="s">
        <v>338</v>
      </c>
      <c r="K75" t="s">
        <v>339</v>
      </c>
      <c r="L75" t="s">
        <v>1372</v>
      </c>
      <c r="M75" t="s">
        <v>1373</v>
      </c>
      <c r="N75" t="s">
        <v>1374</v>
      </c>
      <c r="O75" t="s">
        <v>1375</v>
      </c>
      <c r="P75">
        <v>1.615</v>
      </c>
      <c r="Q75" t="s">
        <v>29</v>
      </c>
      <c r="R75" t="s">
        <v>430</v>
      </c>
    </row>
    <row r="76" spans="1:18" x14ac:dyDescent="0.25">
      <c r="A76">
        <v>2010</v>
      </c>
      <c r="B76">
        <v>17608</v>
      </c>
      <c r="C76" t="s">
        <v>1557</v>
      </c>
      <c r="D76" t="s">
        <v>1558</v>
      </c>
      <c r="E76">
        <v>211113</v>
      </c>
      <c r="F76" t="s">
        <v>425</v>
      </c>
      <c r="G76" t="s">
        <v>426</v>
      </c>
      <c r="H76" t="s">
        <v>85</v>
      </c>
      <c r="I76" t="s">
        <v>1441</v>
      </c>
      <c r="J76" t="s">
        <v>1442</v>
      </c>
      <c r="K76" t="s">
        <v>1443</v>
      </c>
      <c r="L76" t="s">
        <v>1372</v>
      </c>
      <c r="M76" t="s">
        <v>1373</v>
      </c>
      <c r="N76" t="s">
        <v>1374</v>
      </c>
      <c r="O76" t="s">
        <v>1375</v>
      </c>
      <c r="P76">
        <v>23.778600000000001</v>
      </c>
      <c r="Q76" t="s">
        <v>29</v>
      </c>
      <c r="R76" t="s">
        <v>430</v>
      </c>
    </row>
    <row r="77" spans="1:18" x14ac:dyDescent="0.25">
      <c r="A77">
        <v>2015</v>
      </c>
      <c r="B77">
        <v>27978</v>
      </c>
      <c r="C77" t="s">
        <v>1559</v>
      </c>
      <c r="D77" t="s">
        <v>1560</v>
      </c>
      <c r="E77">
        <v>211113</v>
      </c>
      <c r="F77" t="s">
        <v>786</v>
      </c>
      <c r="G77" t="s">
        <v>426</v>
      </c>
      <c r="H77" t="s">
        <v>85</v>
      </c>
      <c r="I77" t="s">
        <v>1457</v>
      </c>
      <c r="J77" t="s">
        <v>1458</v>
      </c>
      <c r="K77" t="s">
        <v>1459</v>
      </c>
      <c r="L77" t="s">
        <v>1372</v>
      </c>
      <c r="M77" t="s">
        <v>1373</v>
      </c>
      <c r="N77" t="s">
        <v>1409</v>
      </c>
      <c r="O77" t="s">
        <v>1410</v>
      </c>
      <c r="P77">
        <v>22.664999999999999</v>
      </c>
      <c r="Q77" t="s">
        <v>29</v>
      </c>
      <c r="R77" t="s">
        <v>430</v>
      </c>
    </row>
    <row r="78" spans="1:18" x14ac:dyDescent="0.25">
      <c r="A78">
        <v>2012</v>
      </c>
      <c r="B78">
        <v>17880</v>
      </c>
      <c r="C78" t="s">
        <v>833</v>
      </c>
      <c r="D78" t="s">
        <v>1561</v>
      </c>
      <c r="E78">
        <v>211113</v>
      </c>
      <c r="F78" t="s">
        <v>786</v>
      </c>
      <c r="G78" t="s">
        <v>426</v>
      </c>
      <c r="H78" t="s">
        <v>85</v>
      </c>
      <c r="I78" t="s">
        <v>1533</v>
      </c>
      <c r="J78" t="s">
        <v>1534</v>
      </c>
      <c r="K78" t="s">
        <v>1535</v>
      </c>
      <c r="L78" t="s">
        <v>1372</v>
      </c>
      <c r="M78" t="s">
        <v>1373</v>
      </c>
      <c r="N78" t="s">
        <v>1374</v>
      </c>
      <c r="O78" t="s">
        <v>1375</v>
      </c>
      <c r="P78">
        <v>150.33500000000001</v>
      </c>
      <c r="Q78" t="s">
        <v>29</v>
      </c>
      <c r="R78" t="s">
        <v>30</v>
      </c>
    </row>
    <row r="79" spans="1:18" x14ac:dyDescent="0.25">
      <c r="A79">
        <v>2005</v>
      </c>
      <c r="B79">
        <v>18171</v>
      </c>
      <c r="C79" t="s">
        <v>1562</v>
      </c>
      <c r="D79" t="s">
        <v>1563</v>
      </c>
      <c r="E79">
        <v>211113</v>
      </c>
      <c r="F79" t="s">
        <v>425</v>
      </c>
      <c r="G79" t="s">
        <v>426</v>
      </c>
      <c r="H79" t="s">
        <v>85</v>
      </c>
      <c r="I79" t="s">
        <v>1421</v>
      </c>
      <c r="J79" t="s">
        <v>1422</v>
      </c>
      <c r="K79" t="s">
        <v>1423</v>
      </c>
      <c r="L79" t="s">
        <v>1372</v>
      </c>
      <c r="M79" t="s">
        <v>1373</v>
      </c>
      <c r="N79" t="s">
        <v>1374</v>
      </c>
      <c r="O79" t="s">
        <v>1375</v>
      </c>
      <c r="P79">
        <v>0.312</v>
      </c>
      <c r="Q79" t="s">
        <v>29</v>
      </c>
      <c r="R79" t="s">
        <v>430</v>
      </c>
    </row>
    <row r="80" spans="1:18" x14ac:dyDescent="0.25">
      <c r="A80">
        <v>2008</v>
      </c>
      <c r="B80">
        <v>409</v>
      </c>
      <c r="C80" t="s">
        <v>1564</v>
      </c>
      <c r="D80" t="s">
        <v>1565</v>
      </c>
      <c r="E80">
        <v>211114</v>
      </c>
      <c r="F80" t="s">
        <v>835</v>
      </c>
      <c r="G80" t="s">
        <v>836</v>
      </c>
      <c r="H80" t="s">
        <v>243</v>
      </c>
      <c r="I80" t="s">
        <v>129</v>
      </c>
      <c r="J80" t="s">
        <v>130</v>
      </c>
      <c r="K80" t="s">
        <v>131</v>
      </c>
      <c r="L80" t="s">
        <v>1372</v>
      </c>
      <c r="M80" t="s">
        <v>1373</v>
      </c>
      <c r="N80" t="s">
        <v>1520</v>
      </c>
      <c r="O80" t="s">
        <v>1521</v>
      </c>
      <c r="P80">
        <v>5.2999999999999999E-2</v>
      </c>
      <c r="Q80" t="s">
        <v>29</v>
      </c>
      <c r="R80" t="s">
        <v>430</v>
      </c>
    </row>
    <row r="81" spans="1:18" x14ac:dyDescent="0.25">
      <c r="A81">
        <v>2019</v>
      </c>
      <c r="B81">
        <v>10021</v>
      </c>
      <c r="C81" t="s">
        <v>1566</v>
      </c>
      <c r="D81" t="s">
        <v>1567</v>
      </c>
      <c r="E81">
        <v>212323</v>
      </c>
      <c r="F81" t="s">
        <v>1568</v>
      </c>
      <c r="G81" t="s">
        <v>1498</v>
      </c>
      <c r="H81" t="s">
        <v>21</v>
      </c>
      <c r="I81" t="s">
        <v>1487</v>
      </c>
      <c r="J81" t="s">
        <v>1488</v>
      </c>
      <c r="K81" t="s">
        <v>1489</v>
      </c>
      <c r="L81" t="s">
        <v>1372</v>
      </c>
      <c r="M81" t="s">
        <v>1373</v>
      </c>
      <c r="N81" t="s">
        <v>1390</v>
      </c>
      <c r="O81" t="s">
        <v>1391</v>
      </c>
      <c r="P81">
        <v>6.3090000000000002</v>
      </c>
      <c r="Q81" t="s">
        <v>29</v>
      </c>
      <c r="R81" t="s">
        <v>430</v>
      </c>
    </row>
    <row r="82" spans="1:18" x14ac:dyDescent="0.25">
      <c r="A82">
        <v>2009</v>
      </c>
      <c r="B82">
        <v>17854</v>
      </c>
      <c r="C82" t="s">
        <v>1569</v>
      </c>
      <c r="D82" t="s">
        <v>1570</v>
      </c>
      <c r="E82">
        <v>211113</v>
      </c>
      <c r="F82" t="s">
        <v>425</v>
      </c>
      <c r="G82" t="s">
        <v>426</v>
      </c>
      <c r="H82" t="s">
        <v>85</v>
      </c>
      <c r="I82" t="s">
        <v>1533</v>
      </c>
      <c r="J82" t="s">
        <v>1534</v>
      </c>
      <c r="K82" t="s">
        <v>1535</v>
      </c>
      <c r="L82" t="s">
        <v>1372</v>
      </c>
      <c r="M82" t="s">
        <v>1373</v>
      </c>
      <c r="N82" t="s">
        <v>1374</v>
      </c>
      <c r="O82" t="s">
        <v>1375</v>
      </c>
      <c r="P82">
        <v>287.23</v>
      </c>
      <c r="Q82" t="s">
        <v>29</v>
      </c>
      <c r="R82" t="s">
        <v>430</v>
      </c>
    </row>
    <row r="83" spans="1:18" x14ac:dyDescent="0.25">
      <c r="A83">
        <v>2008</v>
      </c>
      <c r="B83">
        <v>1797</v>
      </c>
      <c r="C83" t="s">
        <v>1376</v>
      </c>
      <c r="D83" t="s">
        <v>1377</v>
      </c>
      <c r="E83">
        <v>322112</v>
      </c>
      <c r="F83" t="s">
        <v>620</v>
      </c>
      <c r="G83" t="s">
        <v>621</v>
      </c>
      <c r="H83" t="s">
        <v>69</v>
      </c>
      <c r="I83" t="s">
        <v>1549</v>
      </c>
      <c r="J83" t="s">
        <v>1550</v>
      </c>
      <c r="K83" t="s">
        <v>1551</v>
      </c>
      <c r="L83" t="s">
        <v>1372</v>
      </c>
      <c r="M83" t="s">
        <v>1373</v>
      </c>
      <c r="N83" t="s">
        <v>1374</v>
      </c>
      <c r="O83" t="s">
        <v>1375</v>
      </c>
      <c r="P83">
        <v>32.009</v>
      </c>
      <c r="Q83" t="s">
        <v>29</v>
      </c>
      <c r="R83" t="s">
        <v>430</v>
      </c>
    </row>
    <row r="84" spans="1:18" x14ac:dyDescent="0.25">
      <c r="A84">
        <v>2004</v>
      </c>
      <c r="B84">
        <v>16480</v>
      </c>
      <c r="C84" t="s">
        <v>1571</v>
      </c>
      <c r="D84" t="s">
        <v>1572</v>
      </c>
      <c r="E84">
        <v>211113</v>
      </c>
      <c r="F84" t="s">
        <v>425</v>
      </c>
      <c r="G84" t="s">
        <v>426</v>
      </c>
      <c r="H84" t="s">
        <v>69</v>
      </c>
      <c r="I84" t="s">
        <v>1533</v>
      </c>
      <c r="J84" t="s">
        <v>1534</v>
      </c>
      <c r="K84" t="s">
        <v>1535</v>
      </c>
      <c r="L84" t="s">
        <v>1372</v>
      </c>
      <c r="M84" t="s">
        <v>1373</v>
      </c>
      <c r="N84" t="s">
        <v>1374</v>
      </c>
      <c r="O84" t="s">
        <v>1375</v>
      </c>
      <c r="P84">
        <v>75.489999999999995</v>
      </c>
      <c r="Q84" t="s">
        <v>29</v>
      </c>
      <c r="R84" t="s">
        <v>430</v>
      </c>
    </row>
    <row r="85" spans="1:18" x14ac:dyDescent="0.25">
      <c r="A85">
        <v>2013</v>
      </c>
      <c r="B85">
        <v>27118</v>
      </c>
      <c r="C85" t="s">
        <v>1573</v>
      </c>
      <c r="D85" t="s">
        <v>1574</v>
      </c>
      <c r="E85">
        <v>221320</v>
      </c>
      <c r="F85" t="s">
        <v>146</v>
      </c>
      <c r="G85" t="s">
        <v>147</v>
      </c>
      <c r="H85" t="s">
        <v>69</v>
      </c>
      <c r="I85" t="s">
        <v>97</v>
      </c>
      <c r="J85" t="s">
        <v>98</v>
      </c>
      <c r="K85" t="s">
        <v>99</v>
      </c>
      <c r="L85" t="s">
        <v>1361</v>
      </c>
      <c r="M85" t="s">
        <v>1362</v>
      </c>
      <c r="N85" t="s">
        <v>1363</v>
      </c>
      <c r="O85" t="s">
        <v>1364</v>
      </c>
      <c r="P85">
        <v>0</v>
      </c>
      <c r="Q85" t="s">
        <v>29</v>
      </c>
      <c r="R85" t="s">
        <v>124</v>
      </c>
    </row>
    <row r="86" spans="1:18" x14ac:dyDescent="0.25">
      <c r="A86">
        <v>2004</v>
      </c>
      <c r="B86">
        <v>1797</v>
      </c>
      <c r="C86" t="s">
        <v>1376</v>
      </c>
      <c r="D86" t="s">
        <v>1377</v>
      </c>
      <c r="E86">
        <v>322112</v>
      </c>
      <c r="F86" t="s">
        <v>620</v>
      </c>
      <c r="G86" t="s">
        <v>621</v>
      </c>
      <c r="H86" t="s">
        <v>69</v>
      </c>
      <c r="I86" t="s">
        <v>1533</v>
      </c>
      <c r="J86" t="s">
        <v>1534</v>
      </c>
      <c r="K86" t="s">
        <v>1535</v>
      </c>
      <c r="L86" t="s">
        <v>1372</v>
      </c>
      <c r="M86" t="s">
        <v>1373</v>
      </c>
      <c r="N86" t="s">
        <v>1374</v>
      </c>
      <c r="O86" t="s">
        <v>1375</v>
      </c>
      <c r="P86">
        <v>531.21</v>
      </c>
      <c r="Q86" t="s">
        <v>29</v>
      </c>
      <c r="R86" t="s">
        <v>124</v>
      </c>
    </row>
    <row r="87" spans="1:18" x14ac:dyDescent="0.25">
      <c r="A87">
        <v>2000</v>
      </c>
      <c r="B87">
        <v>1951</v>
      </c>
      <c r="C87" t="s">
        <v>1575</v>
      </c>
      <c r="E87">
        <v>325999</v>
      </c>
      <c r="F87" t="s">
        <v>396</v>
      </c>
      <c r="G87" t="s">
        <v>397</v>
      </c>
      <c r="H87" t="s">
        <v>21</v>
      </c>
      <c r="I87" t="s">
        <v>337</v>
      </c>
      <c r="J87" t="s">
        <v>338</v>
      </c>
      <c r="K87" t="s">
        <v>339</v>
      </c>
      <c r="L87" t="s">
        <v>1361</v>
      </c>
      <c r="M87" t="s">
        <v>1362</v>
      </c>
      <c r="N87" t="s">
        <v>1363</v>
      </c>
      <c r="O87" t="s">
        <v>1364</v>
      </c>
      <c r="P87">
        <v>7.0000000000000001E-3</v>
      </c>
      <c r="Q87" t="s">
        <v>29</v>
      </c>
      <c r="R87" t="s">
        <v>50</v>
      </c>
    </row>
    <row r="88" spans="1:18" x14ac:dyDescent="0.25">
      <c r="A88">
        <v>2012</v>
      </c>
      <c r="B88">
        <v>3713</v>
      </c>
      <c r="C88" t="s">
        <v>685</v>
      </c>
      <c r="D88" t="s">
        <v>686</v>
      </c>
      <c r="E88">
        <v>331110</v>
      </c>
      <c r="F88" t="s">
        <v>627</v>
      </c>
      <c r="G88" t="s">
        <v>336</v>
      </c>
      <c r="H88" t="s">
        <v>21</v>
      </c>
      <c r="I88" t="s">
        <v>152</v>
      </c>
      <c r="J88" t="s">
        <v>153</v>
      </c>
      <c r="K88" t="s">
        <v>154</v>
      </c>
      <c r="L88" t="s">
        <v>1372</v>
      </c>
      <c r="M88" t="s">
        <v>1373</v>
      </c>
      <c r="N88" t="s">
        <v>1399</v>
      </c>
      <c r="O88" t="s">
        <v>1400</v>
      </c>
      <c r="P88">
        <v>4.7000000000000002E-3</v>
      </c>
      <c r="Q88" t="s">
        <v>29</v>
      </c>
      <c r="R88" t="s">
        <v>157</v>
      </c>
    </row>
    <row r="89" spans="1:18" x14ac:dyDescent="0.25">
      <c r="A89">
        <v>2008</v>
      </c>
      <c r="B89">
        <v>15198</v>
      </c>
      <c r="C89" t="s">
        <v>1576</v>
      </c>
      <c r="D89" t="s">
        <v>1577</v>
      </c>
      <c r="E89">
        <v>211113</v>
      </c>
      <c r="F89" t="s">
        <v>425</v>
      </c>
      <c r="G89" t="s">
        <v>426</v>
      </c>
      <c r="H89" t="s">
        <v>85</v>
      </c>
      <c r="I89" t="s">
        <v>1533</v>
      </c>
      <c r="J89" t="s">
        <v>1534</v>
      </c>
      <c r="K89" t="s">
        <v>1535</v>
      </c>
      <c r="L89" t="s">
        <v>1372</v>
      </c>
      <c r="M89" t="s">
        <v>1373</v>
      </c>
      <c r="N89" t="s">
        <v>1374</v>
      </c>
      <c r="O89" t="s">
        <v>1375</v>
      </c>
      <c r="P89">
        <v>95.370999999999995</v>
      </c>
      <c r="Q89" t="s">
        <v>29</v>
      </c>
      <c r="R89" t="s">
        <v>430</v>
      </c>
    </row>
    <row r="90" spans="1:18" x14ac:dyDescent="0.25">
      <c r="A90">
        <v>2017</v>
      </c>
      <c r="B90">
        <v>31</v>
      </c>
      <c r="C90" t="s">
        <v>214</v>
      </c>
      <c r="D90" t="s">
        <v>215</v>
      </c>
      <c r="E90">
        <v>325510</v>
      </c>
      <c r="F90" t="s">
        <v>111</v>
      </c>
      <c r="G90" t="s">
        <v>112</v>
      </c>
      <c r="H90" t="s">
        <v>21</v>
      </c>
      <c r="I90" t="s">
        <v>778</v>
      </c>
      <c r="J90" t="s">
        <v>779</v>
      </c>
      <c r="K90" t="s">
        <v>780</v>
      </c>
      <c r="L90" t="s">
        <v>1372</v>
      </c>
      <c r="M90" t="s">
        <v>1373</v>
      </c>
      <c r="N90" t="s">
        <v>1374</v>
      </c>
      <c r="O90" t="s">
        <v>1375</v>
      </c>
      <c r="P90">
        <v>2</v>
      </c>
      <c r="Q90" t="s">
        <v>29</v>
      </c>
      <c r="R90" t="s">
        <v>157</v>
      </c>
    </row>
    <row r="91" spans="1:18" x14ac:dyDescent="0.25">
      <c r="A91">
        <v>1997</v>
      </c>
      <c r="B91">
        <v>793</v>
      </c>
      <c r="C91" t="s">
        <v>1578</v>
      </c>
      <c r="D91" t="s">
        <v>1579</v>
      </c>
      <c r="E91">
        <v>325999</v>
      </c>
      <c r="F91" t="s">
        <v>396</v>
      </c>
      <c r="G91" t="s">
        <v>397</v>
      </c>
      <c r="H91" t="s">
        <v>69</v>
      </c>
      <c r="I91" t="s">
        <v>1580</v>
      </c>
      <c r="J91" t="s">
        <v>1581</v>
      </c>
      <c r="K91" t="s">
        <v>1582</v>
      </c>
      <c r="L91" t="s">
        <v>1372</v>
      </c>
      <c r="M91" t="s">
        <v>1373</v>
      </c>
      <c r="N91" t="s">
        <v>1409</v>
      </c>
      <c r="O91" t="s">
        <v>1410</v>
      </c>
      <c r="P91">
        <v>1E-3</v>
      </c>
      <c r="Q91" t="s">
        <v>29</v>
      </c>
      <c r="R91" t="s">
        <v>30</v>
      </c>
    </row>
    <row r="92" spans="1:18" x14ac:dyDescent="0.25">
      <c r="A92">
        <v>2010</v>
      </c>
      <c r="B92">
        <v>2077</v>
      </c>
      <c r="C92" t="s">
        <v>1583</v>
      </c>
      <c r="D92" t="s">
        <v>1584</v>
      </c>
      <c r="E92">
        <v>325313</v>
      </c>
      <c r="F92" t="s">
        <v>1585</v>
      </c>
      <c r="G92" t="s">
        <v>1055</v>
      </c>
      <c r="H92" t="s">
        <v>243</v>
      </c>
      <c r="I92" t="s">
        <v>1369</v>
      </c>
      <c r="J92" t="s">
        <v>1370</v>
      </c>
      <c r="K92" t="s">
        <v>1371</v>
      </c>
      <c r="L92" t="s">
        <v>1372</v>
      </c>
      <c r="M92" t="s">
        <v>1373</v>
      </c>
      <c r="N92" t="s">
        <v>1374</v>
      </c>
      <c r="O92" t="s">
        <v>1375</v>
      </c>
      <c r="P92">
        <v>113.66</v>
      </c>
      <c r="Q92" t="s">
        <v>29</v>
      </c>
      <c r="R92" t="s">
        <v>124</v>
      </c>
    </row>
    <row r="93" spans="1:18" x14ac:dyDescent="0.25">
      <c r="A93">
        <v>2016</v>
      </c>
      <c r="B93">
        <v>28670</v>
      </c>
      <c r="C93" t="s">
        <v>1586</v>
      </c>
      <c r="D93" t="s">
        <v>1587</v>
      </c>
      <c r="E93">
        <v>488320</v>
      </c>
      <c r="F93" t="s">
        <v>1588</v>
      </c>
      <c r="G93" t="s">
        <v>1589</v>
      </c>
      <c r="H93" t="s">
        <v>79</v>
      </c>
      <c r="I93" t="s">
        <v>1369</v>
      </c>
      <c r="J93" t="s">
        <v>1370</v>
      </c>
      <c r="K93" t="s">
        <v>1371</v>
      </c>
      <c r="L93" t="s">
        <v>1372</v>
      </c>
      <c r="M93" t="s">
        <v>1373</v>
      </c>
      <c r="N93" t="s">
        <v>1520</v>
      </c>
      <c r="O93" t="s">
        <v>1521</v>
      </c>
      <c r="P93">
        <v>0.4</v>
      </c>
      <c r="Q93" t="s">
        <v>29</v>
      </c>
      <c r="R93" t="s">
        <v>430</v>
      </c>
    </row>
    <row r="94" spans="1:18" x14ac:dyDescent="0.25">
      <c r="A94">
        <v>2001</v>
      </c>
      <c r="B94">
        <v>2502</v>
      </c>
      <c r="C94" t="s">
        <v>1590</v>
      </c>
      <c r="E94">
        <v>322121</v>
      </c>
      <c r="F94" t="s">
        <v>764</v>
      </c>
      <c r="G94" t="s">
        <v>1591</v>
      </c>
      <c r="H94" t="s">
        <v>79</v>
      </c>
      <c r="I94" t="s">
        <v>106</v>
      </c>
      <c r="J94" t="s">
        <v>107</v>
      </c>
      <c r="K94" t="s">
        <v>108</v>
      </c>
      <c r="L94" t="s">
        <v>1372</v>
      </c>
      <c r="M94" t="s">
        <v>1373</v>
      </c>
      <c r="N94" t="s">
        <v>1374</v>
      </c>
      <c r="O94" t="s">
        <v>1375</v>
      </c>
      <c r="P94">
        <v>14.015000000000001</v>
      </c>
      <c r="Q94" t="s">
        <v>40</v>
      </c>
      <c r="R94" t="s">
        <v>204</v>
      </c>
    </row>
    <row r="95" spans="1:18" x14ac:dyDescent="0.25">
      <c r="A95">
        <v>2018</v>
      </c>
      <c r="B95">
        <v>19058</v>
      </c>
      <c r="C95" t="s">
        <v>1592</v>
      </c>
      <c r="D95" t="s">
        <v>1593</v>
      </c>
      <c r="E95">
        <v>211110</v>
      </c>
      <c r="F95" t="s">
        <v>233</v>
      </c>
      <c r="G95" t="s">
        <v>234</v>
      </c>
      <c r="H95" t="s">
        <v>85</v>
      </c>
      <c r="I95" t="s">
        <v>1369</v>
      </c>
      <c r="J95" t="s">
        <v>1370</v>
      </c>
      <c r="K95" t="s">
        <v>1371</v>
      </c>
      <c r="L95" t="s">
        <v>1372</v>
      </c>
      <c r="M95" t="s">
        <v>1373</v>
      </c>
      <c r="N95" t="s">
        <v>1374</v>
      </c>
      <c r="O95" t="s">
        <v>1375</v>
      </c>
      <c r="P95">
        <v>0.33700000000000002</v>
      </c>
      <c r="Q95" t="s">
        <v>29</v>
      </c>
      <c r="R95" t="s">
        <v>430</v>
      </c>
    </row>
    <row r="96" spans="1:18" x14ac:dyDescent="0.25">
      <c r="A96">
        <v>2018</v>
      </c>
      <c r="B96">
        <v>11755</v>
      </c>
      <c r="C96" t="s">
        <v>1594</v>
      </c>
      <c r="D96" t="s">
        <v>1595</v>
      </c>
      <c r="E96">
        <v>311930</v>
      </c>
      <c r="F96" t="s">
        <v>1596</v>
      </c>
      <c r="G96" t="s">
        <v>1597</v>
      </c>
      <c r="H96" t="s">
        <v>21</v>
      </c>
      <c r="I96" t="s">
        <v>1369</v>
      </c>
      <c r="J96" t="s">
        <v>1370</v>
      </c>
      <c r="K96" t="s">
        <v>1371</v>
      </c>
      <c r="L96" t="s">
        <v>1372</v>
      </c>
      <c r="M96" t="s">
        <v>1373</v>
      </c>
      <c r="N96" t="s">
        <v>1374</v>
      </c>
      <c r="O96" t="s">
        <v>1375</v>
      </c>
      <c r="P96">
        <v>0.69799999999999995</v>
      </c>
      <c r="Q96" t="s">
        <v>29</v>
      </c>
      <c r="R96" t="s">
        <v>30</v>
      </c>
    </row>
    <row r="97" spans="1:18" x14ac:dyDescent="0.25">
      <c r="A97">
        <v>2013</v>
      </c>
      <c r="B97">
        <v>8783</v>
      </c>
      <c r="C97" t="s">
        <v>1598</v>
      </c>
      <c r="D97" t="s">
        <v>1599</v>
      </c>
      <c r="E97">
        <v>212210</v>
      </c>
      <c r="F97" t="s">
        <v>888</v>
      </c>
      <c r="G97" t="s">
        <v>889</v>
      </c>
      <c r="H97" t="s">
        <v>79</v>
      </c>
      <c r="I97" t="s">
        <v>1421</v>
      </c>
      <c r="J97" t="s">
        <v>1422</v>
      </c>
      <c r="K97" t="s">
        <v>1423</v>
      </c>
      <c r="L97" t="s">
        <v>1372</v>
      </c>
      <c r="M97" t="s">
        <v>1373</v>
      </c>
      <c r="N97" t="s">
        <v>1374</v>
      </c>
      <c r="O97" t="s">
        <v>1375</v>
      </c>
      <c r="P97">
        <v>13.22</v>
      </c>
      <c r="Q97" t="s">
        <v>29</v>
      </c>
      <c r="R97" t="s">
        <v>124</v>
      </c>
    </row>
    <row r="98" spans="1:18" x14ac:dyDescent="0.25">
      <c r="A98">
        <v>2014</v>
      </c>
      <c r="B98">
        <v>6591</v>
      </c>
      <c r="C98" t="s">
        <v>1600</v>
      </c>
      <c r="D98" t="s">
        <v>1601</v>
      </c>
      <c r="E98">
        <v>221112</v>
      </c>
      <c r="F98" t="s">
        <v>499</v>
      </c>
      <c r="G98" t="s">
        <v>135</v>
      </c>
      <c r="H98" t="s">
        <v>85</v>
      </c>
      <c r="I98" t="s">
        <v>106</v>
      </c>
      <c r="J98" t="s">
        <v>107</v>
      </c>
      <c r="K98" t="s">
        <v>108</v>
      </c>
      <c r="L98" t="s">
        <v>1378</v>
      </c>
      <c r="M98" t="s">
        <v>1379</v>
      </c>
      <c r="N98" t="s">
        <v>1380</v>
      </c>
      <c r="O98" t="s">
        <v>1381</v>
      </c>
      <c r="P98">
        <v>1E-3</v>
      </c>
      <c r="Q98" t="s">
        <v>40</v>
      </c>
      <c r="R98" t="s">
        <v>124</v>
      </c>
    </row>
    <row r="99" spans="1:18" x14ac:dyDescent="0.25">
      <c r="A99">
        <v>2023</v>
      </c>
      <c r="B99">
        <v>15796</v>
      </c>
      <c r="C99" t="s">
        <v>1027</v>
      </c>
      <c r="D99" t="s">
        <v>1602</v>
      </c>
      <c r="E99">
        <v>211110</v>
      </c>
      <c r="F99" t="s">
        <v>233</v>
      </c>
      <c r="G99" t="s">
        <v>234</v>
      </c>
      <c r="H99" t="s">
        <v>85</v>
      </c>
      <c r="I99" t="s">
        <v>1413</v>
      </c>
      <c r="J99" t="s">
        <v>1414</v>
      </c>
      <c r="K99" t="s">
        <v>1415</v>
      </c>
      <c r="L99" t="s">
        <v>1372</v>
      </c>
      <c r="M99" t="s">
        <v>1373</v>
      </c>
      <c r="N99" t="s">
        <v>1374</v>
      </c>
      <c r="O99" t="s">
        <v>1375</v>
      </c>
      <c r="P99">
        <v>0</v>
      </c>
      <c r="Q99" t="s">
        <v>29</v>
      </c>
    </row>
    <row r="100" spans="1:18" x14ac:dyDescent="0.25">
      <c r="A100">
        <v>2004</v>
      </c>
      <c r="B100">
        <v>10366</v>
      </c>
      <c r="C100" t="s">
        <v>1603</v>
      </c>
      <c r="D100" t="s">
        <v>851</v>
      </c>
      <c r="E100">
        <v>311211</v>
      </c>
      <c r="F100" t="s">
        <v>1604</v>
      </c>
      <c r="G100" t="s">
        <v>1605</v>
      </c>
      <c r="H100" t="s">
        <v>21</v>
      </c>
      <c r="I100" t="s">
        <v>1487</v>
      </c>
      <c r="J100" t="s">
        <v>1488</v>
      </c>
      <c r="K100" t="s">
        <v>1489</v>
      </c>
      <c r="L100" t="s">
        <v>1372</v>
      </c>
      <c r="M100" t="s">
        <v>1373</v>
      </c>
      <c r="N100" t="s">
        <v>1520</v>
      </c>
      <c r="O100" t="s">
        <v>1521</v>
      </c>
      <c r="P100">
        <v>2.1999999999999999E-2</v>
      </c>
      <c r="Q100" t="s">
        <v>29</v>
      </c>
      <c r="R100" t="s">
        <v>430</v>
      </c>
    </row>
    <row r="101" spans="1:18" x14ac:dyDescent="0.25">
      <c r="A101">
        <v>2006</v>
      </c>
      <c r="B101">
        <v>18140</v>
      </c>
      <c r="C101" t="s">
        <v>1606</v>
      </c>
      <c r="D101" t="s">
        <v>1607</v>
      </c>
      <c r="E101">
        <v>211113</v>
      </c>
      <c r="F101" t="s">
        <v>425</v>
      </c>
      <c r="G101" t="s">
        <v>426</v>
      </c>
      <c r="H101" t="s">
        <v>85</v>
      </c>
      <c r="I101" t="s">
        <v>1421</v>
      </c>
      <c r="J101" t="s">
        <v>1422</v>
      </c>
      <c r="K101" t="s">
        <v>1423</v>
      </c>
      <c r="L101" t="s">
        <v>1372</v>
      </c>
      <c r="M101" t="s">
        <v>1373</v>
      </c>
      <c r="N101" t="s">
        <v>1374</v>
      </c>
      <c r="O101" t="s">
        <v>1375</v>
      </c>
      <c r="P101">
        <v>1.0089999999999999</v>
      </c>
      <c r="Q101" t="s">
        <v>29</v>
      </c>
      <c r="R101" t="s">
        <v>430</v>
      </c>
    </row>
    <row r="102" spans="1:18" x14ac:dyDescent="0.25">
      <c r="A102">
        <v>2016</v>
      </c>
      <c r="B102">
        <v>15656</v>
      </c>
      <c r="C102" t="s">
        <v>1608</v>
      </c>
      <c r="D102" t="s">
        <v>1609</v>
      </c>
      <c r="E102">
        <v>211113</v>
      </c>
      <c r="F102" t="s">
        <v>786</v>
      </c>
      <c r="G102" t="s">
        <v>426</v>
      </c>
      <c r="H102" t="s">
        <v>85</v>
      </c>
      <c r="I102" t="s">
        <v>1457</v>
      </c>
      <c r="J102" t="s">
        <v>1458</v>
      </c>
      <c r="K102" t="s">
        <v>1459</v>
      </c>
      <c r="L102" t="s">
        <v>1372</v>
      </c>
      <c r="M102" t="s">
        <v>1373</v>
      </c>
      <c r="N102" t="s">
        <v>1374</v>
      </c>
      <c r="O102" t="s">
        <v>1375</v>
      </c>
      <c r="P102">
        <v>10.766999999999999</v>
      </c>
      <c r="Q102" t="s">
        <v>29</v>
      </c>
      <c r="R102" t="s">
        <v>430</v>
      </c>
    </row>
    <row r="103" spans="1:18" x14ac:dyDescent="0.25">
      <c r="A103">
        <v>1995</v>
      </c>
      <c r="B103">
        <v>3119</v>
      </c>
      <c r="C103" t="s">
        <v>1610</v>
      </c>
      <c r="D103" t="s">
        <v>1610</v>
      </c>
      <c r="E103">
        <v>332999</v>
      </c>
      <c r="F103" t="s">
        <v>309</v>
      </c>
      <c r="G103" t="s">
        <v>304</v>
      </c>
      <c r="H103" t="s">
        <v>79</v>
      </c>
      <c r="I103" t="s">
        <v>520</v>
      </c>
      <c r="J103" t="s">
        <v>521</v>
      </c>
      <c r="K103" t="s">
        <v>522</v>
      </c>
      <c r="L103" t="s">
        <v>1372</v>
      </c>
      <c r="M103" t="s">
        <v>1373</v>
      </c>
      <c r="N103" t="s">
        <v>1409</v>
      </c>
      <c r="O103" t="s">
        <v>1410</v>
      </c>
      <c r="P103">
        <v>1.4419999999999999</v>
      </c>
      <c r="Q103" t="s">
        <v>29</v>
      </c>
      <c r="R103" t="s">
        <v>50</v>
      </c>
    </row>
    <row r="104" spans="1:18" x14ac:dyDescent="0.25">
      <c r="A104">
        <v>2021</v>
      </c>
      <c r="B104">
        <v>7605</v>
      </c>
      <c r="C104" t="s">
        <v>1611</v>
      </c>
      <c r="D104" t="s">
        <v>352</v>
      </c>
      <c r="E104">
        <v>418110</v>
      </c>
      <c r="F104" t="s">
        <v>1612</v>
      </c>
      <c r="G104" t="s">
        <v>1613</v>
      </c>
      <c r="H104" t="s">
        <v>21</v>
      </c>
      <c r="I104" t="s">
        <v>1421</v>
      </c>
      <c r="J104" t="s">
        <v>1422</v>
      </c>
      <c r="K104" t="s">
        <v>1423</v>
      </c>
      <c r="L104" t="s">
        <v>1372</v>
      </c>
      <c r="M104" t="s">
        <v>1373</v>
      </c>
      <c r="N104" t="s">
        <v>1390</v>
      </c>
      <c r="O104" t="s">
        <v>1391</v>
      </c>
      <c r="P104">
        <v>0.318</v>
      </c>
      <c r="Q104" t="s">
        <v>29</v>
      </c>
      <c r="R104" t="s">
        <v>30</v>
      </c>
    </row>
    <row r="105" spans="1:18" x14ac:dyDescent="0.25">
      <c r="A105">
        <v>2020</v>
      </c>
      <c r="B105">
        <v>29879</v>
      </c>
      <c r="C105" t="s">
        <v>1614</v>
      </c>
      <c r="D105" t="s">
        <v>1615</v>
      </c>
      <c r="E105">
        <v>486110</v>
      </c>
      <c r="F105" t="s">
        <v>1616</v>
      </c>
      <c r="G105" t="s">
        <v>541</v>
      </c>
      <c r="H105" t="s">
        <v>85</v>
      </c>
      <c r="I105" t="s">
        <v>129</v>
      </c>
      <c r="J105" t="s">
        <v>130</v>
      </c>
      <c r="K105" t="s">
        <v>131</v>
      </c>
      <c r="L105" t="s">
        <v>1372</v>
      </c>
      <c r="M105" t="s">
        <v>1373</v>
      </c>
      <c r="N105" t="s">
        <v>1399</v>
      </c>
      <c r="O105" t="s">
        <v>1400</v>
      </c>
      <c r="P105">
        <v>0.26775500000000002</v>
      </c>
      <c r="Q105" t="s">
        <v>29</v>
      </c>
      <c r="R105" t="s">
        <v>30</v>
      </c>
    </row>
    <row r="106" spans="1:18" x14ac:dyDescent="0.25">
      <c r="A106">
        <v>2013</v>
      </c>
      <c r="B106">
        <v>1568</v>
      </c>
      <c r="C106" t="s">
        <v>1617</v>
      </c>
      <c r="D106" t="s">
        <v>1618</v>
      </c>
      <c r="E106">
        <v>212220</v>
      </c>
      <c r="F106" t="s">
        <v>1619</v>
      </c>
      <c r="G106" t="s">
        <v>1620</v>
      </c>
      <c r="H106" t="s">
        <v>21</v>
      </c>
      <c r="I106" t="s">
        <v>35</v>
      </c>
      <c r="J106" t="s">
        <v>36</v>
      </c>
      <c r="K106" t="s">
        <v>37</v>
      </c>
      <c r="L106" t="s">
        <v>1372</v>
      </c>
      <c r="M106" t="s">
        <v>1373</v>
      </c>
      <c r="N106" t="s">
        <v>1374</v>
      </c>
      <c r="O106" t="s">
        <v>1375</v>
      </c>
      <c r="P106">
        <v>2</v>
      </c>
      <c r="Q106" t="s">
        <v>40</v>
      </c>
      <c r="R106" t="s">
        <v>157</v>
      </c>
    </row>
    <row r="107" spans="1:18" x14ac:dyDescent="0.25">
      <c r="A107">
        <v>2021</v>
      </c>
      <c r="B107">
        <v>6336</v>
      </c>
      <c r="C107" t="s">
        <v>1621</v>
      </c>
      <c r="D107" t="s">
        <v>1622</v>
      </c>
      <c r="E107">
        <v>321111</v>
      </c>
      <c r="F107" t="s">
        <v>1367</v>
      </c>
      <c r="G107" t="s">
        <v>1368</v>
      </c>
      <c r="H107" t="s">
        <v>79</v>
      </c>
      <c r="I107" t="s">
        <v>1457</v>
      </c>
      <c r="J107" t="s">
        <v>1458</v>
      </c>
      <c r="K107" t="s">
        <v>1459</v>
      </c>
      <c r="L107" t="s">
        <v>1372</v>
      </c>
      <c r="M107" t="s">
        <v>1373</v>
      </c>
      <c r="N107" t="s">
        <v>1374</v>
      </c>
      <c r="O107" t="s">
        <v>1375</v>
      </c>
      <c r="P107">
        <v>18.036000000000001</v>
      </c>
      <c r="Q107" t="s">
        <v>29</v>
      </c>
      <c r="R107" t="s">
        <v>430</v>
      </c>
    </row>
    <row r="108" spans="1:18" x14ac:dyDescent="0.25">
      <c r="A108">
        <v>2010</v>
      </c>
      <c r="B108">
        <v>8629</v>
      </c>
      <c r="C108" t="s">
        <v>1623</v>
      </c>
      <c r="D108" t="s">
        <v>1624</v>
      </c>
      <c r="E108">
        <v>412110</v>
      </c>
      <c r="F108" t="s">
        <v>346</v>
      </c>
      <c r="G108" t="s">
        <v>347</v>
      </c>
      <c r="H108" t="s">
        <v>1625</v>
      </c>
      <c r="I108" t="s">
        <v>427</v>
      </c>
      <c r="J108" t="s">
        <v>428</v>
      </c>
      <c r="K108" t="s">
        <v>429</v>
      </c>
      <c r="L108" t="s">
        <v>1372</v>
      </c>
      <c r="M108" t="s">
        <v>1373</v>
      </c>
      <c r="N108" t="s">
        <v>1409</v>
      </c>
      <c r="O108" t="s">
        <v>1410</v>
      </c>
      <c r="P108">
        <v>0</v>
      </c>
      <c r="Q108" t="s">
        <v>29</v>
      </c>
      <c r="R108" t="s">
        <v>30</v>
      </c>
    </row>
    <row r="109" spans="1:18" x14ac:dyDescent="0.25">
      <c r="A109">
        <v>2022</v>
      </c>
      <c r="B109">
        <v>29792</v>
      </c>
      <c r="C109" t="s">
        <v>1626</v>
      </c>
      <c r="D109" t="s">
        <v>1627</v>
      </c>
      <c r="E109">
        <v>486210</v>
      </c>
      <c r="F109" t="s">
        <v>1328</v>
      </c>
      <c r="G109" t="s">
        <v>1329</v>
      </c>
      <c r="H109" t="s">
        <v>85</v>
      </c>
      <c r="I109" t="s">
        <v>1441</v>
      </c>
      <c r="J109" t="s">
        <v>1442</v>
      </c>
      <c r="K109" t="s">
        <v>1443</v>
      </c>
      <c r="L109" t="s">
        <v>1372</v>
      </c>
      <c r="M109" t="s">
        <v>1373</v>
      </c>
      <c r="N109" t="s">
        <v>1374</v>
      </c>
      <c r="O109" t="s">
        <v>1375</v>
      </c>
      <c r="P109">
        <v>26.796040000000001</v>
      </c>
      <c r="Q109" t="s">
        <v>29</v>
      </c>
      <c r="R109" t="s">
        <v>430</v>
      </c>
    </row>
    <row r="110" spans="1:18" x14ac:dyDescent="0.25">
      <c r="A110">
        <v>2018</v>
      </c>
      <c r="B110">
        <v>3810</v>
      </c>
      <c r="C110" t="s">
        <v>1628</v>
      </c>
      <c r="D110" t="s">
        <v>1629</v>
      </c>
      <c r="E110">
        <v>212220</v>
      </c>
      <c r="F110" t="s">
        <v>1619</v>
      </c>
      <c r="G110" t="s">
        <v>1620</v>
      </c>
      <c r="H110" t="s">
        <v>21</v>
      </c>
      <c r="I110" t="s">
        <v>184</v>
      </c>
      <c r="J110" t="s">
        <v>185</v>
      </c>
      <c r="K110" t="s">
        <v>186</v>
      </c>
      <c r="L110" t="s">
        <v>1372</v>
      </c>
      <c r="M110" t="s">
        <v>1373</v>
      </c>
      <c r="N110" t="s">
        <v>1409</v>
      </c>
      <c r="O110" t="s">
        <v>1410</v>
      </c>
      <c r="P110">
        <v>1.0526</v>
      </c>
      <c r="Q110" t="s">
        <v>40</v>
      </c>
      <c r="R110" t="s">
        <v>430</v>
      </c>
    </row>
    <row r="111" spans="1:18" x14ac:dyDescent="0.25">
      <c r="A111">
        <v>2002</v>
      </c>
      <c r="B111">
        <v>3992</v>
      </c>
      <c r="C111" t="s">
        <v>1630</v>
      </c>
      <c r="D111" t="s">
        <v>1631</v>
      </c>
      <c r="E111">
        <v>221112</v>
      </c>
      <c r="F111" t="s">
        <v>134</v>
      </c>
      <c r="G111" t="s">
        <v>135</v>
      </c>
      <c r="H111" t="s">
        <v>483</v>
      </c>
      <c r="I111" t="s">
        <v>1369</v>
      </c>
      <c r="J111" t="s">
        <v>1370</v>
      </c>
      <c r="K111" t="s">
        <v>1371</v>
      </c>
      <c r="L111" t="s">
        <v>1372</v>
      </c>
      <c r="M111" t="s">
        <v>1373</v>
      </c>
      <c r="N111" t="s">
        <v>1374</v>
      </c>
      <c r="O111" t="s">
        <v>1375</v>
      </c>
      <c r="P111">
        <v>316.20999999999998</v>
      </c>
      <c r="Q111" t="s">
        <v>29</v>
      </c>
      <c r="R111" t="s">
        <v>204</v>
      </c>
    </row>
    <row r="112" spans="1:18" x14ac:dyDescent="0.25">
      <c r="A112">
        <v>2015</v>
      </c>
      <c r="B112">
        <v>683</v>
      </c>
      <c r="C112" t="s">
        <v>1466</v>
      </c>
      <c r="D112" t="s">
        <v>1632</v>
      </c>
      <c r="E112">
        <v>211113</v>
      </c>
      <c r="F112" t="s">
        <v>786</v>
      </c>
      <c r="G112" t="s">
        <v>426</v>
      </c>
      <c r="H112" t="s">
        <v>85</v>
      </c>
      <c r="I112" t="s">
        <v>923</v>
      </c>
      <c r="J112" t="s">
        <v>924</v>
      </c>
      <c r="K112" t="s">
        <v>924</v>
      </c>
      <c r="L112" t="s">
        <v>1372</v>
      </c>
      <c r="M112" t="s">
        <v>1373</v>
      </c>
      <c r="N112" t="s">
        <v>1399</v>
      </c>
      <c r="O112" t="s">
        <v>1400</v>
      </c>
      <c r="P112">
        <v>0.33</v>
      </c>
      <c r="Q112" t="s">
        <v>29</v>
      </c>
      <c r="R112" t="s">
        <v>30</v>
      </c>
    </row>
    <row r="113" spans="1:18" x14ac:dyDescent="0.25">
      <c r="A113">
        <v>2013</v>
      </c>
      <c r="B113">
        <v>1353</v>
      </c>
      <c r="C113" t="s">
        <v>1633</v>
      </c>
      <c r="D113" t="s">
        <v>1634</v>
      </c>
      <c r="E113">
        <v>325510</v>
      </c>
      <c r="F113" t="s">
        <v>111</v>
      </c>
      <c r="G113" t="s">
        <v>112</v>
      </c>
      <c r="H113" t="s">
        <v>21</v>
      </c>
      <c r="I113" t="s">
        <v>129</v>
      </c>
      <c r="J113" t="s">
        <v>130</v>
      </c>
      <c r="K113" t="s">
        <v>131</v>
      </c>
      <c r="L113" t="s">
        <v>1361</v>
      </c>
      <c r="M113" t="s">
        <v>1362</v>
      </c>
      <c r="N113" t="s">
        <v>1363</v>
      </c>
      <c r="O113" t="s">
        <v>1364</v>
      </c>
      <c r="P113">
        <v>0.745</v>
      </c>
      <c r="Q113" t="s">
        <v>29</v>
      </c>
      <c r="R113" t="s">
        <v>430</v>
      </c>
    </row>
    <row r="114" spans="1:18" x14ac:dyDescent="0.25">
      <c r="A114">
        <v>2009</v>
      </c>
      <c r="B114">
        <v>16379</v>
      </c>
      <c r="C114" t="s">
        <v>947</v>
      </c>
      <c r="D114" t="s">
        <v>1635</v>
      </c>
      <c r="E114">
        <v>211113</v>
      </c>
      <c r="F114" t="s">
        <v>425</v>
      </c>
      <c r="G114" t="s">
        <v>426</v>
      </c>
      <c r="H114" t="s">
        <v>85</v>
      </c>
      <c r="I114" t="s">
        <v>1533</v>
      </c>
      <c r="J114" t="s">
        <v>1534</v>
      </c>
      <c r="K114" t="s">
        <v>1535</v>
      </c>
      <c r="L114" t="s">
        <v>1372</v>
      </c>
      <c r="M114" t="s">
        <v>1373</v>
      </c>
      <c r="N114" t="s">
        <v>1374</v>
      </c>
      <c r="O114" t="s">
        <v>1375</v>
      </c>
      <c r="P114">
        <v>61.000999999999998</v>
      </c>
      <c r="Q114" t="s">
        <v>29</v>
      </c>
      <c r="R114" t="s">
        <v>430</v>
      </c>
    </row>
    <row r="115" spans="1:18" x14ac:dyDescent="0.25">
      <c r="A115">
        <v>2008</v>
      </c>
      <c r="B115">
        <v>11043</v>
      </c>
      <c r="C115" t="s">
        <v>1636</v>
      </c>
      <c r="D115" t="s">
        <v>1637</v>
      </c>
      <c r="E115">
        <v>337127</v>
      </c>
      <c r="F115" t="s">
        <v>1638</v>
      </c>
      <c r="G115" t="s">
        <v>1639</v>
      </c>
      <c r="H115" t="s">
        <v>21</v>
      </c>
      <c r="I115" t="s">
        <v>1457</v>
      </c>
      <c r="J115" t="s">
        <v>1458</v>
      </c>
      <c r="K115" t="s">
        <v>1459</v>
      </c>
      <c r="L115" t="s">
        <v>1372</v>
      </c>
      <c r="M115" t="s">
        <v>1373</v>
      </c>
      <c r="N115" t="s">
        <v>1374</v>
      </c>
      <c r="O115" t="s">
        <v>1375</v>
      </c>
      <c r="P115">
        <v>14.957000000000001</v>
      </c>
      <c r="Q115" t="s">
        <v>29</v>
      </c>
      <c r="R115" t="s">
        <v>50</v>
      </c>
    </row>
    <row r="116" spans="1:18" x14ac:dyDescent="0.25">
      <c r="A116">
        <v>1998</v>
      </c>
      <c r="B116">
        <v>728</v>
      </c>
      <c r="C116" t="s">
        <v>1640</v>
      </c>
      <c r="E116">
        <v>325999</v>
      </c>
      <c r="F116" t="s">
        <v>396</v>
      </c>
      <c r="G116" t="s">
        <v>397</v>
      </c>
      <c r="H116" t="s">
        <v>21</v>
      </c>
      <c r="I116" t="s">
        <v>271</v>
      </c>
      <c r="J116" t="s">
        <v>387</v>
      </c>
      <c r="K116" t="s">
        <v>388</v>
      </c>
      <c r="L116" t="s">
        <v>1361</v>
      </c>
      <c r="M116" t="s">
        <v>1362</v>
      </c>
      <c r="N116" t="s">
        <v>1363</v>
      </c>
      <c r="O116" t="s">
        <v>1364</v>
      </c>
      <c r="P116">
        <v>1.9E-2</v>
      </c>
      <c r="Q116" t="s">
        <v>29</v>
      </c>
      <c r="R116" t="s">
        <v>204</v>
      </c>
    </row>
    <row r="117" spans="1:18" x14ac:dyDescent="0.25">
      <c r="A117">
        <v>2022</v>
      </c>
      <c r="B117">
        <v>23425</v>
      </c>
      <c r="C117" t="s">
        <v>1641</v>
      </c>
      <c r="D117" t="s">
        <v>1642</v>
      </c>
      <c r="E117">
        <v>211110</v>
      </c>
      <c r="F117" t="s">
        <v>233</v>
      </c>
      <c r="G117" t="s">
        <v>234</v>
      </c>
      <c r="H117" t="s">
        <v>85</v>
      </c>
      <c r="I117" t="s">
        <v>1487</v>
      </c>
      <c r="J117" t="s">
        <v>1488</v>
      </c>
      <c r="K117" t="s">
        <v>1489</v>
      </c>
      <c r="L117" t="s">
        <v>1372</v>
      </c>
      <c r="M117" t="s">
        <v>1373</v>
      </c>
      <c r="N117" t="s">
        <v>1374</v>
      </c>
      <c r="O117" t="s">
        <v>1375</v>
      </c>
      <c r="P117">
        <v>0.15018999999999999</v>
      </c>
      <c r="Q117" t="s">
        <v>29</v>
      </c>
      <c r="R117" t="s">
        <v>430</v>
      </c>
    </row>
    <row r="118" spans="1:18" x14ac:dyDescent="0.25">
      <c r="A118">
        <v>2004</v>
      </c>
      <c r="B118">
        <v>2219</v>
      </c>
      <c r="C118" t="s">
        <v>1643</v>
      </c>
      <c r="D118" t="s">
        <v>1644</v>
      </c>
      <c r="E118">
        <v>322130</v>
      </c>
      <c r="F118" t="s">
        <v>1645</v>
      </c>
      <c r="G118" t="s">
        <v>1646</v>
      </c>
      <c r="H118" t="s">
        <v>661</v>
      </c>
      <c r="I118" t="s">
        <v>35</v>
      </c>
      <c r="J118" t="s">
        <v>36</v>
      </c>
      <c r="K118" t="s">
        <v>37</v>
      </c>
      <c r="L118" t="s">
        <v>1378</v>
      </c>
      <c r="M118" t="s">
        <v>1379</v>
      </c>
      <c r="N118" t="s">
        <v>1380</v>
      </c>
      <c r="O118" t="s">
        <v>1381</v>
      </c>
      <c r="P118">
        <v>141</v>
      </c>
      <c r="Q118" t="s">
        <v>40</v>
      </c>
      <c r="R118" t="s">
        <v>430</v>
      </c>
    </row>
    <row r="119" spans="1:18" x14ac:dyDescent="0.25">
      <c r="A119">
        <v>2015</v>
      </c>
      <c r="B119">
        <v>7309</v>
      </c>
      <c r="C119" t="s">
        <v>1647</v>
      </c>
      <c r="D119" t="s">
        <v>1648</v>
      </c>
      <c r="E119">
        <v>326198</v>
      </c>
      <c r="F119" t="s">
        <v>1069</v>
      </c>
      <c r="G119" t="s">
        <v>250</v>
      </c>
      <c r="H119" t="s">
        <v>21</v>
      </c>
      <c r="I119" t="s">
        <v>1457</v>
      </c>
      <c r="J119" t="s">
        <v>1458</v>
      </c>
      <c r="K119" t="s">
        <v>1459</v>
      </c>
      <c r="L119" t="s">
        <v>1372</v>
      </c>
      <c r="M119" t="s">
        <v>1373</v>
      </c>
      <c r="N119" t="s">
        <v>1374</v>
      </c>
      <c r="O119" t="s">
        <v>1375</v>
      </c>
      <c r="P119">
        <v>11</v>
      </c>
      <c r="Q119" t="s">
        <v>29</v>
      </c>
      <c r="R119" t="s">
        <v>430</v>
      </c>
    </row>
    <row r="120" spans="1:18" x14ac:dyDescent="0.25">
      <c r="A120">
        <v>2019</v>
      </c>
      <c r="B120">
        <v>1372</v>
      </c>
      <c r="C120" t="s">
        <v>1649</v>
      </c>
      <c r="D120" t="s">
        <v>1650</v>
      </c>
      <c r="E120">
        <v>211110</v>
      </c>
      <c r="F120" t="s">
        <v>233</v>
      </c>
      <c r="G120" t="s">
        <v>234</v>
      </c>
      <c r="H120" t="s">
        <v>85</v>
      </c>
      <c r="I120" t="s">
        <v>504</v>
      </c>
      <c r="J120" t="s">
        <v>505</v>
      </c>
      <c r="K120" t="s">
        <v>506</v>
      </c>
      <c r="L120" t="s">
        <v>1372</v>
      </c>
      <c r="M120" t="s">
        <v>1373</v>
      </c>
      <c r="N120" t="s">
        <v>1374</v>
      </c>
      <c r="O120" t="s">
        <v>1375</v>
      </c>
      <c r="P120">
        <v>11.9428</v>
      </c>
      <c r="Q120" t="s">
        <v>29</v>
      </c>
      <c r="R120" t="s">
        <v>430</v>
      </c>
    </row>
    <row r="121" spans="1:18" x14ac:dyDescent="0.25">
      <c r="A121">
        <v>2020</v>
      </c>
      <c r="B121">
        <v>27932</v>
      </c>
      <c r="C121" t="s">
        <v>1651</v>
      </c>
      <c r="D121" t="s">
        <v>1652</v>
      </c>
      <c r="E121">
        <v>211110</v>
      </c>
      <c r="F121" t="s">
        <v>233</v>
      </c>
      <c r="G121" t="s">
        <v>234</v>
      </c>
      <c r="H121" t="s">
        <v>243</v>
      </c>
      <c r="I121" t="s">
        <v>1413</v>
      </c>
      <c r="J121" t="s">
        <v>1414</v>
      </c>
      <c r="K121" t="s">
        <v>1415</v>
      </c>
      <c r="L121" t="s">
        <v>1372</v>
      </c>
      <c r="M121" t="s">
        <v>1373</v>
      </c>
      <c r="N121" t="s">
        <v>1374</v>
      </c>
      <c r="O121" t="s">
        <v>1375</v>
      </c>
      <c r="P121">
        <v>0.13500000000000001</v>
      </c>
      <c r="Q121" t="s">
        <v>29</v>
      </c>
      <c r="R121" t="s">
        <v>258</v>
      </c>
    </row>
    <row r="122" spans="1:18" x14ac:dyDescent="0.25">
      <c r="A122">
        <v>2021</v>
      </c>
      <c r="B122">
        <v>33092</v>
      </c>
      <c r="C122" t="s">
        <v>1653</v>
      </c>
      <c r="D122" t="s">
        <v>1654</v>
      </c>
      <c r="E122">
        <v>211110</v>
      </c>
      <c r="F122" t="s">
        <v>233</v>
      </c>
      <c r="G122" t="s">
        <v>234</v>
      </c>
      <c r="H122" t="s">
        <v>243</v>
      </c>
      <c r="I122" t="s">
        <v>1441</v>
      </c>
      <c r="J122" t="s">
        <v>1442</v>
      </c>
      <c r="K122" t="s">
        <v>1443</v>
      </c>
      <c r="L122" t="s">
        <v>1372</v>
      </c>
      <c r="M122" t="s">
        <v>1373</v>
      </c>
      <c r="N122" t="s">
        <v>1374</v>
      </c>
      <c r="O122" t="s">
        <v>1375</v>
      </c>
      <c r="P122">
        <v>3.7075999999999998</v>
      </c>
      <c r="Q122" t="s">
        <v>29</v>
      </c>
      <c r="R122" t="s">
        <v>430</v>
      </c>
    </row>
    <row r="123" spans="1:18" x14ac:dyDescent="0.25">
      <c r="A123">
        <v>2009</v>
      </c>
      <c r="B123">
        <v>92</v>
      </c>
      <c r="C123" t="s">
        <v>1655</v>
      </c>
      <c r="D123" t="s">
        <v>1656</v>
      </c>
      <c r="E123">
        <v>331317</v>
      </c>
      <c r="F123" t="s">
        <v>899</v>
      </c>
      <c r="G123" t="s">
        <v>769</v>
      </c>
      <c r="H123" t="s">
        <v>21</v>
      </c>
      <c r="I123" t="s">
        <v>191</v>
      </c>
      <c r="J123" t="s">
        <v>192</v>
      </c>
      <c r="K123" t="s">
        <v>193</v>
      </c>
      <c r="L123" t="s">
        <v>1372</v>
      </c>
      <c r="M123" t="s">
        <v>1373</v>
      </c>
      <c r="N123" t="s">
        <v>1374</v>
      </c>
      <c r="O123" t="s">
        <v>1375</v>
      </c>
      <c r="P123">
        <v>2.4649999999999999</v>
      </c>
      <c r="Q123" t="s">
        <v>29</v>
      </c>
      <c r="R123" t="s">
        <v>124</v>
      </c>
    </row>
    <row r="124" spans="1:18" x14ac:dyDescent="0.25">
      <c r="A124">
        <v>2019</v>
      </c>
      <c r="B124">
        <v>5337</v>
      </c>
      <c r="C124" t="s">
        <v>1649</v>
      </c>
      <c r="D124" t="s">
        <v>1657</v>
      </c>
      <c r="E124">
        <v>211110</v>
      </c>
      <c r="F124" t="s">
        <v>233</v>
      </c>
      <c r="G124" t="s">
        <v>234</v>
      </c>
      <c r="H124" t="s">
        <v>85</v>
      </c>
      <c r="I124" t="s">
        <v>70</v>
      </c>
      <c r="J124" t="s">
        <v>71</v>
      </c>
      <c r="K124" t="s">
        <v>72</v>
      </c>
      <c r="L124" t="s">
        <v>1372</v>
      </c>
      <c r="M124" t="s">
        <v>1373</v>
      </c>
      <c r="N124" t="s">
        <v>1399</v>
      </c>
      <c r="O124" t="s">
        <v>1400</v>
      </c>
      <c r="P124">
        <v>4.0500000000000001E-2</v>
      </c>
      <c r="Q124" t="s">
        <v>29</v>
      </c>
      <c r="R124" t="s">
        <v>30</v>
      </c>
    </row>
    <row r="125" spans="1:18" x14ac:dyDescent="0.25">
      <c r="A125">
        <v>2013</v>
      </c>
      <c r="B125">
        <v>5816</v>
      </c>
      <c r="C125" t="s">
        <v>1658</v>
      </c>
      <c r="D125" t="s">
        <v>1659</v>
      </c>
      <c r="E125">
        <v>325189</v>
      </c>
      <c r="F125" t="s">
        <v>1660</v>
      </c>
      <c r="G125" t="s">
        <v>1291</v>
      </c>
      <c r="H125" t="s">
        <v>21</v>
      </c>
      <c r="I125" t="s">
        <v>1457</v>
      </c>
      <c r="J125" t="s">
        <v>1458</v>
      </c>
      <c r="K125" t="s">
        <v>1459</v>
      </c>
      <c r="L125" t="s">
        <v>1372</v>
      </c>
      <c r="M125" t="s">
        <v>1373</v>
      </c>
      <c r="N125" t="s">
        <v>1399</v>
      </c>
      <c r="O125" t="s">
        <v>1400</v>
      </c>
      <c r="P125">
        <v>0.161</v>
      </c>
      <c r="Q125" t="s">
        <v>29</v>
      </c>
      <c r="R125" t="s">
        <v>50</v>
      </c>
    </row>
    <row r="126" spans="1:18" x14ac:dyDescent="0.25">
      <c r="A126">
        <v>2017</v>
      </c>
      <c r="B126">
        <v>1464</v>
      </c>
      <c r="C126" t="s">
        <v>194</v>
      </c>
      <c r="D126" t="s">
        <v>443</v>
      </c>
      <c r="E126">
        <v>325110</v>
      </c>
      <c r="F126" t="s">
        <v>444</v>
      </c>
      <c r="G126" t="s">
        <v>445</v>
      </c>
      <c r="H126" t="s">
        <v>21</v>
      </c>
      <c r="I126" t="s">
        <v>491</v>
      </c>
      <c r="J126" t="s">
        <v>492</v>
      </c>
      <c r="K126" t="s">
        <v>492</v>
      </c>
      <c r="L126" t="s">
        <v>1372</v>
      </c>
      <c r="M126" t="s">
        <v>1373</v>
      </c>
      <c r="N126" t="s">
        <v>1374</v>
      </c>
      <c r="O126" t="s">
        <v>1375</v>
      </c>
      <c r="P126">
        <v>1.5069999999999999</v>
      </c>
      <c r="Q126" t="s">
        <v>29</v>
      </c>
      <c r="R126" t="s">
        <v>430</v>
      </c>
    </row>
    <row r="127" spans="1:18" x14ac:dyDescent="0.25">
      <c r="A127">
        <v>2014</v>
      </c>
      <c r="B127">
        <v>1941</v>
      </c>
      <c r="C127" t="s">
        <v>1661</v>
      </c>
      <c r="D127" t="s">
        <v>1662</v>
      </c>
      <c r="E127">
        <v>212220</v>
      </c>
      <c r="F127" t="s">
        <v>1619</v>
      </c>
      <c r="G127" t="s">
        <v>1620</v>
      </c>
      <c r="H127" t="s">
        <v>21</v>
      </c>
      <c r="I127" t="s">
        <v>244</v>
      </c>
      <c r="J127" t="s">
        <v>245</v>
      </c>
      <c r="K127" t="s">
        <v>246</v>
      </c>
      <c r="L127" t="s">
        <v>1372</v>
      </c>
      <c r="M127" t="s">
        <v>1373</v>
      </c>
      <c r="N127" t="s">
        <v>1374</v>
      </c>
      <c r="O127" t="s">
        <v>1375</v>
      </c>
      <c r="P127">
        <v>5.1310000000000002</v>
      </c>
      <c r="Q127" t="s">
        <v>40</v>
      </c>
      <c r="R127" t="s">
        <v>430</v>
      </c>
    </row>
    <row r="128" spans="1:18" x14ac:dyDescent="0.25">
      <c r="A128">
        <v>2015</v>
      </c>
      <c r="B128">
        <v>1039</v>
      </c>
      <c r="C128" t="s">
        <v>1663</v>
      </c>
      <c r="D128" t="s">
        <v>1664</v>
      </c>
      <c r="E128">
        <v>221112</v>
      </c>
      <c r="F128" t="s">
        <v>499</v>
      </c>
      <c r="G128" t="s">
        <v>135</v>
      </c>
      <c r="H128" t="s">
        <v>85</v>
      </c>
      <c r="I128" t="s">
        <v>106</v>
      </c>
      <c r="J128" t="s">
        <v>107</v>
      </c>
      <c r="K128" t="s">
        <v>108</v>
      </c>
      <c r="L128" t="s">
        <v>1372</v>
      </c>
      <c r="M128" t="s">
        <v>1373</v>
      </c>
      <c r="N128" t="s">
        <v>1374</v>
      </c>
      <c r="O128" t="s">
        <v>1375</v>
      </c>
      <c r="P128">
        <v>3.6</v>
      </c>
      <c r="Q128" t="s">
        <v>40</v>
      </c>
      <c r="R128" t="s">
        <v>50</v>
      </c>
    </row>
    <row r="129" spans="1:18" x14ac:dyDescent="0.25">
      <c r="A129">
        <v>2006</v>
      </c>
      <c r="B129">
        <v>5186</v>
      </c>
      <c r="C129" t="s">
        <v>1665</v>
      </c>
      <c r="D129" t="s">
        <v>1666</v>
      </c>
      <c r="E129">
        <v>321111</v>
      </c>
      <c r="F129" t="s">
        <v>1474</v>
      </c>
      <c r="G129" t="s">
        <v>1368</v>
      </c>
      <c r="H129" t="s">
        <v>69</v>
      </c>
      <c r="I129" t="s">
        <v>1441</v>
      </c>
      <c r="J129" t="s">
        <v>1442</v>
      </c>
      <c r="K129" t="s">
        <v>1443</v>
      </c>
      <c r="L129" t="s">
        <v>1372</v>
      </c>
      <c r="M129" t="s">
        <v>1373</v>
      </c>
      <c r="N129" t="s">
        <v>1374</v>
      </c>
      <c r="O129" t="s">
        <v>1375</v>
      </c>
      <c r="P129">
        <v>55</v>
      </c>
      <c r="Q129" t="s">
        <v>29</v>
      </c>
      <c r="R129" t="s">
        <v>30</v>
      </c>
    </row>
    <row r="130" spans="1:18" x14ac:dyDescent="0.25">
      <c r="A130">
        <v>2016</v>
      </c>
      <c r="B130">
        <v>3040</v>
      </c>
      <c r="C130" t="s">
        <v>1667</v>
      </c>
      <c r="D130" t="s">
        <v>1668</v>
      </c>
      <c r="E130">
        <v>325189</v>
      </c>
      <c r="F130" t="s">
        <v>1660</v>
      </c>
      <c r="G130" t="s">
        <v>1291</v>
      </c>
      <c r="H130" t="s">
        <v>21</v>
      </c>
      <c r="I130" t="s">
        <v>337</v>
      </c>
      <c r="J130" t="s">
        <v>338</v>
      </c>
      <c r="K130" t="s">
        <v>339</v>
      </c>
      <c r="L130" t="s">
        <v>1361</v>
      </c>
      <c r="M130" t="s">
        <v>1362</v>
      </c>
      <c r="N130" t="s">
        <v>1363</v>
      </c>
      <c r="O130" t="s">
        <v>1364</v>
      </c>
      <c r="P130">
        <v>1.6E-2</v>
      </c>
      <c r="Q130" t="s">
        <v>29</v>
      </c>
      <c r="R130" t="s">
        <v>124</v>
      </c>
    </row>
    <row r="131" spans="1:18" x14ac:dyDescent="0.25">
      <c r="A131">
        <v>2019</v>
      </c>
      <c r="B131">
        <v>2478</v>
      </c>
      <c r="C131" t="s">
        <v>1210</v>
      </c>
      <c r="D131" t="s">
        <v>1669</v>
      </c>
      <c r="E131">
        <v>321114</v>
      </c>
      <c r="F131" t="s">
        <v>1212</v>
      </c>
      <c r="G131" t="s">
        <v>366</v>
      </c>
      <c r="H131" t="s">
        <v>79</v>
      </c>
      <c r="I131" t="s">
        <v>177</v>
      </c>
      <c r="J131" t="s">
        <v>178</v>
      </c>
      <c r="K131" t="s">
        <v>179</v>
      </c>
      <c r="L131" t="s">
        <v>1361</v>
      </c>
      <c r="M131" t="s">
        <v>1362</v>
      </c>
      <c r="N131" t="s">
        <v>1363</v>
      </c>
      <c r="O131" t="s">
        <v>1364</v>
      </c>
      <c r="P131">
        <v>9.9999999999999995E-7</v>
      </c>
      <c r="Q131" t="s">
        <v>29</v>
      </c>
      <c r="R131" t="s">
        <v>430</v>
      </c>
    </row>
    <row r="132" spans="1:18" x14ac:dyDescent="0.25">
      <c r="A132">
        <v>2018</v>
      </c>
      <c r="B132">
        <v>5463</v>
      </c>
      <c r="C132" t="s">
        <v>1670</v>
      </c>
      <c r="D132" t="s">
        <v>1671</v>
      </c>
      <c r="E132">
        <v>336410</v>
      </c>
      <c r="F132" t="s">
        <v>280</v>
      </c>
      <c r="G132" t="s">
        <v>261</v>
      </c>
      <c r="H132" t="s">
        <v>79</v>
      </c>
      <c r="I132" t="s">
        <v>778</v>
      </c>
      <c r="J132" t="s">
        <v>779</v>
      </c>
      <c r="K132" t="s">
        <v>780</v>
      </c>
      <c r="L132" t="s">
        <v>1372</v>
      </c>
      <c r="M132" t="s">
        <v>1373</v>
      </c>
      <c r="N132" t="s">
        <v>1374</v>
      </c>
      <c r="O132" t="s">
        <v>1375</v>
      </c>
      <c r="P132">
        <v>0.63900000000000001</v>
      </c>
      <c r="Q132" t="s">
        <v>29</v>
      </c>
      <c r="R132" t="s">
        <v>50</v>
      </c>
    </row>
    <row r="133" spans="1:18" x14ac:dyDescent="0.25">
      <c r="A133">
        <v>2000</v>
      </c>
      <c r="B133">
        <v>1071</v>
      </c>
      <c r="C133" t="s">
        <v>1523</v>
      </c>
      <c r="E133">
        <v>331313</v>
      </c>
      <c r="F133" t="s">
        <v>1131</v>
      </c>
      <c r="G133" t="s">
        <v>1132</v>
      </c>
      <c r="H133" t="s">
        <v>79</v>
      </c>
      <c r="I133" t="s">
        <v>1672</v>
      </c>
      <c r="J133" t="s">
        <v>1673</v>
      </c>
      <c r="K133" t="s">
        <v>1674</v>
      </c>
      <c r="L133" t="s">
        <v>1372</v>
      </c>
      <c r="M133" t="s">
        <v>1373</v>
      </c>
      <c r="N133" t="s">
        <v>1374</v>
      </c>
      <c r="O133" t="s">
        <v>1375</v>
      </c>
      <c r="P133">
        <v>1716</v>
      </c>
      <c r="Q133" t="s">
        <v>40</v>
      </c>
      <c r="R133" t="s">
        <v>442</v>
      </c>
    </row>
    <row r="134" spans="1:18" x14ac:dyDescent="0.25">
      <c r="A134">
        <v>2010</v>
      </c>
      <c r="B134">
        <v>6570</v>
      </c>
      <c r="C134" t="s">
        <v>1675</v>
      </c>
      <c r="D134" t="s">
        <v>1676</v>
      </c>
      <c r="E134">
        <v>412110</v>
      </c>
      <c r="F134" t="s">
        <v>346</v>
      </c>
      <c r="G134" t="s">
        <v>347</v>
      </c>
      <c r="H134" t="s">
        <v>85</v>
      </c>
      <c r="I134" t="s">
        <v>106</v>
      </c>
      <c r="J134" t="s">
        <v>107</v>
      </c>
      <c r="K134" t="s">
        <v>108</v>
      </c>
      <c r="L134" t="s">
        <v>1394</v>
      </c>
      <c r="M134" t="s">
        <v>1395</v>
      </c>
      <c r="N134" t="s">
        <v>155</v>
      </c>
      <c r="O134" t="s">
        <v>156</v>
      </c>
      <c r="P134">
        <v>0</v>
      </c>
      <c r="Q134" t="s">
        <v>40</v>
      </c>
      <c r="R134" t="s">
        <v>30</v>
      </c>
    </row>
    <row r="135" spans="1:18" x14ac:dyDescent="0.25">
      <c r="A135">
        <v>1998</v>
      </c>
      <c r="B135">
        <v>3937</v>
      </c>
      <c r="C135" t="s">
        <v>1677</v>
      </c>
      <c r="D135" t="s">
        <v>1678</v>
      </c>
      <c r="E135">
        <v>211113</v>
      </c>
      <c r="F135" t="s">
        <v>425</v>
      </c>
      <c r="G135" t="s">
        <v>426</v>
      </c>
      <c r="H135" t="s">
        <v>85</v>
      </c>
      <c r="I135" t="s">
        <v>70</v>
      </c>
      <c r="J135" t="s">
        <v>71</v>
      </c>
      <c r="K135" t="s">
        <v>72</v>
      </c>
      <c r="L135" t="s">
        <v>1372</v>
      </c>
      <c r="M135" t="s">
        <v>1373</v>
      </c>
      <c r="N135" t="s">
        <v>1374</v>
      </c>
      <c r="O135" t="s">
        <v>1375</v>
      </c>
      <c r="P135">
        <v>6.35</v>
      </c>
      <c r="Q135" t="s">
        <v>29</v>
      </c>
      <c r="R135" t="s">
        <v>204</v>
      </c>
    </row>
    <row r="136" spans="1:18" x14ac:dyDescent="0.25">
      <c r="A136">
        <v>2023</v>
      </c>
      <c r="B136">
        <v>5150</v>
      </c>
      <c r="C136" t="s">
        <v>1679</v>
      </c>
      <c r="D136" t="s">
        <v>1679</v>
      </c>
      <c r="E136">
        <v>322121</v>
      </c>
      <c r="F136" t="s">
        <v>938</v>
      </c>
      <c r="G136" t="s">
        <v>765</v>
      </c>
      <c r="H136" t="s">
        <v>69</v>
      </c>
      <c r="I136" t="s">
        <v>1457</v>
      </c>
      <c r="J136" t="s">
        <v>1680</v>
      </c>
      <c r="K136" t="s">
        <v>1681</v>
      </c>
      <c r="L136" t="s">
        <v>1372</v>
      </c>
      <c r="M136" t="s">
        <v>1373</v>
      </c>
      <c r="N136" t="s">
        <v>1399</v>
      </c>
      <c r="O136" t="s">
        <v>1400</v>
      </c>
      <c r="P136">
        <v>2.698</v>
      </c>
      <c r="Q136" t="s">
        <v>29</v>
      </c>
      <c r="R136" t="s">
        <v>50</v>
      </c>
    </row>
    <row r="137" spans="1:18" x14ac:dyDescent="0.25">
      <c r="A137">
        <v>2010</v>
      </c>
      <c r="B137">
        <v>21772</v>
      </c>
      <c r="C137" t="s">
        <v>858</v>
      </c>
      <c r="D137" t="s">
        <v>1682</v>
      </c>
      <c r="E137">
        <v>213118</v>
      </c>
      <c r="F137" t="s">
        <v>1336</v>
      </c>
      <c r="G137" t="s">
        <v>1337</v>
      </c>
      <c r="H137" t="s">
        <v>85</v>
      </c>
      <c r="I137" t="s">
        <v>1421</v>
      </c>
      <c r="J137" t="s">
        <v>1422</v>
      </c>
      <c r="K137" t="s">
        <v>1423</v>
      </c>
      <c r="L137" t="s">
        <v>1372</v>
      </c>
      <c r="M137" t="s">
        <v>1373</v>
      </c>
      <c r="N137" t="s">
        <v>1374</v>
      </c>
      <c r="O137" t="s">
        <v>1375</v>
      </c>
      <c r="P137">
        <v>1.6160000000000001</v>
      </c>
      <c r="Q137" t="s">
        <v>29</v>
      </c>
      <c r="R137" t="s">
        <v>430</v>
      </c>
    </row>
    <row r="138" spans="1:18" x14ac:dyDescent="0.25">
      <c r="A138">
        <v>1998</v>
      </c>
      <c r="B138">
        <v>4</v>
      </c>
      <c r="C138" t="s">
        <v>1683</v>
      </c>
      <c r="D138" t="s">
        <v>1684</v>
      </c>
      <c r="E138">
        <v>322122</v>
      </c>
      <c r="F138" t="s">
        <v>1556</v>
      </c>
      <c r="G138" t="s">
        <v>1062</v>
      </c>
      <c r="H138" t="s">
        <v>54</v>
      </c>
      <c r="I138" t="s">
        <v>55</v>
      </c>
      <c r="J138" t="s">
        <v>56</v>
      </c>
      <c r="K138" t="s">
        <v>57</v>
      </c>
      <c r="L138" t="s">
        <v>1378</v>
      </c>
      <c r="M138" t="s">
        <v>1379</v>
      </c>
      <c r="N138" t="s">
        <v>1380</v>
      </c>
      <c r="O138" t="s">
        <v>1381</v>
      </c>
      <c r="P138">
        <v>8.8999999999999996E-2</v>
      </c>
      <c r="Q138" t="s">
        <v>29</v>
      </c>
      <c r="R138" t="s">
        <v>204</v>
      </c>
    </row>
    <row r="139" spans="1:18" x14ac:dyDescent="0.25">
      <c r="A139">
        <v>2019</v>
      </c>
      <c r="B139">
        <v>4150</v>
      </c>
      <c r="C139" t="s">
        <v>1685</v>
      </c>
      <c r="D139" t="s">
        <v>1686</v>
      </c>
      <c r="E139">
        <v>211110</v>
      </c>
      <c r="F139" t="s">
        <v>233</v>
      </c>
      <c r="G139" t="s">
        <v>234</v>
      </c>
      <c r="H139" t="s">
        <v>85</v>
      </c>
      <c r="I139" t="s">
        <v>1533</v>
      </c>
      <c r="J139" t="s">
        <v>1534</v>
      </c>
      <c r="K139" t="s">
        <v>1535</v>
      </c>
      <c r="L139" t="s">
        <v>1372</v>
      </c>
      <c r="M139" t="s">
        <v>1373</v>
      </c>
      <c r="N139" t="s">
        <v>1374</v>
      </c>
      <c r="O139" t="s">
        <v>1375</v>
      </c>
      <c r="P139">
        <v>854.17700000000002</v>
      </c>
      <c r="Q139" t="s">
        <v>29</v>
      </c>
      <c r="R139" t="s">
        <v>430</v>
      </c>
    </row>
    <row r="140" spans="1:18" x14ac:dyDescent="0.25">
      <c r="A140">
        <v>2020</v>
      </c>
      <c r="B140">
        <v>4803</v>
      </c>
      <c r="C140" t="s">
        <v>1621</v>
      </c>
      <c r="D140" t="s">
        <v>1687</v>
      </c>
      <c r="E140">
        <v>322122</v>
      </c>
      <c r="F140" t="s">
        <v>1061</v>
      </c>
      <c r="G140" t="s">
        <v>1062</v>
      </c>
      <c r="H140" t="s">
        <v>79</v>
      </c>
      <c r="I140" t="s">
        <v>97</v>
      </c>
      <c r="J140" t="s">
        <v>98</v>
      </c>
      <c r="K140" t="s">
        <v>99</v>
      </c>
      <c r="L140" t="s">
        <v>1378</v>
      </c>
      <c r="M140" t="s">
        <v>1379</v>
      </c>
      <c r="N140" t="s">
        <v>1380</v>
      </c>
      <c r="O140" t="s">
        <v>1381</v>
      </c>
      <c r="P140">
        <v>9.39</v>
      </c>
      <c r="Q140" t="s">
        <v>29</v>
      </c>
      <c r="R140" t="s">
        <v>124</v>
      </c>
    </row>
    <row r="141" spans="1:18" x14ac:dyDescent="0.25">
      <c r="A141">
        <v>2021</v>
      </c>
      <c r="B141">
        <v>6145</v>
      </c>
      <c r="C141" t="s">
        <v>1688</v>
      </c>
      <c r="D141" t="s">
        <v>1689</v>
      </c>
      <c r="E141">
        <v>221112</v>
      </c>
      <c r="F141" t="s">
        <v>499</v>
      </c>
      <c r="G141" t="s">
        <v>135</v>
      </c>
      <c r="H141" t="s">
        <v>79</v>
      </c>
      <c r="I141" t="s">
        <v>1441</v>
      </c>
      <c r="J141" t="s">
        <v>1442</v>
      </c>
      <c r="K141" t="s">
        <v>1443</v>
      </c>
      <c r="L141" t="s">
        <v>1372</v>
      </c>
      <c r="M141" t="s">
        <v>1373</v>
      </c>
      <c r="N141" t="s">
        <v>1374</v>
      </c>
      <c r="O141" t="s">
        <v>1375</v>
      </c>
      <c r="P141">
        <v>45.151000000000003</v>
      </c>
      <c r="Q141" t="s">
        <v>29</v>
      </c>
      <c r="R141" t="s">
        <v>430</v>
      </c>
    </row>
    <row r="142" spans="1:18" x14ac:dyDescent="0.25">
      <c r="A142">
        <v>2020</v>
      </c>
      <c r="B142">
        <v>5281</v>
      </c>
      <c r="C142" t="s">
        <v>1690</v>
      </c>
      <c r="D142" t="s">
        <v>1691</v>
      </c>
      <c r="E142">
        <v>321212</v>
      </c>
      <c r="F142" t="s">
        <v>1692</v>
      </c>
      <c r="G142" t="s">
        <v>1693</v>
      </c>
      <c r="H142" t="s">
        <v>85</v>
      </c>
      <c r="I142" t="s">
        <v>1457</v>
      </c>
      <c r="J142" t="s">
        <v>1458</v>
      </c>
      <c r="K142" t="s">
        <v>1459</v>
      </c>
      <c r="L142" t="s">
        <v>1372</v>
      </c>
      <c r="M142" t="s">
        <v>1373</v>
      </c>
      <c r="N142" t="s">
        <v>1374</v>
      </c>
      <c r="O142" t="s">
        <v>1375</v>
      </c>
      <c r="P142">
        <v>21.381</v>
      </c>
      <c r="Q142" t="s">
        <v>29</v>
      </c>
      <c r="R142" t="s">
        <v>124</v>
      </c>
    </row>
    <row r="143" spans="1:18" x14ac:dyDescent="0.25">
      <c r="A143">
        <v>2015</v>
      </c>
      <c r="B143">
        <v>3466</v>
      </c>
      <c r="C143" t="s">
        <v>1694</v>
      </c>
      <c r="D143" t="s">
        <v>1695</v>
      </c>
      <c r="E143">
        <v>326210</v>
      </c>
      <c r="F143" t="s">
        <v>1696</v>
      </c>
      <c r="G143" t="s">
        <v>968</v>
      </c>
      <c r="H143" t="s">
        <v>483</v>
      </c>
      <c r="I143" t="s">
        <v>1487</v>
      </c>
      <c r="J143" t="s">
        <v>1488</v>
      </c>
      <c r="K143" t="s">
        <v>1489</v>
      </c>
      <c r="L143" t="s">
        <v>1372</v>
      </c>
      <c r="M143" t="s">
        <v>1373</v>
      </c>
      <c r="N143" t="s">
        <v>1374</v>
      </c>
      <c r="O143" t="s">
        <v>1375</v>
      </c>
      <c r="P143">
        <v>19.07</v>
      </c>
      <c r="Q143" t="s">
        <v>29</v>
      </c>
      <c r="R143" t="s">
        <v>430</v>
      </c>
    </row>
    <row r="144" spans="1:18" x14ac:dyDescent="0.25">
      <c r="A144">
        <v>2009</v>
      </c>
      <c r="B144">
        <v>3269</v>
      </c>
      <c r="C144" t="s">
        <v>1697</v>
      </c>
      <c r="D144" t="s">
        <v>1698</v>
      </c>
      <c r="E144">
        <v>325313</v>
      </c>
      <c r="F144" t="s">
        <v>1585</v>
      </c>
      <c r="G144" t="s">
        <v>1055</v>
      </c>
      <c r="H144" t="s">
        <v>85</v>
      </c>
      <c r="I144" t="s">
        <v>191</v>
      </c>
      <c r="J144" t="s">
        <v>192</v>
      </c>
      <c r="K144" t="s">
        <v>193</v>
      </c>
      <c r="L144" t="s">
        <v>1372</v>
      </c>
      <c r="M144" t="s">
        <v>1373</v>
      </c>
      <c r="N144" t="s">
        <v>1409</v>
      </c>
      <c r="O144" t="s">
        <v>1410</v>
      </c>
      <c r="P144">
        <v>0.01</v>
      </c>
      <c r="Q144" t="s">
        <v>29</v>
      </c>
      <c r="R144" t="s">
        <v>30</v>
      </c>
    </row>
    <row r="145" spans="1:18" x14ac:dyDescent="0.25">
      <c r="A145">
        <v>2019</v>
      </c>
      <c r="B145">
        <v>6884</v>
      </c>
      <c r="C145" t="s">
        <v>1699</v>
      </c>
      <c r="D145" t="s">
        <v>1700</v>
      </c>
      <c r="E145">
        <v>212396</v>
      </c>
      <c r="F145" t="s">
        <v>1419</v>
      </c>
      <c r="G145" t="s">
        <v>1420</v>
      </c>
      <c r="H145" t="s">
        <v>243</v>
      </c>
      <c r="I145" t="s">
        <v>1369</v>
      </c>
      <c r="J145" t="s">
        <v>1370</v>
      </c>
      <c r="K145" t="s">
        <v>1371</v>
      </c>
      <c r="L145" t="s">
        <v>1372</v>
      </c>
      <c r="M145" t="s">
        <v>1373</v>
      </c>
      <c r="N145" t="s">
        <v>1390</v>
      </c>
      <c r="O145" t="s">
        <v>1391</v>
      </c>
      <c r="P145">
        <v>4.67</v>
      </c>
      <c r="Q145" t="s">
        <v>29</v>
      </c>
      <c r="R145" t="s">
        <v>30</v>
      </c>
    </row>
    <row r="146" spans="1:18" x14ac:dyDescent="0.25">
      <c r="A146">
        <v>2011</v>
      </c>
      <c r="B146">
        <v>5518</v>
      </c>
      <c r="C146" t="s">
        <v>148</v>
      </c>
      <c r="D146" t="s">
        <v>1701</v>
      </c>
      <c r="E146">
        <v>321217</v>
      </c>
      <c r="F146" t="s">
        <v>1702</v>
      </c>
      <c r="G146" t="s">
        <v>151</v>
      </c>
      <c r="H146" t="s">
        <v>79</v>
      </c>
      <c r="I146" t="s">
        <v>1533</v>
      </c>
      <c r="J146" t="s">
        <v>1534</v>
      </c>
      <c r="K146" t="s">
        <v>1535</v>
      </c>
      <c r="L146" t="s">
        <v>1372</v>
      </c>
      <c r="M146" t="s">
        <v>1373</v>
      </c>
      <c r="N146" t="s">
        <v>1374</v>
      </c>
      <c r="O146" t="s">
        <v>1375</v>
      </c>
      <c r="P146">
        <v>52.207999999999998</v>
      </c>
      <c r="Q146" t="s">
        <v>29</v>
      </c>
      <c r="R146" t="s">
        <v>430</v>
      </c>
    </row>
    <row r="147" spans="1:18" x14ac:dyDescent="0.25">
      <c r="A147">
        <v>2018</v>
      </c>
      <c r="B147">
        <v>10224</v>
      </c>
      <c r="C147" t="s">
        <v>125</v>
      </c>
      <c r="D147" t="s">
        <v>1703</v>
      </c>
      <c r="E147">
        <v>412110</v>
      </c>
      <c r="F147" t="s">
        <v>127</v>
      </c>
      <c r="G147" t="s">
        <v>128</v>
      </c>
      <c r="H147" t="s">
        <v>21</v>
      </c>
      <c r="I147" t="s">
        <v>106</v>
      </c>
      <c r="J147" t="s">
        <v>107</v>
      </c>
      <c r="K147" t="s">
        <v>108</v>
      </c>
      <c r="L147" t="s">
        <v>1372</v>
      </c>
      <c r="M147" t="s">
        <v>1373</v>
      </c>
      <c r="N147" t="s">
        <v>1409</v>
      </c>
      <c r="O147" t="s">
        <v>1410</v>
      </c>
      <c r="P147">
        <v>0</v>
      </c>
      <c r="Q147" t="s">
        <v>40</v>
      </c>
      <c r="R147" t="s">
        <v>430</v>
      </c>
    </row>
    <row r="148" spans="1:18" x14ac:dyDescent="0.25">
      <c r="A148">
        <v>2023</v>
      </c>
      <c r="B148">
        <v>7720</v>
      </c>
      <c r="C148" t="s">
        <v>1704</v>
      </c>
      <c r="D148" t="s">
        <v>1705</v>
      </c>
      <c r="E148">
        <v>211110</v>
      </c>
      <c r="F148" t="s">
        <v>233</v>
      </c>
      <c r="G148" t="s">
        <v>234</v>
      </c>
      <c r="H148" t="s">
        <v>69</v>
      </c>
      <c r="I148" t="s">
        <v>1457</v>
      </c>
      <c r="J148" t="s">
        <v>1680</v>
      </c>
      <c r="K148" t="s">
        <v>1681</v>
      </c>
      <c r="L148" t="s">
        <v>1372</v>
      </c>
      <c r="M148" t="s">
        <v>1373</v>
      </c>
      <c r="N148" t="s">
        <v>1374</v>
      </c>
      <c r="O148" t="s">
        <v>1375</v>
      </c>
      <c r="P148">
        <v>1.3207</v>
      </c>
      <c r="Q148" t="s">
        <v>29</v>
      </c>
      <c r="R148" t="s">
        <v>430</v>
      </c>
    </row>
    <row r="149" spans="1:18" x14ac:dyDescent="0.25">
      <c r="A149">
        <v>2019</v>
      </c>
      <c r="B149">
        <v>1383</v>
      </c>
      <c r="C149" t="s">
        <v>1706</v>
      </c>
      <c r="D149" t="s">
        <v>1707</v>
      </c>
      <c r="E149">
        <v>322112</v>
      </c>
      <c r="F149" t="s">
        <v>660</v>
      </c>
      <c r="G149" t="s">
        <v>621</v>
      </c>
      <c r="H149" t="s">
        <v>69</v>
      </c>
      <c r="I149" t="s">
        <v>1708</v>
      </c>
      <c r="J149" t="s">
        <v>1709</v>
      </c>
      <c r="K149" t="s">
        <v>1710</v>
      </c>
      <c r="L149" t="s">
        <v>1372</v>
      </c>
      <c r="M149" t="s">
        <v>1373</v>
      </c>
      <c r="N149" t="s">
        <v>1374</v>
      </c>
      <c r="O149" t="s">
        <v>1375</v>
      </c>
      <c r="P149">
        <v>34.347999999999999</v>
      </c>
      <c r="Q149" t="s">
        <v>29</v>
      </c>
      <c r="R149" t="s">
        <v>124</v>
      </c>
    </row>
    <row r="150" spans="1:18" x14ac:dyDescent="0.25">
      <c r="A150">
        <v>2008</v>
      </c>
      <c r="B150">
        <v>1702</v>
      </c>
      <c r="C150" t="s">
        <v>1711</v>
      </c>
      <c r="D150" t="s">
        <v>1712</v>
      </c>
      <c r="E150">
        <v>221112</v>
      </c>
      <c r="F150" t="s">
        <v>134</v>
      </c>
      <c r="G150" t="s">
        <v>135</v>
      </c>
      <c r="H150" t="s">
        <v>661</v>
      </c>
      <c r="I150" t="s">
        <v>1421</v>
      </c>
      <c r="J150" t="s">
        <v>1422</v>
      </c>
      <c r="K150" t="s">
        <v>1423</v>
      </c>
      <c r="L150" t="s">
        <v>1372</v>
      </c>
      <c r="M150" t="s">
        <v>1373</v>
      </c>
      <c r="N150" t="s">
        <v>1390</v>
      </c>
      <c r="O150" t="s">
        <v>1391</v>
      </c>
      <c r="P150">
        <v>0</v>
      </c>
      <c r="Q150" t="s">
        <v>29</v>
      </c>
      <c r="R150" t="s">
        <v>30</v>
      </c>
    </row>
    <row r="151" spans="1:18" x14ac:dyDescent="0.25">
      <c r="A151">
        <v>2023</v>
      </c>
      <c r="B151">
        <v>33604</v>
      </c>
      <c r="C151" t="s">
        <v>1027</v>
      </c>
      <c r="D151" t="s">
        <v>1713</v>
      </c>
      <c r="E151">
        <v>211110</v>
      </c>
      <c r="F151" t="s">
        <v>233</v>
      </c>
      <c r="G151" t="s">
        <v>234</v>
      </c>
      <c r="H151" t="s">
        <v>243</v>
      </c>
      <c r="I151" t="s">
        <v>1441</v>
      </c>
      <c r="J151" t="s">
        <v>1442</v>
      </c>
      <c r="K151" t="s">
        <v>1443</v>
      </c>
      <c r="L151" t="s">
        <v>1372</v>
      </c>
      <c r="M151" t="s">
        <v>1373</v>
      </c>
      <c r="N151" t="s">
        <v>1374</v>
      </c>
      <c r="O151" t="s">
        <v>1375</v>
      </c>
      <c r="P151">
        <v>7.8575299999999997</v>
      </c>
      <c r="Q151" t="s">
        <v>29</v>
      </c>
      <c r="R151" t="s">
        <v>430</v>
      </c>
    </row>
    <row r="152" spans="1:18" x14ac:dyDescent="0.25">
      <c r="A152">
        <v>1994</v>
      </c>
      <c r="B152">
        <v>374</v>
      </c>
      <c r="C152" t="s">
        <v>1119</v>
      </c>
      <c r="E152">
        <v>325520</v>
      </c>
      <c r="F152" t="s">
        <v>1147</v>
      </c>
      <c r="G152" t="s">
        <v>1122</v>
      </c>
      <c r="H152" t="s">
        <v>21</v>
      </c>
      <c r="I152" t="s">
        <v>1123</v>
      </c>
      <c r="J152" t="s">
        <v>1124</v>
      </c>
      <c r="K152" t="s">
        <v>1125</v>
      </c>
      <c r="L152" t="s">
        <v>1372</v>
      </c>
      <c r="M152" t="s">
        <v>1373</v>
      </c>
      <c r="N152" t="s">
        <v>1374</v>
      </c>
      <c r="O152" t="s">
        <v>1375</v>
      </c>
      <c r="P152">
        <v>0.38</v>
      </c>
      <c r="Q152" t="s">
        <v>29</v>
      </c>
      <c r="R152" t="s">
        <v>50</v>
      </c>
    </row>
    <row r="153" spans="1:18" x14ac:dyDescent="0.25">
      <c r="A153">
        <v>2006</v>
      </c>
      <c r="B153">
        <v>6045</v>
      </c>
      <c r="C153" t="s">
        <v>1714</v>
      </c>
      <c r="D153" t="s">
        <v>1715</v>
      </c>
      <c r="E153">
        <v>322130</v>
      </c>
      <c r="F153" t="s">
        <v>1645</v>
      </c>
      <c r="G153" t="s">
        <v>1646</v>
      </c>
      <c r="H153" t="s">
        <v>483</v>
      </c>
      <c r="I153" t="s">
        <v>1413</v>
      </c>
      <c r="J153" t="s">
        <v>1414</v>
      </c>
      <c r="K153" t="s">
        <v>1415</v>
      </c>
      <c r="L153" t="s">
        <v>1372</v>
      </c>
      <c r="M153" t="s">
        <v>1373</v>
      </c>
      <c r="N153" t="s">
        <v>1374</v>
      </c>
      <c r="O153" t="s">
        <v>1375</v>
      </c>
      <c r="P153">
        <v>368.49</v>
      </c>
      <c r="Q153" t="s">
        <v>29</v>
      </c>
      <c r="R153" t="s">
        <v>430</v>
      </c>
    </row>
    <row r="154" spans="1:18" x14ac:dyDescent="0.25">
      <c r="A154">
        <v>2016</v>
      </c>
      <c r="B154">
        <v>3701</v>
      </c>
      <c r="C154" t="s">
        <v>194</v>
      </c>
      <c r="D154" t="s">
        <v>681</v>
      </c>
      <c r="E154">
        <v>324110</v>
      </c>
      <c r="F154" t="s">
        <v>196</v>
      </c>
      <c r="G154" t="s">
        <v>96</v>
      </c>
      <c r="H154" t="s">
        <v>21</v>
      </c>
      <c r="I154" t="s">
        <v>1549</v>
      </c>
      <c r="J154" t="s">
        <v>1550</v>
      </c>
      <c r="K154" t="s">
        <v>1551</v>
      </c>
      <c r="L154" t="s">
        <v>1372</v>
      </c>
      <c r="M154" t="s">
        <v>1373</v>
      </c>
      <c r="N154" t="s">
        <v>1374</v>
      </c>
      <c r="O154" t="s">
        <v>1375</v>
      </c>
      <c r="P154">
        <v>0.8</v>
      </c>
      <c r="Q154" t="s">
        <v>29</v>
      </c>
      <c r="R154" t="s">
        <v>430</v>
      </c>
    </row>
    <row r="155" spans="1:18" x14ac:dyDescent="0.25">
      <c r="A155">
        <v>1998</v>
      </c>
      <c r="B155">
        <v>1464</v>
      </c>
      <c r="C155" t="s">
        <v>125</v>
      </c>
      <c r="D155" t="s">
        <v>443</v>
      </c>
      <c r="E155">
        <v>324110</v>
      </c>
      <c r="F155" t="s">
        <v>95</v>
      </c>
      <c r="G155" t="s">
        <v>96</v>
      </c>
      <c r="H155" t="s">
        <v>21</v>
      </c>
      <c r="I155" t="s">
        <v>271</v>
      </c>
      <c r="J155" t="s">
        <v>387</v>
      </c>
      <c r="K155" t="s">
        <v>388</v>
      </c>
      <c r="L155" t="s">
        <v>1372</v>
      </c>
      <c r="M155" t="s">
        <v>1373</v>
      </c>
      <c r="N155" t="s">
        <v>1402</v>
      </c>
      <c r="O155" t="s">
        <v>1403</v>
      </c>
      <c r="P155">
        <v>0</v>
      </c>
      <c r="Q155" t="s">
        <v>29</v>
      </c>
      <c r="R155" t="s">
        <v>30</v>
      </c>
    </row>
    <row r="156" spans="1:18" x14ac:dyDescent="0.25">
      <c r="A156">
        <v>2003</v>
      </c>
      <c r="B156">
        <v>695</v>
      </c>
      <c r="C156" t="s">
        <v>1716</v>
      </c>
      <c r="D156" t="s">
        <v>1717</v>
      </c>
      <c r="E156">
        <v>211113</v>
      </c>
      <c r="F156" t="s">
        <v>425</v>
      </c>
      <c r="G156" t="s">
        <v>426</v>
      </c>
      <c r="H156" t="s">
        <v>85</v>
      </c>
      <c r="I156" t="s">
        <v>923</v>
      </c>
      <c r="J156" t="s">
        <v>924</v>
      </c>
      <c r="K156" t="s">
        <v>924</v>
      </c>
      <c r="L156" t="s">
        <v>1394</v>
      </c>
      <c r="M156" t="s">
        <v>1395</v>
      </c>
      <c r="N156" t="s">
        <v>1402</v>
      </c>
      <c r="O156" t="s">
        <v>1403</v>
      </c>
      <c r="P156">
        <v>9.0999999999999998E-2</v>
      </c>
      <c r="Q156" t="s">
        <v>29</v>
      </c>
      <c r="R156" t="s">
        <v>30</v>
      </c>
    </row>
    <row r="157" spans="1:18" x14ac:dyDescent="0.25">
      <c r="A157">
        <v>2022</v>
      </c>
      <c r="B157">
        <v>33645</v>
      </c>
      <c r="C157" t="s">
        <v>1718</v>
      </c>
      <c r="D157" t="s">
        <v>1719</v>
      </c>
      <c r="E157">
        <v>211110</v>
      </c>
      <c r="F157" t="s">
        <v>233</v>
      </c>
      <c r="G157" t="s">
        <v>234</v>
      </c>
      <c r="H157" t="s">
        <v>85</v>
      </c>
      <c r="I157" t="s">
        <v>1441</v>
      </c>
      <c r="J157" t="s">
        <v>1442</v>
      </c>
      <c r="K157" t="s">
        <v>1443</v>
      </c>
      <c r="L157" t="s">
        <v>1372</v>
      </c>
      <c r="M157" t="s">
        <v>1373</v>
      </c>
      <c r="N157" t="s">
        <v>1374</v>
      </c>
      <c r="O157" t="s">
        <v>1375</v>
      </c>
      <c r="P157">
        <v>18.20205</v>
      </c>
      <c r="Q157" t="s">
        <v>29</v>
      </c>
      <c r="R157" t="s">
        <v>430</v>
      </c>
    </row>
    <row r="158" spans="1:18" x14ac:dyDescent="0.25">
      <c r="A158">
        <v>2011</v>
      </c>
      <c r="B158">
        <v>32488</v>
      </c>
      <c r="C158" t="s">
        <v>1720</v>
      </c>
      <c r="D158" t="s">
        <v>1721</v>
      </c>
      <c r="E158">
        <v>211113</v>
      </c>
      <c r="F158" t="s">
        <v>425</v>
      </c>
      <c r="G158" t="s">
        <v>426</v>
      </c>
      <c r="H158" t="s">
        <v>243</v>
      </c>
      <c r="I158" t="s">
        <v>1421</v>
      </c>
      <c r="J158" t="s">
        <v>1422</v>
      </c>
      <c r="K158" t="s">
        <v>1423</v>
      </c>
      <c r="L158" t="s">
        <v>1372</v>
      </c>
      <c r="M158" t="s">
        <v>1373</v>
      </c>
      <c r="N158" t="s">
        <v>1374</v>
      </c>
      <c r="O158" t="s">
        <v>1375</v>
      </c>
      <c r="P158">
        <v>0.40500000000000003</v>
      </c>
      <c r="Q158" t="s">
        <v>29</v>
      </c>
      <c r="R158" t="s">
        <v>430</v>
      </c>
    </row>
    <row r="159" spans="1:18" x14ac:dyDescent="0.25">
      <c r="A159">
        <v>2023</v>
      </c>
      <c r="B159">
        <v>177</v>
      </c>
      <c r="C159" t="s">
        <v>1722</v>
      </c>
      <c r="D159" t="s">
        <v>1723</v>
      </c>
      <c r="E159">
        <v>322220</v>
      </c>
      <c r="F159" t="s">
        <v>783</v>
      </c>
      <c r="G159" t="s">
        <v>190</v>
      </c>
      <c r="H159" t="s">
        <v>21</v>
      </c>
      <c r="I159" t="s">
        <v>191</v>
      </c>
      <c r="J159" t="s">
        <v>192</v>
      </c>
      <c r="K159" t="s">
        <v>193</v>
      </c>
      <c r="L159" t="s">
        <v>1372</v>
      </c>
      <c r="M159" t="s">
        <v>1373</v>
      </c>
      <c r="N159" t="s">
        <v>1409</v>
      </c>
      <c r="O159" t="s">
        <v>1410</v>
      </c>
      <c r="P159">
        <v>0.16900000000000001</v>
      </c>
      <c r="Q159" t="s">
        <v>29</v>
      </c>
      <c r="R159" t="s">
        <v>157</v>
      </c>
    </row>
    <row r="160" spans="1:18" x14ac:dyDescent="0.25">
      <c r="A160">
        <v>2003</v>
      </c>
      <c r="B160">
        <v>6334</v>
      </c>
      <c r="C160" t="s">
        <v>1724</v>
      </c>
      <c r="D160" t="s">
        <v>1725</v>
      </c>
      <c r="E160">
        <v>321111</v>
      </c>
      <c r="F160" t="s">
        <v>1474</v>
      </c>
      <c r="G160" t="s">
        <v>1368</v>
      </c>
      <c r="H160" t="s">
        <v>79</v>
      </c>
      <c r="I160" t="s">
        <v>1533</v>
      </c>
      <c r="J160" t="s">
        <v>1534</v>
      </c>
      <c r="K160" t="s">
        <v>1535</v>
      </c>
      <c r="L160" t="s">
        <v>1372</v>
      </c>
      <c r="M160" t="s">
        <v>1373</v>
      </c>
      <c r="N160" t="s">
        <v>1409</v>
      </c>
      <c r="O160" t="s">
        <v>1410</v>
      </c>
      <c r="P160">
        <v>0</v>
      </c>
      <c r="Q160" t="s">
        <v>29</v>
      </c>
      <c r="R160" t="s">
        <v>430</v>
      </c>
    </row>
    <row r="161" spans="1:18" x14ac:dyDescent="0.25">
      <c r="A161">
        <v>2012</v>
      </c>
      <c r="B161">
        <v>3996</v>
      </c>
      <c r="C161" t="s">
        <v>1015</v>
      </c>
      <c r="D161" t="s">
        <v>1016</v>
      </c>
      <c r="E161">
        <v>221112</v>
      </c>
      <c r="F161" t="s">
        <v>499</v>
      </c>
      <c r="G161" t="s">
        <v>135</v>
      </c>
      <c r="H161" t="s">
        <v>483</v>
      </c>
      <c r="I161" t="s">
        <v>1533</v>
      </c>
      <c r="J161" t="s">
        <v>1534</v>
      </c>
      <c r="K161" t="s">
        <v>1535</v>
      </c>
      <c r="L161" t="s">
        <v>1372</v>
      </c>
      <c r="M161" t="s">
        <v>1373</v>
      </c>
      <c r="N161" t="s">
        <v>1374</v>
      </c>
      <c r="O161" t="s">
        <v>1375</v>
      </c>
      <c r="P161">
        <v>4427</v>
      </c>
      <c r="Q161" t="s">
        <v>29</v>
      </c>
      <c r="R161" t="s">
        <v>258</v>
      </c>
    </row>
    <row r="162" spans="1:18" x14ac:dyDescent="0.25">
      <c r="A162">
        <v>2010</v>
      </c>
      <c r="B162">
        <v>853</v>
      </c>
      <c r="C162" t="s">
        <v>1726</v>
      </c>
      <c r="D162" t="s">
        <v>1727</v>
      </c>
      <c r="E162">
        <v>325189</v>
      </c>
      <c r="F162" t="s">
        <v>1290</v>
      </c>
      <c r="G162" t="s">
        <v>1291</v>
      </c>
      <c r="H162" t="s">
        <v>85</v>
      </c>
      <c r="I162" t="s">
        <v>1533</v>
      </c>
      <c r="J162" t="s">
        <v>1534</v>
      </c>
      <c r="K162" t="s">
        <v>1535</v>
      </c>
      <c r="L162" t="s">
        <v>1372</v>
      </c>
      <c r="M162" t="s">
        <v>1373</v>
      </c>
      <c r="N162" t="s">
        <v>1374</v>
      </c>
      <c r="O162" t="s">
        <v>1375</v>
      </c>
      <c r="P162">
        <v>6.3E-2</v>
      </c>
      <c r="Q162" t="s">
        <v>29</v>
      </c>
      <c r="R162" t="s">
        <v>430</v>
      </c>
    </row>
    <row r="163" spans="1:18" x14ac:dyDescent="0.25">
      <c r="A163">
        <v>2018</v>
      </c>
      <c r="B163">
        <v>23770</v>
      </c>
      <c r="C163" t="s">
        <v>1728</v>
      </c>
      <c r="D163" t="s">
        <v>1729</v>
      </c>
      <c r="E163">
        <v>493110</v>
      </c>
      <c r="F163" t="s">
        <v>1483</v>
      </c>
      <c r="G163" t="s">
        <v>1484</v>
      </c>
      <c r="H163" t="s">
        <v>85</v>
      </c>
      <c r="I163" t="s">
        <v>1369</v>
      </c>
      <c r="J163" t="s">
        <v>1370</v>
      </c>
      <c r="K163" t="s">
        <v>1371</v>
      </c>
      <c r="L163" t="s">
        <v>1372</v>
      </c>
      <c r="M163" t="s">
        <v>1373</v>
      </c>
      <c r="N163" t="s">
        <v>1374</v>
      </c>
      <c r="O163" t="s">
        <v>1375</v>
      </c>
      <c r="P163">
        <v>3.1917900000000001</v>
      </c>
      <c r="Q163" t="s">
        <v>29</v>
      </c>
      <c r="R163" t="s">
        <v>430</v>
      </c>
    </row>
    <row r="164" spans="1:18" x14ac:dyDescent="0.25">
      <c r="A164">
        <v>2021</v>
      </c>
      <c r="B164">
        <v>2406</v>
      </c>
      <c r="C164" t="s">
        <v>1417</v>
      </c>
      <c r="D164" t="s">
        <v>1730</v>
      </c>
      <c r="E164">
        <v>212396</v>
      </c>
      <c r="F164" t="s">
        <v>1419</v>
      </c>
      <c r="G164" t="s">
        <v>1420</v>
      </c>
      <c r="H164" t="s">
        <v>243</v>
      </c>
      <c r="I164" t="s">
        <v>1487</v>
      </c>
      <c r="J164" t="s">
        <v>1488</v>
      </c>
      <c r="K164" t="s">
        <v>1489</v>
      </c>
      <c r="L164" t="s">
        <v>1372</v>
      </c>
      <c r="M164" t="s">
        <v>1373</v>
      </c>
      <c r="N164" t="s">
        <v>1374</v>
      </c>
      <c r="O164" t="s">
        <v>1375</v>
      </c>
      <c r="P164">
        <v>405.67500000000001</v>
      </c>
      <c r="Q164" t="s">
        <v>29</v>
      </c>
      <c r="R164" t="s">
        <v>124</v>
      </c>
    </row>
    <row r="165" spans="1:18" x14ac:dyDescent="0.25">
      <c r="A165">
        <v>2019</v>
      </c>
      <c r="B165">
        <v>1071</v>
      </c>
      <c r="C165" t="s">
        <v>1731</v>
      </c>
      <c r="D165" t="s">
        <v>1731</v>
      </c>
      <c r="E165">
        <v>331313</v>
      </c>
      <c r="F165" t="s">
        <v>1405</v>
      </c>
      <c r="G165" t="s">
        <v>1132</v>
      </c>
      <c r="H165" t="s">
        <v>79</v>
      </c>
      <c r="I165" t="s">
        <v>1406</v>
      </c>
      <c r="J165" t="s">
        <v>1407</v>
      </c>
      <c r="K165" t="s">
        <v>1408</v>
      </c>
      <c r="L165" t="s">
        <v>1372</v>
      </c>
      <c r="M165" t="s">
        <v>1373</v>
      </c>
      <c r="N165" t="s">
        <v>1374</v>
      </c>
      <c r="O165" t="s">
        <v>1375</v>
      </c>
      <c r="P165">
        <v>62.13</v>
      </c>
      <c r="Q165" t="s">
        <v>29</v>
      </c>
      <c r="R165" t="s">
        <v>430</v>
      </c>
    </row>
    <row r="166" spans="1:18" x14ac:dyDescent="0.25">
      <c r="A166">
        <v>2016</v>
      </c>
      <c r="B166">
        <v>3810</v>
      </c>
      <c r="C166" t="s">
        <v>1628</v>
      </c>
      <c r="D166" t="s">
        <v>1629</v>
      </c>
      <c r="E166">
        <v>212220</v>
      </c>
      <c r="F166" t="s">
        <v>1619</v>
      </c>
      <c r="G166" t="s">
        <v>1620</v>
      </c>
      <c r="H166" t="s">
        <v>21</v>
      </c>
      <c r="I166" t="s">
        <v>184</v>
      </c>
      <c r="J166" t="s">
        <v>185</v>
      </c>
      <c r="K166" t="s">
        <v>186</v>
      </c>
      <c r="L166" t="s">
        <v>1372</v>
      </c>
      <c r="M166" t="s">
        <v>1373</v>
      </c>
      <c r="N166" t="s">
        <v>1409</v>
      </c>
      <c r="O166" t="s">
        <v>1410</v>
      </c>
      <c r="P166">
        <v>1.3263</v>
      </c>
      <c r="Q166" t="s">
        <v>40</v>
      </c>
      <c r="R166" t="s">
        <v>430</v>
      </c>
    </row>
    <row r="167" spans="1:18" x14ac:dyDescent="0.25">
      <c r="A167">
        <v>2018</v>
      </c>
      <c r="B167">
        <v>658</v>
      </c>
      <c r="C167" t="s">
        <v>1732</v>
      </c>
      <c r="D167" t="s">
        <v>1733</v>
      </c>
      <c r="E167">
        <v>311940</v>
      </c>
      <c r="F167" t="s">
        <v>1734</v>
      </c>
      <c r="G167" t="s">
        <v>1735</v>
      </c>
      <c r="H167" t="s">
        <v>243</v>
      </c>
      <c r="I167" t="s">
        <v>1413</v>
      </c>
      <c r="J167" t="s">
        <v>1414</v>
      </c>
      <c r="K167" t="s">
        <v>1415</v>
      </c>
      <c r="L167" t="s">
        <v>1372</v>
      </c>
      <c r="M167" t="s">
        <v>1373</v>
      </c>
      <c r="N167" t="s">
        <v>1374</v>
      </c>
      <c r="O167" t="s">
        <v>1375</v>
      </c>
      <c r="P167">
        <v>1.2999999999999999E-2</v>
      </c>
      <c r="Q167" t="s">
        <v>29</v>
      </c>
      <c r="R167" t="s">
        <v>30</v>
      </c>
    </row>
    <row r="168" spans="1:18" x14ac:dyDescent="0.25">
      <c r="A168">
        <v>2003</v>
      </c>
      <c r="B168">
        <v>3424</v>
      </c>
      <c r="C168" t="s">
        <v>1736</v>
      </c>
      <c r="E168">
        <v>332810</v>
      </c>
      <c r="F168" t="s">
        <v>237</v>
      </c>
      <c r="G168" t="s">
        <v>238</v>
      </c>
      <c r="H168" t="s">
        <v>85</v>
      </c>
      <c r="I168" t="s">
        <v>86</v>
      </c>
      <c r="J168" t="s">
        <v>87</v>
      </c>
      <c r="K168" t="s">
        <v>88</v>
      </c>
      <c r="L168" t="s">
        <v>1372</v>
      </c>
      <c r="M168" t="s">
        <v>1373</v>
      </c>
      <c r="N168" t="s">
        <v>1374</v>
      </c>
      <c r="O168" t="s">
        <v>1375</v>
      </c>
      <c r="P168">
        <v>0.34200000000000003</v>
      </c>
      <c r="Q168" t="s">
        <v>29</v>
      </c>
      <c r="R168" t="s">
        <v>124</v>
      </c>
    </row>
    <row r="169" spans="1:18" x14ac:dyDescent="0.25">
      <c r="A169">
        <v>2009</v>
      </c>
      <c r="B169">
        <v>10639</v>
      </c>
      <c r="C169" t="s">
        <v>1737</v>
      </c>
      <c r="D169" t="s">
        <v>1738</v>
      </c>
      <c r="E169">
        <v>323119</v>
      </c>
      <c r="F169" t="s">
        <v>919</v>
      </c>
      <c r="G169" t="s">
        <v>920</v>
      </c>
      <c r="H169" t="s">
        <v>21</v>
      </c>
      <c r="I169" t="s">
        <v>1457</v>
      </c>
      <c r="J169" t="s">
        <v>1458</v>
      </c>
      <c r="K169" t="s">
        <v>1459</v>
      </c>
      <c r="L169" t="s">
        <v>1372</v>
      </c>
      <c r="M169" t="s">
        <v>1373</v>
      </c>
      <c r="N169" t="s">
        <v>1409</v>
      </c>
      <c r="O169" t="s">
        <v>1410</v>
      </c>
      <c r="P169">
        <v>3.79</v>
      </c>
      <c r="Q169" t="s">
        <v>29</v>
      </c>
      <c r="R169" t="s">
        <v>430</v>
      </c>
    </row>
    <row r="170" spans="1:18" x14ac:dyDescent="0.25">
      <c r="A170">
        <v>2019</v>
      </c>
      <c r="B170">
        <v>22141</v>
      </c>
      <c r="C170" t="s">
        <v>1739</v>
      </c>
      <c r="D170" t="s">
        <v>1740</v>
      </c>
      <c r="E170">
        <v>211141</v>
      </c>
      <c r="F170" t="s">
        <v>1189</v>
      </c>
      <c r="G170" t="s">
        <v>1190</v>
      </c>
      <c r="H170" t="s">
        <v>85</v>
      </c>
      <c r="I170" t="s">
        <v>271</v>
      </c>
      <c r="J170" t="s">
        <v>272</v>
      </c>
      <c r="K170" t="s">
        <v>273</v>
      </c>
      <c r="L170" t="s">
        <v>1372</v>
      </c>
      <c r="M170" t="s">
        <v>1373</v>
      </c>
      <c r="N170" t="s">
        <v>1399</v>
      </c>
      <c r="O170" t="s">
        <v>1400</v>
      </c>
      <c r="P170">
        <v>1.9300000000000001E-2</v>
      </c>
      <c r="Q170" t="s">
        <v>29</v>
      </c>
      <c r="R170" t="s">
        <v>30</v>
      </c>
    </row>
    <row r="171" spans="1:18" x14ac:dyDescent="0.25">
      <c r="A171">
        <v>2023</v>
      </c>
      <c r="B171">
        <v>11454</v>
      </c>
      <c r="C171" t="s">
        <v>1741</v>
      </c>
      <c r="D171" t="s">
        <v>1742</v>
      </c>
      <c r="E171">
        <v>212220</v>
      </c>
      <c r="F171" t="s">
        <v>1619</v>
      </c>
      <c r="G171" t="s">
        <v>1620</v>
      </c>
      <c r="H171" t="s">
        <v>21</v>
      </c>
      <c r="I171" t="s">
        <v>62</v>
      </c>
      <c r="J171" t="s">
        <v>63</v>
      </c>
      <c r="K171" t="s">
        <v>64</v>
      </c>
      <c r="L171" t="s">
        <v>1372</v>
      </c>
      <c r="M171" t="s">
        <v>1373</v>
      </c>
      <c r="N171" t="s">
        <v>1409</v>
      </c>
      <c r="O171" t="s">
        <v>1410</v>
      </c>
      <c r="P171">
        <v>2.0000000000000001E-4</v>
      </c>
      <c r="Q171" t="s">
        <v>29</v>
      </c>
      <c r="R171" t="s">
        <v>430</v>
      </c>
    </row>
    <row r="172" spans="1:18" x14ac:dyDescent="0.25">
      <c r="A172">
        <v>2023</v>
      </c>
      <c r="B172">
        <v>27984</v>
      </c>
      <c r="C172" t="s">
        <v>1743</v>
      </c>
      <c r="D172" t="s">
        <v>1744</v>
      </c>
      <c r="E172">
        <v>211110</v>
      </c>
      <c r="F172" t="s">
        <v>233</v>
      </c>
      <c r="G172" t="s">
        <v>234</v>
      </c>
      <c r="H172" t="s">
        <v>69</v>
      </c>
      <c r="I172" t="s">
        <v>1421</v>
      </c>
      <c r="J172" t="s">
        <v>1422</v>
      </c>
      <c r="K172" t="s">
        <v>1423</v>
      </c>
      <c r="L172" t="s">
        <v>1372</v>
      </c>
      <c r="M172" t="s">
        <v>1373</v>
      </c>
      <c r="N172" t="s">
        <v>1374</v>
      </c>
      <c r="O172" t="s">
        <v>1375</v>
      </c>
      <c r="P172">
        <v>2.74</v>
      </c>
      <c r="Q172" t="s">
        <v>29</v>
      </c>
      <c r="R172" t="s">
        <v>430</v>
      </c>
    </row>
    <row r="173" spans="1:18" x14ac:dyDescent="0.25">
      <c r="A173">
        <v>2005</v>
      </c>
      <c r="B173">
        <v>3698</v>
      </c>
      <c r="C173" t="s">
        <v>125</v>
      </c>
      <c r="D173" t="s">
        <v>1066</v>
      </c>
      <c r="E173">
        <v>324110</v>
      </c>
      <c r="F173" t="s">
        <v>95</v>
      </c>
      <c r="G173" t="s">
        <v>96</v>
      </c>
      <c r="H173" t="s">
        <v>483</v>
      </c>
      <c r="I173" t="s">
        <v>271</v>
      </c>
      <c r="J173" t="s">
        <v>272</v>
      </c>
      <c r="K173" t="s">
        <v>273</v>
      </c>
      <c r="L173" t="s">
        <v>1372</v>
      </c>
      <c r="M173" t="s">
        <v>1373</v>
      </c>
      <c r="N173" t="s">
        <v>1399</v>
      </c>
      <c r="O173" t="s">
        <v>1400</v>
      </c>
      <c r="P173">
        <v>2.3860000000000001</v>
      </c>
      <c r="Q173" t="s">
        <v>29</v>
      </c>
      <c r="R173" t="s">
        <v>430</v>
      </c>
    </row>
    <row r="174" spans="1:18" x14ac:dyDescent="0.25">
      <c r="A174">
        <v>2019</v>
      </c>
      <c r="B174">
        <v>1303</v>
      </c>
      <c r="C174" t="s">
        <v>1745</v>
      </c>
      <c r="D174" t="s">
        <v>1746</v>
      </c>
      <c r="E174">
        <v>212233</v>
      </c>
      <c r="F174" t="s">
        <v>1111</v>
      </c>
      <c r="G174" t="s">
        <v>441</v>
      </c>
      <c r="H174" t="s">
        <v>69</v>
      </c>
      <c r="I174" t="s">
        <v>1369</v>
      </c>
      <c r="J174" t="s">
        <v>1370</v>
      </c>
      <c r="K174" t="s">
        <v>1371</v>
      </c>
      <c r="L174" t="s">
        <v>1372</v>
      </c>
      <c r="M174" t="s">
        <v>1373</v>
      </c>
      <c r="N174" t="s">
        <v>1390</v>
      </c>
      <c r="O174" t="s">
        <v>1391</v>
      </c>
      <c r="P174">
        <v>1859.2038</v>
      </c>
      <c r="Q174" t="s">
        <v>29</v>
      </c>
      <c r="R174" t="s">
        <v>30</v>
      </c>
    </row>
    <row r="175" spans="1:18" x14ac:dyDescent="0.25">
      <c r="A175">
        <v>2007</v>
      </c>
      <c r="B175">
        <v>19903</v>
      </c>
      <c r="C175" t="s">
        <v>1747</v>
      </c>
      <c r="D175" t="s">
        <v>1748</v>
      </c>
      <c r="E175">
        <v>211113</v>
      </c>
      <c r="F175" t="s">
        <v>425</v>
      </c>
      <c r="G175" t="s">
        <v>426</v>
      </c>
      <c r="H175" t="s">
        <v>85</v>
      </c>
      <c r="I175" t="s">
        <v>1421</v>
      </c>
      <c r="J175" t="s">
        <v>1422</v>
      </c>
      <c r="K175" t="s">
        <v>1423</v>
      </c>
      <c r="L175" t="s">
        <v>1372</v>
      </c>
      <c r="M175" t="s">
        <v>1373</v>
      </c>
      <c r="N175" t="s">
        <v>1374</v>
      </c>
      <c r="O175" t="s">
        <v>1375</v>
      </c>
      <c r="P175">
        <v>0.56299999999999994</v>
      </c>
      <c r="Q175" t="s">
        <v>29</v>
      </c>
      <c r="R175" t="s">
        <v>430</v>
      </c>
    </row>
    <row r="176" spans="1:18" x14ac:dyDescent="0.25">
      <c r="A176">
        <v>2021</v>
      </c>
      <c r="B176">
        <v>23752</v>
      </c>
      <c r="C176" t="s">
        <v>489</v>
      </c>
      <c r="D176" t="s">
        <v>490</v>
      </c>
      <c r="E176">
        <v>211110</v>
      </c>
      <c r="F176" t="s">
        <v>233</v>
      </c>
      <c r="G176" t="s">
        <v>234</v>
      </c>
      <c r="H176" t="s">
        <v>69</v>
      </c>
      <c r="I176" t="s">
        <v>923</v>
      </c>
      <c r="J176" t="s">
        <v>924</v>
      </c>
      <c r="K176" t="s">
        <v>924</v>
      </c>
      <c r="L176" t="s">
        <v>1372</v>
      </c>
      <c r="M176" t="s">
        <v>1373</v>
      </c>
      <c r="N176" t="s">
        <v>1409</v>
      </c>
      <c r="O176" t="s">
        <v>1410</v>
      </c>
      <c r="P176">
        <v>0</v>
      </c>
      <c r="Q176" t="s">
        <v>29</v>
      </c>
      <c r="R176" t="s">
        <v>157</v>
      </c>
    </row>
    <row r="177" spans="1:18" x14ac:dyDescent="0.25">
      <c r="A177">
        <v>2016</v>
      </c>
      <c r="B177">
        <v>28323</v>
      </c>
      <c r="C177" t="s">
        <v>1027</v>
      </c>
      <c r="D177" t="s">
        <v>1749</v>
      </c>
      <c r="E177">
        <v>211113</v>
      </c>
      <c r="F177" t="s">
        <v>786</v>
      </c>
      <c r="G177" t="s">
        <v>426</v>
      </c>
      <c r="H177" t="s">
        <v>85</v>
      </c>
      <c r="I177" t="s">
        <v>1441</v>
      </c>
      <c r="J177" t="s">
        <v>1442</v>
      </c>
      <c r="K177" t="s">
        <v>1443</v>
      </c>
      <c r="L177" t="s">
        <v>1372</v>
      </c>
      <c r="M177" t="s">
        <v>1373</v>
      </c>
      <c r="N177" t="s">
        <v>1374</v>
      </c>
      <c r="O177" t="s">
        <v>1375</v>
      </c>
      <c r="P177">
        <v>33.603999999999999</v>
      </c>
      <c r="Q177" t="s">
        <v>29</v>
      </c>
      <c r="R177" t="s">
        <v>430</v>
      </c>
    </row>
    <row r="178" spans="1:18" x14ac:dyDescent="0.25">
      <c r="A178">
        <v>1996</v>
      </c>
      <c r="B178">
        <v>1681</v>
      </c>
      <c r="C178" t="s">
        <v>1750</v>
      </c>
      <c r="D178" t="s">
        <v>1751</v>
      </c>
      <c r="E178">
        <v>325210</v>
      </c>
      <c r="F178" t="s">
        <v>1752</v>
      </c>
      <c r="G178" t="s">
        <v>415</v>
      </c>
      <c r="H178" t="s">
        <v>79</v>
      </c>
      <c r="I178" t="s">
        <v>55</v>
      </c>
      <c r="J178" t="s">
        <v>56</v>
      </c>
      <c r="K178" t="s">
        <v>57</v>
      </c>
      <c r="L178" t="s">
        <v>1372</v>
      </c>
      <c r="M178" t="s">
        <v>1373</v>
      </c>
      <c r="N178" t="s">
        <v>1374</v>
      </c>
      <c r="O178" t="s">
        <v>1375</v>
      </c>
      <c r="P178">
        <v>0.53900000000000003</v>
      </c>
      <c r="Q178" t="s">
        <v>29</v>
      </c>
      <c r="R178" t="s">
        <v>442</v>
      </c>
    </row>
    <row r="179" spans="1:18" x14ac:dyDescent="0.25">
      <c r="A179">
        <v>2004</v>
      </c>
      <c r="B179">
        <v>16720</v>
      </c>
      <c r="C179" t="s">
        <v>1753</v>
      </c>
      <c r="D179" t="s">
        <v>1754</v>
      </c>
      <c r="E179">
        <v>211113</v>
      </c>
      <c r="F179" t="s">
        <v>425</v>
      </c>
      <c r="G179" t="s">
        <v>426</v>
      </c>
      <c r="H179" t="s">
        <v>85</v>
      </c>
      <c r="I179" t="s">
        <v>1441</v>
      </c>
      <c r="J179" t="s">
        <v>1442</v>
      </c>
      <c r="K179" t="s">
        <v>1443</v>
      </c>
      <c r="L179" t="s">
        <v>1372</v>
      </c>
      <c r="M179" t="s">
        <v>1373</v>
      </c>
      <c r="N179" t="s">
        <v>1374</v>
      </c>
      <c r="O179" t="s">
        <v>1375</v>
      </c>
      <c r="P179">
        <v>270.39</v>
      </c>
      <c r="Q179" t="s">
        <v>29</v>
      </c>
      <c r="R179" t="s">
        <v>430</v>
      </c>
    </row>
    <row r="180" spans="1:18" x14ac:dyDescent="0.25">
      <c r="A180">
        <v>1996</v>
      </c>
      <c r="B180">
        <v>4761</v>
      </c>
      <c r="C180" t="s">
        <v>1755</v>
      </c>
      <c r="E180">
        <v>331514</v>
      </c>
      <c r="F180" t="s">
        <v>1756</v>
      </c>
      <c r="G180" t="s">
        <v>293</v>
      </c>
      <c r="H180" t="s">
        <v>21</v>
      </c>
      <c r="I180" t="s">
        <v>209</v>
      </c>
      <c r="J180" t="s">
        <v>210</v>
      </c>
      <c r="K180" t="s">
        <v>211</v>
      </c>
      <c r="L180" t="s">
        <v>1372</v>
      </c>
      <c r="M180" t="s">
        <v>1373</v>
      </c>
      <c r="N180" t="s">
        <v>1374</v>
      </c>
      <c r="O180" t="s">
        <v>1375</v>
      </c>
      <c r="P180">
        <v>0.52100000000000002</v>
      </c>
      <c r="Q180" t="s">
        <v>29</v>
      </c>
      <c r="R180" t="s">
        <v>50</v>
      </c>
    </row>
    <row r="181" spans="1:18" x14ac:dyDescent="0.25">
      <c r="A181">
        <v>2013</v>
      </c>
      <c r="B181">
        <v>15015</v>
      </c>
      <c r="C181" t="s">
        <v>1757</v>
      </c>
      <c r="D181" t="s">
        <v>1758</v>
      </c>
      <c r="E181">
        <v>324121</v>
      </c>
      <c r="F181" t="s">
        <v>1540</v>
      </c>
      <c r="G181" t="s">
        <v>1541</v>
      </c>
      <c r="H181" t="s">
        <v>69</v>
      </c>
      <c r="I181" t="s">
        <v>1441</v>
      </c>
      <c r="J181" t="s">
        <v>1442</v>
      </c>
      <c r="K181" t="s">
        <v>1443</v>
      </c>
      <c r="L181" t="s">
        <v>1372</v>
      </c>
      <c r="M181" t="s">
        <v>1373</v>
      </c>
      <c r="N181" t="s">
        <v>1374</v>
      </c>
      <c r="O181" t="s">
        <v>1375</v>
      </c>
      <c r="P181">
        <v>33.120199999999997</v>
      </c>
      <c r="Q181" t="s">
        <v>29</v>
      </c>
      <c r="R181" t="s">
        <v>430</v>
      </c>
    </row>
    <row r="182" spans="1:18" x14ac:dyDescent="0.25">
      <c r="A182">
        <v>2015</v>
      </c>
      <c r="B182">
        <v>5656</v>
      </c>
      <c r="C182" t="s">
        <v>1661</v>
      </c>
      <c r="D182" t="s">
        <v>1759</v>
      </c>
      <c r="E182">
        <v>212220</v>
      </c>
      <c r="F182" t="s">
        <v>1619</v>
      </c>
      <c r="G182" t="s">
        <v>1620</v>
      </c>
      <c r="H182" t="s">
        <v>21</v>
      </c>
      <c r="I182" t="s">
        <v>682</v>
      </c>
      <c r="J182" t="s">
        <v>683</v>
      </c>
      <c r="K182" t="s">
        <v>684</v>
      </c>
      <c r="L182" t="s">
        <v>1361</v>
      </c>
      <c r="M182" t="s">
        <v>1362</v>
      </c>
      <c r="N182" t="s">
        <v>1363</v>
      </c>
      <c r="O182" t="s">
        <v>1364</v>
      </c>
      <c r="P182">
        <v>8.6999999999999994E-3</v>
      </c>
      <c r="Q182" t="s">
        <v>29</v>
      </c>
      <c r="R182" t="s">
        <v>124</v>
      </c>
    </row>
    <row r="183" spans="1:18" x14ac:dyDescent="0.25">
      <c r="A183">
        <v>2011</v>
      </c>
      <c r="B183">
        <v>5739</v>
      </c>
      <c r="C183" t="s">
        <v>1760</v>
      </c>
      <c r="D183" t="s">
        <v>1761</v>
      </c>
      <c r="E183">
        <v>325190</v>
      </c>
      <c r="F183" t="s">
        <v>832</v>
      </c>
      <c r="G183" t="s">
        <v>601</v>
      </c>
      <c r="H183" t="s">
        <v>21</v>
      </c>
      <c r="I183" t="s">
        <v>1762</v>
      </c>
      <c r="J183" t="s">
        <v>1763</v>
      </c>
      <c r="K183" t="s">
        <v>1764</v>
      </c>
      <c r="L183" t="s">
        <v>1372</v>
      </c>
      <c r="M183" t="s">
        <v>1373</v>
      </c>
      <c r="N183" t="s">
        <v>1520</v>
      </c>
      <c r="O183" t="s">
        <v>1521</v>
      </c>
      <c r="P183">
        <v>15.547000000000001</v>
      </c>
      <c r="Q183" t="s">
        <v>29</v>
      </c>
      <c r="R183" t="s">
        <v>124</v>
      </c>
    </row>
    <row r="184" spans="1:18" x14ac:dyDescent="0.25">
      <c r="A184">
        <v>2006</v>
      </c>
      <c r="B184">
        <v>3416</v>
      </c>
      <c r="C184" t="s">
        <v>375</v>
      </c>
      <c r="D184" t="s">
        <v>609</v>
      </c>
      <c r="E184">
        <v>331511</v>
      </c>
      <c r="F184" t="s">
        <v>160</v>
      </c>
      <c r="G184" t="s">
        <v>161</v>
      </c>
      <c r="H184" t="s">
        <v>21</v>
      </c>
      <c r="I184" t="s">
        <v>152</v>
      </c>
      <c r="J184" t="s">
        <v>153</v>
      </c>
      <c r="K184" t="s">
        <v>154</v>
      </c>
      <c r="L184" t="s">
        <v>1378</v>
      </c>
      <c r="M184" t="s">
        <v>1379</v>
      </c>
      <c r="N184" t="s">
        <v>1380</v>
      </c>
      <c r="O184" t="s">
        <v>1381</v>
      </c>
      <c r="P184">
        <v>1</v>
      </c>
      <c r="Q184" t="s">
        <v>29</v>
      </c>
      <c r="R184" t="s">
        <v>30</v>
      </c>
    </row>
    <row r="185" spans="1:18" x14ac:dyDescent="0.25">
      <c r="A185">
        <v>2019</v>
      </c>
      <c r="B185">
        <v>3707</v>
      </c>
      <c r="C185" t="s">
        <v>194</v>
      </c>
      <c r="D185" t="s">
        <v>651</v>
      </c>
      <c r="E185">
        <v>324110</v>
      </c>
      <c r="F185" t="s">
        <v>196</v>
      </c>
      <c r="G185" t="s">
        <v>96</v>
      </c>
      <c r="H185" t="s">
        <v>85</v>
      </c>
      <c r="I185" t="s">
        <v>348</v>
      </c>
      <c r="J185" t="s">
        <v>349</v>
      </c>
      <c r="K185" t="s">
        <v>350</v>
      </c>
      <c r="L185" t="s">
        <v>1372</v>
      </c>
      <c r="M185" t="s">
        <v>1373</v>
      </c>
      <c r="N185" t="s">
        <v>1409</v>
      </c>
      <c r="O185" t="s">
        <v>1410</v>
      </c>
      <c r="P185">
        <v>0.9</v>
      </c>
      <c r="Q185" t="s">
        <v>29</v>
      </c>
      <c r="R185" t="s">
        <v>157</v>
      </c>
    </row>
    <row r="186" spans="1:18" x14ac:dyDescent="0.25">
      <c r="A186">
        <v>2012</v>
      </c>
      <c r="B186">
        <v>17116</v>
      </c>
      <c r="C186" t="s">
        <v>1765</v>
      </c>
      <c r="D186" t="s">
        <v>1766</v>
      </c>
      <c r="E186">
        <v>211113</v>
      </c>
      <c r="F186" t="s">
        <v>786</v>
      </c>
      <c r="G186" t="s">
        <v>426</v>
      </c>
      <c r="H186" t="s">
        <v>85</v>
      </c>
      <c r="I186" t="s">
        <v>1421</v>
      </c>
      <c r="J186" t="s">
        <v>1422</v>
      </c>
      <c r="K186" t="s">
        <v>1423</v>
      </c>
      <c r="L186" t="s">
        <v>1372</v>
      </c>
      <c r="M186" t="s">
        <v>1373</v>
      </c>
      <c r="N186" t="s">
        <v>1374</v>
      </c>
      <c r="O186" t="s">
        <v>1375</v>
      </c>
      <c r="P186">
        <v>0.74399999999999999</v>
      </c>
      <c r="Q186" t="s">
        <v>29</v>
      </c>
      <c r="R186" t="s">
        <v>430</v>
      </c>
    </row>
    <row r="187" spans="1:18" x14ac:dyDescent="0.25">
      <c r="A187">
        <v>2016</v>
      </c>
      <c r="B187">
        <v>10228</v>
      </c>
      <c r="C187" t="s">
        <v>125</v>
      </c>
      <c r="D187" t="s">
        <v>1222</v>
      </c>
      <c r="E187">
        <v>412110</v>
      </c>
      <c r="F187" t="s">
        <v>127</v>
      </c>
      <c r="G187" t="s">
        <v>128</v>
      </c>
      <c r="H187" t="s">
        <v>243</v>
      </c>
      <c r="I187" t="s">
        <v>1251</v>
      </c>
      <c r="J187" t="s">
        <v>1252</v>
      </c>
      <c r="K187" t="s">
        <v>1253</v>
      </c>
      <c r="L187" t="s">
        <v>1372</v>
      </c>
      <c r="M187" t="s">
        <v>1373</v>
      </c>
      <c r="N187" t="s">
        <v>1409</v>
      </c>
      <c r="O187" t="s">
        <v>1410</v>
      </c>
      <c r="P187">
        <v>2.9999999999999997E-4</v>
      </c>
      <c r="Q187" t="s">
        <v>40</v>
      </c>
      <c r="R187" t="s">
        <v>430</v>
      </c>
    </row>
    <row r="188" spans="1:18" x14ac:dyDescent="0.25">
      <c r="A188">
        <v>2019</v>
      </c>
      <c r="B188">
        <v>423</v>
      </c>
      <c r="C188" t="s">
        <v>1767</v>
      </c>
      <c r="D188" t="s">
        <v>1768</v>
      </c>
      <c r="E188">
        <v>324190</v>
      </c>
      <c r="F188" t="s">
        <v>666</v>
      </c>
      <c r="G188" t="s">
        <v>667</v>
      </c>
      <c r="H188" t="s">
        <v>21</v>
      </c>
      <c r="I188" t="s">
        <v>1421</v>
      </c>
      <c r="J188" t="s">
        <v>1422</v>
      </c>
      <c r="K188" t="s">
        <v>1423</v>
      </c>
      <c r="L188" t="s">
        <v>1372</v>
      </c>
      <c r="M188" t="s">
        <v>1373</v>
      </c>
      <c r="N188" t="s">
        <v>1374</v>
      </c>
      <c r="O188" t="s">
        <v>1375</v>
      </c>
      <c r="P188">
        <v>7.6899999999999996E-2</v>
      </c>
      <c r="Q188" t="s">
        <v>29</v>
      </c>
      <c r="R188" t="s">
        <v>430</v>
      </c>
    </row>
    <row r="189" spans="1:18" x14ac:dyDescent="0.25">
      <c r="A189">
        <v>2007</v>
      </c>
      <c r="B189">
        <v>7273</v>
      </c>
      <c r="C189" t="s">
        <v>1769</v>
      </c>
      <c r="D189" t="s">
        <v>1770</v>
      </c>
      <c r="E189">
        <v>311814</v>
      </c>
      <c r="F189" t="s">
        <v>1771</v>
      </c>
      <c r="G189" t="s">
        <v>1772</v>
      </c>
      <c r="H189" t="s">
        <v>21</v>
      </c>
      <c r="I189" t="s">
        <v>1457</v>
      </c>
      <c r="J189" t="s">
        <v>1458</v>
      </c>
      <c r="K189" t="s">
        <v>1459</v>
      </c>
      <c r="L189" t="s">
        <v>1372</v>
      </c>
      <c r="M189" t="s">
        <v>1373</v>
      </c>
      <c r="N189" t="s">
        <v>1374</v>
      </c>
      <c r="O189" t="s">
        <v>1375</v>
      </c>
      <c r="P189">
        <v>41.14</v>
      </c>
      <c r="Q189" t="s">
        <v>29</v>
      </c>
      <c r="R189" t="s">
        <v>430</v>
      </c>
    </row>
    <row r="190" spans="1:18" x14ac:dyDescent="0.25">
      <c r="A190">
        <v>2018</v>
      </c>
      <c r="B190">
        <v>29897</v>
      </c>
      <c r="C190" t="s">
        <v>1773</v>
      </c>
      <c r="D190" t="s">
        <v>1774</v>
      </c>
      <c r="E190">
        <v>212220</v>
      </c>
      <c r="F190" t="s">
        <v>1619</v>
      </c>
      <c r="G190" t="s">
        <v>1620</v>
      </c>
      <c r="H190" t="s">
        <v>21</v>
      </c>
      <c r="I190" t="s">
        <v>35</v>
      </c>
      <c r="J190" t="s">
        <v>36</v>
      </c>
      <c r="K190" t="s">
        <v>37</v>
      </c>
      <c r="L190" t="s">
        <v>1372</v>
      </c>
      <c r="M190" t="s">
        <v>1373</v>
      </c>
      <c r="N190" t="s">
        <v>1374</v>
      </c>
      <c r="O190" t="s">
        <v>1375</v>
      </c>
      <c r="P190">
        <v>1.68</v>
      </c>
      <c r="Q190" t="s">
        <v>40</v>
      </c>
      <c r="R190" t="s">
        <v>430</v>
      </c>
    </row>
    <row r="191" spans="1:18" x14ac:dyDescent="0.25">
      <c r="A191">
        <v>2012</v>
      </c>
      <c r="B191">
        <v>3899</v>
      </c>
      <c r="C191" t="s">
        <v>1775</v>
      </c>
      <c r="D191" t="s">
        <v>1776</v>
      </c>
      <c r="E191">
        <v>324190</v>
      </c>
      <c r="F191" t="s">
        <v>666</v>
      </c>
      <c r="G191" t="s">
        <v>667</v>
      </c>
      <c r="H191" t="s">
        <v>21</v>
      </c>
      <c r="I191" t="s">
        <v>1441</v>
      </c>
      <c r="J191" t="s">
        <v>1442</v>
      </c>
      <c r="K191" t="s">
        <v>1443</v>
      </c>
      <c r="L191" t="s">
        <v>1372</v>
      </c>
      <c r="M191" t="s">
        <v>1373</v>
      </c>
      <c r="N191" t="s">
        <v>1374</v>
      </c>
      <c r="O191" t="s">
        <v>1375</v>
      </c>
      <c r="P191">
        <v>64.905199999999994</v>
      </c>
      <c r="Q191" t="s">
        <v>29</v>
      </c>
      <c r="R191" t="s">
        <v>430</v>
      </c>
    </row>
    <row r="192" spans="1:18" x14ac:dyDescent="0.25">
      <c r="A192">
        <v>2006</v>
      </c>
      <c r="B192">
        <v>15512</v>
      </c>
      <c r="C192" t="s">
        <v>1777</v>
      </c>
      <c r="D192" t="s">
        <v>1778</v>
      </c>
      <c r="E192">
        <v>211113</v>
      </c>
      <c r="F192" t="s">
        <v>425</v>
      </c>
      <c r="G192" t="s">
        <v>426</v>
      </c>
      <c r="H192" t="s">
        <v>85</v>
      </c>
      <c r="I192" t="s">
        <v>1369</v>
      </c>
      <c r="J192" t="s">
        <v>1370</v>
      </c>
      <c r="K192" t="s">
        <v>1371</v>
      </c>
      <c r="L192" t="s">
        <v>1372</v>
      </c>
      <c r="M192" t="s">
        <v>1373</v>
      </c>
      <c r="N192" t="s">
        <v>1374</v>
      </c>
      <c r="O192" t="s">
        <v>1375</v>
      </c>
      <c r="P192">
        <v>3.44</v>
      </c>
      <c r="Q192" t="s">
        <v>29</v>
      </c>
      <c r="R192" t="s">
        <v>430</v>
      </c>
    </row>
    <row r="193" spans="1:18" x14ac:dyDescent="0.25">
      <c r="A193">
        <v>2018</v>
      </c>
      <c r="B193">
        <v>23386</v>
      </c>
      <c r="C193" t="s">
        <v>1779</v>
      </c>
      <c r="D193" t="s">
        <v>1780</v>
      </c>
      <c r="E193">
        <v>211110</v>
      </c>
      <c r="F193" t="s">
        <v>233</v>
      </c>
      <c r="G193" t="s">
        <v>234</v>
      </c>
      <c r="H193" t="s">
        <v>85</v>
      </c>
      <c r="I193" t="s">
        <v>1413</v>
      </c>
      <c r="J193" t="s">
        <v>1414</v>
      </c>
      <c r="K193" t="s">
        <v>1415</v>
      </c>
      <c r="L193" t="s">
        <v>1372</v>
      </c>
      <c r="M193" t="s">
        <v>1373</v>
      </c>
      <c r="N193" t="s">
        <v>1374</v>
      </c>
      <c r="O193" t="s">
        <v>1375</v>
      </c>
      <c r="P193">
        <v>0</v>
      </c>
      <c r="Q193" t="s">
        <v>29</v>
      </c>
      <c r="R193" t="s">
        <v>30</v>
      </c>
    </row>
    <row r="194" spans="1:18" x14ac:dyDescent="0.25">
      <c r="A194">
        <v>2005</v>
      </c>
      <c r="B194">
        <v>10163</v>
      </c>
      <c r="C194" t="s">
        <v>1781</v>
      </c>
      <c r="D194" t="s">
        <v>1782</v>
      </c>
      <c r="E194">
        <v>221320</v>
      </c>
      <c r="F194" t="s">
        <v>390</v>
      </c>
      <c r="G194" t="s">
        <v>147</v>
      </c>
      <c r="H194" t="s">
        <v>21</v>
      </c>
      <c r="I194" t="s">
        <v>402</v>
      </c>
      <c r="J194" t="s">
        <v>403</v>
      </c>
      <c r="K194" t="s">
        <v>404</v>
      </c>
      <c r="L194" t="s">
        <v>1378</v>
      </c>
      <c r="M194" t="s">
        <v>1379</v>
      </c>
      <c r="N194" t="s">
        <v>1380</v>
      </c>
      <c r="O194" t="s">
        <v>1381</v>
      </c>
      <c r="P194">
        <v>123.748</v>
      </c>
      <c r="Q194" t="s">
        <v>29</v>
      </c>
      <c r="R194" t="s">
        <v>124</v>
      </c>
    </row>
    <row r="195" spans="1:18" x14ac:dyDescent="0.25">
      <c r="A195">
        <v>2015</v>
      </c>
      <c r="B195">
        <v>7434</v>
      </c>
      <c r="C195" t="s">
        <v>1783</v>
      </c>
      <c r="D195" t="s">
        <v>1784</v>
      </c>
      <c r="E195">
        <v>541990</v>
      </c>
      <c r="F195" t="s">
        <v>1785</v>
      </c>
      <c r="G195" t="s">
        <v>1786</v>
      </c>
      <c r="H195" t="s">
        <v>54</v>
      </c>
      <c r="I195" t="s">
        <v>1369</v>
      </c>
      <c r="J195" t="s">
        <v>1370</v>
      </c>
      <c r="K195" t="s">
        <v>1371</v>
      </c>
      <c r="L195" t="s">
        <v>1372</v>
      </c>
      <c r="M195" t="s">
        <v>1373</v>
      </c>
      <c r="N195" t="s">
        <v>1409</v>
      </c>
      <c r="O195" t="s">
        <v>1410</v>
      </c>
      <c r="P195">
        <v>5.9999999999999995E-4</v>
      </c>
      <c r="Q195" t="s">
        <v>29</v>
      </c>
      <c r="R195" t="s">
        <v>430</v>
      </c>
    </row>
    <row r="196" spans="1:18" x14ac:dyDescent="0.25">
      <c r="A196">
        <v>2008</v>
      </c>
      <c r="B196">
        <v>7733</v>
      </c>
      <c r="C196" t="s">
        <v>1787</v>
      </c>
      <c r="D196" t="s">
        <v>1788</v>
      </c>
      <c r="E196">
        <v>486210</v>
      </c>
      <c r="F196" t="s">
        <v>1789</v>
      </c>
      <c r="G196" t="s">
        <v>1329</v>
      </c>
      <c r="H196" t="s">
        <v>69</v>
      </c>
      <c r="I196" t="s">
        <v>1441</v>
      </c>
      <c r="J196" t="s">
        <v>1442</v>
      </c>
      <c r="K196" t="s">
        <v>1443</v>
      </c>
      <c r="L196" t="s">
        <v>1372</v>
      </c>
      <c r="M196" t="s">
        <v>1373</v>
      </c>
      <c r="N196" t="s">
        <v>1374</v>
      </c>
      <c r="O196" t="s">
        <v>1375</v>
      </c>
      <c r="P196">
        <v>34.17</v>
      </c>
      <c r="Q196" t="s">
        <v>29</v>
      </c>
      <c r="R196" t="s">
        <v>430</v>
      </c>
    </row>
    <row r="197" spans="1:18" x14ac:dyDescent="0.25">
      <c r="A197">
        <v>2012</v>
      </c>
      <c r="B197">
        <v>26199</v>
      </c>
      <c r="C197" t="s">
        <v>1779</v>
      </c>
      <c r="D197" t="s">
        <v>1790</v>
      </c>
      <c r="E197">
        <v>211113</v>
      </c>
      <c r="F197" t="s">
        <v>786</v>
      </c>
      <c r="G197" t="s">
        <v>426</v>
      </c>
      <c r="H197" t="s">
        <v>85</v>
      </c>
      <c r="I197" t="s">
        <v>1441</v>
      </c>
      <c r="J197" t="s">
        <v>1442</v>
      </c>
      <c r="K197" t="s">
        <v>1443</v>
      </c>
      <c r="L197" t="s">
        <v>1372</v>
      </c>
      <c r="M197" t="s">
        <v>1373</v>
      </c>
      <c r="N197" t="s">
        <v>1520</v>
      </c>
      <c r="O197" t="s">
        <v>1521</v>
      </c>
      <c r="P197">
        <v>23.7151</v>
      </c>
      <c r="Q197" t="s">
        <v>29</v>
      </c>
      <c r="R197" t="s">
        <v>30</v>
      </c>
    </row>
    <row r="198" spans="1:18" x14ac:dyDescent="0.25">
      <c r="A198">
        <v>2016</v>
      </c>
      <c r="B198">
        <v>20213</v>
      </c>
      <c r="C198" t="s">
        <v>1791</v>
      </c>
      <c r="D198" t="s">
        <v>1792</v>
      </c>
      <c r="E198">
        <v>211113</v>
      </c>
      <c r="F198" t="s">
        <v>786</v>
      </c>
      <c r="G198" t="s">
        <v>426</v>
      </c>
      <c r="H198" t="s">
        <v>69</v>
      </c>
      <c r="I198" t="s">
        <v>1421</v>
      </c>
      <c r="J198" t="s">
        <v>1422</v>
      </c>
      <c r="K198" t="s">
        <v>1423</v>
      </c>
      <c r="L198" t="s">
        <v>1372</v>
      </c>
      <c r="M198" t="s">
        <v>1373</v>
      </c>
      <c r="N198" t="s">
        <v>1374</v>
      </c>
      <c r="O198" t="s">
        <v>1375</v>
      </c>
      <c r="P198">
        <v>0.435</v>
      </c>
      <c r="Q198" t="s">
        <v>29</v>
      </c>
      <c r="R198" t="s">
        <v>430</v>
      </c>
    </row>
    <row r="199" spans="1:18" x14ac:dyDescent="0.25">
      <c r="A199">
        <v>2020</v>
      </c>
      <c r="B199">
        <v>8060</v>
      </c>
      <c r="C199" t="s">
        <v>1043</v>
      </c>
      <c r="D199" t="s">
        <v>1793</v>
      </c>
      <c r="E199">
        <v>211110</v>
      </c>
      <c r="F199" t="s">
        <v>233</v>
      </c>
      <c r="G199" t="s">
        <v>234</v>
      </c>
      <c r="H199" t="s">
        <v>1625</v>
      </c>
      <c r="I199" t="s">
        <v>1457</v>
      </c>
      <c r="J199" t="s">
        <v>1458</v>
      </c>
      <c r="K199" t="s">
        <v>1459</v>
      </c>
      <c r="L199" t="s">
        <v>1372</v>
      </c>
      <c r="M199" t="s">
        <v>1373</v>
      </c>
      <c r="N199" t="s">
        <v>1409</v>
      </c>
      <c r="O199" t="s">
        <v>1410</v>
      </c>
      <c r="P199">
        <v>345.93200000000002</v>
      </c>
      <c r="Q199" t="s">
        <v>29</v>
      </c>
      <c r="R199" t="s">
        <v>430</v>
      </c>
    </row>
    <row r="200" spans="1:18" x14ac:dyDescent="0.25">
      <c r="A200">
        <v>2002</v>
      </c>
      <c r="B200">
        <v>280</v>
      </c>
      <c r="C200" t="s">
        <v>1794</v>
      </c>
      <c r="D200" t="s">
        <v>1795</v>
      </c>
      <c r="E200">
        <v>325110</v>
      </c>
      <c r="F200" t="s">
        <v>1194</v>
      </c>
      <c r="G200" t="s">
        <v>445</v>
      </c>
      <c r="H200" t="s">
        <v>85</v>
      </c>
      <c r="I200" t="s">
        <v>525</v>
      </c>
      <c r="J200" t="s">
        <v>526</v>
      </c>
      <c r="K200" t="s">
        <v>527</v>
      </c>
      <c r="L200" t="s">
        <v>1378</v>
      </c>
      <c r="M200" t="s">
        <v>1379</v>
      </c>
      <c r="N200" t="s">
        <v>1380</v>
      </c>
      <c r="O200" t="s">
        <v>1381</v>
      </c>
      <c r="P200">
        <v>0.66700000000000004</v>
      </c>
      <c r="Q200" t="s">
        <v>29</v>
      </c>
      <c r="R200" t="s">
        <v>442</v>
      </c>
    </row>
    <row r="201" spans="1:18" x14ac:dyDescent="0.25">
      <c r="A201">
        <v>2012</v>
      </c>
      <c r="B201">
        <v>19550</v>
      </c>
      <c r="C201" t="s">
        <v>1796</v>
      </c>
      <c r="D201" t="s">
        <v>1797</v>
      </c>
      <c r="E201">
        <v>211113</v>
      </c>
      <c r="F201" t="s">
        <v>786</v>
      </c>
      <c r="G201" t="s">
        <v>426</v>
      </c>
      <c r="H201" t="s">
        <v>85</v>
      </c>
      <c r="I201" t="s">
        <v>1533</v>
      </c>
      <c r="J201" t="s">
        <v>1534</v>
      </c>
      <c r="K201" t="s">
        <v>1535</v>
      </c>
      <c r="L201" t="s">
        <v>1372</v>
      </c>
      <c r="M201" t="s">
        <v>1373</v>
      </c>
      <c r="N201" t="s">
        <v>1374</v>
      </c>
      <c r="O201" t="s">
        <v>1375</v>
      </c>
      <c r="P201">
        <v>123.877</v>
      </c>
      <c r="Q201" t="s">
        <v>29</v>
      </c>
      <c r="R201" t="s">
        <v>430</v>
      </c>
    </row>
    <row r="202" spans="1:18" x14ac:dyDescent="0.25">
      <c r="A202">
        <v>2006</v>
      </c>
      <c r="B202">
        <v>120</v>
      </c>
      <c r="C202" t="s">
        <v>883</v>
      </c>
      <c r="D202" t="s">
        <v>1798</v>
      </c>
      <c r="E202">
        <v>325210</v>
      </c>
      <c r="F202" t="s">
        <v>1752</v>
      </c>
      <c r="G202" t="s">
        <v>415</v>
      </c>
      <c r="H202" t="s">
        <v>21</v>
      </c>
      <c r="I202" t="s">
        <v>80</v>
      </c>
      <c r="J202" t="s">
        <v>81</v>
      </c>
      <c r="K202" t="s">
        <v>82</v>
      </c>
      <c r="L202" t="s">
        <v>1361</v>
      </c>
      <c r="M202" t="s">
        <v>1362</v>
      </c>
      <c r="N202" t="s">
        <v>1363</v>
      </c>
      <c r="O202" t="s">
        <v>1364</v>
      </c>
      <c r="P202">
        <v>0.16900000000000001</v>
      </c>
      <c r="Q202" t="s">
        <v>29</v>
      </c>
      <c r="R202" t="s">
        <v>430</v>
      </c>
    </row>
    <row r="203" spans="1:18" x14ac:dyDescent="0.25">
      <c r="A203">
        <v>2014</v>
      </c>
      <c r="B203">
        <v>3994</v>
      </c>
      <c r="C203" t="s">
        <v>1015</v>
      </c>
      <c r="D203" t="s">
        <v>1799</v>
      </c>
      <c r="E203">
        <v>221112</v>
      </c>
      <c r="F203" t="s">
        <v>499</v>
      </c>
      <c r="G203" t="s">
        <v>135</v>
      </c>
      <c r="H203" t="s">
        <v>483</v>
      </c>
      <c r="I203" t="s">
        <v>337</v>
      </c>
      <c r="J203" t="s">
        <v>338</v>
      </c>
      <c r="K203" t="s">
        <v>339</v>
      </c>
      <c r="L203" t="s">
        <v>1372</v>
      </c>
      <c r="M203" t="s">
        <v>1373</v>
      </c>
      <c r="N203" t="s">
        <v>1374</v>
      </c>
      <c r="O203" t="s">
        <v>1375</v>
      </c>
      <c r="P203">
        <v>42.591999999999999</v>
      </c>
      <c r="Q203" t="s">
        <v>29</v>
      </c>
      <c r="R203" t="s">
        <v>30</v>
      </c>
    </row>
    <row r="204" spans="1:18" x14ac:dyDescent="0.25">
      <c r="A204">
        <v>2015</v>
      </c>
      <c r="B204">
        <v>10175</v>
      </c>
      <c r="C204" t="s">
        <v>1800</v>
      </c>
      <c r="D204" t="s">
        <v>1801</v>
      </c>
      <c r="E204">
        <v>418390</v>
      </c>
      <c r="F204" t="s">
        <v>1802</v>
      </c>
      <c r="G204" t="s">
        <v>1803</v>
      </c>
      <c r="H204" t="s">
        <v>21</v>
      </c>
      <c r="I204" t="s">
        <v>1487</v>
      </c>
      <c r="J204" t="s">
        <v>1488</v>
      </c>
      <c r="K204" t="s">
        <v>1489</v>
      </c>
      <c r="L204" t="s">
        <v>1372</v>
      </c>
      <c r="M204" t="s">
        <v>1373</v>
      </c>
      <c r="N204" t="s">
        <v>1390</v>
      </c>
      <c r="O204" t="s">
        <v>1391</v>
      </c>
      <c r="P204">
        <v>11.893000000000001</v>
      </c>
      <c r="Q204" t="s">
        <v>29</v>
      </c>
      <c r="R204" t="s">
        <v>430</v>
      </c>
    </row>
    <row r="205" spans="1:18" x14ac:dyDescent="0.25">
      <c r="A205">
        <v>2018</v>
      </c>
      <c r="B205">
        <v>15401</v>
      </c>
      <c r="C205" t="s">
        <v>1027</v>
      </c>
      <c r="D205" t="s">
        <v>1804</v>
      </c>
      <c r="E205">
        <v>211110</v>
      </c>
      <c r="F205" t="s">
        <v>233</v>
      </c>
      <c r="G205" t="s">
        <v>234</v>
      </c>
      <c r="H205" t="s">
        <v>243</v>
      </c>
      <c r="I205" t="s">
        <v>1413</v>
      </c>
      <c r="J205" t="s">
        <v>1414</v>
      </c>
      <c r="K205" t="s">
        <v>1415</v>
      </c>
      <c r="L205" t="s">
        <v>1372</v>
      </c>
      <c r="M205" t="s">
        <v>1373</v>
      </c>
      <c r="N205" t="s">
        <v>1374</v>
      </c>
      <c r="O205" t="s">
        <v>1375</v>
      </c>
      <c r="P205">
        <v>0</v>
      </c>
      <c r="Q205" t="s">
        <v>29</v>
      </c>
      <c r="R205" t="s">
        <v>30</v>
      </c>
    </row>
    <row r="206" spans="1:18" x14ac:dyDescent="0.25">
      <c r="A206">
        <v>2013</v>
      </c>
      <c r="B206">
        <v>11012</v>
      </c>
      <c r="C206" t="s">
        <v>1805</v>
      </c>
      <c r="D206" t="s">
        <v>1806</v>
      </c>
      <c r="E206">
        <v>493130</v>
      </c>
      <c r="F206" t="s">
        <v>1807</v>
      </c>
      <c r="G206" t="s">
        <v>1808</v>
      </c>
      <c r="H206" t="s">
        <v>79</v>
      </c>
      <c r="I206" t="s">
        <v>1369</v>
      </c>
      <c r="J206" t="s">
        <v>1370</v>
      </c>
      <c r="K206" t="s">
        <v>1371</v>
      </c>
      <c r="L206" t="s">
        <v>1372</v>
      </c>
      <c r="M206" t="s">
        <v>1373</v>
      </c>
      <c r="N206" t="s">
        <v>1374</v>
      </c>
      <c r="O206" t="s">
        <v>1375</v>
      </c>
      <c r="P206">
        <v>0.27200000000000002</v>
      </c>
      <c r="Q206" t="s">
        <v>29</v>
      </c>
      <c r="R206" t="s">
        <v>430</v>
      </c>
    </row>
    <row r="207" spans="1:18" x14ac:dyDescent="0.25">
      <c r="A207">
        <v>2003</v>
      </c>
      <c r="B207">
        <v>7705</v>
      </c>
      <c r="C207" t="s">
        <v>1809</v>
      </c>
      <c r="D207" t="s">
        <v>1810</v>
      </c>
      <c r="E207">
        <v>321111</v>
      </c>
      <c r="F207" t="s">
        <v>1474</v>
      </c>
      <c r="G207" t="s">
        <v>1368</v>
      </c>
      <c r="H207" t="s">
        <v>69</v>
      </c>
      <c r="I207" t="s">
        <v>628</v>
      </c>
      <c r="J207" t="s">
        <v>629</v>
      </c>
      <c r="K207" t="s">
        <v>630</v>
      </c>
      <c r="L207" t="s">
        <v>1372</v>
      </c>
      <c r="M207" t="s">
        <v>1373</v>
      </c>
      <c r="N207" t="s">
        <v>1374</v>
      </c>
      <c r="O207" t="s">
        <v>1375</v>
      </c>
      <c r="P207">
        <v>0</v>
      </c>
      <c r="Q207" t="s">
        <v>631</v>
      </c>
      <c r="R207" t="s">
        <v>430</v>
      </c>
    </row>
    <row r="208" spans="1:18" x14ac:dyDescent="0.25">
      <c r="A208">
        <v>2012</v>
      </c>
      <c r="B208">
        <v>8742</v>
      </c>
      <c r="C208" t="s">
        <v>1811</v>
      </c>
      <c r="D208" t="s">
        <v>1811</v>
      </c>
      <c r="E208">
        <v>325410</v>
      </c>
      <c r="F208" t="s">
        <v>1208</v>
      </c>
      <c r="G208" t="s">
        <v>219</v>
      </c>
      <c r="H208" t="s">
        <v>79</v>
      </c>
      <c r="I208" t="s">
        <v>504</v>
      </c>
      <c r="J208" t="s">
        <v>505</v>
      </c>
      <c r="K208" t="s">
        <v>506</v>
      </c>
      <c r="L208" t="s">
        <v>1394</v>
      </c>
      <c r="M208" t="s">
        <v>1395</v>
      </c>
      <c r="N208" t="s">
        <v>1402</v>
      </c>
      <c r="O208" t="s">
        <v>1403</v>
      </c>
      <c r="P208">
        <v>50.194000000000003</v>
      </c>
      <c r="Q208" t="s">
        <v>29</v>
      </c>
      <c r="R208" t="s">
        <v>50</v>
      </c>
    </row>
    <row r="209" spans="1:18" x14ac:dyDescent="0.25">
      <c r="A209">
        <v>2015</v>
      </c>
      <c r="B209">
        <v>8638</v>
      </c>
      <c r="C209" t="s">
        <v>1812</v>
      </c>
      <c r="D209" t="s">
        <v>1813</v>
      </c>
      <c r="E209">
        <v>622111</v>
      </c>
      <c r="F209" t="s">
        <v>1814</v>
      </c>
      <c r="G209" t="s">
        <v>1815</v>
      </c>
      <c r="H209" t="s">
        <v>79</v>
      </c>
      <c r="I209" t="s">
        <v>1413</v>
      </c>
      <c r="J209" t="s">
        <v>1414</v>
      </c>
      <c r="K209" t="s">
        <v>1415</v>
      </c>
      <c r="L209" t="s">
        <v>1372</v>
      </c>
      <c r="M209" t="s">
        <v>1373</v>
      </c>
      <c r="N209" t="s">
        <v>1374</v>
      </c>
      <c r="O209" t="s">
        <v>1375</v>
      </c>
      <c r="P209">
        <v>6.4399999999999999E-2</v>
      </c>
      <c r="Q209" t="s">
        <v>29</v>
      </c>
      <c r="R209" t="s">
        <v>430</v>
      </c>
    </row>
    <row r="210" spans="1:18" x14ac:dyDescent="0.25">
      <c r="A210">
        <v>2017</v>
      </c>
      <c r="B210">
        <v>29040</v>
      </c>
      <c r="C210" t="s">
        <v>1816</v>
      </c>
      <c r="D210" t="s">
        <v>1817</v>
      </c>
      <c r="E210">
        <v>212314</v>
      </c>
      <c r="F210" t="s">
        <v>1818</v>
      </c>
      <c r="G210" t="s">
        <v>1819</v>
      </c>
      <c r="H210" t="s">
        <v>69</v>
      </c>
      <c r="I210" t="s">
        <v>1487</v>
      </c>
      <c r="J210" t="s">
        <v>1488</v>
      </c>
      <c r="K210" t="s">
        <v>1489</v>
      </c>
      <c r="L210" t="s">
        <v>1372</v>
      </c>
      <c r="M210" t="s">
        <v>1373</v>
      </c>
      <c r="N210" t="s">
        <v>1409</v>
      </c>
      <c r="O210" t="s">
        <v>1410</v>
      </c>
      <c r="P210">
        <v>1.8640000000000001</v>
      </c>
      <c r="Q210" t="s">
        <v>29</v>
      </c>
      <c r="R210" t="s">
        <v>430</v>
      </c>
    </row>
    <row r="211" spans="1:18" x14ac:dyDescent="0.25">
      <c r="A211">
        <v>2006</v>
      </c>
      <c r="B211">
        <v>2788</v>
      </c>
      <c r="C211" t="s">
        <v>1820</v>
      </c>
      <c r="D211" t="s">
        <v>1821</v>
      </c>
      <c r="E211">
        <v>331313</v>
      </c>
      <c r="F211" t="s">
        <v>1131</v>
      </c>
      <c r="G211" t="s">
        <v>1132</v>
      </c>
      <c r="H211" t="s">
        <v>69</v>
      </c>
      <c r="I211" t="s">
        <v>367</v>
      </c>
      <c r="J211" t="s">
        <v>368</v>
      </c>
      <c r="K211" t="s">
        <v>369</v>
      </c>
      <c r="L211" t="s">
        <v>1372</v>
      </c>
      <c r="M211" t="s">
        <v>1373</v>
      </c>
      <c r="N211" t="s">
        <v>1520</v>
      </c>
      <c r="O211" t="s">
        <v>1521</v>
      </c>
      <c r="P211">
        <v>2986.1619999999998</v>
      </c>
      <c r="Q211" t="s">
        <v>40</v>
      </c>
      <c r="R211" t="s">
        <v>124</v>
      </c>
    </row>
    <row r="212" spans="1:18" x14ac:dyDescent="0.25">
      <c r="A212">
        <v>2017</v>
      </c>
      <c r="B212">
        <v>20182</v>
      </c>
      <c r="C212" t="s">
        <v>1822</v>
      </c>
      <c r="D212" t="s">
        <v>1823</v>
      </c>
      <c r="E212">
        <v>332710</v>
      </c>
      <c r="F212" t="s">
        <v>556</v>
      </c>
      <c r="G212" t="s">
        <v>557</v>
      </c>
      <c r="H212" t="s">
        <v>69</v>
      </c>
      <c r="I212" t="s">
        <v>35</v>
      </c>
      <c r="J212" t="s">
        <v>36</v>
      </c>
      <c r="K212" t="s">
        <v>37</v>
      </c>
      <c r="L212" t="s">
        <v>1372</v>
      </c>
      <c r="M212" t="s">
        <v>1373</v>
      </c>
      <c r="N212" t="s">
        <v>1374</v>
      </c>
      <c r="O212" t="s">
        <v>1375</v>
      </c>
      <c r="P212">
        <v>1.7999999999999999E-2</v>
      </c>
      <c r="Q212" t="s">
        <v>40</v>
      </c>
      <c r="R212" t="s">
        <v>430</v>
      </c>
    </row>
    <row r="213" spans="1:18" x14ac:dyDescent="0.25">
      <c r="A213">
        <v>2001</v>
      </c>
      <c r="B213">
        <v>781</v>
      </c>
      <c r="C213" t="s">
        <v>1824</v>
      </c>
      <c r="D213" t="s">
        <v>1825</v>
      </c>
      <c r="E213">
        <v>339990</v>
      </c>
      <c r="F213" t="s">
        <v>871</v>
      </c>
      <c r="G213" t="s">
        <v>872</v>
      </c>
      <c r="H213" t="s">
        <v>79</v>
      </c>
      <c r="I213" t="s">
        <v>22</v>
      </c>
      <c r="J213" t="s">
        <v>23</v>
      </c>
      <c r="K213" t="s">
        <v>24</v>
      </c>
      <c r="L213" t="s">
        <v>1361</v>
      </c>
      <c r="M213" t="s">
        <v>1362</v>
      </c>
      <c r="N213" t="s">
        <v>1363</v>
      </c>
      <c r="O213" t="s">
        <v>1364</v>
      </c>
      <c r="P213">
        <v>0.1</v>
      </c>
      <c r="Q213" t="s">
        <v>29</v>
      </c>
      <c r="R213" t="s">
        <v>50</v>
      </c>
    </row>
    <row r="214" spans="1:18" x14ac:dyDescent="0.25">
      <c r="A214">
        <v>2010</v>
      </c>
      <c r="B214">
        <v>2216</v>
      </c>
      <c r="C214" t="s">
        <v>1826</v>
      </c>
      <c r="D214" t="s">
        <v>1827</v>
      </c>
      <c r="E214">
        <v>325610</v>
      </c>
      <c r="F214" t="s">
        <v>612</v>
      </c>
      <c r="G214" t="s">
        <v>613</v>
      </c>
      <c r="H214" t="s">
        <v>21</v>
      </c>
      <c r="I214" t="s">
        <v>1421</v>
      </c>
      <c r="J214" t="s">
        <v>1422</v>
      </c>
      <c r="K214" t="s">
        <v>1423</v>
      </c>
      <c r="L214" t="s">
        <v>1372</v>
      </c>
      <c r="M214" t="s">
        <v>1373</v>
      </c>
      <c r="N214" t="s">
        <v>1409</v>
      </c>
      <c r="O214" t="s">
        <v>1410</v>
      </c>
      <c r="P214">
        <v>6.3360000000000003</v>
      </c>
      <c r="Q214" t="s">
        <v>29</v>
      </c>
      <c r="R214" t="s">
        <v>30</v>
      </c>
    </row>
    <row r="215" spans="1:18" x14ac:dyDescent="0.25">
      <c r="A215">
        <v>2006</v>
      </c>
      <c r="B215">
        <v>7622</v>
      </c>
      <c r="C215" t="s">
        <v>1828</v>
      </c>
      <c r="D215" t="s">
        <v>1829</v>
      </c>
      <c r="E215">
        <v>212315</v>
      </c>
      <c r="F215" t="s">
        <v>1830</v>
      </c>
      <c r="G215" t="s">
        <v>1831</v>
      </c>
      <c r="H215" t="s">
        <v>21</v>
      </c>
      <c r="I215" t="s">
        <v>1487</v>
      </c>
      <c r="J215" t="s">
        <v>1488</v>
      </c>
      <c r="K215" t="s">
        <v>1489</v>
      </c>
      <c r="L215" t="s">
        <v>1372</v>
      </c>
      <c r="M215" t="s">
        <v>1373</v>
      </c>
      <c r="N215" t="s">
        <v>1374</v>
      </c>
      <c r="O215" t="s">
        <v>1375</v>
      </c>
      <c r="P215">
        <v>0.85299999999999998</v>
      </c>
      <c r="Q215" t="s">
        <v>29</v>
      </c>
      <c r="R215" t="s">
        <v>430</v>
      </c>
    </row>
    <row r="216" spans="1:18" x14ac:dyDescent="0.25">
      <c r="A216">
        <v>2004</v>
      </c>
      <c r="B216">
        <v>6670</v>
      </c>
      <c r="C216" t="s">
        <v>1623</v>
      </c>
      <c r="D216" t="s">
        <v>976</v>
      </c>
      <c r="E216">
        <v>412110</v>
      </c>
      <c r="F216" t="s">
        <v>346</v>
      </c>
      <c r="G216" t="s">
        <v>347</v>
      </c>
      <c r="H216" t="s">
        <v>79</v>
      </c>
      <c r="I216" t="s">
        <v>427</v>
      </c>
      <c r="J216" t="s">
        <v>428</v>
      </c>
      <c r="K216" t="s">
        <v>429</v>
      </c>
      <c r="L216" t="s">
        <v>1372</v>
      </c>
      <c r="M216" t="s">
        <v>1373</v>
      </c>
      <c r="N216" t="s">
        <v>1409</v>
      </c>
      <c r="O216" t="s">
        <v>1410</v>
      </c>
      <c r="P216">
        <v>1E-3</v>
      </c>
      <c r="Q216" t="s">
        <v>29</v>
      </c>
      <c r="R216" t="s">
        <v>430</v>
      </c>
    </row>
    <row r="217" spans="1:18" x14ac:dyDescent="0.25">
      <c r="A217">
        <v>2007</v>
      </c>
      <c r="B217">
        <v>2740</v>
      </c>
      <c r="C217" t="s">
        <v>1832</v>
      </c>
      <c r="D217" t="s">
        <v>1833</v>
      </c>
      <c r="E217">
        <v>331110</v>
      </c>
      <c r="F217" t="s">
        <v>335</v>
      </c>
      <c r="G217" t="s">
        <v>336</v>
      </c>
      <c r="H217" t="s">
        <v>243</v>
      </c>
      <c r="I217" t="s">
        <v>1421</v>
      </c>
      <c r="J217" t="s">
        <v>1422</v>
      </c>
      <c r="K217" t="s">
        <v>1423</v>
      </c>
      <c r="L217" t="s">
        <v>1372</v>
      </c>
      <c r="M217" t="s">
        <v>1373</v>
      </c>
      <c r="N217" t="s">
        <v>1390</v>
      </c>
      <c r="O217" t="s">
        <v>1391</v>
      </c>
      <c r="P217">
        <v>0.02</v>
      </c>
      <c r="Q217" t="s">
        <v>29</v>
      </c>
      <c r="R217" t="s">
        <v>430</v>
      </c>
    </row>
    <row r="218" spans="1:18" x14ac:dyDescent="0.25">
      <c r="A218">
        <v>2004</v>
      </c>
      <c r="B218">
        <v>5015</v>
      </c>
      <c r="C218" t="s">
        <v>1834</v>
      </c>
      <c r="D218" t="s">
        <v>1835</v>
      </c>
      <c r="E218">
        <v>562210</v>
      </c>
      <c r="F218" t="s">
        <v>52</v>
      </c>
      <c r="G218" t="s">
        <v>53</v>
      </c>
      <c r="H218" t="s">
        <v>1012</v>
      </c>
      <c r="I218" t="s">
        <v>628</v>
      </c>
      <c r="J218" t="s">
        <v>629</v>
      </c>
      <c r="K218" t="s">
        <v>630</v>
      </c>
      <c r="L218" t="s">
        <v>1372</v>
      </c>
      <c r="M218" t="s">
        <v>1373</v>
      </c>
      <c r="N218" t="s">
        <v>1374</v>
      </c>
      <c r="O218" t="s">
        <v>1375</v>
      </c>
      <c r="P218">
        <v>0.56899999999999995</v>
      </c>
      <c r="Q218" t="s">
        <v>631</v>
      </c>
      <c r="R218" t="s">
        <v>124</v>
      </c>
    </row>
    <row r="219" spans="1:18" x14ac:dyDescent="0.25">
      <c r="A219">
        <v>2004</v>
      </c>
      <c r="B219">
        <v>4045</v>
      </c>
      <c r="C219" t="s">
        <v>1836</v>
      </c>
      <c r="D219" t="s">
        <v>1837</v>
      </c>
      <c r="E219">
        <v>331222</v>
      </c>
      <c r="F219" t="s">
        <v>946</v>
      </c>
      <c r="G219" t="s">
        <v>287</v>
      </c>
      <c r="H219" t="s">
        <v>21</v>
      </c>
      <c r="I219" t="s">
        <v>504</v>
      </c>
      <c r="J219" t="s">
        <v>505</v>
      </c>
      <c r="K219" t="s">
        <v>506</v>
      </c>
      <c r="L219" t="s">
        <v>1372</v>
      </c>
      <c r="M219" t="s">
        <v>1373</v>
      </c>
      <c r="N219" t="s">
        <v>1374</v>
      </c>
      <c r="O219" t="s">
        <v>1375</v>
      </c>
      <c r="P219">
        <v>5.8000000000000003E-2</v>
      </c>
      <c r="Q219" t="s">
        <v>29</v>
      </c>
      <c r="R219" t="s">
        <v>124</v>
      </c>
    </row>
    <row r="220" spans="1:18" x14ac:dyDescent="0.25">
      <c r="A220">
        <v>2019</v>
      </c>
      <c r="B220">
        <v>16739</v>
      </c>
      <c r="C220" t="s">
        <v>1838</v>
      </c>
      <c r="D220" t="s">
        <v>1839</v>
      </c>
      <c r="E220">
        <v>211110</v>
      </c>
      <c r="F220" t="s">
        <v>233</v>
      </c>
      <c r="G220" t="s">
        <v>234</v>
      </c>
      <c r="H220" t="s">
        <v>85</v>
      </c>
      <c r="I220" t="s">
        <v>1457</v>
      </c>
      <c r="J220" t="s">
        <v>1458</v>
      </c>
      <c r="K220" t="s">
        <v>1459</v>
      </c>
      <c r="L220" t="s">
        <v>1372</v>
      </c>
      <c r="M220" t="s">
        <v>1373</v>
      </c>
      <c r="N220" t="s">
        <v>1374</v>
      </c>
      <c r="O220" t="s">
        <v>1375</v>
      </c>
      <c r="P220">
        <v>6.4850000000000003</v>
      </c>
      <c r="Q220" t="s">
        <v>29</v>
      </c>
      <c r="R220" t="s">
        <v>430</v>
      </c>
    </row>
    <row r="221" spans="1:18" x14ac:dyDescent="0.25">
      <c r="A221">
        <v>2019</v>
      </c>
      <c r="B221">
        <v>4896</v>
      </c>
      <c r="C221" t="s">
        <v>1840</v>
      </c>
      <c r="D221" t="s">
        <v>1841</v>
      </c>
      <c r="E221">
        <v>311224</v>
      </c>
      <c r="F221" t="s">
        <v>1842</v>
      </c>
      <c r="G221" t="s">
        <v>1843</v>
      </c>
      <c r="H221" t="s">
        <v>54</v>
      </c>
      <c r="I221" t="s">
        <v>1457</v>
      </c>
      <c r="J221" t="s">
        <v>1458</v>
      </c>
      <c r="K221" t="s">
        <v>1459</v>
      </c>
      <c r="L221" t="s">
        <v>1372</v>
      </c>
      <c r="M221" t="s">
        <v>1373</v>
      </c>
      <c r="N221" t="s">
        <v>1409</v>
      </c>
      <c r="O221" t="s">
        <v>1410</v>
      </c>
      <c r="P221">
        <v>177.32</v>
      </c>
      <c r="Q221" t="s">
        <v>29</v>
      </c>
      <c r="R221" t="s">
        <v>30</v>
      </c>
    </row>
    <row r="222" spans="1:18" x14ac:dyDescent="0.25">
      <c r="A222">
        <v>2023</v>
      </c>
      <c r="B222">
        <v>2478</v>
      </c>
      <c r="C222" t="s">
        <v>1210</v>
      </c>
      <c r="D222" t="s">
        <v>1669</v>
      </c>
      <c r="E222">
        <v>321114</v>
      </c>
      <c r="F222" t="s">
        <v>1212</v>
      </c>
      <c r="G222" t="s">
        <v>366</v>
      </c>
      <c r="H222" t="s">
        <v>79</v>
      </c>
      <c r="I222" t="s">
        <v>461</v>
      </c>
      <c r="J222" t="s">
        <v>462</v>
      </c>
      <c r="K222" t="s">
        <v>463</v>
      </c>
      <c r="L222" t="s">
        <v>1372</v>
      </c>
      <c r="M222" t="s">
        <v>1373</v>
      </c>
      <c r="N222" t="s">
        <v>1409</v>
      </c>
      <c r="O222" t="s">
        <v>1410</v>
      </c>
      <c r="P222">
        <v>4.8799999999999999E-4</v>
      </c>
      <c r="Q222" t="s">
        <v>40</v>
      </c>
      <c r="R222" t="s">
        <v>430</v>
      </c>
    </row>
    <row r="223" spans="1:18" x14ac:dyDescent="0.25">
      <c r="A223">
        <v>2021</v>
      </c>
      <c r="B223">
        <v>18528</v>
      </c>
      <c r="C223" t="s">
        <v>1027</v>
      </c>
      <c r="D223" t="s">
        <v>1844</v>
      </c>
      <c r="E223">
        <v>211110</v>
      </c>
      <c r="F223" t="s">
        <v>233</v>
      </c>
      <c r="G223" t="s">
        <v>234</v>
      </c>
      <c r="H223" t="s">
        <v>85</v>
      </c>
      <c r="I223" t="s">
        <v>1533</v>
      </c>
      <c r="J223" t="s">
        <v>1534</v>
      </c>
      <c r="K223" t="s">
        <v>1535</v>
      </c>
      <c r="L223" t="s">
        <v>1372</v>
      </c>
      <c r="M223" t="s">
        <v>1373</v>
      </c>
      <c r="N223" t="s">
        <v>1374</v>
      </c>
      <c r="O223" t="s">
        <v>1375</v>
      </c>
      <c r="P223">
        <v>249.36084</v>
      </c>
      <c r="Q223" t="s">
        <v>29</v>
      </c>
      <c r="R223" t="s">
        <v>430</v>
      </c>
    </row>
    <row r="224" spans="1:18" x14ac:dyDescent="0.25">
      <c r="A224">
        <v>2011</v>
      </c>
      <c r="B224">
        <v>4181</v>
      </c>
      <c r="C224" t="s">
        <v>1845</v>
      </c>
      <c r="D224" t="s">
        <v>1846</v>
      </c>
      <c r="E224">
        <v>311119</v>
      </c>
      <c r="F224" t="s">
        <v>1847</v>
      </c>
      <c r="G224" t="s">
        <v>1848</v>
      </c>
      <c r="H224" t="s">
        <v>21</v>
      </c>
      <c r="I224" t="s">
        <v>1487</v>
      </c>
      <c r="J224" t="s">
        <v>1488</v>
      </c>
      <c r="K224" t="s">
        <v>1489</v>
      </c>
      <c r="L224" t="s">
        <v>1372</v>
      </c>
      <c r="M224" t="s">
        <v>1373</v>
      </c>
      <c r="N224" t="s">
        <v>1399</v>
      </c>
      <c r="O224" t="s">
        <v>1400</v>
      </c>
      <c r="P224">
        <v>18.283000000000001</v>
      </c>
      <c r="Q224" t="s">
        <v>29</v>
      </c>
      <c r="R224" t="s">
        <v>430</v>
      </c>
    </row>
    <row r="225" spans="1:18" x14ac:dyDescent="0.25">
      <c r="A225">
        <v>2002</v>
      </c>
      <c r="B225">
        <v>4904</v>
      </c>
      <c r="C225" t="s">
        <v>1849</v>
      </c>
      <c r="D225" t="s">
        <v>1850</v>
      </c>
      <c r="E225">
        <v>221119</v>
      </c>
      <c r="F225" t="s">
        <v>1851</v>
      </c>
      <c r="G225" t="s">
        <v>323</v>
      </c>
      <c r="H225" t="s">
        <v>21</v>
      </c>
      <c r="I225" t="s">
        <v>1487</v>
      </c>
      <c r="J225" t="s">
        <v>1488</v>
      </c>
      <c r="K225" t="s">
        <v>1489</v>
      </c>
      <c r="L225" t="s">
        <v>1372</v>
      </c>
      <c r="M225" t="s">
        <v>1373</v>
      </c>
      <c r="N225" t="s">
        <v>1374</v>
      </c>
      <c r="O225" t="s">
        <v>1375</v>
      </c>
      <c r="P225">
        <v>20.399999999999999</v>
      </c>
      <c r="Q225" t="s">
        <v>29</v>
      </c>
      <c r="R225" t="s">
        <v>430</v>
      </c>
    </row>
    <row r="226" spans="1:18" x14ac:dyDescent="0.25">
      <c r="A226">
        <v>2023</v>
      </c>
      <c r="B226">
        <v>21454</v>
      </c>
      <c r="C226" t="s">
        <v>1838</v>
      </c>
      <c r="D226" t="s">
        <v>1852</v>
      </c>
      <c r="E226">
        <v>211110</v>
      </c>
      <c r="F226" t="s">
        <v>233</v>
      </c>
      <c r="G226" t="s">
        <v>234</v>
      </c>
      <c r="H226" t="s">
        <v>85</v>
      </c>
      <c r="I226" t="s">
        <v>1369</v>
      </c>
      <c r="J226" t="s">
        <v>1370</v>
      </c>
      <c r="K226" t="s">
        <v>1371</v>
      </c>
      <c r="L226" t="s">
        <v>1372</v>
      </c>
      <c r="M226" t="s">
        <v>1373</v>
      </c>
      <c r="N226" t="s">
        <v>1374</v>
      </c>
      <c r="O226" t="s">
        <v>1375</v>
      </c>
      <c r="P226">
        <v>5.8369999999999998E-2</v>
      </c>
      <c r="Q226" t="s">
        <v>29</v>
      </c>
      <c r="R226" t="s">
        <v>430</v>
      </c>
    </row>
    <row r="227" spans="1:18" x14ac:dyDescent="0.25">
      <c r="A227">
        <v>2020</v>
      </c>
      <c r="B227">
        <v>8502</v>
      </c>
      <c r="C227" t="s">
        <v>1621</v>
      </c>
      <c r="D227" t="s">
        <v>1853</v>
      </c>
      <c r="E227">
        <v>321111</v>
      </c>
      <c r="F227" t="s">
        <v>1367</v>
      </c>
      <c r="G227" t="s">
        <v>1368</v>
      </c>
      <c r="H227" t="s">
        <v>79</v>
      </c>
      <c r="I227" t="s">
        <v>1457</v>
      </c>
      <c r="J227" t="s">
        <v>1458</v>
      </c>
      <c r="K227" t="s">
        <v>1459</v>
      </c>
      <c r="L227" t="s">
        <v>1372</v>
      </c>
      <c r="M227" t="s">
        <v>1373</v>
      </c>
      <c r="N227" t="s">
        <v>1520</v>
      </c>
      <c r="O227" t="s">
        <v>1521</v>
      </c>
      <c r="P227">
        <v>35.420999999999999</v>
      </c>
      <c r="Q227" t="s">
        <v>29</v>
      </c>
      <c r="R227" t="s">
        <v>430</v>
      </c>
    </row>
    <row r="228" spans="1:18" x14ac:dyDescent="0.25">
      <c r="A228">
        <v>2006</v>
      </c>
      <c r="B228">
        <v>2386</v>
      </c>
      <c r="C228" t="s">
        <v>1854</v>
      </c>
      <c r="D228" t="s">
        <v>1855</v>
      </c>
      <c r="E228">
        <v>326150</v>
      </c>
      <c r="F228" t="s">
        <v>640</v>
      </c>
      <c r="G228" t="s">
        <v>641</v>
      </c>
      <c r="H228" t="s">
        <v>21</v>
      </c>
      <c r="I228" t="s">
        <v>1856</v>
      </c>
      <c r="J228" t="s">
        <v>1857</v>
      </c>
      <c r="K228" t="s">
        <v>1858</v>
      </c>
      <c r="L228" t="s">
        <v>1394</v>
      </c>
      <c r="M228" t="s">
        <v>1395</v>
      </c>
      <c r="N228" t="s">
        <v>1402</v>
      </c>
      <c r="O228" t="s">
        <v>1403</v>
      </c>
      <c r="P228">
        <v>0</v>
      </c>
      <c r="Q228" t="s">
        <v>29</v>
      </c>
      <c r="R228" t="s">
        <v>157</v>
      </c>
    </row>
    <row r="229" spans="1:18" x14ac:dyDescent="0.25">
      <c r="A229">
        <v>2007</v>
      </c>
      <c r="B229">
        <v>5739</v>
      </c>
      <c r="C229" t="s">
        <v>1859</v>
      </c>
      <c r="D229" t="s">
        <v>1860</v>
      </c>
      <c r="E229">
        <v>325190</v>
      </c>
      <c r="F229" t="s">
        <v>832</v>
      </c>
      <c r="G229" t="s">
        <v>601</v>
      </c>
      <c r="H229" t="s">
        <v>21</v>
      </c>
      <c r="I229" t="s">
        <v>1457</v>
      </c>
      <c r="J229" t="s">
        <v>1458</v>
      </c>
      <c r="K229" t="s">
        <v>1459</v>
      </c>
      <c r="L229" t="s">
        <v>1372</v>
      </c>
      <c r="M229" t="s">
        <v>1373</v>
      </c>
      <c r="N229" t="s">
        <v>1399</v>
      </c>
      <c r="O229" t="s">
        <v>1400</v>
      </c>
      <c r="P229">
        <v>187.584</v>
      </c>
      <c r="Q229" t="s">
        <v>29</v>
      </c>
      <c r="R229" t="s">
        <v>430</v>
      </c>
    </row>
    <row r="230" spans="1:18" x14ac:dyDescent="0.25">
      <c r="A230">
        <v>2000</v>
      </c>
      <c r="B230">
        <v>5029</v>
      </c>
      <c r="C230" t="s">
        <v>1861</v>
      </c>
      <c r="D230" t="s">
        <v>1862</v>
      </c>
      <c r="E230">
        <v>562210</v>
      </c>
      <c r="F230" t="s">
        <v>52</v>
      </c>
      <c r="G230" t="s">
        <v>53</v>
      </c>
      <c r="H230" t="s">
        <v>1625</v>
      </c>
      <c r="I230" t="s">
        <v>628</v>
      </c>
      <c r="J230" t="s">
        <v>629</v>
      </c>
      <c r="K230" t="s">
        <v>630</v>
      </c>
      <c r="L230" t="s">
        <v>1372</v>
      </c>
      <c r="M230" t="s">
        <v>1373</v>
      </c>
      <c r="N230" t="s">
        <v>1374</v>
      </c>
      <c r="O230" t="s">
        <v>1375</v>
      </c>
      <c r="P230">
        <v>1.837</v>
      </c>
      <c r="Q230" t="s">
        <v>631</v>
      </c>
      <c r="R230" t="s">
        <v>204</v>
      </c>
    </row>
    <row r="231" spans="1:18" x14ac:dyDescent="0.25">
      <c r="A231">
        <v>2022</v>
      </c>
      <c r="B231">
        <v>18533</v>
      </c>
      <c r="C231" t="s">
        <v>1027</v>
      </c>
      <c r="D231" t="s">
        <v>1863</v>
      </c>
      <c r="E231">
        <v>211110</v>
      </c>
      <c r="F231" t="s">
        <v>233</v>
      </c>
      <c r="G231" t="s">
        <v>234</v>
      </c>
      <c r="H231" t="s">
        <v>243</v>
      </c>
      <c r="I231" t="s">
        <v>1533</v>
      </c>
      <c r="J231" t="s">
        <v>1534</v>
      </c>
      <c r="K231" t="s">
        <v>1535</v>
      </c>
      <c r="L231" t="s">
        <v>1372</v>
      </c>
      <c r="M231" t="s">
        <v>1373</v>
      </c>
      <c r="N231" t="s">
        <v>1374</v>
      </c>
      <c r="O231" t="s">
        <v>1375</v>
      </c>
      <c r="P231">
        <v>0.33657999999999999</v>
      </c>
      <c r="Q231" t="s">
        <v>29</v>
      </c>
      <c r="R231" t="s">
        <v>430</v>
      </c>
    </row>
    <row r="232" spans="1:18" x14ac:dyDescent="0.25">
      <c r="A232">
        <v>2019</v>
      </c>
      <c r="B232">
        <v>1492</v>
      </c>
      <c r="C232" t="s">
        <v>1864</v>
      </c>
      <c r="D232" t="s">
        <v>727</v>
      </c>
      <c r="E232">
        <v>325189</v>
      </c>
      <c r="F232" t="s">
        <v>1660</v>
      </c>
      <c r="G232" t="s">
        <v>1291</v>
      </c>
      <c r="H232" t="s">
        <v>79</v>
      </c>
      <c r="I232" t="s">
        <v>427</v>
      </c>
      <c r="J232" t="s">
        <v>428</v>
      </c>
      <c r="K232" t="s">
        <v>429</v>
      </c>
      <c r="L232" t="s">
        <v>1372</v>
      </c>
      <c r="M232" t="s">
        <v>1373</v>
      </c>
      <c r="N232" t="s">
        <v>1520</v>
      </c>
      <c r="O232" t="s">
        <v>1521</v>
      </c>
      <c r="P232">
        <v>1.3999999999999999E-4</v>
      </c>
      <c r="Q232" t="s">
        <v>29</v>
      </c>
      <c r="R232" t="s">
        <v>30</v>
      </c>
    </row>
    <row r="233" spans="1:18" x14ac:dyDescent="0.25">
      <c r="A233">
        <v>2020</v>
      </c>
      <c r="B233">
        <v>6862</v>
      </c>
      <c r="C233" t="s">
        <v>1865</v>
      </c>
      <c r="D233" t="s">
        <v>1866</v>
      </c>
      <c r="E233">
        <v>486110</v>
      </c>
      <c r="F233" t="s">
        <v>1616</v>
      </c>
      <c r="G233" t="s">
        <v>541</v>
      </c>
      <c r="H233" t="s">
        <v>69</v>
      </c>
      <c r="I233" t="s">
        <v>1421</v>
      </c>
      <c r="J233" t="s">
        <v>1422</v>
      </c>
      <c r="K233" t="s">
        <v>1423</v>
      </c>
      <c r="L233" t="s">
        <v>1372</v>
      </c>
      <c r="M233" t="s">
        <v>1373</v>
      </c>
      <c r="N233" t="s">
        <v>1374</v>
      </c>
      <c r="O233" t="s">
        <v>1375</v>
      </c>
      <c r="P233">
        <v>14.414199999999999</v>
      </c>
      <c r="Q233" t="s">
        <v>29</v>
      </c>
      <c r="R233" t="s">
        <v>430</v>
      </c>
    </row>
    <row r="234" spans="1:18" x14ac:dyDescent="0.25">
      <c r="A234">
        <v>2016</v>
      </c>
      <c r="B234">
        <v>7619</v>
      </c>
      <c r="C234" t="s">
        <v>1867</v>
      </c>
      <c r="D234" t="s">
        <v>1868</v>
      </c>
      <c r="E234">
        <v>212315</v>
      </c>
      <c r="F234" t="s">
        <v>1869</v>
      </c>
      <c r="G234" t="s">
        <v>1831</v>
      </c>
      <c r="H234" t="s">
        <v>21</v>
      </c>
      <c r="I234" t="s">
        <v>1369</v>
      </c>
      <c r="J234" t="s">
        <v>1370</v>
      </c>
      <c r="K234" t="s">
        <v>1371</v>
      </c>
      <c r="L234" t="s">
        <v>1372</v>
      </c>
      <c r="M234" t="s">
        <v>1373</v>
      </c>
      <c r="N234" t="s">
        <v>1409</v>
      </c>
      <c r="O234" t="s">
        <v>1410</v>
      </c>
      <c r="P234">
        <v>20.973700000000001</v>
      </c>
      <c r="Q234" t="s">
        <v>29</v>
      </c>
      <c r="R234" t="s">
        <v>430</v>
      </c>
    </row>
    <row r="235" spans="1:18" x14ac:dyDescent="0.25">
      <c r="A235">
        <v>1995</v>
      </c>
      <c r="B235">
        <v>656</v>
      </c>
      <c r="C235" t="s">
        <v>1870</v>
      </c>
      <c r="E235">
        <v>325210</v>
      </c>
      <c r="F235" t="s">
        <v>1752</v>
      </c>
      <c r="G235" t="s">
        <v>415</v>
      </c>
      <c r="H235" t="s">
        <v>21</v>
      </c>
      <c r="I235" t="s">
        <v>648</v>
      </c>
      <c r="J235" t="s">
        <v>649</v>
      </c>
      <c r="K235" t="s">
        <v>650</v>
      </c>
      <c r="L235" t="s">
        <v>1378</v>
      </c>
      <c r="M235" t="s">
        <v>1379</v>
      </c>
      <c r="N235" t="s">
        <v>1380</v>
      </c>
      <c r="O235" t="s">
        <v>1381</v>
      </c>
      <c r="P235">
        <v>0</v>
      </c>
      <c r="Q235" t="s">
        <v>29</v>
      </c>
      <c r="R235" t="s">
        <v>442</v>
      </c>
    </row>
    <row r="236" spans="1:18" x14ac:dyDescent="0.25">
      <c r="A236">
        <v>2005</v>
      </c>
      <c r="B236">
        <v>6548</v>
      </c>
      <c r="C236" t="s">
        <v>1564</v>
      </c>
      <c r="D236" t="s">
        <v>1871</v>
      </c>
      <c r="E236">
        <v>324190</v>
      </c>
      <c r="F236" t="s">
        <v>702</v>
      </c>
      <c r="G236" t="s">
        <v>667</v>
      </c>
      <c r="H236" t="s">
        <v>243</v>
      </c>
      <c r="I236" t="s">
        <v>86</v>
      </c>
      <c r="J236" t="s">
        <v>87</v>
      </c>
      <c r="K236" t="s">
        <v>88</v>
      </c>
      <c r="L236" t="s">
        <v>1394</v>
      </c>
      <c r="M236" t="s">
        <v>1395</v>
      </c>
      <c r="N236" t="s">
        <v>1402</v>
      </c>
      <c r="O236" t="s">
        <v>1403</v>
      </c>
      <c r="P236">
        <v>0</v>
      </c>
      <c r="Q236" t="s">
        <v>29</v>
      </c>
      <c r="R236" t="s">
        <v>30</v>
      </c>
    </row>
    <row r="237" spans="1:18" x14ac:dyDescent="0.25">
      <c r="A237">
        <v>1999</v>
      </c>
      <c r="B237">
        <v>494</v>
      </c>
      <c r="C237" t="s">
        <v>1872</v>
      </c>
      <c r="D237" t="s">
        <v>1873</v>
      </c>
      <c r="E237">
        <v>325190</v>
      </c>
      <c r="F237" t="s">
        <v>832</v>
      </c>
      <c r="G237" t="s">
        <v>601</v>
      </c>
      <c r="H237" t="s">
        <v>21</v>
      </c>
      <c r="I237" t="s">
        <v>504</v>
      </c>
      <c r="J237" t="s">
        <v>505</v>
      </c>
      <c r="K237" t="s">
        <v>506</v>
      </c>
      <c r="L237" t="s">
        <v>1378</v>
      </c>
      <c r="M237" t="s">
        <v>1379</v>
      </c>
      <c r="N237" t="s">
        <v>1380</v>
      </c>
      <c r="O237" t="s">
        <v>1381</v>
      </c>
      <c r="P237">
        <v>0.90500000000000003</v>
      </c>
      <c r="Q237" t="s">
        <v>29</v>
      </c>
      <c r="R237" t="s">
        <v>442</v>
      </c>
    </row>
    <row r="238" spans="1:18" x14ac:dyDescent="0.25">
      <c r="A238">
        <v>2018</v>
      </c>
      <c r="B238">
        <v>286</v>
      </c>
      <c r="C238" t="s">
        <v>1874</v>
      </c>
      <c r="D238" t="s">
        <v>1106</v>
      </c>
      <c r="E238">
        <v>325510</v>
      </c>
      <c r="F238" t="s">
        <v>111</v>
      </c>
      <c r="G238" t="s">
        <v>112</v>
      </c>
      <c r="H238" t="s">
        <v>21</v>
      </c>
      <c r="I238" t="s">
        <v>923</v>
      </c>
      <c r="J238" t="s">
        <v>924</v>
      </c>
      <c r="K238" t="s">
        <v>924</v>
      </c>
      <c r="L238" t="s">
        <v>1372</v>
      </c>
      <c r="M238" t="s">
        <v>1373</v>
      </c>
      <c r="N238" t="s">
        <v>1399</v>
      </c>
      <c r="O238" t="s">
        <v>1400</v>
      </c>
      <c r="P238">
        <v>0</v>
      </c>
      <c r="Q238" t="s">
        <v>29</v>
      </c>
      <c r="R238" t="s">
        <v>430</v>
      </c>
    </row>
    <row r="239" spans="1:18" x14ac:dyDescent="0.25">
      <c r="A239">
        <v>2017</v>
      </c>
      <c r="B239">
        <v>4778</v>
      </c>
      <c r="C239" t="s">
        <v>1404</v>
      </c>
      <c r="D239" t="s">
        <v>1404</v>
      </c>
      <c r="E239">
        <v>331313</v>
      </c>
      <c r="F239" t="s">
        <v>1405</v>
      </c>
      <c r="G239" t="s">
        <v>1132</v>
      </c>
      <c r="H239" t="s">
        <v>79</v>
      </c>
      <c r="I239" t="s">
        <v>1875</v>
      </c>
      <c r="J239" t="s">
        <v>1876</v>
      </c>
      <c r="K239" t="s">
        <v>1877</v>
      </c>
      <c r="L239" t="s">
        <v>1372</v>
      </c>
      <c r="M239" t="s">
        <v>1373</v>
      </c>
      <c r="N239" t="s">
        <v>1409</v>
      </c>
      <c r="O239" t="s">
        <v>1410</v>
      </c>
      <c r="P239">
        <v>121.83199999999999</v>
      </c>
      <c r="Q239" t="s">
        <v>29</v>
      </c>
      <c r="R239" t="s">
        <v>124</v>
      </c>
    </row>
    <row r="240" spans="1:18" x14ac:dyDescent="0.25">
      <c r="A240">
        <v>2023</v>
      </c>
      <c r="B240">
        <v>10228</v>
      </c>
      <c r="C240" t="s">
        <v>125</v>
      </c>
      <c r="D240" t="s">
        <v>1222</v>
      </c>
      <c r="E240">
        <v>412110</v>
      </c>
      <c r="F240" t="s">
        <v>589</v>
      </c>
      <c r="G240" t="s">
        <v>590</v>
      </c>
      <c r="H240" t="s">
        <v>243</v>
      </c>
      <c r="I240" t="s">
        <v>1878</v>
      </c>
      <c r="J240" t="s">
        <v>1879</v>
      </c>
      <c r="K240" t="s">
        <v>1880</v>
      </c>
      <c r="L240" t="s">
        <v>1372</v>
      </c>
      <c r="M240" t="s">
        <v>1373</v>
      </c>
      <c r="N240" t="s">
        <v>1399</v>
      </c>
      <c r="O240" t="s">
        <v>1400</v>
      </c>
      <c r="P240">
        <v>4.1999999999999998E-5</v>
      </c>
      <c r="Q240" t="s">
        <v>40</v>
      </c>
      <c r="R240" t="s">
        <v>430</v>
      </c>
    </row>
    <row r="241" spans="1:18" x14ac:dyDescent="0.25">
      <c r="A241">
        <v>2011</v>
      </c>
      <c r="B241">
        <v>3807</v>
      </c>
      <c r="C241" t="s">
        <v>1881</v>
      </c>
      <c r="D241" t="s">
        <v>1882</v>
      </c>
      <c r="E241">
        <v>325313</v>
      </c>
      <c r="F241" t="s">
        <v>1585</v>
      </c>
      <c r="G241" t="s">
        <v>1055</v>
      </c>
      <c r="H241" t="s">
        <v>21</v>
      </c>
      <c r="I241" t="s">
        <v>1883</v>
      </c>
      <c r="J241" t="s">
        <v>1884</v>
      </c>
      <c r="K241" t="s">
        <v>1885</v>
      </c>
      <c r="L241" t="s">
        <v>1372</v>
      </c>
      <c r="M241" t="s">
        <v>1373</v>
      </c>
      <c r="N241" t="s">
        <v>1409</v>
      </c>
      <c r="O241" t="s">
        <v>1410</v>
      </c>
      <c r="P241">
        <v>0.5</v>
      </c>
      <c r="Q241" t="s">
        <v>29</v>
      </c>
      <c r="R241" t="s">
        <v>30</v>
      </c>
    </row>
    <row r="242" spans="1:18" x14ac:dyDescent="0.25">
      <c r="A242">
        <v>2012</v>
      </c>
      <c r="B242">
        <v>19175</v>
      </c>
      <c r="C242" t="s">
        <v>1886</v>
      </c>
      <c r="D242" t="s">
        <v>1887</v>
      </c>
      <c r="E242">
        <v>339990</v>
      </c>
      <c r="F242" t="s">
        <v>1179</v>
      </c>
      <c r="G242" t="s">
        <v>872</v>
      </c>
      <c r="H242" t="s">
        <v>85</v>
      </c>
      <c r="I242" t="s">
        <v>117</v>
      </c>
      <c r="J242" t="s">
        <v>118</v>
      </c>
      <c r="K242" t="s">
        <v>119</v>
      </c>
      <c r="L242" t="s">
        <v>1372</v>
      </c>
      <c r="M242" t="s">
        <v>1373</v>
      </c>
      <c r="N242" t="s">
        <v>1374</v>
      </c>
      <c r="O242" t="s">
        <v>1375</v>
      </c>
      <c r="P242">
        <v>2.5999999999999999E-2</v>
      </c>
      <c r="Q242" t="s">
        <v>29</v>
      </c>
      <c r="R242" t="s">
        <v>30</v>
      </c>
    </row>
    <row r="243" spans="1:18" x14ac:dyDescent="0.25">
      <c r="A243">
        <v>2017</v>
      </c>
      <c r="B243">
        <v>1154</v>
      </c>
      <c r="C243" t="s">
        <v>431</v>
      </c>
      <c r="D243" t="s">
        <v>432</v>
      </c>
      <c r="E243">
        <v>418410</v>
      </c>
      <c r="F243" t="s">
        <v>433</v>
      </c>
      <c r="G243" t="s">
        <v>434</v>
      </c>
      <c r="H243" t="s">
        <v>21</v>
      </c>
      <c r="I243" t="s">
        <v>86</v>
      </c>
      <c r="J243" t="s">
        <v>87</v>
      </c>
      <c r="K243" t="s">
        <v>88</v>
      </c>
      <c r="L243" t="s">
        <v>1372</v>
      </c>
      <c r="M243" t="s">
        <v>1373</v>
      </c>
      <c r="N243" t="s">
        <v>1399</v>
      </c>
      <c r="O243" t="s">
        <v>1400</v>
      </c>
      <c r="P243">
        <v>2.1000000000000001E-2</v>
      </c>
      <c r="Q243" t="s">
        <v>29</v>
      </c>
      <c r="R243" t="s">
        <v>30</v>
      </c>
    </row>
    <row r="244" spans="1:18" x14ac:dyDescent="0.25">
      <c r="A244">
        <v>2022</v>
      </c>
      <c r="B244">
        <v>27933</v>
      </c>
      <c r="C244" t="s">
        <v>1791</v>
      </c>
      <c r="D244" t="s">
        <v>1888</v>
      </c>
      <c r="E244">
        <v>211110</v>
      </c>
      <c r="F244" t="s">
        <v>233</v>
      </c>
      <c r="G244" t="s">
        <v>234</v>
      </c>
      <c r="H244" t="s">
        <v>243</v>
      </c>
      <c r="I244" t="s">
        <v>1457</v>
      </c>
      <c r="J244" t="s">
        <v>1680</v>
      </c>
      <c r="K244" t="s">
        <v>1681</v>
      </c>
      <c r="L244" t="s">
        <v>1372</v>
      </c>
      <c r="M244" t="s">
        <v>1373</v>
      </c>
      <c r="N244" t="s">
        <v>1409</v>
      </c>
      <c r="O244" t="s">
        <v>1410</v>
      </c>
      <c r="P244">
        <v>3.8303199999999999</v>
      </c>
      <c r="Q244" t="s">
        <v>29</v>
      </c>
      <c r="R244" t="s">
        <v>30</v>
      </c>
    </row>
    <row r="245" spans="1:18" x14ac:dyDescent="0.25">
      <c r="A245">
        <v>2004</v>
      </c>
      <c r="B245">
        <v>6642</v>
      </c>
      <c r="C245" t="s">
        <v>1889</v>
      </c>
      <c r="D245" t="s">
        <v>1890</v>
      </c>
      <c r="E245">
        <v>311119</v>
      </c>
      <c r="F245" t="s">
        <v>1847</v>
      </c>
      <c r="G245" t="s">
        <v>1848</v>
      </c>
      <c r="H245" t="s">
        <v>54</v>
      </c>
      <c r="I245" t="s">
        <v>1421</v>
      </c>
      <c r="J245" t="s">
        <v>1422</v>
      </c>
      <c r="K245" t="s">
        <v>1423</v>
      </c>
      <c r="L245" t="s">
        <v>1372</v>
      </c>
      <c r="M245" t="s">
        <v>1373</v>
      </c>
      <c r="N245" t="s">
        <v>1520</v>
      </c>
      <c r="O245" t="s">
        <v>1521</v>
      </c>
      <c r="P245">
        <v>0.442</v>
      </c>
      <c r="Q245" t="s">
        <v>29</v>
      </c>
      <c r="R245" t="s">
        <v>30</v>
      </c>
    </row>
    <row r="246" spans="1:18" x14ac:dyDescent="0.25">
      <c r="A246">
        <v>2003</v>
      </c>
      <c r="B246">
        <v>2815</v>
      </c>
      <c r="C246" t="s">
        <v>1891</v>
      </c>
      <c r="D246" t="s">
        <v>1892</v>
      </c>
      <c r="E246">
        <v>331410</v>
      </c>
      <c r="F246" t="s">
        <v>1453</v>
      </c>
      <c r="G246" t="s">
        <v>1235</v>
      </c>
      <c r="H246" t="s">
        <v>21</v>
      </c>
      <c r="I246" t="s">
        <v>1421</v>
      </c>
      <c r="J246" t="s">
        <v>1422</v>
      </c>
      <c r="K246" t="s">
        <v>1423</v>
      </c>
      <c r="L246" t="s">
        <v>1372</v>
      </c>
      <c r="M246" t="s">
        <v>1373</v>
      </c>
      <c r="N246" t="s">
        <v>1409</v>
      </c>
      <c r="O246" t="s">
        <v>1410</v>
      </c>
      <c r="P246">
        <v>177.233</v>
      </c>
      <c r="Q246" t="s">
        <v>29</v>
      </c>
      <c r="R246" t="s">
        <v>430</v>
      </c>
    </row>
    <row r="247" spans="1:18" x14ac:dyDescent="0.25">
      <c r="A247">
        <v>2017</v>
      </c>
      <c r="B247">
        <v>5345</v>
      </c>
      <c r="C247" t="s">
        <v>1718</v>
      </c>
      <c r="D247" t="s">
        <v>1893</v>
      </c>
      <c r="E247">
        <v>211110</v>
      </c>
      <c r="F247" t="s">
        <v>233</v>
      </c>
      <c r="G247" t="s">
        <v>234</v>
      </c>
      <c r="H247" t="s">
        <v>85</v>
      </c>
      <c r="I247" t="s">
        <v>1421</v>
      </c>
      <c r="J247" t="s">
        <v>1422</v>
      </c>
      <c r="K247" t="s">
        <v>1423</v>
      </c>
      <c r="L247" t="s">
        <v>1372</v>
      </c>
      <c r="M247" t="s">
        <v>1373</v>
      </c>
      <c r="N247" t="s">
        <v>1374</v>
      </c>
      <c r="O247" t="s">
        <v>1375</v>
      </c>
      <c r="P247">
        <v>0.875</v>
      </c>
      <c r="Q247" t="s">
        <v>29</v>
      </c>
      <c r="R247" t="s">
        <v>430</v>
      </c>
    </row>
    <row r="248" spans="1:18" x14ac:dyDescent="0.25">
      <c r="A248">
        <v>1999</v>
      </c>
      <c r="B248">
        <v>1492</v>
      </c>
      <c r="C248" t="s">
        <v>1894</v>
      </c>
      <c r="D248" t="s">
        <v>1895</v>
      </c>
      <c r="E248">
        <v>325189</v>
      </c>
      <c r="F248" t="s">
        <v>1290</v>
      </c>
      <c r="G248" t="s">
        <v>1291</v>
      </c>
      <c r="H248" t="s">
        <v>79</v>
      </c>
      <c r="I248" t="s">
        <v>427</v>
      </c>
      <c r="J248" t="s">
        <v>428</v>
      </c>
      <c r="K248" t="s">
        <v>429</v>
      </c>
      <c r="L248" t="s">
        <v>1372</v>
      </c>
      <c r="M248" t="s">
        <v>1373</v>
      </c>
      <c r="N248" t="s">
        <v>1409</v>
      </c>
      <c r="O248" t="s">
        <v>1410</v>
      </c>
      <c r="P248">
        <v>6.024</v>
      </c>
      <c r="Q248" t="s">
        <v>29</v>
      </c>
      <c r="R248" t="s">
        <v>30</v>
      </c>
    </row>
    <row r="249" spans="1:18" x14ac:dyDescent="0.25">
      <c r="A249">
        <v>2009</v>
      </c>
      <c r="B249">
        <v>3599</v>
      </c>
      <c r="C249" t="s">
        <v>1896</v>
      </c>
      <c r="D249" t="s">
        <v>1896</v>
      </c>
      <c r="E249">
        <v>325999</v>
      </c>
      <c r="F249" t="s">
        <v>396</v>
      </c>
      <c r="G249" t="s">
        <v>397</v>
      </c>
      <c r="H249" t="s">
        <v>21</v>
      </c>
      <c r="I249" t="s">
        <v>55</v>
      </c>
      <c r="J249" t="s">
        <v>56</v>
      </c>
      <c r="K249" t="s">
        <v>57</v>
      </c>
      <c r="L249" t="s">
        <v>1372</v>
      </c>
      <c r="M249" t="s">
        <v>1373</v>
      </c>
      <c r="N249" t="s">
        <v>1399</v>
      </c>
      <c r="O249" t="s">
        <v>1400</v>
      </c>
      <c r="P249">
        <v>2.7010000000000001</v>
      </c>
      <c r="Q249" t="s">
        <v>29</v>
      </c>
      <c r="R249" t="s">
        <v>430</v>
      </c>
    </row>
    <row r="250" spans="1:18" x14ac:dyDescent="0.25">
      <c r="A250">
        <v>2018</v>
      </c>
      <c r="B250">
        <v>6887</v>
      </c>
      <c r="C250" t="s">
        <v>1897</v>
      </c>
      <c r="D250" t="s">
        <v>1898</v>
      </c>
      <c r="E250">
        <v>326140</v>
      </c>
      <c r="F250" t="s">
        <v>1899</v>
      </c>
      <c r="G250" t="s">
        <v>1900</v>
      </c>
      <c r="H250" t="s">
        <v>85</v>
      </c>
      <c r="I250" t="s">
        <v>1457</v>
      </c>
      <c r="J250" t="s">
        <v>1458</v>
      </c>
      <c r="K250" t="s">
        <v>1459</v>
      </c>
      <c r="L250" t="s">
        <v>1372</v>
      </c>
      <c r="M250" t="s">
        <v>1373</v>
      </c>
      <c r="N250" t="s">
        <v>1399</v>
      </c>
      <c r="O250" t="s">
        <v>1400</v>
      </c>
      <c r="P250">
        <v>98.617000000000004</v>
      </c>
      <c r="Q250" t="s">
        <v>29</v>
      </c>
      <c r="R250" t="s">
        <v>50</v>
      </c>
    </row>
    <row r="251" spans="1:18" x14ac:dyDescent="0.25">
      <c r="A251">
        <v>2007</v>
      </c>
      <c r="B251">
        <v>6905</v>
      </c>
      <c r="C251" t="s">
        <v>1901</v>
      </c>
      <c r="D251" t="s">
        <v>1902</v>
      </c>
      <c r="E251">
        <v>486110</v>
      </c>
      <c r="F251" t="s">
        <v>540</v>
      </c>
      <c r="G251" t="s">
        <v>541</v>
      </c>
      <c r="H251" t="s">
        <v>54</v>
      </c>
      <c r="I251" t="s">
        <v>1549</v>
      </c>
      <c r="J251" t="s">
        <v>1550</v>
      </c>
      <c r="K251" t="s">
        <v>1551</v>
      </c>
      <c r="L251" t="s">
        <v>1372</v>
      </c>
      <c r="M251" t="s">
        <v>1373</v>
      </c>
      <c r="N251" t="s">
        <v>1399</v>
      </c>
      <c r="O251" t="s">
        <v>1400</v>
      </c>
      <c r="P251">
        <v>8.0000000000000002E-3</v>
      </c>
      <c r="Q251" t="s">
        <v>29</v>
      </c>
      <c r="R251" t="s">
        <v>30</v>
      </c>
    </row>
    <row r="252" spans="1:18" x14ac:dyDescent="0.25">
      <c r="A252">
        <v>2015</v>
      </c>
      <c r="B252">
        <v>10216</v>
      </c>
      <c r="C252" t="s">
        <v>125</v>
      </c>
      <c r="D252" t="s">
        <v>1903</v>
      </c>
      <c r="E252">
        <v>412110</v>
      </c>
      <c r="F252" t="s">
        <v>127</v>
      </c>
      <c r="G252" t="s">
        <v>128</v>
      </c>
      <c r="H252" t="s">
        <v>1625</v>
      </c>
      <c r="I252" t="s">
        <v>70</v>
      </c>
      <c r="J252" t="s">
        <v>71</v>
      </c>
      <c r="K252" t="s">
        <v>72</v>
      </c>
      <c r="L252" t="s">
        <v>1361</v>
      </c>
      <c r="M252" t="s">
        <v>1362</v>
      </c>
      <c r="N252" t="s">
        <v>1363</v>
      </c>
      <c r="O252" t="s">
        <v>1364</v>
      </c>
      <c r="P252">
        <v>0.222</v>
      </c>
      <c r="Q252" t="s">
        <v>29</v>
      </c>
      <c r="R252" t="s">
        <v>430</v>
      </c>
    </row>
    <row r="253" spans="1:18" x14ac:dyDescent="0.25">
      <c r="A253">
        <v>2011</v>
      </c>
      <c r="B253">
        <v>16793</v>
      </c>
      <c r="C253" t="s">
        <v>1904</v>
      </c>
      <c r="D253" t="s">
        <v>1905</v>
      </c>
      <c r="E253">
        <v>211113</v>
      </c>
      <c r="F253" t="s">
        <v>425</v>
      </c>
      <c r="G253" t="s">
        <v>426</v>
      </c>
      <c r="H253" t="s">
        <v>85</v>
      </c>
      <c r="I253" t="s">
        <v>1533</v>
      </c>
      <c r="J253" t="s">
        <v>1534</v>
      </c>
      <c r="K253" t="s">
        <v>1535</v>
      </c>
      <c r="L253" t="s">
        <v>1372</v>
      </c>
      <c r="M253" t="s">
        <v>1373</v>
      </c>
      <c r="N253" t="s">
        <v>1374</v>
      </c>
      <c r="O253" t="s">
        <v>1375</v>
      </c>
      <c r="P253">
        <v>65.251999999999995</v>
      </c>
      <c r="Q253" t="s">
        <v>29</v>
      </c>
      <c r="R253" t="s">
        <v>157</v>
      </c>
    </row>
    <row r="254" spans="1:18" x14ac:dyDescent="0.25">
      <c r="A254">
        <v>2006</v>
      </c>
      <c r="B254">
        <v>4157</v>
      </c>
      <c r="C254" t="s">
        <v>1906</v>
      </c>
      <c r="D254" t="s">
        <v>1907</v>
      </c>
      <c r="E254">
        <v>211113</v>
      </c>
      <c r="F254" t="s">
        <v>425</v>
      </c>
      <c r="G254" t="s">
        <v>426</v>
      </c>
      <c r="H254" t="s">
        <v>243</v>
      </c>
      <c r="I254" t="s">
        <v>1413</v>
      </c>
      <c r="J254" t="s">
        <v>1414</v>
      </c>
      <c r="K254" t="s">
        <v>1415</v>
      </c>
      <c r="L254" t="s">
        <v>1372</v>
      </c>
      <c r="M254" t="s">
        <v>1373</v>
      </c>
      <c r="N254" t="s">
        <v>1374</v>
      </c>
      <c r="O254" t="s">
        <v>1375</v>
      </c>
      <c r="P254">
        <v>4090.73</v>
      </c>
      <c r="Q254" t="s">
        <v>29</v>
      </c>
      <c r="R254" t="s">
        <v>30</v>
      </c>
    </row>
    <row r="255" spans="1:18" x14ac:dyDescent="0.25">
      <c r="A255">
        <v>2006</v>
      </c>
      <c r="B255">
        <v>7302</v>
      </c>
      <c r="C255" t="s">
        <v>1908</v>
      </c>
      <c r="D255" t="s">
        <v>1908</v>
      </c>
      <c r="E255">
        <v>327330</v>
      </c>
      <c r="F255" t="s">
        <v>1909</v>
      </c>
      <c r="G255" t="s">
        <v>711</v>
      </c>
      <c r="H255" t="s">
        <v>21</v>
      </c>
      <c r="I255" t="s">
        <v>1369</v>
      </c>
      <c r="J255" t="s">
        <v>1370</v>
      </c>
      <c r="K255" t="s">
        <v>1371</v>
      </c>
      <c r="L255" t="s">
        <v>1372</v>
      </c>
      <c r="M255" t="s">
        <v>1373</v>
      </c>
      <c r="N255" t="s">
        <v>1374</v>
      </c>
      <c r="O255" t="s">
        <v>1375</v>
      </c>
      <c r="P255">
        <v>61.863999999999997</v>
      </c>
      <c r="Q255" t="s">
        <v>29</v>
      </c>
      <c r="R255" t="s">
        <v>430</v>
      </c>
    </row>
    <row r="256" spans="1:18" x14ac:dyDescent="0.25">
      <c r="A256">
        <v>2008</v>
      </c>
      <c r="B256">
        <v>18153</v>
      </c>
      <c r="C256" t="s">
        <v>1910</v>
      </c>
      <c r="D256" t="s">
        <v>1911</v>
      </c>
      <c r="E256">
        <v>211113</v>
      </c>
      <c r="F256" t="s">
        <v>425</v>
      </c>
      <c r="G256" t="s">
        <v>426</v>
      </c>
      <c r="H256" t="s">
        <v>85</v>
      </c>
      <c r="I256" t="s">
        <v>1421</v>
      </c>
      <c r="J256" t="s">
        <v>1422</v>
      </c>
      <c r="K256" t="s">
        <v>1423</v>
      </c>
      <c r="L256" t="s">
        <v>1372</v>
      </c>
      <c r="M256" t="s">
        <v>1373</v>
      </c>
      <c r="N256" t="s">
        <v>1374</v>
      </c>
      <c r="O256" t="s">
        <v>1375</v>
      </c>
      <c r="P256">
        <v>0.46600000000000003</v>
      </c>
      <c r="Q256" t="s">
        <v>29</v>
      </c>
      <c r="R256" t="s">
        <v>430</v>
      </c>
    </row>
    <row r="257" spans="1:18" x14ac:dyDescent="0.25">
      <c r="A257">
        <v>2011</v>
      </c>
      <c r="B257">
        <v>6438</v>
      </c>
      <c r="C257" t="s">
        <v>1912</v>
      </c>
      <c r="D257" t="s">
        <v>1913</v>
      </c>
      <c r="E257">
        <v>311119</v>
      </c>
      <c r="F257" t="s">
        <v>1847</v>
      </c>
      <c r="G257" t="s">
        <v>1848</v>
      </c>
      <c r="H257" t="s">
        <v>79</v>
      </c>
      <c r="I257" t="s">
        <v>97</v>
      </c>
      <c r="J257" t="s">
        <v>98</v>
      </c>
      <c r="K257" t="s">
        <v>99</v>
      </c>
      <c r="L257" t="s">
        <v>1372</v>
      </c>
      <c r="M257" t="s">
        <v>1373</v>
      </c>
      <c r="N257" t="s">
        <v>1399</v>
      </c>
      <c r="O257" t="s">
        <v>1400</v>
      </c>
      <c r="P257">
        <v>2.8E-3</v>
      </c>
      <c r="Q257" t="s">
        <v>29</v>
      </c>
      <c r="R257" t="s">
        <v>50</v>
      </c>
    </row>
    <row r="258" spans="1:18" x14ac:dyDescent="0.25">
      <c r="A258">
        <v>2007</v>
      </c>
      <c r="B258">
        <v>8083</v>
      </c>
      <c r="C258" t="s">
        <v>1914</v>
      </c>
      <c r="D258" t="s">
        <v>1915</v>
      </c>
      <c r="E258">
        <v>212231</v>
      </c>
      <c r="F258" t="s">
        <v>1916</v>
      </c>
      <c r="G258" t="s">
        <v>1917</v>
      </c>
      <c r="H258" t="s">
        <v>661</v>
      </c>
      <c r="I258" t="s">
        <v>1487</v>
      </c>
      <c r="J258" t="s">
        <v>1488</v>
      </c>
      <c r="K258" t="s">
        <v>1489</v>
      </c>
      <c r="L258" t="s">
        <v>1372</v>
      </c>
      <c r="M258" t="s">
        <v>1373</v>
      </c>
      <c r="N258" t="s">
        <v>1399</v>
      </c>
      <c r="O258" t="s">
        <v>1400</v>
      </c>
      <c r="P258">
        <v>9.0999999999999998E-2</v>
      </c>
      <c r="Q258" t="s">
        <v>29</v>
      </c>
      <c r="R258" t="s">
        <v>430</v>
      </c>
    </row>
    <row r="259" spans="1:18" x14ac:dyDescent="0.25">
      <c r="A259">
        <v>2022</v>
      </c>
      <c r="B259">
        <v>2852</v>
      </c>
      <c r="C259" t="s">
        <v>1918</v>
      </c>
      <c r="D259" t="s">
        <v>1919</v>
      </c>
      <c r="E259">
        <v>325920</v>
      </c>
      <c r="F259" t="s">
        <v>854</v>
      </c>
      <c r="G259" t="s">
        <v>855</v>
      </c>
      <c r="H259" t="s">
        <v>79</v>
      </c>
      <c r="I259" t="s">
        <v>877</v>
      </c>
      <c r="J259" t="s">
        <v>878</v>
      </c>
      <c r="K259" t="s">
        <v>879</v>
      </c>
      <c r="L259" t="s">
        <v>1372</v>
      </c>
      <c r="M259" t="s">
        <v>1373</v>
      </c>
      <c r="N259" t="s">
        <v>1409</v>
      </c>
      <c r="O259" t="s">
        <v>1410</v>
      </c>
      <c r="P259">
        <v>0</v>
      </c>
      <c r="Q259" t="s">
        <v>880</v>
      </c>
      <c r="R259" t="s">
        <v>430</v>
      </c>
    </row>
    <row r="260" spans="1:18" x14ac:dyDescent="0.25">
      <c r="A260">
        <v>2003</v>
      </c>
      <c r="B260">
        <v>2001</v>
      </c>
      <c r="C260" t="s">
        <v>1920</v>
      </c>
      <c r="D260" t="s">
        <v>1921</v>
      </c>
      <c r="E260">
        <v>322122</v>
      </c>
      <c r="F260" t="s">
        <v>1556</v>
      </c>
      <c r="G260" t="s">
        <v>1062</v>
      </c>
      <c r="H260" t="s">
        <v>79</v>
      </c>
      <c r="I260" t="s">
        <v>504</v>
      </c>
      <c r="J260" t="s">
        <v>505</v>
      </c>
      <c r="K260" t="s">
        <v>506</v>
      </c>
      <c r="L260" t="s">
        <v>1378</v>
      </c>
      <c r="M260" t="s">
        <v>1379</v>
      </c>
      <c r="N260" t="s">
        <v>1380</v>
      </c>
      <c r="O260" t="s">
        <v>1381</v>
      </c>
      <c r="P260">
        <v>22.155999999999999</v>
      </c>
      <c r="Q260" t="s">
        <v>29</v>
      </c>
      <c r="R260" t="s">
        <v>124</v>
      </c>
    </row>
    <row r="261" spans="1:18" x14ac:dyDescent="0.25">
      <c r="A261">
        <v>2003</v>
      </c>
      <c r="B261">
        <v>7888</v>
      </c>
      <c r="C261" t="s">
        <v>1922</v>
      </c>
      <c r="D261" t="s">
        <v>1923</v>
      </c>
      <c r="E261">
        <v>327320</v>
      </c>
      <c r="F261" t="s">
        <v>1924</v>
      </c>
      <c r="G261" t="s">
        <v>1925</v>
      </c>
      <c r="H261" t="s">
        <v>69</v>
      </c>
      <c r="I261" t="s">
        <v>1369</v>
      </c>
      <c r="J261" t="s">
        <v>1370</v>
      </c>
      <c r="K261" t="s">
        <v>1371</v>
      </c>
      <c r="L261" t="s">
        <v>1372</v>
      </c>
      <c r="M261" t="s">
        <v>1373</v>
      </c>
      <c r="N261" t="s">
        <v>1399</v>
      </c>
      <c r="O261" t="s">
        <v>1400</v>
      </c>
      <c r="P261">
        <v>0.64200000000000002</v>
      </c>
      <c r="Q261" t="s">
        <v>29</v>
      </c>
      <c r="R261" t="s">
        <v>430</v>
      </c>
    </row>
    <row r="262" spans="1:18" x14ac:dyDescent="0.25">
      <c r="A262">
        <v>2002</v>
      </c>
      <c r="B262">
        <v>5989</v>
      </c>
      <c r="C262" t="s">
        <v>1926</v>
      </c>
      <c r="D262" t="s">
        <v>1927</v>
      </c>
      <c r="E262">
        <v>562210</v>
      </c>
      <c r="F262" t="s">
        <v>52</v>
      </c>
      <c r="G262" t="s">
        <v>53</v>
      </c>
      <c r="H262" t="s">
        <v>21</v>
      </c>
      <c r="I262" t="s">
        <v>1487</v>
      </c>
      <c r="J262" t="s">
        <v>1488</v>
      </c>
      <c r="K262" t="s">
        <v>1489</v>
      </c>
      <c r="L262" t="s">
        <v>1372</v>
      </c>
      <c r="M262" t="s">
        <v>1373</v>
      </c>
      <c r="N262" t="s">
        <v>1399</v>
      </c>
      <c r="O262" t="s">
        <v>1400</v>
      </c>
      <c r="P262">
        <v>42.3</v>
      </c>
      <c r="Q262" t="s">
        <v>29</v>
      </c>
      <c r="R262" t="s">
        <v>430</v>
      </c>
    </row>
    <row r="263" spans="1:18" x14ac:dyDescent="0.25">
      <c r="A263">
        <v>2018</v>
      </c>
      <c r="B263">
        <v>27741</v>
      </c>
      <c r="C263" t="s">
        <v>1928</v>
      </c>
      <c r="D263" t="s">
        <v>1929</v>
      </c>
      <c r="E263">
        <v>211110</v>
      </c>
      <c r="F263" t="s">
        <v>233</v>
      </c>
      <c r="G263" t="s">
        <v>234</v>
      </c>
      <c r="H263" t="s">
        <v>85</v>
      </c>
      <c r="I263" t="s">
        <v>1369</v>
      </c>
      <c r="J263" t="s">
        <v>1370</v>
      </c>
      <c r="K263" t="s">
        <v>1371</v>
      </c>
      <c r="L263" t="s">
        <v>1372</v>
      </c>
      <c r="M263" t="s">
        <v>1373</v>
      </c>
      <c r="N263" t="s">
        <v>1374</v>
      </c>
      <c r="O263" t="s">
        <v>1375</v>
      </c>
      <c r="P263">
        <v>1.17</v>
      </c>
      <c r="Q263" t="s">
        <v>29</v>
      </c>
      <c r="R263" t="s">
        <v>430</v>
      </c>
    </row>
    <row r="264" spans="1:18" x14ac:dyDescent="0.25">
      <c r="A264">
        <v>2016</v>
      </c>
      <c r="B264">
        <v>6536</v>
      </c>
      <c r="C264" t="s">
        <v>65</v>
      </c>
      <c r="D264" t="s">
        <v>1930</v>
      </c>
      <c r="E264">
        <v>562210</v>
      </c>
      <c r="F264" t="s">
        <v>84</v>
      </c>
      <c r="G264" t="s">
        <v>53</v>
      </c>
      <c r="H264" t="s">
        <v>85</v>
      </c>
      <c r="I264" t="s">
        <v>1487</v>
      </c>
      <c r="J264" t="s">
        <v>1488</v>
      </c>
      <c r="K264" t="s">
        <v>1489</v>
      </c>
      <c r="L264" t="s">
        <v>1372</v>
      </c>
      <c r="M264" t="s">
        <v>1373</v>
      </c>
      <c r="N264" t="s">
        <v>1390</v>
      </c>
      <c r="O264" t="s">
        <v>1391</v>
      </c>
      <c r="P264">
        <v>54.844999999999999</v>
      </c>
      <c r="Q264" t="s">
        <v>29</v>
      </c>
      <c r="R264" t="s">
        <v>50</v>
      </c>
    </row>
    <row r="265" spans="1:18" x14ac:dyDescent="0.25">
      <c r="A265">
        <v>2015</v>
      </c>
      <c r="B265">
        <v>8606</v>
      </c>
      <c r="C265" t="s">
        <v>1931</v>
      </c>
      <c r="D265" t="s">
        <v>1932</v>
      </c>
      <c r="E265">
        <v>221112</v>
      </c>
      <c r="F265" t="s">
        <v>499</v>
      </c>
      <c r="G265" t="s">
        <v>135</v>
      </c>
      <c r="H265" t="s">
        <v>79</v>
      </c>
      <c r="I265" t="s">
        <v>1421</v>
      </c>
      <c r="J265" t="s">
        <v>1422</v>
      </c>
      <c r="K265" t="s">
        <v>1423</v>
      </c>
      <c r="L265" t="s">
        <v>1372</v>
      </c>
      <c r="M265" t="s">
        <v>1373</v>
      </c>
      <c r="N265" t="s">
        <v>1374</v>
      </c>
      <c r="O265" t="s">
        <v>1375</v>
      </c>
      <c r="P265">
        <v>0.49</v>
      </c>
      <c r="Q265" t="s">
        <v>29</v>
      </c>
      <c r="R265" t="s">
        <v>430</v>
      </c>
    </row>
    <row r="266" spans="1:18" x14ac:dyDescent="0.25">
      <c r="A266">
        <v>2008</v>
      </c>
      <c r="B266">
        <v>4169</v>
      </c>
      <c r="C266" t="s">
        <v>1933</v>
      </c>
      <c r="D266" t="s">
        <v>1934</v>
      </c>
      <c r="E266">
        <v>331110</v>
      </c>
      <c r="F266" t="s">
        <v>335</v>
      </c>
      <c r="G266" t="s">
        <v>336</v>
      </c>
      <c r="H266" t="s">
        <v>21</v>
      </c>
      <c r="I266" t="s">
        <v>1369</v>
      </c>
      <c r="J266" t="s">
        <v>1370</v>
      </c>
      <c r="K266" t="s">
        <v>1371</v>
      </c>
      <c r="L266" t="s">
        <v>1372</v>
      </c>
      <c r="M266" t="s">
        <v>1373</v>
      </c>
      <c r="N266" t="s">
        <v>1390</v>
      </c>
      <c r="O266" t="s">
        <v>1391</v>
      </c>
      <c r="P266">
        <v>1.248</v>
      </c>
      <c r="Q266" t="s">
        <v>29</v>
      </c>
      <c r="R266" t="s">
        <v>30</v>
      </c>
    </row>
    <row r="267" spans="1:18" x14ac:dyDescent="0.25">
      <c r="A267">
        <v>2019</v>
      </c>
      <c r="B267">
        <v>25224</v>
      </c>
      <c r="C267" t="s">
        <v>1935</v>
      </c>
      <c r="D267" t="s">
        <v>1936</v>
      </c>
      <c r="E267">
        <v>211110</v>
      </c>
      <c r="F267" t="s">
        <v>233</v>
      </c>
      <c r="G267" t="s">
        <v>234</v>
      </c>
      <c r="H267" t="s">
        <v>85</v>
      </c>
      <c r="I267" t="s">
        <v>1457</v>
      </c>
      <c r="J267" t="s">
        <v>1458</v>
      </c>
      <c r="K267" t="s">
        <v>1459</v>
      </c>
      <c r="L267" t="s">
        <v>1372</v>
      </c>
      <c r="M267" t="s">
        <v>1373</v>
      </c>
      <c r="N267" t="s">
        <v>1399</v>
      </c>
      <c r="O267" t="s">
        <v>1400</v>
      </c>
      <c r="P267">
        <v>35.706000000000003</v>
      </c>
      <c r="Q267" t="s">
        <v>29</v>
      </c>
      <c r="R267" t="s">
        <v>30</v>
      </c>
    </row>
    <row r="268" spans="1:18" x14ac:dyDescent="0.25">
      <c r="A268">
        <v>2023</v>
      </c>
      <c r="B268">
        <v>4150</v>
      </c>
      <c r="C268" t="s">
        <v>1937</v>
      </c>
      <c r="D268" t="s">
        <v>1686</v>
      </c>
      <c r="E268">
        <v>211110</v>
      </c>
      <c r="F268" t="s">
        <v>233</v>
      </c>
      <c r="G268" t="s">
        <v>234</v>
      </c>
      <c r="H268" t="s">
        <v>85</v>
      </c>
      <c r="I268" t="s">
        <v>1457</v>
      </c>
      <c r="J268" t="s">
        <v>1680</v>
      </c>
      <c r="K268" t="s">
        <v>1681</v>
      </c>
      <c r="L268" t="s">
        <v>1372</v>
      </c>
      <c r="M268" t="s">
        <v>1373</v>
      </c>
      <c r="N268" t="s">
        <v>1374</v>
      </c>
      <c r="O268" t="s">
        <v>1375</v>
      </c>
      <c r="P268">
        <v>39.068899999999999</v>
      </c>
      <c r="Q268" t="s">
        <v>29</v>
      </c>
      <c r="R268" t="s">
        <v>157</v>
      </c>
    </row>
    <row r="269" spans="1:18" x14ac:dyDescent="0.25">
      <c r="A269">
        <v>2017</v>
      </c>
      <c r="B269">
        <v>27335</v>
      </c>
      <c r="C269" t="s">
        <v>1938</v>
      </c>
      <c r="D269" t="s">
        <v>1939</v>
      </c>
      <c r="E269">
        <v>211110</v>
      </c>
      <c r="F269" t="s">
        <v>233</v>
      </c>
      <c r="G269" t="s">
        <v>234</v>
      </c>
      <c r="H269" t="s">
        <v>243</v>
      </c>
      <c r="I269" t="s">
        <v>1369</v>
      </c>
      <c r="J269" t="s">
        <v>1370</v>
      </c>
      <c r="K269" t="s">
        <v>1371</v>
      </c>
      <c r="L269" t="s">
        <v>1372</v>
      </c>
      <c r="M269" t="s">
        <v>1373</v>
      </c>
      <c r="N269" t="s">
        <v>1374</v>
      </c>
      <c r="O269" t="s">
        <v>1375</v>
      </c>
      <c r="P269">
        <v>2.1440000000000001</v>
      </c>
      <c r="Q269" t="s">
        <v>29</v>
      </c>
      <c r="R269" t="s">
        <v>430</v>
      </c>
    </row>
    <row r="270" spans="1:18" x14ac:dyDescent="0.25">
      <c r="A270">
        <v>2009</v>
      </c>
      <c r="B270">
        <v>23762</v>
      </c>
      <c r="C270" t="s">
        <v>1940</v>
      </c>
      <c r="D270" t="s">
        <v>1941</v>
      </c>
      <c r="E270">
        <v>211113</v>
      </c>
      <c r="F270" t="s">
        <v>425</v>
      </c>
      <c r="G270" t="s">
        <v>426</v>
      </c>
      <c r="H270" t="s">
        <v>85</v>
      </c>
      <c r="I270" t="s">
        <v>1533</v>
      </c>
      <c r="J270" t="s">
        <v>1534</v>
      </c>
      <c r="K270" t="s">
        <v>1535</v>
      </c>
      <c r="L270" t="s">
        <v>1372</v>
      </c>
      <c r="M270" t="s">
        <v>1373</v>
      </c>
      <c r="N270" t="s">
        <v>1374</v>
      </c>
      <c r="O270" t="s">
        <v>1375</v>
      </c>
      <c r="P270">
        <v>24.341000000000001</v>
      </c>
      <c r="Q270" t="s">
        <v>29</v>
      </c>
      <c r="R270" t="s">
        <v>430</v>
      </c>
    </row>
    <row r="271" spans="1:18" x14ac:dyDescent="0.25">
      <c r="A271">
        <v>2022</v>
      </c>
      <c r="B271">
        <v>30745</v>
      </c>
      <c r="C271" t="s">
        <v>1942</v>
      </c>
      <c r="D271" t="s">
        <v>1943</v>
      </c>
      <c r="E271">
        <v>212220</v>
      </c>
      <c r="F271" t="s">
        <v>1619</v>
      </c>
      <c r="G271" t="s">
        <v>1620</v>
      </c>
      <c r="H271" t="s">
        <v>483</v>
      </c>
      <c r="I271" t="s">
        <v>35</v>
      </c>
      <c r="J271" t="s">
        <v>36</v>
      </c>
      <c r="K271" t="s">
        <v>37</v>
      </c>
      <c r="L271" t="s">
        <v>1372</v>
      </c>
      <c r="M271" t="s">
        <v>1373</v>
      </c>
      <c r="N271" t="s">
        <v>1409</v>
      </c>
      <c r="O271" t="s">
        <v>1410</v>
      </c>
      <c r="P271">
        <v>0.16663600000000001</v>
      </c>
      <c r="Q271" t="s">
        <v>40</v>
      </c>
      <c r="R271" t="s">
        <v>430</v>
      </c>
    </row>
    <row r="272" spans="1:18" x14ac:dyDescent="0.25">
      <c r="A272">
        <v>2011</v>
      </c>
      <c r="B272">
        <v>19242</v>
      </c>
      <c r="C272" t="s">
        <v>1757</v>
      </c>
      <c r="D272" t="s">
        <v>1944</v>
      </c>
      <c r="E272">
        <v>212315</v>
      </c>
      <c r="F272" t="s">
        <v>1830</v>
      </c>
      <c r="G272" t="s">
        <v>1831</v>
      </c>
      <c r="H272" t="s">
        <v>69</v>
      </c>
      <c r="I272" t="s">
        <v>1369</v>
      </c>
      <c r="J272" t="s">
        <v>1370</v>
      </c>
      <c r="K272" t="s">
        <v>1371</v>
      </c>
      <c r="L272" t="s">
        <v>1372</v>
      </c>
      <c r="M272" t="s">
        <v>1373</v>
      </c>
      <c r="N272" t="s">
        <v>1409</v>
      </c>
      <c r="O272" t="s">
        <v>1410</v>
      </c>
      <c r="P272">
        <v>35.569299999999998</v>
      </c>
      <c r="Q272" t="s">
        <v>29</v>
      </c>
      <c r="R272" t="s">
        <v>430</v>
      </c>
    </row>
    <row r="273" spans="1:18" x14ac:dyDescent="0.25">
      <c r="A273">
        <v>2023</v>
      </c>
      <c r="B273">
        <v>3928</v>
      </c>
      <c r="C273" t="s">
        <v>227</v>
      </c>
      <c r="D273" t="s">
        <v>228</v>
      </c>
      <c r="E273">
        <v>324110</v>
      </c>
      <c r="F273" t="s">
        <v>196</v>
      </c>
      <c r="G273" t="s">
        <v>96</v>
      </c>
      <c r="H273" t="s">
        <v>79</v>
      </c>
      <c r="I273" t="s">
        <v>1406</v>
      </c>
      <c r="J273" t="s">
        <v>1407</v>
      </c>
      <c r="K273" t="s">
        <v>1408</v>
      </c>
      <c r="L273" t="s">
        <v>1372</v>
      </c>
      <c r="M273" t="s">
        <v>1373</v>
      </c>
      <c r="N273" t="s">
        <v>1374</v>
      </c>
      <c r="O273" t="s">
        <v>1375</v>
      </c>
      <c r="P273">
        <v>0.109</v>
      </c>
      <c r="Q273" t="s">
        <v>29</v>
      </c>
      <c r="R273" t="s">
        <v>124</v>
      </c>
    </row>
    <row r="274" spans="1:18" x14ac:dyDescent="0.25">
      <c r="A274">
        <v>1993</v>
      </c>
      <c r="B274">
        <v>2475</v>
      </c>
      <c r="C274" t="s">
        <v>1945</v>
      </c>
      <c r="D274" t="s">
        <v>1946</v>
      </c>
      <c r="E274">
        <v>325181</v>
      </c>
      <c r="F274" t="s">
        <v>1947</v>
      </c>
      <c r="G274" t="s">
        <v>729</v>
      </c>
      <c r="H274" t="s">
        <v>79</v>
      </c>
      <c r="I274" t="s">
        <v>1948</v>
      </c>
      <c r="J274" t="s">
        <v>1949</v>
      </c>
      <c r="K274" t="s">
        <v>1950</v>
      </c>
      <c r="L274" t="s">
        <v>1372</v>
      </c>
      <c r="M274" t="s">
        <v>1373</v>
      </c>
      <c r="N274" t="s">
        <v>1374</v>
      </c>
      <c r="O274" t="s">
        <v>1375</v>
      </c>
      <c r="P274">
        <v>2.19</v>
      </c>
      <c r="Q274" t="s">
        <v>29</v>
      </c>
      <c r="R274" t="s">
        <v>442</v>
      </c>
    </row>
    <row r="275" spans="1:18" x14ac:dyDescent="0.25">
      <c r="A275">
        <v>2013</v>
      </c>
      <c r="B275">
        <v>8028</v>
      </c>
      <c r="C275" t="s">
        <v>1951</v>
      </c>
      <c r="D275" t="s">
        <v>1952</v>
      </c>
      <c r="E275">
        <v>212395</v>
      </c>
      <c r="F275" t="s">
        <v>1953</v>
      </c>
      <c r="G275" t="s">
        <v>1954</v>
      </c>
      <c r="H275" t="s">
        <v>483</v>
      </c>
      <c r="I275" t="s">
        <v>1441</v>
      </c>
      <c r="J275" t="s">
        <v>1442</v>
      </c>
      <c r="K275" t="s">
        <v>1443</v>
      </c>
      <c r="L275" t="s">
        <v>1372</v>
      </c>
      <c r="M275" t="s">
        <v>1373</v>
      </c>
      <c r="N275" t="s">
        <v>1520</v>
      </c>
      <c r="O275" t="s">
        <v>1521</v>
      </c>
      <c r="P275">
        <v>14.423</v>
      </c>
      <c r="Q275" t="s">
        <v>29</v>
      </c>
      <c r="R275" t="s">
        <v>30</v>
      </c>
    </row>
    <row r="276" spans="1:18" x14ac:dyDescent="0.25">
      <c r="A276">
        <v>2009</v>
      </c>
      <c r="B276">
        <v>3962</v>
      </c>
      <c r="C276" t="s">
        <v>1955</v>
      </c>
      <c r="D276" t="s">
        <v>1956</v>
      </c>
      <c r="E276">
        <v>324110</v>
      </c>
      <c r="F276" t="s">
        <v>95</v>
      </c>
      <c r="G276" t="s">
        <v>96</v>
      </c>
      <c r="H276" t="s">
        <v>21</v>
      </c>
      <c r="I276" t="s">
        <v>1050</v>
      </c>
      <c r="J276" t="s">
        <v>1051</v>
      </c>
      <c r="K276" t="s">
        <v>1052</v>
      </c>
      <c r="L276" t="s">
        <v>1372</v>
      </c>
      <c r="M276" t="s">
        <v>1373</v>
      </c>
      <c r="N276" t="s">
        <v>1374</v>
      </c>
      <c r="O276" t="s">
        <v>1375</v>
      </c>
      <c r="P276">
        <v>7.2999999999999995E-2</v>
      </c>
      <c r="Q276" t="s">
        <v>40</v>
      </c>
      <c r="R276" t="s">
        <v>430</v>
      </c>
    </row>
    <row r="277" spans="1:18" x14ac:dyDescent="0.25">
      <c r="A277">
        <v>2021</v>
      </c>
      <c r="B277">
        <v>6552</v>
      </c>
      <c r="C277" t="s">
        <v>1957</v>
      </c>
      <c r="D277" t="s">
        <v>1958</v>
      </c>
      <c r="E277">
        <v>311119</v>
      </c>
      <c r="F277" t="s">
        <v>1959</v>
      </c>
      <c r="G277" t="s">
        <v>1960</v>
      </c>
      <c r="H277" t="s">
        <v>54</v>
      </c>
      <c r="I277" t="s">
        <v>1369</v>
      </c>
      <c r="J277" t="s">
        <v>1370</v>
      </c>
      <c r="K277" t="s">
        <v>1371</v>
      </c>
      <c r="L277" t="s">
        <v>1372</v>
      </c>
      <c r="M277" t="s">
        <v>1373</v>
      </c>
      <c r="N277" t="s">
        <v>1409</v>
      </c>
      <c r="O277" t="s">
        <v>1410</v>
      </c>
      <c r="P277">
        <v>3.2465999999999999</v>
      </c>
      <c r="Q277" t="s">
        <v>29</v>
      </c>
      <c r="R277" t="s">
        <v>30</v>
      </c>
    </row>
    <row r="278" spans="1:18" x14ac:dyDescent="0.25">
      <c r="A278">
        <v>1999</v>
      </c>
      <c r="B278">
        <v>2120</v>
      </c>
      <c r="C278" t="s">
        <v>1961</v>
      </c>
      <c r="D278" t="s">
        <v>1962</v>
      </c>
      <c r="E278">
        <v>211113</v>
      </c>
      <c r="F278" t="s">
        <v>425</v>
      </c>
      <c r="G278" t="s">
        <v>426</v>
      </c>
      <c r="H278" t="s">
        <v>85</v>
      </c>
      <c r="I278" t="s">
        <v>923</v>
      </c>
      <c r="J278" t="s">
        <v>924</v>
      </c>
      <c r="K278" t="s">
        <v>924</v>
      </c>
      <c r="L278" t="s">
        <v>1372</v>
      </c>
      <c r="M278" t="s">
        <v>1373</v>
      </c>
      <c r="N278" t="s">
        <v>1409</v>
      </c>
      <c r="O278" t="s">
        <v>1410</v>
      </c>
      <c r="P278">
        <v>4.3999999999999997E-2</v>
      </c>
      <c r="Q278" t="s">
        <v>29</v>
      </c>
      <c r="R278" t="s">
        <v>204</v>
      </c>
    </row>
    <row r="279" spans="1:18" x14ac:dyDescent="0.25">
      <c r="A279">
        <v>1998</v>
      </c>
      <c r="B279">
        <v>3713</v>
      </c>
      <c r="C279" t="s">
        <v>334</v>
      </c>
      <c r="E279">
        <v>331110</v>
      </c>
      <c r="F279" t="s">
        <v>335</v>
      </c>
      <c r="G279" t="s">
        <v>336</v>
      </c>
      <c r="H279" t="s">
        <v>21</v>
      </c>
      <c r="I279" t="s">
        <v>35</v>
      </c>
      <c r="J279" t="s">
        <v>36</v>
      </c>
      <c r="K279" t="s">
        <v>37</v>
      </c>
      <c r="L279" t="s">
        <v>1372</v>
      </c>
      <c r="M279" t="s">
        <v>1373</v>
      </c>
      <c r="N279" t="s">
        <v>1409</v>
      </c>
      <c r="O279" t="s">
        <v>1410</v>
      </c>
      <c r="P279">
        <v>0.33</v>
      </c>
      <c r="Q279" t="s">
        <v>29</v>
      </c>
      <c r="R279" t="s">
        <v>30</v>
      </c>
    </row>
    <row r="280" spans="1:18" x14ac:dyDescent="0.25">
      <c r="A280">
        <v>2020</v>
      </c>
      <c r="B280">
        <v>30943</v>
      </c>
      <c r="C280" t="s">
        <v>1963</v>
      </c>
      <c r="D280" t="s">
        <v>1964</v>
      </c>
      <c r="E280">
        <v>311814</v>
      </c>
      <c r="F280" t="s">
        <v>1965</v>
      </c>
      <c r="G280" t="s">
        <v>1772</v>
      </c>
      <c r="H280" t="s">
        <v>21</v>
      </c>
      <c r="I280" t="s">
        <v>1421</v>
      </c>
      <c r="J280" t="s">
        <v>1422</v>
      </c>
      <c r="K280" t="s">
        <v>1423</v>
      </c>
      <c r="L280" t="s">
        <v>1372</v>
      </c>
      <c r="M280" t="s">
        <v>1373</v>
      </c>
      <c r="N280" t="s">
        <v>1374</v>
      </c>
      <c r="O280" t="s">
        <v>1375</v>
      </c>
      <c r="P280">
        <v>5.6499999999999996E-3</v>
      </c>
      <c r="Q280" t="s">
        <v>29</v>
      </c>
      <c r="R280" t="s">
        <v>430</v>
      </c>
    </row>
    <row r="281" spans="1:18" x14ac:dyDescent="0.25">
      <c r="A281">
        <v>2022</v>
      </c>
      <c r="B281">
        <v>22587</v>
      </c>
      <c r="C281" t="s">
        <v>1800</v>
      </c>
      <c r="D281" t="s">
        <v>1966</v>
      </c>
      <c r="E281">
        <v>418390</v>
      </c>
      <c r="F281" t="s">
        <v>1802</v>
      </c>
      <c r="G281" t="s">
        <v>1803</v>
      </c>
      <c r="H281" t="s">
        <v>243</v>
      </c>
      <c r="I281" t="s">
        <v>1487</v>
      </c>
      <c r="J281" t="s">
        <v>1488</v>
      </c>
      <c r="K281" t="s">
        <v>1489</v>
      </c>
      <c r="L281" t="s">
        <v>1372</v>
      </c>
      <c r="M281" t="s">
        <v>1373</v>
      </c>
      <c r="N281" t="s">
        <v>1409</v>
      </c>
      <c r="O281" t="s">
        <v>1410</v>
      </c>
      <c r="P281">
        <v>29.678000000000001</v>
      </c>
      <c r="Q281" t="s">
        <v>29</v>
      </c>
      <c r="R281" t="s">
        <v>30</v>
      </c>
    </row>
    <row r="282" spans="1:18" x14ac:dyDescent="0.25">
      <c r="A282">
        <v>2004</v>
      </c>
      <c r="B282">
        <v>7228</v>
      </c>
      <c r="C282" t="s">
        <v>1967</v>
      </c>
      <c r="D282" t="s">
        <v>1968</v>
      </c>
      <c r="E282">
        <v>221112</v>
      </c>
      <c r="F282" t="s">
        <v>134</v>
      </c>
      <c r="G282" t="s">
        <v>135</v>
      </c>
      <c r="H282" t="s">
        <v>21</v>
      </c>
      <c r="I282" t="s">
        <v>1421</v>
      </c>
      <c r="J282" t="s">
        <v>1422</v>
      </c>
      <c r="K282" t="s">
        <v>1423</v>
      </c>
      <c r="L282" t="s">
        <v>1372</v>
      </c>
      <c r="M282" t="s">
        <v>1373</v>
      </c>
      <c r="N282" t="s">
        <v>1374</v>
      </c>
      <c r="O282" t="s">
        <v>1375</v>
      </c>
      <c r="P282">
        <v>0.58599999999999997</v>
      </c>
      <c r="Q282" t="s">
        <v>29</v>
      </c>
      <c r="R282" t="s">
        <v>430</v>
      </c>
    </row>
    <row r="283" spans="1:18" x14ac:dyDescent="0.25">
      <c r="A283">
        <v>2013</v>
      </c>
      <c r="B283">
        <v>15180</v>
      </c>
      <c r="C283" t="s">
        <v>231</v>
      </c>
      <c r="D283" t="s">
        <v>1969</v>
      </c>
      <c r="E283">
        <v>211113</v>
      </c>
      <c r="F283" t="s">
        <v>786</v>
      </c>
      <c r="G283" t="s">
        <v>426</v>
      </c>
      <c r="H283" t="s">
        <v>85</v>
      </c>
      <c r="I283" t="s">
        <v>1533</v>
      </c>
      <c r="J283" t="s">
        <v>1534</v>
      </c>
      <c r="K283" t="s">
        <v>1535</v>
      </c>
      <c r="L283" t="s">
        <v>1372</v>
      </c>
      <c r="M283" t="s">
        <v>1373</v>
      </c>
      <c r="N283" t="s">
        <v>1374</v>
      </c>
      <c r="O283" t="s">
        <v>1375</v>
      </c>
      <c r="P283">
        <v>68.259</v>
      </c>
      <c r="Q283" t="s">
        <v>29</v>
      </c>
      <c r="R283" t="s">
        <v>430</v>
      </c>
    </row>
    <row r="284" spans="1:18" x14ac:dyDescent="0.25">
      <c r="A284">
        <v>2000</v>
      </c>
      <c r="B284">
        <v>5650</v>
      </c>
      <c r="C284" t="s">
        <v>1970</v>
      </c>
      <c r="D284" t="s">
        <v>1971</v>
      </c>
      <c r="E284">
        <v>323119</v>
      </c>
      <c r="F284" t="s">
        <v>919</v>
      </c>
      <c r="G284" t="s">
        <v>920</v>
      </c>
      <c r="H284" t="s">
        <v>21</v>
      </c>
      <c r="I284" t="s">
        <v>264</v>
      </c>
      <c r="J284" t="s">
        <v>265</v>
      </c>
      <c r="K284" t="s">
        <v>266</v>
      </c>
      <c r="L284" t="s">
        <v>1372</v>
      </c>
      <c r="M284" t="s">
        <v>1373</v>
      </c>
      <c r="N284" t="s">
        <v>1374</v>
      </c>
      <c r="O284" t="s">
        <v>1375</v>
      </c>
      <c r="P284">
        <v>0.05</v>
      </c>
      <c r="Q284" t="s">
        <v>29</v>
      </c>
      <c r="R284" t="s">
        <v>30</v>
      </c>
    </row>
    <row r="285" spans="1:18" x14ac:dyDescent="0.25">
      <c r="A285">
        <v>2020</v>
      </c>
      <c r="B285">
        <v>7659</v>
      </c>
      <c r="C285" t="s">
        <v>1972</v>
      </c>
      <c r="D285" t="s">
        <v>1973</v>
      </c>
      <c r="E285">
        <v>411120</v>
      </c>
      <c r="F285" t="s">
        <v>1974</v>
      </c>
      <c r="G285" t="s">
        <v>1975</v>
      </c>
      <c r="H285" t="s">
        <v>21</v>
      </c>
      <c r="I285" t="s">
        <v>1369</v>
      </c>
      <c r="J285" t="s">
        <v>1370</v>
      </c>
      <c r="K285" t="s">
        <v>1371</v>
      </c>
      <c r="L285" t="s">
        <v>1372</v>
      </c>
      <c r="M285" t="s">
        <v>1373</v>
      </c>
      <c r="N285" t="s">
        <v>1399</v>
      </c>
      <c r="O285" t="s">
        <v>1400</v>
      </c>
      <c r="P285">
        <v>3.6219999999999999</v>
      </c>
      <c r="Q285" t="s">
        <v>29</v>
      </c>
      <c r="R285" t="s">
        <v>430</v>
      </c>
    </row>
    <row r="286" spans="1:18" x14ac:dyDescent="0.25">
      <c r="A286">
        <v>2014</v>
      </c>
      <c r="B286">
        <v>3897</v>
      </c>
      <c r="C286" t="s">
        <v>1250</v>
      </c>
      <c r="D286" t="s">
        <v>275</v>
      </c>
      <c r="E286">
        <v>324110</v>
      </c>
      <c r="F286" t="s">
        <v>196</v>
      </c>
      <c r="G286" t="s">
        <v>96</v>
      </c>
      <c r="H286" t="s">
        <v>79</v>
      </c>
      <c r="I286" t="s">
        <v>324</v>
      </c>
      <c r="J286" t="s">
        <v>325</v>
      </c>
      <c r="K286" t="s">
        <v>326</v>
      </c>
      <c r="L286" t="s">
        <v>1378</v>
      </c>
      <c r="M286" t="s">
        <v>1379</v>
      </c>
      <c r="N286" t="s">
        <v>1380</v>
      </c>
      <c r="O286" t="s">
        <v>1381</v>
      </c>
      <c r="P286">
        <v>24.94</v>
      </c>
      <c r="Q286" t="s">
        <v>40</v>
      </c>
      <c r="R286" t="s">
        <v>30</v>
      </c>
    </row>
    <row r="287" spans="1:18" x14ac:dyDescent="0.25">
      <c r="A287">
        <v>2022</v>
      </c>
      <c r="B287">
        <v>30720</v>
      </c>
      <c r="C287" t="s">
        <v>1976</v>
      </c>
      <c r="D287" t="s">
        <v>1977</v>
      </c>
      <c r="E287">
        <v>211110</v>
      </c>
      <c r="F287" t="s">
        <v>233</v>
      </c>
      <c r="G287" t="s">
        <v>234</v>
      </c>
      <c r="H287" t="s">
        <v>243</v>
      </c>
      <c r="I287" t="s">
        <v>1457</v>
      </c>
      <c r="J287" t="s">
        <v>1680</v>
      </c>
      <c r="K287" t="s">
        <v>1681</v>
      </c>
      <c r="L287" t="s">
        <v>1372</v>
      </c>
      <c r="M287" t="s">
        <v>1373</v>
      </c>
      <c r="N287" t="s">
        <v>1399</v>
      </c>
      <c r="O287" t="s">
        <v>1400</v>
      </c>
      <c r="P287">
        <v>20.661000000000001</v>
      </c>
      <c r="Q287" t="s">
        <v>29</v>
      </c>
      <c r="R287" t="s">
        <v>430</v>
      </c>
    </row>
    <row r="288" spans="1:18" x14ac:dyDescent="0.25">
      <c r="A288">
        <v>2006</v>
      </c>
      <c r="B288">
        <v>1941</v>
      </c>
      <c r="C288" t="s">
        <v>1978</v>
      </c>
      <c r="D288" t="s">
        <v>1979</v>
      </c>
      <c r="E288">
        <v>212220</v>
      </c>
      <c r="F288" t="s">
        <v>1980</v>
      </c>
      <c r="G288" t="s">
        <v>1620</v>
      </c>
      <c r="H288" t="s">
        <v>21</v>
      </c>
      <c r="I288" t="s">
        <v>86</v>
      </c>
      <c r="J288" t="s">
        <v>87</v>
      </c>
      <c r="K288" t="s">
        <v>88</v>
      </c>
      <c r="L288" t="s">
        <v>1372</v>
      </c>
      <c r="M288" t="s">
        <v>1373</v>
      </c>
      <c r="N288" t="s">
        <v>1409</v>
      </c>
      <c r="O288" t="s">
        <v>1410</v>
      </c>
      <c r="P288">
        <v>0.1</v>
      </c>
      <c r="Q288" t="s">
        <v>29</v>
      </c>
      <c r="R288" t="s">
        <v>30</v>
      </c>
    </row>
    <row r="289" spans="1:18" x14ac:dyDescent="0.25">
      <c r="A289">
        <v>2010</v>
      </c>
      <c r="B289">
        <v>10019</v>
      </c>
      <c r="C289" t="s">
        <v>1981</v>
      </c>
      <c r="D289" t="s">
        <v>1982</v>
      </c>
      <c r="E289">
        <v>212323</v>
      </c>
      <c r="F289" t="s">
        <v>1497</v>
      </c>
      <c r="G289" t="s">
        <v>1498</v>
      </c>
      <c r="H289" t="s">
        <v>21</v>
      </c>
      <c r="I289" t="s">
        <v>1487</v>
      </c>
      <c r="J289" t="s">
        <v>1488</v>
      </c>
      <c r="K289" t="s">
        <v>1489</v>
      </c>
      <c r="L289" t="s">
        <v>1372</v>
      </c>
      <c r="M289" t="s">
        <v>1373</v>
      </c>
      <c r="N289" t="s">
        <v>1390</v>
      </c>
      <c r="O289" t="s">
        <v>1391</v>
      </c>
      <c r="P289">
        <v>137.477</v>
      </c>
      <c r="Q289" t="s">
        <v>29</v>
      </c>
      <c r="R289" t="s">
        <v>430</v>
      </c>
    </row>
    <row r="290" spans="1:18" x14ac:dyDescent="0.25">
      <c r="A290">
        <v>2008</v>
      </c>
      <c r="B290">
        <v>17813</v>
      </c>
      <c r="C290" t="s">
        <v>1569</v>
      </c>
      <c r="D290" t="s">
        <v>1983</v>
      </c>
      <c r="E290">
        <v>211113</v>
      </c>
      <c r="F290" t="s">
        <v>425</v>
      </c>
      <c r="G290" t="s">
        <v>426</v>
      </c>
      <c r="H290" t="s">
        <v>243</v>
      </c>
      <c r="I290" t="s">
        <v>1369</v>
      </c>
      <c r="J290" t="s">
        <v>1370</v>
      </c>
      <c r="K290" t="s">
        <v>1371</v>
      </c>
      <c r="L290" t="s">
        <v>1372</v>
      </c>
      <c r="M290" t="s">
        <v>1373</v>
      </c>
      <c r="N290" t="s">
        <v>1374</v>
      </c>
      <c r="O290" t="s">
        <v>1375</v>
      </c>
      <c r="P290">
        <v>1.6160000000000001</v>
      </c>
      <c r="Q290" t="s">
        <v>29</v>
      </c>
      <c r="R290" t="s">
        <v>430</v>
      </c>
    </row>
    <row r="291" spans="1:18" x14ac:dyDescent="0.25">
      <c r="A291">
        <v>2004</v>
      </c>
      <c r="B291">
        <v>10198</v>
      </c>
      <c r="C291" t="s">
        <v>1984</v>
      </c>
      <c r="D291" t="s">
        <v>1985</v>
      </c>
      <c r="E291">
        <v>212315</v>
      </c>
      <c r="F291" t="s">
        <v>1830</v>
      </c>
      <c r="G291" t="s">
        <v>1831</v>
      </c>
      <c r="H291" t="s">
        <v>21</v>
      </c>
      <c r="I291" t="s">
        <v>1421</v>
      </c>
      <c r="J291" t="s">
        <v>1422</v>
      </c>
      <c r="K291" t="s">
        <v>1423</v>
      </c>
      <c r="L291" t="s">
        <v>1372</v>
      </c>
      <c r="M291" t="s">
        <v>1373</v>
      </c>
      <c r="N291" t="s">
        <v>1374</v>
      </c>
      <c r="O291" t="s">
        <v>1375</v>
      </c>
      <c r="P291">
        <v>1.655</v>
      </c>
      <c r="Q291" t="s">
        <v>29</v>
      </c>
      <c r="R291" t="s">
        <v>157</v>
      </c>
    </row>
    <row r="292" spans="1:18" x14ac:dyDescent="0.25">
      <c r="A292">
        <v>2014</v>
      </c>
      <c r="B292">
        <v>2173</v>
      </c>
      <c r="C292" t="s">
        <v>1986</v>
      </c>
      <c r="D292" t="s">
        <v>1987</v>
      </c>
      <c r="E292">
        <v>322122</v>
      </c>
      <c r="F292" t="s">
        <v>1061</v>
      </c>
      <c r="G292" t="s">
        <v>1062</v>
      </c>
      <c r="H292" t="s">
        <v>21</v>
      </c>
      <c r="I292" t="s">
        <v>504</v>
      </c>
      <c r="J292" t="s">
        <v>505</v>
      </c>
      <c r="K292" t="s">
        <v>506</v>
      </c>
      <c r="L292" t="s">
        <v>1378</v>
      </c>
      <c r="M292" t="s">
        <v>1379</v>
      </c>
      <c r="N292" t="s">
        <v>1380</v>
      </c>
      <c r="O292" t="s">
        <v>1381</v>
      </c>
      <c r="P292">
        <v>1.4330000000000001</v>
      </c>
      <c r="Q292" t="s">
        <v>29</v>
      </c>
      <c r="R292" t="s">
        <v>124</v>
      </c>
    </row>
    <row r="293" spans="1:18" x14ac:dyDescent="0.25">
      <c r="A293">
        <v>2000</v>
      </c>
      <c r="B293">
        <v>3292</v>
      </c>
      <c r="C293" t="s">
        <v>1988</v>
      </c>
      <c r="D293" t="s">
        <v>1989</v>
      </c>
      <c r="E293">
        <v>322130</v>
      </c>
      <c r="F293" t="s">
        <v>1645</v>
      </c>
      <c r="G293" t="s">
        <v>1646</v>
      </c>
      <c r="H293" t="s">
        <v>79</v>
      </c>
      <c r="I293" t="s">
        <v>86</v>
      </c>
      <c r="J293" t="s">
        <v>87</v>
      </c>
      <c r="K293" t="s">
        <v>88</v>
      </c>
      <c r="L293" t="s">
        <v>1372</v>
      </c>
      <c r="M293" t="s">
        <v>1373</v>
      </c>
      <c r="N293" t="s">
        <v>1374</v>
      </c>
      <c r="O293" t="s">
        <v>1375</v>
      </c>
      <c r="P293">
        <v>12.9</v>
      </c>
      <c r="Q293" t="s">
        <v>29</v>
      </c>
      <c r="R293" t="s">
        <v>204</v>
      </c>
    </row>
    <row r="294" spans="1:18" x14ac:dyDescent="0.25">
      <c r="A294">
        <v>2022</v>
      </c>
      <c r="B294">
        <v>33007</v>
      </c>
      <c r="C294" t="s">
        <v>1990</v>
      </c>
      <c r="D294" t="s">
        <v>1991</v>
      </c>
      <c r="E294">
        <v>211110</v>
      </c>
      <c r="F294" t="s">
        <v>233</v>
      </c>
      <c r="G294" t="s">
        <v>234</v>
      </c>
      <c r="H294" t="s">
        <v>85</v>
      </c>
      <c r="I294" t="s">
        <v>1457</v>
      </c>
      <c r="J294" t="s">
        <v>1680</v>
      </c>
      <c r="K294" t="s">
        <v>1681</v>
      </c>
      <c r="L294" t="s">
        <v>1372</v>
      </c>
      <c r="M294" t="s">
        <v>1373</v>
      </c>
      <c r="N294" t="s">
        <v>1374</v>
      </c>
      <c r="O294" t="s">
        <v>1375</v>
      </c>
      <c r="P294">
        <v>1.4092</v>
      </c>
      <c r="Q294" t="s">
        <v>29</v>
      </c>
      <c r="R294" t="s">
        <v>430</v>
      </c>
    </row>
    <row r="295" spans="1:18" x14ac:dyDescent="0.25">
      <c r="A295">
        <v>2007</v>
      </c>
      <c r="B295">
        <v>1147</v>
      </c>
      <c r="C295" t="s">
        <v>1992</v>
      </c>
      <c r="D295" t="s">
        <v>1993</v>
      </c>
      <c r="E295">
        <v>212291</v>
      </c>
      <c r="F295" t="s">
        <v>1994</v>
      </c>
      <c r="G295" t="s">
        <v>242</v>
      </c>
      <c r="H295" t="s">
        <v>243</v>
      </c>
      <c r="I295" t="s">
        <v>1421</v>
      </c>
      <c r="J295" t="s">
        <v>1422</v>
      </c>
      <c r="K295" t="s">
        <v>1423</v>
      </c>
      <c r="L295" t="s">
        <v>1372</v>
      </c>
      <c r="M295" t="s">
        <v>1373</v>
      </c>
      <c r="N295" t="s">
        <v>1390</v>
      </c>
      <c r="O295" t="s">
        <v>1391</v>
      </c>
      <c r="P295">
        <v>13.997</v>
      </c>
      <c r="Q295" t="s">
        <v>29</v>
      </c>
      <c r="R295" t="s">
        <v>430</v>
      </c>
    </row>
    <row r="296" spans="1:18" x14ac:dyDescent="0.25">
      <c r="A296">
        <v>2011</v>
      </c>
      <c r="B296">
        <v>16304</v>
      </c>
      <c r="C296" t="s">
        <v>1995</v>
      </c>
      <c r="D296" t="s">
        <v>1996</v>
      </c>
      <c r="E296">
        <v>211113</v>
      </c>
      <c r="F296" t="s">
        <v>425</v>
      </c>
      <c r="G296" t="s">
        <v>426</v>
      </c>
      <c r="H296" t="s">
        <v>85</v>
      </c>
      <c r="I296" t="s">
        <v>1533</v>
      </c>
      <c r="J296" t="s">
        <v>1534</v>
      </c>
      <c r="K296" t="s">
        <v>1535</v>
      </c>
      <c r="L296" t="s">
        <v>1372</v>
      </c>
      <c r="M296" t="s">
        <v>1373</v>
      </c>
      <c r="N296" t="s">
        <v>1374</v>
      </c>
      <c r="O296" t="s">
        <v>1375</v>
      </c>
      <c r="P296">
        <v>22.324999999999999</v>
      </c>
      <c r="Q296" t="s">
        <v>29</v>
      </c>
      <c r="R296" t="s">
        <v>430</v>
      </c>
    </row>
    <row r="297" spans="1:18" x14ac:dyDescent="0.25">
      <c r="A297">
        <v>2014</v>
      </c>
      <c r="B297">
        <v>28159</v>
      </c>
      <c r="C297" t="s">
        <v>1997</v>
      </c>
      <c r="D297" t="s">
        <v>1998</v>
      </c>
      <c r="E297">
        <v>211113</v>
      </c>
      <c r="F297" t="s">
        <v>786</v>
      </c>
      <c r="G297" t="s">
        <v>426</v>
      </c>
      <c r="H297" t="s">
        <v>85</v>
      </c>
      <c r="I297" t="s">
        <v>1441</v>
      </c>
      <c r="J297" t="s">
        <v>1442</v>
      </c>
      <c r="K297" t="s">
        <v>1443</v>
      </c>
      <c r="L297" t="s">
        <v>1372</v>
      </c>
      <c r="M297" t="s">
        <v>1373</v>
      </c>
      <c r="N297" t="s">
        <v>1374</v>
      </c>
      <c r="O297" t="s">
        <v>1375</v>
      </c>
      <c r="P297">
        <v>21.498999999999999</v>
      </c>
      <c r="Q297" t="s">
        <v>29</v>
      </c>
      <c r="R297" t="s">
        <v>430</v>
      </c>
    </row>
    <row r="298" spans="1:18" x14ac:dyDescent="0.25">
      <c r="A298">
        <v>2013</v>
      </c>
      <c r="B298">
        <v>26545</v>
      </c>
      <c r="C298" t="s">
        <v>1999</v>
      </c>
      <c r="D298" t="s">
        <v>2000</v>
      </c>
      <c r="E298">
        <v>211113</v>
      </c>
      <c r="F298" t="s">
        <v>786</v>
      </c>
      <c r="G298" t="s">
        <v>426</v>
      </c>
      <c r="H298" t="s">
        <v>243</v>
      </c>
      <c r="I298" t="s">
        <v>1369</v>
      </c>
      <c r="J298" t="s">
        <v>1370</v>
      </c>
      <c r="K298" t="s">
        <v>1371</v>
      </c>
      <c r="L298" t="s">
        <v>1372</v>
      </c>
      <c r="M298" t="s">
        <v>1373</v>
      </c>
      <c r="N298" t="s">
        <v>1374</v>
      </c>
      <c r="O298" t="s">
        <v>1375</v>
      </c>
      <c r="P298">
        <v>10.916</v>
      </c>
      <c r="Q298" t="s">
        <v>29</v>
      </c>
      <c r="R298" t="s">
        <v>430</v>
      </c>
    </row>
    <row r="299" spans="1:18" x14ac:dyDescent="0.25">
      <c r="A299">
        <v>2015</v>
      </c>
      <c r="B299">
        <v>11514</v>
      </c>
      <c r="C299" t="s">
        <v>2001</v>
      </c>
      <c r="D299" t="s">
        <v>2002</v>
      </c>
      <c r="E299">
        <v>212232</v>
      </c>
      <c r="F299" t="s">
        <v>2003</v>
      </c>
      <c r="G299" t="s">
        <v>2004</v>
      </c>
      <c r="H299" t="s">
        <v>21</v>
      </c>
      <c r="I299" t="s">
        <v>184</v>
      </c>
      <c r="J299" t="s">
        <v>185</v>
      </c>
      <c r="K299" t="s">
        <v>186</v>
      </c>
      <c r="L299" t="s">
        <v>1372</v>
      </c>
      <c r="M299" t="s">
        <v>1373</v>
      </c>
      <c r="N299" t="s">
        <v>1374</v>
      </c>
      <c r="O299" t="s">
        <v>1375</v>
      </c>
      <c r="P299">
        <v>1E-4</v>
      </c>
      <c r="Q299" t="s">
        <v>29</v>
      </c>
      <c r="R299" t="s">
        <v>50</v>
      </c>
    </row>
    <row r="300" spans="1:18" x14ac:dyDescent="0.25">
      <c r="A300">
        <v>2023</v>
      </c>
      <c r="B300">
        <v>4097</v>
      </c>
      <c r="C300" t="s">
        <v>2005</v>
      </c>
      <c r="D300" t="s">
        <v>2006</v>
      </c>
      <c r="E300">
        <v>325189</v>
      </c>
      <c r="F300" t="s">
        <v>1660</v>
      </c>
      <c r="G300" t="s">
        <v>1291</v>
      </c>
      <c r="H300" t="s">
        <v>54</v>
      </c>
      <c r="I300" t="s">
        <v>1708</v>
      </c>
      <c r="J300" t="s">
        <v>1709</v>
      </c>
      <c r="K300" t="s">
        <v>1710</v>
      </c>
      <c r="L300" t="s">
        <v>1372</v>
      </c>
      <c r="M300" t="s">
        <v>1373</v>
      </c>
      <c r="N300" t="s">
        <v>1409</v>
      </c>
      <c r="O300" t="s">
        <v>1410</v>
      </c>
      <c r="P300">
        <v>0.372</v>
      </c>
      <c r="Q300" t="s">
        <v>29</v>
      </c>
      <c r="R300" t="s">
        <v>430</v>
      </c>
    </row>
    <row r="301" spans="1:18" x14ac:dyDescent="0.25">
      <c r="A301">
        <v>2007</v>
      </c>
      <c r="B301">
        <v>15014</v>
      </c>
      <c r="C301" t="s">
        <v>2007</v>
      </c>
      <c r="D301" t="s">
        <v>2008</v>
      </c>
      <c r="E301">
        <v>324121</v>
      </c>
      <c r="F301" t="s">
        <v>2009</v>
      </c>
      <c r="G301" t="s">
        <v>1541</v>
      </c>
      <c r="H301" t="s">
        <v>69</v>
      </c>
      <c r="I301" t="s">
        <v>1369</v>
      </c>
      <c r="J301" t="s">
        <v>1370</v>
      </c>
      <c r="K301" t="s">
        <v>1371</v>
      </c>
      <c r="L301" t="s">
        <v>1372</v>
      </c>
      <c r="M301" t="s">
        <v>1373</v>
      </c>
      <c r="N301" t="s">
        <v>1374</v>
      </c>
      <c r="O301" t="s">
        <v>1375</v>
      </c>
      <c r="P301">
        <v>1.4E-2</v>
      </c>
      <c r="Q301" t="s">
        <v>29</v>
      </c>
      <c r="R301" t="s">
        <v>430</v>
      </c>
    </row>
    <row r="302" spans="1:18" x14ac:dyDescent="0.25">
      <c r="A302">
        <v>2003</v>
      </c>
      <c r="B302">
        <v>4905</v>
      </c>
      <c r="C302" t="s">
        <v>2010</v>
      </c>
      <c r="D302" t="s">
        <v>933</v>
      </c>
      <c r="E302">
        <v>335920</v>
      </c>
      <c r="F302" t="s">
        <v>566</v>
      </c>
      <c r="G302" t="s">
        <v>567</v>
      </c>
      <c r="H302" t="s">
        <v>79</v>
      </c>
      <c r="I302" t="s">
        <v>152</v>
      </c>
      <c r="J302" t="s">
        <v>153</v>
      </c>
      <c r="K302" t="s">
        <v>154</v>
      </c>
      <c r="L302" t="s">
        <v>1361</v>
      </c>
      <c r="M302" t="s">
        <v>1362</v>
      </c>
      <c r="N302" t="s">
        <v>1363</v>
      </c>
      <c r="O302" t="s">
        <v>1364</v>
      </c>
      <c r="P302">
        <v>1E-3</v>
      </c>
      <c r="Q302" t="s">
        <v>29</v>
      </c>
      <c r="R302" t="s">
        <v>30</v>
      </c>
    </row>
    <row r="303" spans="1:18" x14ac:dyDescent="0.25">
      <c r="A303">
        <v>2014</v>
      </c>
      <c r="B303">
        <v>5474</v>
      </c>
      <c r="C303" t="s">
        <v>2011</v>
      </c>
      <c r="D303" t="s">
        <v>2012</v>
      </c>
      <c r="E303">
        <v>327310</v>
      </c>
      <c r="F303" t="s">
        <v>1388</v>
      </c>
      <c r="G303" t="s">
        <v>1389</v>
      </c>
      <c r="H303" t="s">
        <v>79</v>
      </c>
      <c r="I303" t="s">
        <v>324</v>
      </c>
      <c r="J303" t="s">
        <v>325</v>
      </c>
      <c r="K303" t="s">
        <v>326</v>
      </c>
      <c r="L303" t="s">
        <v>1378</v>
      </c>
      <c r="M303" t="s">
        <v>1379</v>
      </c>
      <c r="N303" t="s">
        <v>1380</v>
      </c>
      <c r="O303" t="s">
        <v>1381</v>
      </c>
      <c r="P303">
        <v>3.5999999999999999E-3</v>
      </c>
      <c r="Q303" t="s">
        <v>40</v>
      </c>
      <c r="R303" t="s">
        <v>124</v>
      </c>
    </row>
    <row r="304" spans="1:18" x14ac:dyDescent="0.25">
      <c r="A304">
        <v>2007</v>
      </c>
      <c r="B304">
        <v>3807</v>
      </c>
      <c r="C304" t="s">
        <v>2013</v>
      </c>
      <c r="D304" t="s">
        <v>2014</v>
      </c>
      <c r="E304">
        <v>325313</v>
      </c>
      <c r="F304" t="s">
        <v>1585</v>
      </c>
      <c r="G304" t="s">
        <v>1055</v>
      </c>
      <c r="H304" t="s">
        <v>21</v>
      </c>
      <c r="I304" t="s">
        <v>504</v>
      </c>
      <c r="J304" t="s">
        <v>505</v>
      </c>
      <c r="K304" t="s">
        <v>506</v>
      </c>
      <c r="L304" t="s">
        <v>1372</v>
      </c>
      <c r="M304" t="s">
        <v>1373</v>
      </c>
      <c r="N304" t="s">
        <v>1374</v>
      </c>
      <c r="O304" t="s">
        <v>1375</v>
      </c>
      <c r="P304">
        <v>914.86</v>
      </c>
      <c r="Q304" t="s">
        <v>29</v>
      </c>
      <c r="R304" t="s">
        <v>124</v>
      </c>
    </row>
    <row r="305" spans="1:18" x14ac:dyDescent="0.25">
      <c r="A305">
        <v>2013</v>
      </c>
      <c r="B305">
        <v>2334</v>
      </c>
      <c r="C305" t="s">
        <v>2015</v>
      </c>
      <c r="D305" t="s">
        <v>2016</v>
      </c>
      <c r="E305">
        <v>418410</v>
      </c>
      <c r="F305" t="s">
        <v>433</v>
      </c>
      <c r="G305" t="s">
        <v>434</v>
      </c>
      <c r="H305" t="s">
        <v>79</v>
      </c>
      <c r="I305" t="s">
        <v>70</v>
      </c>
      <c r="J305" t="s">
        <v>71</v>
      </c>
      <c r="K305" t="s">
        <v>72</v>
      </c>
      <c r="L305" t="s">
        <v>1361</v>
      </c>
      <c r="M305" t="s">
        <v>1362</v>
      </c>
      <c r="N305" t="s">
        <v>1363</v>
      </c>
      <c r="O305" t="s">
        <v>1364</v>
      </c>
      <c r="P305">
        <v>0.19400000000000001</v>
      </c>
      <c r="Q305" t="s">
        <v>29</v>
      </c>
      <c r="R305" t="s">
        <v>30</v>
      </c>
    </row>
    <row r="306" spans="1:18" x14ac:dyDescent="0.25">
      <c r="A306">
        <v>2010</v>
      </c>
      <c r="B306">
        <v>19410</v>
      </c>
      <c r="C306" t="s">
        <v>1027</v>
      </c>
      <c r="D306" t="s">
        <v>2017</v>
      </c>
      <c r="E306">
        <v>211113</v>
      </c>
      <c r="F306" t="s">
        <v>425</v>
      </c>
      <c r="G306" t="s">
        <v>426</v>
      </c>
      <c r="H306" t="s">
        <v>85</v>
      </c>
      <c r="I306" t="s">
        <v>1369</v>
      </c>
      <c r="J306" t="s">
        <v>1370</v>
      </c>
      <c r="K306" t="s">
        <v>1371</v>
      </c>
      <c r="L306" t="s">
        <v>1372</v>
      </c>
      <c r="M306" t="s">
        <v>1373</v>
      </c>
      <c r="N306" t="s">
        <v>1374</v>
      </c>
      <c r="O306" t="s">
        <v>1375</v>
      </c>
      <c r="P306">
        <v>0.60399999999999998</v>
      </c>
      <c r="Q306" t="s">
        <v>29</v>
      </c>
      <c r="R306" t="s">
        <v>430</v>
      </c>
    </row>
    <row r="307" spans="1:18" x14ac:dyDescent="0.25">
      <c r="A307">
        <v>2007</v>
      </c>
      <c r="B307">
        <v>7710</v>
      </c>
      <c r="C307" t="s">
        <v>2018</v>
      </c>
      <c r="D307" t="s">
        <v>2019</v>
      </c>
      <c r="E307">
        <v>321111</v>
      </c>
      <c r="F307" t="s">
        <v>1474</v>
      </c>
      <c r="G307" t="s">
        <v>1368</v>
      </c>
      <c r="H307" t="s">
        <v>69</v>
      </c>
      <c r="I307" t="s">
        <v>1441</v>
      </c>
      <c r="J307" t="s">
        <v>1442</v>
      </c>
      <c r="K307" t="s">
        <v>1443</v>
      </c>
      <c r="L307" t="s">
        <v>1372</v>
      </c>
      <c r="M307" t="s">
        <v>1373</v>
      </c>
      <c r="N307" t="s">
        <v>1374</v>
      </c>
      <c r="O307" t="s">
        <v>1375</v>
      </c>
      <c r="P307">
        <v>7804.27</v>
      </c>
      <c r="Q307" t="s">
        <v>29</v>
      </c>
      <c r="R307" t="s">
        <v>430</v>
      </c>
    </row>
    <row r="308" spans="1:18" x14ac:dyDescent="0.25">
      <c r="A308">
        <v>2005</v>
      </c>
      <c r="B308">
        <v>4</v>
      </c>
      <c r="C308" t="s">
        <v>2020</v>
      </c>
      <c r="D308" t="s">
        <v>2021</v>
      </c>
      <c r="E308">
        <v>322122</v>
      </c>
      <c r="F308" t="s">
        <v>1556</v>
      </c>
      <c r="G308" t="s">
        <v>1062</v>
      </c>
      <c r="H308" t="s">
        <v>54</v>
      </c>
      <c r="I308" t="s">
        <v>136</v>
      </c>
      <c r="J308" t="s">
        <v>137</v>
      </c>
      <c r="K308" t="s">
        <v>138</v>
      </c>
      <c r="L308" t="s">
        <v>1378</v>
      </c>
      <c r="M308" t="s">
        <v>1379</v>
      </c>
      <c r="N308" t="s">
        <v>1380</v>
      </c>
      <c r="O308" t="s">
        <v>1381</v>
      </c>
      <c r="P308">
        <v>3.07</v>
      </c>
      <c r="Q308" t="s">
        <v>29</v>
      </c>
      <c r="R308" t="s">
        <v>124</v>
      </c>
    </row>
    <row r="309" spans="1:18" x14ac:dyDescent="0.25">
      <c r="A309">
        <v>2018</v>
      </c>
      <c r="B309">
        <v>15716</v>
      </c>
      <c r="C309" t="s">
        <v>1027</v>
      </c>
      <c r="D309" t="s">
        <v>2022</v>
      </c>
      <c r="E309">
        <v>211110</v>
      </c>
      <c r="F309" t="s">
        <v>233</v>
      </c>
      <c r="G309" t="s">
        <v>234</v>
      </c>
      <c r="H309" t="s">
        <v>69</v>
      </c>
      <c r="I309" t="s">
        <v>1487</v>
      </c>
      <c r="J309" t="s">
        <v>1488</v>
      </c>
      <c r="K309" t="s">
        <v>1489</v>
      </c>
      <c r="L309" t="s">
        <v>1372</v>
      </c>
      <c r="M309" t="s">
        <v>1373</v>
      </c>
      <c r="N309" t="s">
        <v>1374</v>
      </c>
      <c r="O309" t="s">
        <v>1375</v>
      </c>
      <c r="P309">
        <v>0.128</v>
      </c>
      <c r="Q309" t="s">
        <v>29</v>
      </c>
      <c r="R309" t="s">
        <v>430</v>
      </c>
    </row>
    <row r="310" spans="1:18" x14ac:dyDescent="0.25">
      <c r="A310">
        <v>2014</v>
      </c>
      <c r="B310">
        <v>28717</v>
      </c>
      <c r="C310" t="s">
        <v>2023</v>
      </c>
      <c r="D310" t="s">
        <v>2024</v>
      </c>
      <c r="E310">
        <v>211113</v>
      </c>
      <c r="F310" t="s">
        <v>786</v>
      </c>
      <c r="G310" t="s">
        <v>426</v>
      </c>
      <c r="H310" t="s">
        <v>69</v>
      </c>
      <c r="I310" t="s">
        <v>1441</v>
      </c>
      <c r="J310" t="s">
        <v>1442</v>
      </c>
      <c r="K310" t="s">
        <v>1443</v>
      </c>
      <c r="L310" t="s">
        <v>1372</v>
      </c>
      <c r="M310" t="s">
        <v>1373</v>
      </c>
      <c r="N310" t="s">
        <v>1374</v>
      </c>
      <c r="O310" t="s">
        <v>1375</v>
      </c>
      <c r="P310">
        <v>44.871000000000002</v>
      </c>
      <c r="Q310" t="s">
        <v>29</v>
      </c>
      <c r="R310" t="s">
        <v>430</v>
      </c>
    </row>
    <row r="311" spans="1:18" x14ac:dyDescent="0.25">
      <c r="A311">
        <v>2015</v>
      </c>
      <c r="B311">
        <v>4743</v>
      </c>
      <c r="C311" t="s">
        <v>1446</v>
      </c>
      <c r="D311" t="s">
        <v>1447</v>
      </c>
      <c r="E311">
        <v>221320</v>
      </c>
      <c r="F311" t="s">
        <v>146</v>
      </c>
      <c r="G311" t="s">
        <v>147</v>
      </c>
      <c r="H311" t="s">
        <v>21</v>
      </c>
      <c r="I311" t="s">
        <v>106</v>
      </c>
      <c r="J311" t="s">
        <v>107</v>
      </c>
      <c r="K311" t="s">
        <v>108</v>
      </c>
      <c r="L311" t="s">
        <v>1372</v>
      </c>
      <c r="M311" t="s">
        <v>1373</v>
      </c>
      <c r="N311" t="s">
        <v>1374</v>
      </c>
      <c r="O311" t="s">
        <v>1375</v>
      </c>
      <c r="P311">
        <v>4.6260000000000003</v>
      </c>
      <c r="Q311" t="s">
        <v>40</v>
      </c>
      <c r="R311" t="s">
        <v>124</v>
      </c>
    </row>
    <row r="312" spans="1:18" x14ac:dyDescent="0.25">
      <c r="A312">
        <v>2020</v>
      </c>
      <c r="B312">
        <v>28320</v>
      </c>
      <c r="C312" t="s">
        <v>1027</v>
      </c>
      <c r="D312" t="s">
        <v>2025</v>
      </c>
      <c r="E312">
        <v>211110</v>
      </c>
      <c r="F312" t="s">
        <v>233</v>
      </c>
      <c r="G312" t="s">
        <v>234</v>
      </c>
      <c r="H312" t="s">
        <v>85</v>
      </c>
      <c r="I312" t="s">
        <v>1487</v>
      </c>
      <c r="J312" t="s">
        <v>1488</v>
      </c>
      <c r="K312" t="s">
        <v>1489</v>
      </c>
      <c r="L312" t="s">
        <v>1372</v>
      </c>
      <c r="M312" t="s">
        <v>1373</v>
      </c>
      <c r="N312" t="s">
        <v>1374</v>
      </c>
      <c r="O312" t="s">
        <v>1375</v>
      </c>
      <c r="P312">
        <v>0.41</v>
      </c>
      <c r="Q312" t="s">
        <v>29</v>
      </c>
      <c r="R312" t="s">
        <v>430</v>
      </c>
    </row>
    <row r="313" spans="1:18" x14ac:dyDescent="0.25">
      <c r="A313">
        <v>2003</v>
      </c>
      <c r="B313">
        <v>16656</v>
      </c>
      <c r="C313" t="s">
        <v>1439</v>
      </c>
      <c r="D313" t="s">
        <v>2026</v>
      </c>
      <c r="E313">
        <v>211113</v>
      </c>
      <c r="F313" t="s">
        <v>425</v>
      </c>
      <c r="G313" t="s">
        <v>426</v>
      </c>
      <c r="H313" t="s">
        <v>85</v>
      </c>
      <c r="I313" t="s">
        <v>1421</v>
      </c>
      <c r="J313" t="s">
        <v>1422</v>
      </c>
      <c r="K313" t="s">
        <v>1423</v>
      </c>
      <c r="L313" t="s">
        <v>1372</v>
      </c>
      <c r="M313" t="s">
        <v>1373</v>
      </c>
      <c r="N313" t="s">
        <v>1374</v>
      </c>
      <c r="O313" t="s">
        <v>1375</v>
      </c>
      <c r="P313">
        <v>1.21</v>
      </c>
      <c r="Q313" t="s">
        <v>29</v>
      </c>
      <c r="R313" t="s">
        <v>430</v>
      </c>
    </row>
    <row r="314" spans="1:18" x14ac:dyDescent="0.25">
      <c r="A314">
        <v>2014</v>
      </c>
      <c r="B314">
        <v>27853</v>
      </c>
      <c r="C314" t="s">
        <v>2027</v>
      </c>
      <c r="D314" t="s">
        <v>2028</v>
      </c>
      <c r="E314">
        <v>331313</v>
      </c>
      <c r="F314" t="s">
        <v>1405</v>
      </c>
      <c r="G314" t="s">
        <v>1132</v>
      </c>
      <c r="H314" t="s">
        <v>79</v>
      </c>
      <c r="I314" t="s">
        <v>1413</v>
      </c>
      <c r="J314" t="s">
        <v>1414</v>
      </c>
      <c r="K314" t="s">
        <v>1415</v>
      </c>
      <c r="L314" t="s">
        <v>1372</v>
      </c>
      <c r="M314" t="s">
        <v>1373</v>
      </c>
      <c r="N314" t="s">
        <v>1374</v>
      </c>
      <c r="O314" t="s">
        <v>1375</v>
      </c>
      <c r="P314">
        <v>716.99199999999996</v>
      </c>
      <c r="Q314" t="s">
        <v>29</v>
      </c>
      <c r="R314" t="s">
        <v>50</v>
      </c>
    </row>
    <row r="315" spans="1:18" x14ac:dyDescent="0.25">
      <c r="A315">
        <v>2023</v>
      </c>
      <c r="B315">
        <v>28540</v>
      </c>
      <c r="C315" t="s">
        <v>2029</v>
      </c>
      <c r="D315" t="s">
        <v>2030</v>
      </c>
      <c r="E315">
        <v>321211</v>
      </c>
      <c r="F315" t="s">
        <v>2031</v>
      </c>
      <c r="G315" t="s">
        <v>2032</v>
      </c>
      <c r="H315" t="s">
        <v>79</v>
      </c>
      <c r="I315" t="s">
        <v>1421</v>
      </c>
      <c r="J315" t="s">
        <v>1422</v>
      </c>
      <c r="K315" t="s">
        <v>1423</v>
      </c>
      <c r="L315" t="s">
        <v>1372</v>
      </c>
      <c r="M315" t="s">
        <v>1373</v>
      </c>
      <c r="N315" t="s">
        <v>1374</v>
      </c>
      <c r="O315" t="s">
        <v>1375</v>
      </c>
      <c r="P315">
        <v>0.15</v>
      </c>
      <c r="Q315" t="s">
        <v>29</v>
      </c>
      <c r="R315" t="s">
        <v>430</v>
      </c>
    </row>
    <row r="316" spans="1:18" x14ac:dyDescent="0.25">
      <c r="A316">
        <v>2018</v>
      </c>
      <c r="B316">
        <v>5366</v>
      </c>
      <c r="C316" t="s">
        <v>2033</v>
      </c>
      <c r="D316" t="s">
        <v>2034</v>
      </c>
      <c r="E316">
        <v>321111</v>
      </c>
      <c r="F316" t="s">
        <v>1367</v>
      </c>
      <c r="G316" t="s">
        <v>1368</v>
      </c>
      <c r="H316" t="s">
        <v>85</v>
      </c>
      <c r="I316" t="s">
        <v>1441</v>
      </c>
      <c r="J316" t="s">
        <v>1442</v>
      </c>
      <c r="K316" t="s">
        <v>1443</v>
      </c>
      <c r="L316" t="s">
        <v>1372</v>
      </c>
      <c r="M316" t="s">
        <v>1373</v>
      </c>
      <c r="N316" t="s">
        <v>1374</v>
      </c>
      <c r="O316" t="s">
        <v>1375</v>
      </c>
      <c r="P316">
        <v>247.8</v>
      </c>
      <c r="Q316" t="s">
        <v>29</v>
      </c>
      <c r="R316" t="s">
        <v>430</v>
      </c>
    </row>
    <row r="317" spans="1:18" x14ac:dyDescent="0.25">
      <c r="A317">
        <v>2012</v>
      </c>
      <c r="B317">
        <v>3927</v>
      </c>
      <c r="C317" t="s">
        <v>2035</v>
      </c>
      <c r="D317" t="s">
        <v>2036</v>
      </c>
      <c r="E317">
        <v>336390</v>
      </c>
      <c r="F317" t="s">
        <v>182</v>
      </c>
      <c r="G317" t="s">
        <v>61</v>
      </c>
      <c r="H317" t="s">
        <v>21</v>
      </c>
      <c r="I317" t="s">
        <v>177</v>
      </c>
      <c r="J317" t="s">
        <v>178</v>
      </c>
      <c r="K317" t="s">
        <v>179</v>
      </c>
      <c r="L317" t="s">
        <v>1372</v>
      </c>
      <c r="M317" t="s">
        <v>1373</v>
      </c>
      <c r="N317" t="s">
        <v>1374</v>
      </c>
      <c r="O317" t="s">
        <v>1375</v>
      </c>
      <c r="P317">
        <v>4.1000000000000002E-2</v>
      </c>
      <c r="Q317" t="s">
        <v>29</v>
      </c>
      <c r="R317" t="s">
        <v>30</v>
      </c>
    </row>
    <row r="318" spans="1:18" x14ac:dyDescent="0.25">
      <c r="A318">
        <v>2016</v>
      </c>
      <c r="B318">
        <v>28047</v>
      </c>
      <c r="C318" t="s">
        <v>1779</v>
      </c>
      <c r="D318" t="s">
        <v>2037</v>
      </c>
      <c r="E318">
        <v>211113</v>
      </c>
      <c r="F318" t="s">
        <v>786</v>
      </c>
      <c r="G318" t="s">
        <v>426</v>
      </c>
      <c r="H318" t="s">
        <v>85</v>
      </c>
      <c r="I318" t="s">
        <v>1369</v>
      </c>
      <c r="J318" t="s">
        <v>1370</v>
      </c>
      <c r="K318" t="s">
        <v>1371</v>
      </c>
      <c r="L318" t="s">
        <v>1372</v>
      </c>
      <c r="M318" t="s">
        <v>1373</v>
      </c>
      <c r="N318" t="s">
        <v>1374</v>
      </c>
      <c r="O318" t="s">
        <v>1375</v>
      </c>
      <c r="P318">
        <v>1.1758999999999999</v>
      </c>
      <c r="Q318" t="s">
        <v>29</v>
      </c>
      <c r="R318" t="s">
        <v>30</v>
      </c>
    </row>
    <row r="319" spans="1:18" x14ac:dyDescent="0.25">
      <c r="A319">
        <v>2019</v>
      </c>
      <c r="B319">
        <v>28716</v>
      </c>
      <c r="C319" t="s">
        <v>1027</v>
      </c>
      <c r="D319" t="s">
        <v>2038</v>
      </c>
      <c r="E319">
        <v>211110</v>
      </c>
      <c r="F319" t="s">
        <v>233</v>
      </c>
      <c r="G319" t="s">
        <v>234</v>
      </c>
      <c r="H319" t="s">
        <v>85</v>
      </c>
      <c r="I319" t="s">
        <v>1487</v>
      </c>
      <c r="J319" t="s">
        <v>1488</v>
      </c>
      <c r="K319" t="s">
        <v>1489</v>
      </c>
      <c r="L319" t="s">
        <v>1372</v>
      </c>
      <c r="M319" t="s">
        <v>1373</v>
      </c>
      <c r="N319" t="s">
        <v>1374</v>
      </c>
      <c r="O319" t="s">
        <v>1375</v>
      </c>
      <c r="P319">
        <v>0.35299999999999998</v>
      </c>
      <c r="Q319" t="s">
        <v>29</v>
      </c>
      <c r="R319" t="s">
        <v>430</v>
      </c>
    </row>
    <row r="320" spans="1:18" x14ac:dyDescent="0.25">
      <c r="A320">
        <v>2012</v>
      </c>
      <c r="B320">
        <v>15437</v>
      </c>
      <c r="C320" t="s">
        <v>2039</v>
      </c>
      <c r="D320" t="s">
        <v>2040</v>
      </c>
      <c r="E320">
        <v>221210</v>
      </c>
      <c r="F320" t="s">
        <v>2041</v>
      </c>
      <c r="G320" t="s">
        <v>2042</v>
      </c>
      <c r="H320" t="s">
        <v>85</v>
      </c>
      <c r="I320" t="s">
        <v>1457</v>
      </c>
      <c r="J320" t="s">
        <v>1458</v>
      </c>
      <c r="K320" t="s">
        <v>1459</v>
      </c>
      <c r="L320" t="s">
        <v>1372</v>
      </c>
      <c r="M320" t="s">
        <v>1373</v>
      </c>
      <c r="N320" t="s">
        <v>1374</v>
      </c>
      <c r="O320" t="s">
        <v>1375</v>
      </c>
      <c r="P320">
        <v>7.548</v>
      </c>
      <c r="Q320" t="s">
        <v>29</v>
      </c>
      <c r="R320" t="s">
        <v>430</v>
      </c>
    </row>
    <row r="321" spans="1:18" x14ac:dyDescent="0.25">
      <c r="A321">
        <v>2022</v>
      </c>
      <c r="B321">
        <v>18480</v>
      </c>
      <c r="C321" t="s">
        <v>2043</v>
      </c>
      <c r="D321" t="s">
        <v>2044</v>
      </c>
      <c r="E321">
        <v>211110</v>
      </c>
      <c r="F321" t="s">
        <v>233</v>
      </c>
      <c r="G321" t="s">
        <v>234</v>
      </c>
      <c r="H321" t="s">
        <v>85</v>
      </c>
      <c r="I321" t="s">
        <v>1457</v>
      </c>
      <c r="J321" t="s">
        <v>1680</v>
      </c>
      <c r="K321" t="s">
        <v>1681</v>
      </c>
      <c r="L321" t="s">
        <v>1372</v>
      </c>
      <c r="M321" t="s">
        <v>1373</v>
      </c>
      <c r="N321" t="s">
        <v>1374</v>
      </c>
      <c r="O321" t="s">
        <v>1375</v>
      </c>
      <c r="P321">
        <v>0.31330000000000002</v>
      </c>
      <c r="Q321" t="s">
        <v>29</v>
      </c>
      <c r="R321" t="s">
        <v>430</v>
      </c>
    </row>
    <row r="322" spans="1:18" x14ac:dyDescent="0.25">
      <c r="A322">
        <v>2021</v>
      </c>
      <c r="B322">
        <v>5513</v>
      </c>
      <c r="C322" t="s">
        <v>2045</v>
      </c>
      <c r="D322" t="s">
        <v>2046</v>
      </c>
      <c r="E322">
        <v>321211</v>
      </c>
      <c r="F322" t="s">
        <v>2031</v>
      </c>
      <c r="G322" t="s">
        <v>2032</v>
      </c>
      <c r="H322" t="s">
        <v>79</v>
      </c>
      <c r="I322" t="s">
        <v>1421</v>
      </c>
      <c r="J322" t="s">
        <v>1422</v>
      </c>
      <c r="K322" t="s">
        <v>1423</v>
      </c>
      <c r="L322" t="s">
        <v>1372</v>
      </c>
      <c r="M322" t="s">
        <v>1373</v>
      </c>
      <c r="N322" t="s">
        <v>1409</v>
      </c>
      <c r="O322" t="s">
        <v>1410</v>
      </c>
      <c r="P322">
        <v>0.74</v>
      </c>
      <c r="Q322" t="s">
        <v>29</v>
      </c>
      <c r="R322" t="s">
        <v>157</v>
      </c>
    </row>
    <row r="323" spans="1:18" x14ac:dyDescent="0.25">
      <c r="A323">
        <v>2003</v>
      </c>
      <c r="B323">
        <v>1162</v>
      </c>
      <c r="C323" t="s">
        <v>2047</v>
      </c>
      <c r="D323" t="s">
        <v>1315</v>
      </c>
      <c r="E323">
        <v>325110</v>
      </c>
      <c r="F323" t="s">
        <v>1194</v>
      </c>
      <c r="G323" t="s">
        <v>445</v>
      </c>
      <c r="H323" t="s">
        <v>85</v>
      </c>
      <c r="I323" t="s">
        <v>2048</v>
      </c>
      <c r="J323" t="s">
        <v>2049</v>
      </c>
      <c r="K323" t="s">
        <v>2050</v>
      </c>
      <c r="L323" t="s">
        <v>1372</v>
      </c>
      <c r="M323" t="s">
        <v>1373</v>
      </c>
      <c r="N323" t="s">
        <v>1402</v>
      </c>
      <c r="O323" t="s">
        <v>1403</v>
      </c>
      <c r="P323">
        <v>3.0000000000000001E-3</v>
      </c>
      <c r="Q323" t="s">
        <v>29</v>
      </c>
      <c r="R323" t="s">
        <v>30</v>
      </c>
    </row>
    <row r="324" spans="1:18" x14ac:dyDescent="0.25">
      <c r="A324">
        <v>2020</v>
      </c>
      <c r="B324">
        <v>27944</v>
      </c>
      <c r="C324" t="s">
        <v>1651</v>
      </c>
      <c r="D324" t="s">
        <v>2051</v>
      </c>
      <c r="E324">
        <v>211110</v>
      </c>
      <c r="F324" t="s">
        <v>233</v>
      </c>
      <c r="G324" t="s">
        <v>234</v>
      </c>
      <c r="H324" t="s">
        <v>85</v>
      </c>
      <c r="I324" t="s">
        <v>1369</v>
      </c>
      <c r="J324" t="s">
        <v>1370</v>
      </c>
      <c r="K324" t="s">
        <v>1371</v>
      </c>
      <c r="L324" t="s">
        <v>1372</v>
      </c>
      <c r="M324" t="s">
        <v>1373</v>
      </c>
      <c r="N324" t="s">
        <v>1374</v>
      </c>
      <c r="O324" t="s">
        <v>1375</v>
      </c>
      <c r="P324">
        <v>0.114</v>
      </c>
      <c r="Q324" t="s">
        <v>29</v>
      </c>
      <c r="R324" t="s">
        <v>430</v>
      </c>
    </row>
    <row r="325" spans="1:18" x14ac:dyDescent="0.25">
      <c r="A325">
        <v>2012</v>
      </c>
      <c r="B325">
        <v>10215</v>
      </c>
      <c r="C325" t="s">
        <v>125</v>
      </c>
      <c r="D325" t="s">
        <v>1161</v>
      </c>
      <c r="E325">
        <v>412110</v>
      </c>
      <c r="F325" t="s">
        <v>127</v>
      </c>
      <c r="G325" t="s">
        <v>128</v>
      </c>
      <c r="H325" t="s">
        <v>85</v>
      </c>
      <c r="I325" t="s">
        <v>446</v>
      </c>
      <c r="J325" t="s">
        <v>447</v>
      </c>
      <c r="K325" t="s">
        <v>448</v>
      </c>
      <c r="L325" t="s">
        <v>1372</v>
      </c>
      <c r="M325" t="s">
        <v>1373</v>
      </c>
      <c r="N325" t="s">
        <v>1399</v>
      </c>
      <c r="O325" t="s">
        <v>1400</v>
      </c>
      <c r="P325">
        <v>2.0999999999999999E-3</v>
      </c>
      <c r="Q325" t="s">
        <v>40</v>
      </c>
      <c r="R325" t="s">
        <v>430</v>
      </c>
    </row>
    <row r="326" spans="1:18" x14ac:dyDescent="0.25">
      <c r="A326">
        <v>2001</v>
      </c>
      <c r="B326">
        <v>1785</v>
      </c>
      <c r="C326" t="s">
        <v>413</v>
      </c>
      <c r="D326" t="s">
        <v>2052</v>
      </c>
      <c r="E326">
        <v>325110</v>
      </c>
      <c r="F326" t="s">
        <v>1194</v>
      </c>
      <c r="G326" t="s">
        <v>445</v>
      </c>
      <c r="H326" t="s">
        <v>21</v>
      </c>
      <c r="I326" t="s">
        <v>106</v>
      </c>
      <c r="J326" t="s">
        <v>107</v>
      </c>
      <c r="K326" t="s">
        <v>108</v>
      </c>
      <c r="L326" t="s">
        <v>1372</v>
      </c>
      <c r="M326" t="s">
        <v>1373</v>
      </c>
      <c r="N326" t="s">
        <v>1374</v>
      </c>
      <c r="O326" t="s">
        <v>1375</v>
      </c>
      <c r="P326">
        <v>0.32</v>
      </c>
      <c r="Q326" t="s">
        <v>40</v>
      </c>
      <c r="R326" t="s">
        <v>204</v>
      </c>
    </row>
    <row r="327" spans="1:18" x14ac:dyDescent="0.25">
      <c r="A327">
        <v>2009</v>
      </c>
      <c r="B327">
        <v>2567</v>
      </c>
      <c r="C327" t="s">
        <v>2053</v>
      </c>
      <c r="D327" t="s">
        <v>2054</v>
      </c>
      <c r="E327">
        <v>326150</v>
      </c>
      <c r="F327" t="s">
        <v>640</v>
      </c>
      <c r="G327" t="s">
        <v>641</v>
      </c>
      <c r="H327" t="s">
        <v>21</v>
      </c>
      <c r="I327" t="s">
        <v>1580</v>
      </c>
      <c r="J327" t="s">
        <v>1581</v>
      </c>
      <c r="K327" t="s">
        <v>1582</v>
      </c>
      <c r="L327" t="s">
        <v>1372</v>
      </c>
      <c r="M327" t="s">
        <v>1373</v>
      </c>
      <c r="N327" t="s">
        <v>1520</v>
      </c>
      <c r="O327" t="s">
        <v>1521</v>
      </c>
      <c r="P327">
        <v>3.1E-2</v>
      </c>
      <c r="Q327" t="s">
        <v>29</v>
      </c>
      <c r="R327" t="s">
        <v>50</v>
      </c>
    </row>
    <row r="328" spans="1:18" x14ac:dyDescent="0.25">
      <c r="A328">
        <v>2003</v>
      </c>
      <c r="B328">
        <v>10399</v>
      </c>
      <c r="C328" t="s">
        <v>2055</v>
      </c>
      <c r="D328" t="s">
        <v>2056</v>
      </c>
      <c r="E328">
        <v>562210</v>
      </c>
      <c r="F328" t="s">
        <v>52</v>
      </c>
      <c r="G328" t="s">
        <v>53</v>
      </c>
      <c r="H328" t="s">
        <v>21</v>
      </c>
      <c r="I328" t="s">
        <v>1369</v>
      </c>
      <c r="J328" t="s">
        <v>1370</v>
      </c>
      <c r="K328" t="s">
        <v>1371</v>
      </c>
      <c r="L328" t="s">
        <v>1372</v>
      </c>
      <c r="M328" t="s">
        <v>1373</v>
      </c>
      <c r="N328" t="s">
        <v>1374</v>
      </c>
      <c r="O328" t="s">
        <v>1375</v>
      </c>
      <c r="P328">
        <v>2.1000000000000001E-2</v>
      </c>
      <c r="Q328" t="s">
        <v>29</v>
      </c>
      <c r="R328" t="s">
        <v>430</v>
      </c>
    </row>
    <row r="329" spans="1:18" x14ac:dyDescent="0.25">
      <c r="A329">
        <v>2014</v>
      </c>
      <c r="B329">
        <v>6671</v>
      </c>
      <c r="C329" t="s">
        <v>2057</v>
      </c>
      <c r="D329" t="s">
        <v>2058</v>
      </c>
      <c r="E329">
        <v>212114</v>
      </c>
      <c r="F329" t="s">
        <v>2059</v>
      </c>
      <c r="G329" t="s">
        <v>2060</v>
      </c>
      <c r="H329" t="s">
        <v>69</v>
      </c>
      <c r="I329" t="s">
        <v>1487</v>
      </c>
      <c r="J329" t="s">
        <v>1488</v>
      </c>
      <c r="K329" t="s">
        <v>1489</v>
      </c>
      <c r="L329" t="s">
        <v>1372</v>
      </c>
      <c r="M329" t="s">
        <v>1373</v>
      </c>
      <c r="N329" t="s">
        <v>1390</v>
      </c>
      <c r="O329" t="s">
        <v>1391</v>
      </c>
      <c r="P329">
        <v>2752.05</v>
      </c>
      <c r="Q329" t="s">
        <v>29</v>
      </c>
      <c r="R329" t="s">
        <v>430</v>
      </c>
    </row>
    <row r="330" spans="1:18" x14ac:dyDescent="0.25">
      <c r="A330">
        <v>2022</v>
      </c>
      <c r="B330">
        <v>2855</v>
      </c>
      <c r="C330" t="s">
        <v>726</v>
      </c>
      <c r="D330" t="s">
        <v>727</v>
      </c>
      <c r="E330">
        <v>325181</v>
      </c>
      <c r="F330" t="s">
        <v>728</v>
      </c>
      <c r="G330" t="s">
        <v>729</v>
      </c>
      <c r="H330" t="s">
        <v>79</v>
      </c>
      <c r="I330" t="s">
        <v>1487</v>
      </c>
      <c r="J330" t="s">
        <v>1488</v>
      </c>
      <c r="K330" t="s">
        <v>1489</v>
      </c>
      <c r="L330" t="s">
        <v>1372</v>
      </c>
      <c r="M330" t="s">
        <v>1373</v>
      </c>
      <c r="N330" t="s">
        <v>1374</v>
      </c>
      <c r="O330" t="s">
        <v>1375</v>
      </c>
      <c r="P330">
        <v>4.9349999999999996</v>
      </c>
      <c r="Q330" t="s">
        <v>29</v>
      </c>
      <c r="R330" t="s">
        <v>430</v>
      </c>
    </row>
    <row r="331" spans="1:18" x14ac:dyDescent="0.25">
      <c r="A331">
        <v>2014</v>
      </c>
      <c r="B331">
        <v>2233</v>
      </c>
      <c r="C331" t="s">
        <v>2061</v>
      </c>
      <c r="D331" t="s">
        <v>2062</v>
      </c>
      <c r="E331">
        <v>325313</v>
      </c>
      <c r="F331" t="s">
        <v>1054</v>
      </c>
      <c r="G331" t="s">
        <v>1055</v>
      </c>
      <c r="H331" t="s">
        <v>21</v>
      </c>
      <c r="I331" t="s">
        <v>62</v>
      </c>
      <c r="J331" t="s">
        <v>63</v>
      </c>
      <c r="K331" t="s">
        <v>64</v>
      </c>
      <c r="L331" t="s">
        <v>1372</v>
      </c>
      <c r="M331" t="s">
        <v>1373</v>
      </c>
      <c r="N331" t="s">
        <v>1374</v>
      </c>
      <c r="O331" t="s">
        <v>1375</v>
      </c>
      <c r="P331">
        <v>3.2000000000000002E-3</v>
      </c>
      <c r="Q331" t="s">
        <v>29</v>
      </c>
      <c r="R331" t="s">
        <v>430</v>
      </c>
    </row>
    <row r="332" spans="1:18" x14ac:dyDescent="0.25">
      <c r="A332">
        <v>2009</v>
      </c>
      <c r="B332">
        <v>4808</v>
      </c>
      <c r="C332" t="s">
        <v>1129</v>
      </c>
      <c r="D332" t="s">
        <v>2063</v>
      </c>
      <c r="E332">
        <v>331313</v>
      </c>
      <c r="F332" t="s">
        <v>1131</v>
      </c>
      <c r="G332" t="s">
        <v>1132</v>
      </c>
      <c r="H332" t="s">
        <v>79</v>
      </c>
      <c r="I332" t="s">
        <v>1406</v>
      </c>
      <c r="J332" t="s">
        <v>1407</v>
      </c>
      <c r="K332" t="s">
        <v>1408</v>
      </c>
      <c r="L332" t="s">
        <v>1372</v>
      </c>
      <c r="M332" t="s">
        <v>1373</v>
      </c>
      <c r="N332" t="s">
        <v>1409</v>
      </c>
      <c r="O332" t="s">
        <v>1410</v>
      </c>
      <c r="P332">
        <v>0.36</v>
      </c>
      <c r="Q332" t="s">
        <v>29</v>
      </c>
      <c r="R332" t="s">
        <v>430</v>
      </c>
    </row>
    <row r="333" spans="1:18" x14ac:dyDescent="0.25">
      <c r="A333">
        <v>2021</v>
      </c>
      <c r="B333">
        <v>6924</v>
      </c>
      <c r="C333" t="s">
        <v>2064</v>
      </c>
      <c r="D333" t="s">
        <v>1222</v>
      </c>
      <c r="E333">
        <v>486110</v>
      </c>
      <c r="F333" t="s">
        <v>1616</v>
      </c>
      <c r="G333" t="s">
        <v>541</v>
      </c>
      <c r="H333" t="s">
        <v>243</v>
      </c>
      <c r="I333" t="s">
        <v>491</v>
      </c>
      <c r="J333" t="s">
        <v>492</v>
      </c>
      <c r="K333" t="s">
        <v>492</v>
      </c>
      <c r="L333" t="s">
        <v>1372</v>
      </c>
      <c r="M333" t="s">
        <v>1373</v>
      </c>
      <c r="N333" t="s">
        <v>1520</v>
      </c>
      <c r="O333" t="s">
        <v>1521</v>
      </c>
      <c r="P333">
        <v>7.22E-2</v>
      </c>
      <c r="Q333" t="s">
        <v>29</v>
      </c>
      <c r="R333" t="s">
        <v>30</v>
      </c>
    </row>
    <row r="334" spans="1:18" x14ac:dyDescent="0.25">
      <c r="A334">
        <v>2019</v>
      </c>
      <c r="B334">
        <v>21075</v>
      </c>
      <c r="C334" t="s">
        <v>2065</v>
      </c>
      <c r="D334" t="s">
        <v>2066</v>
      </c>
      <c r="E334">
        <v>237310</v>
      </c>
      <c r="F334" t="s">
        <v>2067</v>
      </c>
      <c r="G334" t="s">
        <v>2068</v>
      </c>
      <c r="H334" t="s">
        <v>85</v>
      </c>
      <c r="I334" t="s">
        <v>1441</v>
      </c>
      <c r="J334" t="s">
        <v>1442</v>
      </c>
      <c r="K334" t="s">
        <v>1443</v>
      </c>
      <c r="L334" t="s">
        <v>1372</v>
      </c>
      <c r="M334" t="s">
        <v>1373</v>
      </c>
      <c r="N334" t="s">
        <v>1399</v>
      </c>
      <c r="O334" t="s">
        <v>1400</v>
      </c>
      <c r="P334">
        <v>8.9999999999999993E-3</v>
      </c>
      <c r="Q334" t="s">
        <v>29</v>
      </c>
      <c r="R334" t="s">
        <v>430</v>
      </c>
    </row>
    <row r="335" spans="1:18" x14ac:dyDescent="0.25">
      <c r="A335">
        <v>2004</v>
      </c>
      <c r="B335">
        <v>7861</v>
      </c>
      <c r="C335" t="s">
        <v>2069</v>
      </c>
      <c r="D335" t="s">
        <v>2070</v>
      </c>
      <c r="E335">
        <v>321212</v>
      </c>
      <c r="F335" t="s">
        <v>2071</v>
      </c>
      <c r="G335" t="s">
        <v>1693</v>
      </c>
      <c r="H335" t="s">
        <v>69</v>
      </c>
      <c r="I335" t="s">
        <v>1413</v>
      </c>
      <c r="J335" t="s">
        <v>1414</v>
      </c>
      <c r="K335" t="s">
        <v>1415</v>
      </c>
      <c r="L335" t="s">
        <v>1372</v>
      </c>
      <c r="M335" t="s">
        <v>1373</v>
      </c>
      <c r="N335" t="s">
        <v>1374</v>
      </c>
      <c r="O335" t="s">
        <v>1375</v>
      </c>
      <c r="P335">
        <v>0.97799999999999998</v>
      </c>
      <c r="Q335" t="s">
        <v>29</v>
      </c>
      <c r="R335" t="s">
        <v>430</v>
      </c>
    </row>
    <row r="336" spans="1:18" x14ac:dyDescent="0.25">
      <c r="A336">
        <v>2008</v>
      </c>
      <c r="B336">
        <v>3928</v>
      </c>
      <c r="C336" t="s">
        <v>1444</v>
      </c>
      <c r="D336" t="s">
        <v>1445</v>
      </c>
      <c r="E336">
        <v>324110</v>
      </c>
      <c r="F336" t="s">
        <v>95</v>
      </c>
      <c r="G336" t="s">
        <v>96</v>
      </c>
      <c r="H336" t="s">
        <v>79</v>
      </c>
      <c r="I336" t="s">
        <v>1421</v>
      </c>
      <c r="J336" t="s">
        <v>1422</v>
      </c>
      <c r="K336" t="s">
        <v>1423</v>
      </c>
      <c r="L336" t="s">
        <v>1372</v>
      </c>
      <c r="M336" t="s">
        <v>1373</v>
      </c>
      <c r="N336" t="s">
        <v>1409</v>
      </c>
      <c r="O336" t="s">
        <v>1410</v>
      </c>
      <c r="P336">
        <v>4.8899999999999997</v>
      </c>
      <c r="Q336" t="s">
        <v>29</v>
      </c>
      <c r="R336" t="s">
        <v>124</v>
      </c>
    </row>
    <row r="337" spans="1:18" x14ac:dyDescent="0.25">
      <c r="A337">
        <v>2002</v>
      </c>
      <c r="B337">
        <v>3653</v>
      </c>
      <c r="C337" t="s">
        <v>2072</v>
      </c>
      <c r="D337" t="s">
        <v>2073</v>
      </c>
      <c r="E337">
        <v>332619</v>
      </c>
      <c r="F337" t="s">
        <v>689</v>
      </c>
      <c r="G337" t="s">
        <v>690</v>
      </c>
      <c r="H337" t="s">
        <v>79</v>
      </c>
      <c r="I337" t="s">
        <v>337</v>
      </c>
      <c r="J337" t="s">
        <v>338</v>
      </c>
      <c r="K337" t="s">
        <v>339</v>
      </c>
      <c r="L337" t="s">
        <v>1372</v>
      </c>
      <c r="M337" t="s">
        <v>1373</v>
      </c>
      <c r="N337" t="s">
        <v>1374</v>
      </c>
      <c r="O337" t="s">
        <v>1375</v>
      </c>
      <c r="P337">
        <v>1.2E-2</v>
      </c>
      <c r="Q337" t="s">
        <v>29</v>
      </c>
      <c r="R337" t="s">
        <v>442</v>
      </c>
    </row>
    <row r="338" spans="1:18" x14ac:dyDescent="0.25">
      <c r="A338">
        <v>2016</v>
      </c>
      <c r="B338">
        <v>27914</v>
      </c>
      <c r="C338" t="s">
        <v>2074</v>
      </c>
      <c r="D338" t="s">
        <v>2075</v>
      </c>
      <c r="E338">
        <v>562210</v>
      </c>
      <c r="F338" t="s">
        <v>84</v>
      </c>
      <c r="G338" t="s">
        <v>53</v>
      </c>
      <c r="H338" t="s">
        <v>69</v>
      </c>
      <c r="I338" t="s">
        <v>1369</v>
      </c>
      <c r="J338" t="s">
        <v>1370</v>
      </c>
      <c r="K338" t="s">
        <v>1371</v>
      </c>
      <c r="L338" t="s">
        <v>1372</v>
      </c>
      <c r="M338" t="s">
        <v>1373</v>
      </c>
      <c r="N338" t="s">
        <v>1390</v>
      </c>
      <c r="O338" t="s">
        <v>1391</v>
      </c>
      <c r="P338">
        <v>60.64</v>
      </c>
      <c r="Q338" t="s">
        <v>29</v>
      </c>
      <c r="R338" t="s">
        <v>430</v>
      </c>
    </row>
    <row r="339" spans="1:18" x14ac:dyDescent="0.25">
      <c r="A339">
        <v>1996</v>
      </c>
      <c r="B339">
        <v>3385</v>
      </c>
      <c r="C339" t="s">
        <v>2076</v>
      </c>
      <c r="D339" t="s">
        <v>2077</v>
      </c>
      <c r="E339">
        <v>212233</v>
      </c>
      <c r="F339" t="s">
        <v>440</v>
      </c>
      <c r="G339" t="s">
        <v>441</v>
      </c>
      <c r="H339" t="s">
        <v>79</v>
      </c>
      <c r="I339" t="s">
        <v>152</v>
      </c>
      <c r="J339" t="s">
        <v>153</v>
      </c>
      <c r="K339" t="s">
        <v>154</v>
      </c>
      <c r="L339" t="s">
        <v>1378</v>
      </c>
      <c r="M339" t="s">
        <v>1379</v>
      </c>
      <c r="N339" t="s">
        <v>1380</v>
      </c>
      <c r="O339" t="s">
        <v>1381</v>
      </c>
      <c r="P339">
        <v>0.70499999999999996</v>
      </c>
      <c r="Q339" t="s">
        <v>29</v>
      </c>
      <c r="R339" t="s">
        <v>442</v>
      </c>
    </row>
    <row r="340" spans="1:18" x14ac:dyDescent="0.25">
      <c r="A340">
        <v>2022</v>
      </c>
      <c r="B340">
        <v>1779</v>
      </c>
      <c r="C340" t="s">
        <v>1600</v>
      </c>
      <c r="D340" t="s">
        <v>2078</v>
      </c>
      <c r="E340">
        <v>325110</v>
      </c>
      <c r="F340" t="s">
        <v>444</v>
      </c>
      <c r="G340" t="s">
        <v>445</v>
      </c>
      <c r="H340" t="s">
        <v>85</v>
      </c>
      <c r="I340" t="s">
        <v>2079</v>
      </c>
      <c r="J340" t="s">
        <v>2080</v>
      </c>
      <c r="K340" t="s">
        <v>2081</v>
      </c>
      <c r="L340" t="s">
        <v>1372</v>
      </c>
      <c r="M340" t="s">
        <v>1373</v>
      </c>
      <c r="N340" t="s">
        <v>1409</v>
      </c>
      <c r="O340" t="s">
        <v>1410</v>
      </c>
      <c r="P340">
        <v>1.0152000000000001</v>
      </c>
      <c r="Q340" t="s">
        <v>29</v>
      </c>
      <c r="R340" t="s">
        <v>430</v>
      </c>
    </row>
    <row r="341" spans="1:18" x14ac:dyDescent="0.25">
      <c r="A341">
        <v>2008</v>
      </c>
      <c r="B341">
        <v>5236</v>
      </c>
      <c r="C341" t="s">
        <v>2082</v>
      </c>
      <c r="D341" t="s">
        <v>2083</v>
      </c>
      <c r="E341">
        <v>212392</v>
      </c>
      <c r="F341" t="s">
        <v>2084</v>
      </c>
      <c r="G341" t="s">
        <v>2085</v>
      </c>
      <c r="H341" t="s">
        <v>379</v>
      </c>
      <c r="I341" t="s">
        <v>1421</v>
      </c>
      <c r="J341" t="s">
        <v>1422</v>
      </c>
      <c r="K341" t="s">
        <v>1423</v>
      </c>
      <c r="L341" t="s">
        <v>1372</v>
      </c>
      <c r="M341" t="s">
        <v>1373</v>
      </c>
      <c r="N341" t="s">
        <v>1390</v>
      </c>
      <c r="O341" t="s">
        <v>1391</v>
      </c>
      <c r="P341">
        <v>13.75</v>
      </c>
      <c r="Q341" t="s">
        <v>29</v>
      </c>
      <c r="R341" t="s">
        <v>30</v>
      </c>
    </row>
    <row r="342" spans="1:18" x14ac:dyDescent="0.25">
      <c r="A342">
        <v>2022</v>
      </c>
      <c r="B342">
        <v>1748</v>
      </c>
      <c r="C342" t="s">
        <v>2086</v>
      </c>
      <c r="D342" t="s">
        <v>2087</v>
      </c>
      <c r="E342">
        <v>321217</v>
      </c>
      <c r="F342" t="s">
        <v>150</v>
      </c>
      <c r="G342" t="s">
        <v>151</v>
      </c>
      <c r="H342" t="s">
        <v>79</v>
      </c>
      <c r="I342" t="s">
        <v>1487</v>
      </c>
      <c r="J342" t="s">
        <v>1488</v>
      </c>
      <c r="K342" t="s">
        <v>1489</v>
      </c>
      <c r="L342" t="s">
        <v>1372</v>
      </c>
      <c r="M342" t="s">
        <v>1373</v>
      </c>
      <c r="N342" t="s">
        <v>1390</v>
      </c>
      <c r="O342" t="s">
        <v>1391</v>
      </c>
      <c r="P342">
        <v>10.40254</v>
      </c>
      <c r="Q342" t="s">
        <v>29</v>
      </c>
      <c r="R342" t="s">
        <v>430</v>
      </c>
    </row>
    <row r="343" spans="1:18" x14ac:dyDescent="0.25">
      <c r="A343">
        <v>2002</v>
      </c>
      <c r="B343">
        <v>5169</v>
      </c>
      <c r="C343" t="s">
        <v>2018</v>
      </c>
      <c r="D343" t="s">
        <v>2088</v>
      </c>
      <c r="E343">
        <v>321111</v>
      </c>
      <c r="F343" t="s">
        <v>1474</v>
      </c>
      <c r="G343" t="s">
        <v>1368</v>
      </c>
      <c r="H343" t="s">
        <v>69</v>
      </c>
      <c r="I343" t="s">
        <v>1441</v>
      </c>
      <c r="J343" t="s">
        <v>1442</v>
      </c>
      <c r="K343" t="s">
        <v>1443</v>
      </c>
      <c r="L343" t="s">
        <v>1372</v>
      </c>
      <c r="M343" t="s">
        <v>1373</v>
      </c>
      <c r="N343" t="s">
        <v>1374</v>
      </c>
      <c r="O343" t="s">
        <v>1375</v>
      </c>
      <c r="P343">
        <v>0</v>
      </c>
      <c r="Q343" t="s">
        <v>29</v>
      </c>
      <c r="R343" t="s">
        <v>204</v>
      </c>
    </row>
    <row r="344" spans="1:18" x14ac:dyDescent="0.25">
      <c r="A344">
        <v>2023</v>
      </c>
      <c r="B344">
        <v>18453</v>
      </c>
      <c r="C344" t="s">
        <v>1027</v>
      </c>
      <c r="D344" t="s">
        <v>2089</v>
      </c>
      <c r="E344">
        <v>211110</v>
      </c>
      <c r="F344" t="s">
        <v>233</v>
      </c>
      <c r="G344" t="s">
        <v>234</v>
      </c>
      <c r="H344" t="s">
        <v>243</v>
      </c>
      <c r="I344" t="s">
        <v>1457</v>
      </c>
      <c r="J344" t="s">
        <v>1680</v>
      </c>
      <c r="K344" t="s">
        <v>1681</v>
      </c>
      <c r="L344" t="s">
        <v>1372</v>
      </c>
      <c r="M344" t="s">
        <v>1373</v>
      </c>
      <c r="N344" t="s">
        <v>1374</v>
      </c>
      <c r="O344" t="s">
        <v>1375</v>
      </c>
      <c r="P344">
        <v>0.12661</v>
      </c>
      <c r="Q344" t="s">
        <v>29</v>
      </c>
      <c r="R344" t="s">
        <v>430</v>
      </c>
    </row>
    <row r="345" spans="1:18" x14ac:dyDescent="0.25">
      <c r="A345">
        <v>2012</v>
      </c>
      <c r="B345">
        <v>8060</v>
      </c>
      <c r="C345" t="s">
        <v>1043</v>
      </c>
      <c r="D345" t="s">
        <v>1793</v>
      </c>
      <c r="E345">
        <v>211113</v>
      </c>
      <c r="F345" t="s">
        <v>786</v>
      </c>
      <c r="G345" t="s">
        <v>426</v>
      </c>
      <c r="H345" t="s">
        <v>1625</v>
      </c>
      <c r="I345" t="s">
        <v>1457</v>
      </c>
      <c r="J345" t="s">
        <v>1458</v>
      </c>
      <c r="K345" t="s">
        <v>1459</v>
      </c>
      <c r="L345" t="s">
        <v>1372</v>
      </c>
      <c r="M345" t="s">
        <v>1373</v>
      </c>
      <c r="N345" t="s">
        <v>1399</v>
      </c>
      <c r="O345" t="s">
        <v>1400</v>
      </c>
      <c r="P345">
        <v>18.82</v>
      </c>
      <c r="Q345" t="s">
        <v>29</v>
      </c>
      <c r="R345" t="s">
        <v>157</v>
      </c>
    </row>
    <row r="346" spans="1:18" x14ac:dyDescent="0.25">
      <c r="A346">
        <v>2006</v>
      </c>
      <c r="B346">
        <v>3707</v>
      </c>
      <c r="C346" t="s">
        <v>125</v>
      </c>
      <c r="D346" t="s">
        <v>2090</v>
      </c>
      <c r="E346">
        <v>324110</v>
      </c>
      <c r="F346" t="s">
        <v>95</v>
      </c>
      <c r="G346" t="s">
        <v>96</v>
      </c>
      <c r="H346" t="s">
        <v>85</v>
      </c>
      <c r="I346" t="s">
        <v>703</v>
      </c>
      <c r="J346" t="s">
        <v>1127</v>
      </c>
      <c r="K346" t="s">
        <v>1128</v>
      </c>
      <c r="L346" t="s">
        <v>1372</v>
      </c>
      <c r="M346" t="s">
        <v>1373</v>
      </c>
      <c r="N346" t="s">
        <v>1399</v>
      </c>
      <c r="O346" t="s">
        <v>1400</v>
      </c>
      <c r="P346">
        <v>1E-3</v>
      </c>
      <c r="Q346" t="s">
        <v>29</v>
      </c>
      <c r="R346" t="s">
        <v>157</v>
      </c>
    </row>
    <row r="347" spans="1:18" x14ac:dyDescent="0.25">
      <c r="A347">
        <v>1995</v>
      </c>
      <c r="B347">
        <v>793</v>
      </c>
      <c r="C347" t="s">
        <v>1578</v>
      </c>
      <c r="D347" t="s">
        <v>1579</v>
      </c>
      <c r="E347">
        <v>325999</v>
      </c>
      <c r="F347" t="s">
        <v>396</v>
      </c>
      <c r="G347" t="s">
        <v>397</v>
      </c>
      <c r="H347" t="s">
        <v>69</v>
      </c>
      <c r="I347" t="s">
        <v>1123</v>
      </c>
      <c r="J347" t="s">
        <v>1124</v>
      </c>
      <c r="K347" t="s">
        <v>1125</v>
      </c>
      <c r="L347" t="s">
        <v>1361</v>
      </c>
      <c r="M347" t="s">
        <v>1362</v>
      </c>
      <c r="N347" t="s">
        <v>1363</v>
      </c>
      <c r="O347" t="s">
        <v>1364</v>
      </c>
      <c r="P347">
        <v>0.1</v>
      </c>
      <c r="Q347" t="s">
        <v>29</v>
      </c>
      <c r="R347" t="s">
        <v>30</v>
      </c>
    </row>
    <row r="348" spans="1:18" x14ac:dyDescent="0.25">
      <c r="A348">
        <v>2023</v>
      </c>
      <c r="B348">
        <v>800</v>
      </c>
      <c r="C348" t="s">
        <v>1310</v>
      </c>
      <c r="D348" t="s">
        <v>1311</v>
      </c>
      <c r="E348">
        <v>325190</v>
      </c>
      <c r="F348" t="s">
        <v>600</v>
      </c>
      <c r="G348" t="s">
        <v>601</v>
      </c>
      <c r="H348" t="s">
        <v>21</v>
      </c>
      <c r="I348" t="s">
        <v>271</v>
      </c>
      <c r="J348" t="s">
        <v>272</v>
      </c>
      <c r="K348" t="s">
        <v>273</v>
      </c>
      <c r="L348" t="s">
        <v>1372</v>
      </c>
      <c r="M348" t="s">
        <v>1373</v>
      </c>
      <c r="N348" t="s">
        <v>1374</v>
      </c>
      <c r="O348" t="s">
        <v>1375</v>
      </c>
      <c r="P348">
        <v>0.37630000000000002</v>
      </c>
      <c r="Q348" t="s">
        <v>29</v>
      </c>
      <c r="R348" t="s">
        <v>30</v>
      </c>
    </row>
    <row r="349" spans="1:18" x14ac:dyDescent="0.25">
      <c r="A349">
        <v>2011</v>
      </c>
      <c r="B349">
        <v>3707</v>
      </c>
      <c r="C349" t="s">
        <v>194</v>
      </c>
      <c r="D349" t="s">
        <v>195</v>
      </c>
      <c r="E349">
        <v>324110</v>
      </c>
      <c r="F349" t="s">
        <v>95</v>
      </c>
      <c r="G349" t="s">
        <v>96</v>
      </c>
      <c r="H349" t="s">
        <v>85</v>
      </c>
      <c r="I349" t="s">
        <v>469</v>
      </c>
      <c r="J349" t="s">
        <v>470</v>
      </c>
      <c r="K349" t="s">
        <v>471</v>
      </c>
      <c r="L349" t="s">
        <v>1372</v>
      </c>
      <c r="M349" t="s">
        <v>1373</v>
      </c>
      <c r="N349" t="s">
        <v>1399</v>
      </c>
      <c r="O349" t="s">
        <v>1400</v>
      </c>
      <c r="P349">
        <v>0.03</v>
      </c>
      <c r="Q349" t="s">
        <v>40</v>
      </c>
      <c r="R349" t="s">
        <v>157</v>
      </c>
    </row>
    <row r="350" spans="1:18" x14ac:dyDescent="0.25">
      <c r="A350">
        <v>2014</v>
      </c>
      <c r="B350">
        <v>11479</v>
      </c>
      <c r="C350" t="s">
        <v>2091</v>
      </c>
      <c r="D350" t="s">
        <v>2092</v>
      </c>
      <c r="E350">
        <v>327320</v>
      </c>
      <c r="F350" t="s">
        <v>2093</v>
      </c>
      <c r="G350" t="s">
        <v>1925</v>
      </c>
      <c r="H350" t="s">
        <v>21</v>
      </c>
      <c r="I350" t="s">
        <v>1369</v>
      </c>
      <c r="J350" t="s">
        <v>1370</v>
      </c>
      <c r="K350" t="s">
        <v>1371</v>
      </c>
      <c r="L350" t="s">
        <v>1372</v>
      </c>
      <c r="M350" t="s">
        <v>1373</v>
      </c>
      <c r="N350" t="s">
        <v>1409</v>
      </c>
      <c r="O350" t="s">
        <v>1410</v>
      </c>
      <c r="P350">
        <v>1.4646999999999999</v>
      </c>
      <c r="Q350" t="s">
        <v>29</v>
      </c>
      <c r="R350" t="s">
        <v>430</v>
      </c>
    </row>
    <row r="351" spans="1:18" x14ac:dyDescent="0.25">
      <c r="A351">
        <v>2019</v>
      </c>
      <c r="B351">
        <v>23177</v>
      </c>
      <c r="C351" t="s">
        <v>2094</v>
      </c>
      <c r="D351" t="s">
        <v>2095</v>
      </c>
      <c r="E351">
        <v>493110</v>
      </c>
      <c r="F351" t="s">
        <v>1483</v>
      </c>
      <c r="G351" t="s">
        <v>1484</v>
      </c>
      <c r="H351" t="s">
        <v>54</v>
      </c>
      <c r="I351" t="s">
        <v>1421</v>
      </c>
      <c r="J351" t="s">
        <v>1422</v>
      </c>
      <c r="K351" t="s">
        <v>1423</v>
      </c>
      <c r="L351" t="s">
        <v>1372</v>
      </c>
      <c r="M351" t="s">
        <v>1373</v>
      </c>
      <c r="N351" t="s">
        <v>1374</v>
      </c>
      <c r="O351" t="s">
        <v>1375</v>
      </c>
      <c r="P351">
        <v>2.3E-3</v>
      </c>
      <c r="Q351" t="s">
        <v>29</v>
      </c>
      <c r="R351" t="s">
        <v>430</v>
      </c>
    </row>
    <row r="352" spans="1:18" x14ac:dyDescent="0.25">
      <c r="A352">
        <v>2022</v>
      </c>
      <c r="B352">
        <v>10201</v>
      </c>
      <c r="C352" t="s">
        <v>2096</v>
      </c>
      <c r="D352" t="s">
        <v>2097</v>
      </c>
      <c r="E352">
        <v>212232</v>
      </c>
      <c r="F352" t="s">
        <v>2003</v>
      </c>
      <c r="G352" t="s">
        <v>2004</v>
      </c>
      <c r="H352" t="s">
        <v>21</v>
      </c>
      <c r="I352" t="s">
        <v>184</v>
      </c>
      <c r="J352" t="s">
        <v>185</v>
      </c>
      <c r="K352" t="s">
        <v>186</v>
      </c>
      <c r="L352" t="s">
        <v>1372</v>
      </c>
      <c r="M352" t="s">
        <v>1373</v>
      </c>
      <c r="N352" t="s">
        <v>1374</v>
      </c>
      <c r="O352" t="s">
        <v>1375</v>
      </c>
      <c r="P352">
        <v>4.9800000000000004</v>
      </c>
      <c r="Q352" t="s">
        <v>40</v>
      </c>
      <c r="R352" t="s">
        <v>30</v>
      </c>
    </row>
    <row r="353" spans="1:18" x14ac:dyDescent="0.25">
      <c r="A353">
        <v>2012</v>
      </c>
      <c r="B353">
        <v>21255</v>
      </c>
      <c r="C353" t="s">
        <v>1995</v>
      </c>
      <c r="D353" t="s">
        <v>2098</v>
      </c>
      <c r="E353">
        <v>211113</v>
      </c>
      <c r="F353" t="s">
        <v>786</v>
      </c>
      <c r="G353" t="s">
        <v>426</v>
      </c>
      <c r="H353" t="s">
        <v>69</v>
      </c>
      <c r="I353" t="s">
        <v>1441</v>
      </c>
      <c r="J353" t="s">
        <v>1442</v>
      </c>
      <c r="K353" t="s">
        <v>1443</v>
      </c>
      <c r="L353" t="s">
        <v>1372</v>
      </c>
      <c r="M353" t="s">
        <v>1373</v>
      </c>
      <c r="N353" t="s">
        <v>1374</v>
      </c>
      <c r="O353" t="s">
        <v>1375</v>
      </c>
      <c r="P353">
        <v>42.347000000000001</v>
      </c>
      <c r="Q353" t="s">
        <v>29</v>
      </c>
      <c r="R353" t="s">
        <v>430</v>
      </c>
    </row>
    <row r="354" spans="1:18" x14ac:dyDescent="0.25">
      <c r="A354">
        <v>2009</v>
      </c>
      <c r="B354">
        <v>1148</v>
      </c>
      <c r="C354" t="s">
        <v>1992</v>
      </c>
      <c r="D354" t="s">
        <v>2099</v>
      </c>
      <c r="E354">
        <v>212291</v>
      </c>
      <c r="F354" t="s">
        <v>1994</v>
      </c>
      <c r="G354" t="s">
        <v>242</v>
      </c>
      <c r="H354" t="s">
        <v>243</v>
      </c>
      <c r="I354" t="s">
        <v>525</v>
      </c>
      <c r="J354" t="s">
        <v>526</v>
      </c>
      <c r="K354" t="s">
        <v>527</v>
      </c>
      <c r="L354" t="s">
        <v>1378</v>
      </c>
      <c r="M354" t="s">
        <v>1379</v>
      </c>
      <c r="N354" t="s">
        <v>1380</v>
      </c>
      <c r="O354" t="s">
        <v>1381</v>
      </c>
      <c r="P354">
        <v>4.8000000000000001E-2</v>
      </c>
      <c r="Q354" t="s">
        <v>29</v>
      </c>
      <c r="R354" t="s">
        <v>124</v>
      </c>
    </row>
    <row r="355" spans="1:18" x14ac:dyDescent="0.25">
      <c r="A355">
        <v>2019</v>
      </c>
      <c r="B355">
        <v>4743</v>
      </c>
      <c r="C355" t="s">
        <v>1446</v>
      </c>
      <c r="D355" t="s">
        <v>1447</v>
      </c>
      <c r="E355">
        <v>221320</v>
      </c>
      <c r="F355" t="s">
        <v>146</v>
      </c>
      <c r="G355" t="s">
        <v>147</v>
      </c>
      <c r="H355" t="s">
        <v>21</v>
      </c>
      <c r="I355" t="s">
        <v>106</v>
      </c>
      <c r="J355" t="s">
        <v>107</v>
      </c>
      <c r="K355" t="s">
        <v>108</v>
      </c>
      <c r="L355" t="s">
        <v>1372</v>
      </c>
      <c r="M355" t="s">
        <v>1373</v>
      </c>
      <c r="N355" t="s">
        <v>1374</v>
      </c>
      <c r="O355" t="s">
        <v>1375</v>
      </c>
      <c r="P355">
        <v>5.1050000000000004</v>
      </c>
      <c r="Q355" t="s">
        <v>40</v>
      </c>
      <c r="R355" t="s">
        <v>124</v>
      </c>
    </row>
    <row r="356" spans="1:18" x14ac:dyDescent="0.25">
      <c r="A356">
        <v>2018</v>
      </c>
      <c r="B356">
        <v>28456</v>
      </c>
      <c r="C356" t="s">
        <v>2100</v>
      </c>
      <c r="D356" t="s">
        <v>2101</v>
      </c>
      <c r="E356">
        <v>212210</v>
      </c>
      <c r="F356" t="s">
        <v>888</v>
      </c>
      <c r="G356" t="s">
        <v>889</v>
      </c>
      <c r="H356" t="s">
        <v>2102</v>
      </c>
      <c r="I356" t="s">
        <v>324</v>
      </c>
      <c r="J356" t="s">
        <v>325</v>
      </c>
      <c r="K356" t="s">
        <v>326</v>
      </c>
      <c r="L356" t="s">
        <v>1372</v>
      </c>
      <c r="M356" t="s">
        <v>1373</v>
      </c>
      <c r="N356" t="s">
        <v>1374</v>
      </c>
      <c r="O356" t="s">
        <v>1375</v>
      </c>
      <c r="P356">
        <v>8.3500000000000005E-2</v>
      </c>
      <c r="Q356" t="s">
        <v>40</v>
      </c>
      <c r="R356" t="s">
        <v>430</v>
      </c>
    </row>
    <row r="357" spans="1:18" x14ac:dyDescent="0.25">
      <c r="A357">
        <v>2006</v>
      </c>
      <c r="B357">
        <v>17268</v>
      </c>
      <c r="C357" t="s">
        <v>2103</v>
      </c>
      <c r="D357" t="s">
        <v>2104</v>
      </c>
      <c r="E357">
        <v>211113</v>
      </c>
      <c r="F357" t="s">
        <v>425</v>
      </c>
      <c r="G357" t="s">
        <v>426</v>
      </c>
      <c r="H357" t="s">
        <v>85</v>
      </c>
      <c r="I357" t="s">
        <v>1421</v>
      </c>
      <c r="J357" t="s">
        <v>1422</v>
      </c>
      <c r="K357" t="s">
        <v>1423</v>
      </c>
      <c r="L357" t="s">
        <v>1372</v>
      </c>
      <c r="M357" t="s">
        <v>1373</v>
      </c>
      <c r="N357" t="s">
        <v>1374</v>
      </c>
      <c r="O357" t="s">
        <v>1375</v>
      </c>
      <c r="P357">
        <v>1.1519999999999999</v>
      </c>
      <c r="Q357" t="s">
        <v>29</v>
      </c>
      <c r="R357" t="s">
        <v>430</v>
      </c>
    </row>
    <row r="358" spans="1:18" x14ac:dyDescent="0.25">
      <c r="A358">
        <v>2006</v>
      </c>
      <c r="B358">
        <v>6767</v>
      </c>
      <c r="C358" t="s">
        <v>2105</v>
      </c>
      <c r="D358" t="s">
        <v>2106</v>
      </c>
      <c r="E358">
        <v>486210</v>
      </c>
      <c r="F358" t="s">
        <v>1789</v>
      </c>
      <c r="G358" t="s">
        <v>1329</v>
      </c>
      <c r="H358" t="s">
        <v>21</v>
      </c>
      <c r="I358" t="s">
        <v>1533</v>
      </c>
      <c r="J358" t="s">
        <v>1534</v>
      </c>
      <c r="K358" t="s">
        <v>1535</v>
      </c>
      <c r="L358" t="s">
        <v>1372</v>
      </c>
      <c r="M358" t="s">
        <v>1373</v>
      </c>
      <c r="N358" t="s">
        <v>1374</v>
      </c>
      <c r="O358" t="s">
        <v>1375</v>
      </c>
      <c r="P358">
        <v>77.923000000000002</v>
      </c>
      <c r="Q358" t="s">
        <v>29</v>
      </c>
      <c r="R358" t="s">
        <v>430</v>
      </c>
    </row>
    <row r="359" spans="1:18" x14ac:dyDescent="0.25">
      <c r="A359">
        <v>2022</v>
      </c>
      <c r="B359">
        <v>7626</v>
      </c>
      <c r="C359" t="s">
        <v>2107</v>
      </c>
      <c r="D359" t="s">
        <v>2108</v>
      </c>
      <c r="E359">
        <v>212315</v>
      </c>
      <c r="F359" t="s">
        <v>1869</v>
      </c>
      <c r="G359" t="s">
        <v>1831</v>
      </c>
      <c r="H359" t="s">
        <v>21</v>
      </c>
      <c r="I359" t="s">
        <v>1421</v>
      </c>
      <c r="J359" t="s">
        <v>1422</v>
      </c>
      <c r="K359" t="s">
        <v>1423</v>
      </c>
      <c r="L359" t="s">
        <v>1372</v>
      </c>
      <c r="M359" t="s">
        <v>1373</v>
      </c>
      <c r="N359" t="s">
        <v>1374</v>
      </c>
      <c r="O359" t="s">
        <v>1375</v>
      </c>
      <c r="P359">
        <v>0.487315</v>
      </c>
      <c r="Q359" t="s">
        <v>29</v>
      </c>
      <c r="R359" t="s">
        <v>2109</v>
      </c>
    </row>
    <row r="360" spans="1:18" x14ac:dyDescent="0.25">
      <c r="A360">
        <v>2020</v>
      </c>
      <c r="B360">
        <v>8698</v>
      </c>
      <c r="C360" t="s">
        <v>2110</v>
      </c>
      <c r="D360" t="s">
        <v>2111</v>
      </c>
      <c r="E360">
        <v>913910</v>
      </c>
      <c r="F360" t="s">
        <v>2112</v>
      </c>
      <c r="G360" t="s">
        <v>2113</v>
      </c>
      <c r="H360" t="s">
        <v>79</v>
      </c>
      <c r="I360" t="s">
        <v>504</v>
      </c>
      <c r="J360" t="s">
        <v>505</v>
      </c>
      <c r="K360" t="s">
        <v>506</v>
      </c>
      <c r="L360" t="s">
        <v>1378</v>
      </c>
      <c r="M360" t="s">
        <v>1379</v>
      </c>
      <c r="N360" t="s">
        <v>1380</v>
      </c>
      <c r="O360" t="s">
        <v>1381</v>
      </c>
      <c r="P360">
        <v>8.07</v>
      </c>
      <c r="Q360" t="s">
        <v>29</v>
      </c>
      <c r="R360" t="s">
        <v>30</v>
      </c>
    </row>
    <row r="361" spans="1:18" x14ac:dyDescent="0.25">
      <c r="A361">
        <v>2014</v>
      </c>
      <c r="B361">
        <v>22991</v>
      </c>
      <c r="C361" t="s">
        <v>1800</v>
      </c>
      <c r="D361" t="s">
        <v>2114</v>
      </c>
      <c r="E361">
        <v>418390</v>
      </c>
      <c r="F361" t="s">
        <v>1802</v>
      </c>
      <c r="G361" t="s">
        <v>1803</v>
      </c>
      <c r="H361" t="s">
        <v>243</v>
      </c>
      <c r="I361" t="s">
        <v>1487</v>
      </c>
      <c r="J361" t="s">
        <v>1488</v>
      </c>
      <c r="K361" t="s">
        <v>1489</v>
      </c>
      <c r="L361" t="s">
        <v>1372</v>
      </c>
      <c r="M361" t="s">
        <v>1373</v>
      </c>
      <c r="N361" t="s">
        <v>1374</v>
      </c>
      <c r="O361" t="s">
        <v>1375</v>
      </c>
      <c r="P361">
        <v>2E-3</v>
      </c>
      <c r="Q361" t="s">
        <v>29</v>
      </c>
      <c r="R361" t="s">
        <v>430</v>
      </c>
    </row>
    <row r="362" spans="1:18" x14ac:dyDescent="0.25">
      <c r="A362">
        <v>2018</v>
      </c>
      <c r="B362">
        <v>28898</v>
      </c>
      <c r="C362" t="s">
        <v>1027</v>
      </c>
      <c r="D362" t="s">
        <v>2115</v>
      </c>
      <c r="E362">
        <v>211110</v>
      </c>
      <c r="F362" t="s">
        <v>233</v>
      </c>
      <c r="G362" t="s">
        <v>234</v>
      </c>
      <c r="H362" t="s">
        <v>85</v>
      </c>
      <c r="I362" t="s">
        <v>1533</v>
      </c>
      <c r="J362" t="s">
        <v>1534</v>
      </c>
      <c r="K362" t="s">
        <v>1535</v>
      </c>
      <c r="L362" t="s">
        <v>1372</v>
      </c>
      <c r="M362" t="s">
        <v>1373</v>
      </c>
      <c r="N362" t="s">
        <v>1374</v>
      </c>
      <c r="O362" t="s">
        <v>1375</v>
      </c>
      <c r="P362">
        <v>35.329000000000001</v>
      </c>
      <c r="Q362" t="s">
        <v>29</v>
      </c>
      <c r="R362" t="s">
        <v>430</v>
      </c>
    </row>
    <row r="363" spans="1:18" x14ac:dyDescent="0.25">
      <c r="A363">
        <v>2018</v>
      </c>
      <c r="B363">
        <v>21799</v>
      </c>
      <c r="C363" t="s">
        <v>2116</v>
      </c>
      <c r="D363" t="s">
        <v>2117</v>
      </c>
      <c r="E363">
        <v>418410</v>
      </c>
      <c r="F363" t="s">
        <v>433</v>
      </c>
      <c r="G363" t="s">
        <v>434</v>
      </c>
      <c r="H363" t="s">
        <v>85</v>
      </c>
      <c r="I363" t="s">
        <v>55</v>
      </c>
      <c r="J363" t="s">
        <v>56</v>
      </c>
      <c r="K363" t="s">
        <v>57</v>
      </c>
      <c r="L363" t="s">
        <v>1372</v>
      </c>
      <c r="M363" t="s">
        <v>1373</v>
      </c>
      <c r="N363" t="s">
        <v>1399</v>
      </c>
      <c r="O363" t="s">
        <v>1400</v>
      </c>
      <c r="P363">
        <v>2.0880000000000001</v>
      </c>
      <c r="Q363" t="s">
        <v>29</v>
      </c>
      <c r="R363" t="s">
        <v>30</v>
      </c>
    </row>
    <row r="364" spans="1:18" x14ac:dyDescent="0.25">
      <c r="A364">
        <v>2005</v>
      </c>
      <c r="B364">
        <v>15789</v>
      </c>
      <c r="C364" t="s">
        <v>2118</v>
      </c>
      <c r="D364" t="s">
        <v>2119</v>
      </c>
      <c r="E364">
        <v>211113</v>
      </c>
      <c r="F364" t="s">
        <v>425</v>
      </c>
      <c r="G364" t="s">
        <v>426</v>
      </c>
      <c r="H364" t="s">
        <v>85</v>
      </c>
      <c r="I364" t="s">
        <v>1421</v>
      </c>
      <c r="J364" t="s">
        <v>1422</v>
      </c>
      <c r="K364" t="s">
        <v>1423</v>
      </c>
      <c r="L364" t="s">
        <v>1372</v>
      </c>
      <c r="M364" t="s">
        <v>1373</v>
      </c>
      <c r="N364" t="s">
        <v>1374</v>
      </c>
      <c r="O364" t="s">
        <v>1375</v>
      </c>
      <c r="P364">
        <v>0.45900000000000002</v>
      </c>
      <c r="Q364" t="s">
        <v>29</v>
      </c>
      <c r="R364" t="s">
        <v>430</v>
      </c>
    </row>
    <row r="365" spans="1:18" x14ac:dyDescent="0.25">
      <c r="A365">
        <v>1998</v>
      </c>
      <c r="B365">
        <v>4751</v>
      </c>
      <c r="C365" t="s">
        <v>2120</v>
      </c>
      <c r="D365" t="s">
        <v>2121</v>
      </c>
      <c r="E365">
        <v>337213</v>
      </c>
      <c r="F365" t="s">
        <v>269</v>
      </c>
      <c r="G365" t="s">
        <v>270</v>
      </c>
      <c r="H365" t="s">
        <v>21</v>
      </c>
      <c r="I365" t="s">
        <v>520</v>
      </c>
      <c r="J365" t="s">
        <v>521</v>
      </c>
      <c r="K365" t="s">
        <v>522</v>
      </c>
      <c r="L365" t="s">
        <v>1372</v>
      </c>
      <c r="M365" t="s">
        <v>1373</v>
      </c>
      <c r="N365" t="s">
        <v>1374</v>
      </c>
      <c r="O365" t="s">
        <v>1375</v>
      </c>
      <c r="P365">
        <v>14.981</v>
      </c>
      <c r="Q365" t="s">
        <v>29</v>
      </c>
      <c r="R365" t="s">
        <v>30</v>
      </c>
    </row>
    <row r="366" spans="1:18" x14ac:dyDescent="0.25">
      <c r="A366">
        <v>2001</v>
      </c>
      <c r="B366">
        <v>3897</v>
      </c>
      <c r="C366" t="s">
        <v>634</v>
      </c>
      <c r="D366" t="s">
        <v>275</v>
      </c>
      <c r="E366">
        <v>324110</v>
      </c>
      <c r="F366" t="s">
        <v>95</v>
      </c>
      <c r="G366" t="s">
        <v>96</v>
      </c>
      <c r="H366" t="s">
        <v>79</v>
      </c>
      <c r="I366" t="s">
        <v>847</v>
      </c>
      <c r="J366" t="s">
        <v>848</v>
      </c>
      <c r="K366" t="s">
        <v>849</v>
      </c>
      <c r="L366" t="s">
        <v>1394</v>
      </c>
      <c r="M366" t="s">
        <v>1395</v>
      </c>
      <c r="N366" t="s">
        <v>1402</v>
      </c>
      <c r="O366" t="s">
        <v>1403</v>
      </c>
      <c r="P366">
        <v>1.0999999999999999E-2</v>
      </c>
      <c r="Q366" t="s">
        <v>40</v>
      </c>
      <c r="R366" t="s">
        <v>30</v>
      </c>
    </row>
    <row r="367" spans="1:18" x14ac:dyDescent="0.25">
      <c r="A367">
        <v>2002</v>
      </c>
      <c r="B367">
        <v>1885</v>
      </c>
      <c r="C367" t="s">
        <v>2122</v>
      </c>
      <c r="E367">
        <v>212396</v>
      </c>
      <c r="F367" t="s">
        <v>2123</v>
      </c>
      <c r="G367" t="s">
        <v>1420</v>
      </c>
      <c r="H367" t="s">
        <v>243</v>
      </c>
      <c r="I367" t="s">
        <v>1369</v>
      </c>
      <c r="J367" t="s">
        <v>1370</v>
      </c>
      <c r="K367" t="s">
        <v>1371</v>
      </c>
      <c r="L367" t="s">
        <v>1372</v>
      </c>
      <c r="M367" t="s">
        <v>1373</v>
      </c>
      <c r="N367" t="s">
        <v>1409</v>
      </c>
      <c r="O367" t="s">
        <v>1410</v>
      </c>
      <c r="P367">
        <v>36</v>
      </c>
      <c r="Q367" t="s">
        <v>29</v>
      </c>
      <c r="R367" t="s">
        <v>204</v>
      </c>
    </row>
    <row r="368" spans="1:18" x14ac:dyDescent="0.25">
      <c r="A368">
        <v>2019</v>
      </c>
      <c r="B368">
        <v>21416</v>
      </c>
      <c r="C368" t="s">
        <v>1112</v>
      </c>
      <c r="D368" t="s">
        <v>2124</v>
      </c>
      <c r="E368">
        <v>211110</v>
      </c>
      <c r="F368" t="s">
        <v>233</v>
      </c>
      <c r="G368" t="s">
        <v>234</v>
      </c>
      <c r="H368" t="s">
        <v>69</v>
      </c>
      <c r="I368" t="s">
        <v>1457</v>
      </c>
      <c r="J368" t="s">
        <v>1458</v>
      </c>
      <c r="K368" t="s">
        <v>1459</v>
      </c>
      <c r="L368" t="s">
        <v>1372</v>
      </c>
      <c r="M368" t="s">
        <v>1373</v>
      </c>
      <c r="N368" t="s">
        <v>1409</v>
      </c>
      <c r="O368" t="s">
        <v>1410</v>
      </c>
      <c r="P368">
        <v>7.0000000000000001E-3</v>
      </c>
      <c r="Q368" t="s">
        <v>29</v>
      </c>
      <c r="R368" t="s">
        <v>50</v>
      </c>
    </row>
    <row r="369" spans="1:18" x14ac:dyDescent="0.25">
      <c r="A369">
        <v>2015</v>
      </c>
      <c r="B369">
        <v>10211</v>
      </c>
      <c r="C369" t="s">
        <v>125</v>
      </c>
      <c r="D369" t="s">
        <v>2125</v>
      </c>
      <c r="E369">
        <v>412110</v>
      </c>
      <c r="F369" t="s">
        <v>127</v>
      </c>
      <c r="G369" t="s">
        <v>128</v>
      </c>
      <c r="H369" t="s">
        <v>69</v>
      </c>
      <c r="I369" t="s">
        <v>1457</v>
      </c>
      <c r="J369" t="s">
        <v>1458</v>
      </c>
      <c r="K369" t="s">
        <v>1459</v>
      </c>
      <c r="L369" t="s">
        <v>1372</v>
      </c>
      <c r="M369" t="s">
        <v>1373</v>
      </c>
      <c r="N369" t="s">
        <v>1399</v>
      </c>
      <c r="O369" t="s">
        <v>1400</v>
      </c>
      <c r="P369">
        <v>158.97130000000001</v>
      </c>
      <c r="Q369" t="s">
        <v>29</v>
      </c>
      <c r="R369" t="s">
        <v>430</v>
      </c>
    </row>
    <row r="370" spans="1:18" x14ac:dyDescent="0.25">
      <c r="A370">
        <v>2004</v>
      </c>
      <c r="B370">
        <v>17489</v>
      </c>
      <c r="C370" t="s">
        <v>2126</v>
      </c>
      <c r="D370" t="s">
        <v>2127</v>
      </c>
      <c r="E370">
        <v>213118</v>
      </c>
      <c r="F370" t="s">
        <v>1336</v>
      </c>
      <c r="G370" t="s">
        <v>1337</v>
      </c>
      <c r="H370" t="s">
        <v>85</v>
      </c>
      <c r="I370" t="s">
        <v>1441</v>
      </c>
      <c r="J370" t="s">
        <v>1442</v>
      </c>
      <c r="K370" t="s">
        <v>1443</v>
      </c>
      <c r="L370" t="s">
        <v>1372</v>
      </c>
      <c r="M370" t="s">
        <v>1373</v>
      </c>
      <c r="N370" t="s">
        <v>1374</v>
      </c>
      <c r="O370" t="s">
        <v>1375</v>
      </c>
      <c r="P370">
        <v>40.691000000000003</v>
      </c>
      <c r="Q370" t="s">
        <v>29</v>
      </c>
      <c r="R370" t="s">
        <v>430</v>
      </c>
    </row>
    <row r="371" spans="1:18" x14ac:dyDescent="0.25">
      <c r="A371">
        <v>2003</v>
      </c>
      <c r="B371">
        <v>577</v>
      </c>
      <c r="C371" t="s">
        <v>2128</v>
      </c>
      <c r="E371">
        <v>325410</v>
      </c>
      <c r="F371" t="s">
        <v>218</v>
      </c>
      <c r="G371" t="s">
        <v>219</v>
      </c>
      <c r="H371" t="s">
        <v>21</v>
      </c>
      <c r="I371" t="s">
        <v>80</v>
      </c>
      <c r="J371" t="s">
        <v>81</v>
      </c>
      <c r="K371" t="s">
        <v>82</v>
      </c>
      <c r="L371" t="s">
        <v>1372</v>
      </c>
      <c r="M371" t="s">
        <v>1373</v>
      </c>
      <c r="N371" t="s">
        <v>1409</v>
      </c>
      <c r="O371" t="s">
        <v>1410</v>
      </c>
      <c r="P371">
        <v>2.9</v>
      </c>
      <c r="Q371" t="s">
        <v>29</v>
      </c>
      <c r="R371" t="s">
        <v>124</v>
      </c>
    </row>
    <row r="372" spans="1:18" x14ac:dyDescent="0.25">
      <c r="A372">
        <v>2023</v>
      </c>
      <c r="B372">
        <v>32269</v>
      </c>
      <c r="C372" t="s">
        <v>489</v>
      </c>
      <c r="D372" t="s">
        <v>2129</v>
      </c>
      <c r="E372">
        <v>211110</v>
      </c>
      <c r="F372" t="s">
        <v>233</v>
      </c>
      <c r="G372" t="s">
        <v>234</v>
      </c>
      <c r="H372" t="s">
        <v>85</v>
      </c>
      <c r="I372" t="s">
        <v>1533</v>
      </c>
      <c r="J372" t="s">
        <v>1534</v>
      </c>
      <c r="K372" t="s">
        <v>1535</v>
      </c>
      <c r="L372" t="s">
        <v>1372</v>
      </c>
      <c r="M372" t="s">
        <v>1373</v>
      </c>
      <c r="N372" t="s">
        <v>1374</v>
      </c>
      <c r="O372" t="s">
        <v>1375</v>
      </c>
      <c r="P372">
        <v>12.53229</v>
      </c>
      <c r="Q372" t="s">
        <v>29</v>
      </c>
      <c r="R372" t="s">
        <v>430</v>
      </c>
    </row>
    <row r="373" spans="1:18" x14ac:dyDescent="0.25">
      <c r="A373">
        <v>2007</v>
      </c>
      <c r="B373">
        <v>3713</v>
      </c>
      <c r="C373" t="s">
        <v>2130</v>
      </c>
      <c r="D373" t="s">
        <v>524</v>
      </c>
      <c r="E373">
        <v>331110</v>
      </c>
      <c r="F373" t="s">
        <v>335</v>
      </c>
      <c r="G373" t="s">
        <v>336</v>
      </c>
      <c r="H373" t="s">
        <v>21</v>
      </c>
      <c r="I373" t="s">
        <v>1457</v>
      </c>
      <c r="J373" t="s">
        <v>1458</v>
      </c>
      <c r="K373" t="s">
        <v>1459</v>
      </c>
      <c r="L373" t="s">
        <v>1372</v>
      </c>
      <c r="M373" t="s">
        <v>1373</v>
      </c>
      <c r="N373" t="s">
        <v>1409</v>
      </c>
      <c r="O373" t="s">
        <v>1410</v>
      </c>
      <c r="P373">
        <v>129.66</v>
      </c>
      <c r="Q373" t="s">
        <v>29</v>
      </c>
      <c r="R373" t="s">
        <v>430</v>
      </c>
    </row>
    <row r="374" spans="1:18" x14ac:dyDescent="0.25">
      <c r="A374">
        <v>2018</v>
      </c>
      <c r="B374">
        <v>15909</v>
      </c>
      <c r="C374" t="s">
        <v>1027</v>
      </c>
      <c r="D374" t="s">
        <v>2131</v>
      </c>
      <c r="E374">
        <v>211110</v>
      </c>
      <c r="F374" t="s">
        <v>233</v>
      </c>
      <c r="G374" t="s">
        <v>234</v>
      </c>
      <c r="H374" t="s">
        <v>85</v>
      </c>
      <c r="I374" t="s">
        <v>1369</v>
      </c>
      <c r="J374" t="s">
        <v>1370</v>
      </c>
      <c r="K374" t="s">
        <v>1371</v>
      </c>
      <c r="L374" t="s">
        <v>1372</v>
      </c>
      <c r="M374" t="s">
        <v>1373</v>
      </c>
      <c r="N374" t="s">
        <v>1374</v>
      </c>
      <c r="O374" t="s">
        <v>1375</v>
      </c>
      <c r="P374">
        <v>1.403</v>
      </c>
      <c r="Q374" t="s">
        <v>29</v>
      </c>
      <c r="R374" t="s">
        <v>430</v>
      </c>
    </row>
    <row r="375" spans="1:18" x14ac:dyDescent="0.25">
      <c r="A375">
        <v>2017</v>
      </c>
      <c r="B375">
        <v>6332</v>
      </c>
      <c r="C375" t="s">
        <v>2132</v>
      </c>
      <c r="D375" t="s">
        <v>2133</v>
      </c>
      <c r="E375">
        <v>321215</v>
      </c>
      <c r="F375" t="s">
        <v>2134</v>
      </c>
      <c r="G375" t="s">
        <v>2135</v>
      </c>
      <c r="H375" t="s">
        <v>79</v>
      </c>
      <c r="I375" t="s">
        <v>1369</v>
      </c>
      <c r="J375" t="s">
        <v>1370</v>
      </c>
      <c r="K375" t="s">
        <v>1371</v>
      </c>
      <c r="L375" t="s">
        <v>1372</v>
      </c>
      <c r="M375" t="s">
        <v>1373</v>
      </c>
      <c r="N375" t="s">
        <v>1390</v>
      </c>
      <c r="O375" t="s">
        <v>1391</v>
      </c>
      <c r="P375">
        <v>5.2039999999999997</v>
      </c>
      <c r="Q375" t="s">
        <v>29</v>
      </c>
      <c r="R375" t="s">
        <v>430</v>
      </c>
    </row>
    <row r="376" spans="1:18" x14ac:dyDescent="0.25">
      <c r="A376">
        <v>1998</v>
      </c>
      <c r="B376">
        <v>1779</v>
      </c>
      <c r="C376" t="s">
        <v>1600</v>
      </c>
      <c r="D376" t="s">
        <v>2136</v>
      </c>
      <c r="E376">
        <v>325110</v>
      </c>
      <c r="F376" t="s">
        <v>1194</v>
      </c>
      <c r="G376" t="s">
        <v>445</v>
      </c>
      <c r="H376" t="s">
        <v>85</v>
      </c>
      <c r="I376" t="s">
        <v>844</v>
      </c>
      <c r="J376" t="s">
        <v>845</v>
      </c>
      <c r="K376" t="s">
        <v>846</v>
      </c>
      <c r="L376" t="s">
        <v>1372</v>
      </c>
      <c r="M376" t="s">
        <v>1373</v>
      </c>
      <c r="N376" t="s">
        <v>1409</v>
      </c>
      <c r="O376" t="s">
        <v>1410</v>
      </c>
      <c r="P376">
        <v>0.40300000000000002</v>
      </c>
      <c r="Q376" t="s">
        <v>29</v>
      </c>
      <c r="R376" t="s">
        <v>30</v>
      </c>
    </row>
    <row r="377" spans="1:18" x14ac:dyDescent="0.25">
      <c r="A377">
        <v>2023</v>
      </c>
      <c r="B377">
        <v>4743</v>
      </c>
      <c r="C377" t="s">
        <v>1446</v>
      </c>
      <c r="D377" t="s">
        <v>1447</v>
      </c>
      <c r="E377">
        <v>221320</v>
      </c>
      <c r="F377" t="s">
        <v>146</v>
      </c>
      <c r="G377" t="s">
        <v>147</v>
      </c>
      <c r="H377" t="s">
        <v>21</v>
      </c>
      <c r="I377" t="s">
        <v>504</v>
      </c>
      <c r="J377" t="s">
        <v>505</v>
      </c>
      <c r="K377" t="s">
        <v>506</v>
      </c>
      <c r="L377" t="s">
        <v>1378</v>
      </c>
      <c r="M377" t="s">
        <v>1379</v>
      </c>
      <c r="N377" t="s">
        <v>1402</v>
      </c>
      <c r="O377" t="s">
        <v>1403</v>
      </c>
      <c r="P377">
        <v>13.141</v>
      </c>
      <c r="Q377" t="s">
        <v>29</v>
      </c>
      <c r="R377" t="s">
        <v>124</v>
      </c>
    </row>
    <row r="378" spans="1:18" x14ac:dyDescent="0.25">
      <c r="A378">
        <v>2020</v>
      </c>
      <c r="B378">
        <v>11606</v>
      </c>
      <c r="C378" t="s">
        <v>2137</v>
      </c>
      <c r="D378" t="s">
        <v>2138</v>
      </c>
      <c r="E378">
        <v>334410</v>
      </c>
      <c r="F378" t="s">
        <v>2139</v>
      </c>
      <c r="G378" t="s">
        <v>605</v>
      </c>
      <c r="H378" t="s">
        <v>21</v>
      </c>
      <c r="I378" t="s">
        <v>35</v>
      </c>
      <c r="J378" t="s">
        <v>36</v>
      </c>
      <c r="K378" t="s">
        <v>37</v>
      </c>
      <c r="L378" t="s">
        <v>1372</v>
      </c>
      <c r="M378" t="s">
        <v>1373</v>
      </c>
      <c r="N378" t="s">
        <v>1374</v>
      </c>
      <c r="O378" t="s">
        <v>1375</v>
      </c>
      <c r="P378">
        <v>0.08</v>
      </c>
      <c r="Q378" t="s">
        <v>40</v>
      </c>
      <c r="R378" t="s">
        <v>30</v>
      </c>
    </row>
    <row r="379" spans="1:18" x14ac:dyDescent="0.25">
      <c r="A379">
        <v>2023</v>
      </c>
      <c r="B379">
        <v>22905</v>
      </c>
      <c r="C379" t="s">
        <v>1027</v>
      </c>
      <c r="D379" t="s">
        <v>2140</v>
      </c>
      <c r="E379">
        <v>211110</v>
      </c>
      <c r="F379" t="s">
        <v>233</v>
      </c>
      <c r="G379" t="s">
        <v>234</v>
      </c>
      <c r="H379" t="s">
        <v>85</v>
      </c>
      <c r="I379" t="s">
        <v>1413</v>
      </c>
      <c r="J379" t="s">
        <v>1414</v>
      </c>
      <c r="K379" t="s">
        <v>1415</v>
      </c>
      <c r="L379" t="s">
        <v>1372</v>
      </c>
      <c r="M379" t="s">
        <v>1373</v>
      </c>
      <c r="N379" t="s">
        <v>1374</v>
      </c>
      <c r="O379" t="s">
        <v>1375</v>
      </c>
      <c r="P379">
        <v>0</v>
      </c>
      <c r="Q379" t="s">
        <v>29</v>
      </c>
    </row>
    <row r="380" spans="1:18" x14ac:dyDescent="0.25">
      <c r="A380">
        <v>2018</v>
      </c>
      <c r="B380">
        <v>30812</v>
      </c>
      <c r="C380" t="s">
        <v>2141</v>
      </c>
      <c r="D380" t="s">
        <v>2142</v>
      </c>
      <c r="E380">
        <v>211110</v>
      </c>
      <c r="F380" t="s">
        <v>233</v>
      </c>
      <c r="G380" t="s">
        <v>234</v>
      </c>
      <c r="H380" t="s">
        <v>85</v>
      </c>
      <c r="I380" t="s">
        <v>1441</v>
      </c>
      <c r="J380" t="s">
        <v>1442</v>
      </c>
      <c r="K380" t="s">
        <v>1443</v>
      </c>
      <c r="L380" t="s">
        <v>1372</v>
      </c>
      <c r="M380" t="s">
        <v>1373</v>
      </c>
      <c r="N380" t="s">
        <v>1374</v>
      </c>
      <c r="O380" t="s">
        <v>1375</v>
      </c>
      <c r="P380">
        <v>19.072099999999999</v>
      </c>
      <c r="Q380" t="s">
        <v>29</v>
      </c>
      <c r="R380" t="s">
        <v>430</v>
      </c>
    </row>
    <row r="381" spans="1:18" x14ac:dyDescent="0.25">
      <c r="A381">
        <v>2017</v>
      </c>
      <c r="B381">
        <v>17870</v>
      </c>
      <c r="C381" t="s">
        <v>2143</v>
      </c>
      <c r="D381" t="s">
        <v>2144</v>
      </c>
      <c r="E381">
        <v>211110</v>
      </c>
      <c r="F381" t="s">
        <v>233</v>
      </c>
      <c r="G381" t="s">
        <v>234</v>
      </c>
      <c r="H381" t="s">
        <v>69</v>
      </c>
      <c r="I381" t="s">
        <v>1441</v>
      </c>
      <c r="J381" t="s">
        <v>1442</v>
      </c>
      <c r="K381" t="s">
        <v>1443</v>
      </c>
      <c r="L381" t="s">
        <v>1372</v>
      </c>
      <c r="M381" t="s">
        <v>1373</v>
      </c>
      <c r="N381" t="s">
        <v>1374</v>
      </c>
      <c r="O381" t="s">
        <v>1375</v>
      </c>
      <c r="P381">
        <v>37.639000000000003</v>
      </c>
      <c r="Q381" t="s">
        <v>29</v>
      </c>
      <c r="R381" t="s">
        <v>430</v>
      </c>
    </row>
    <row r="382" spans="1:18" x14ac:dyDescent="0.25">
      <c r="A382">
        <v>2017</v>
      </c>
      <c r="B382">
        <v>210</v>
      </c>
      <c r="C382" t="s">
        <v>1760</v>
      </c>
      <c r="D382" t="s">
        <v>352</v>
      </c>
      <c r="E382">
        <v>418410</v>
      </c>
      <c r="F382" t="s">
        <v>433</v>
      </c>
      <c r="G382" t="s">
        <v>434</v>
      </c>
      <c r="H382" t="s">
        <v>21</v>
      </c>
      <c r="I382" t="s">
        <v>80</v>
      </c>
      <c r="J382" t="s">
        <v>81</v>
      </c>
      <c r="K382" t="s">
        <v>82</v>
      </c>
      <c r="L382" t="s">
        <v>1361</v>
      </c>
      <c r="M382" t="s">
        <v>1362</v>
      </c>
      <c r="N382" t="s">
        <v>1363</v>
      </c>
      <c r="O382" t="s">
        <v>1364</v>
      </c>
      <c r="P382">
        <v>0.21</v>
      </c>
      <c r="Q382" t="s">
        <v>29</v>
      </c>
      <c r="R382" t="s">
        <v>30</v>
      </c>
    </row>
    <row r="383" spans="1:18" x14ac:dyDescent="0.25">
      <c r="A383">
        <v>2005</v>
      </c>
      <c r="B383">
        <v>5927</v>
      </c>
      <c r="C383" t="s">
        <v>2145</v>
      </c>
      <c r="D383" t="s">
        <v>1232</v>
      </c>
      <c r="E383">
        <v>332999</v>
      </c>
      <c r="F383" t="s">
        <v>309</v>
      </c>
      <c r="G383" t="s">
        <v>304</v>
      </c>
      <c r="H383" t="s">
        <v>21</v>
      </c>
      <c r="I383" t="s">
        <v>337</v>
      </c>
      <c r="J383" t="s">
        <v>338</v>
      </c>
      <c r="K383" t="s">
        <v>339</v>
      </c>
      <c r="L383" t="s">
        <v>1372</v>
      </c>
      <c r="M383" t="s">
        <v>1373</v>
      </c>
      <c r="N383" t="s">
        <v>1399</v>
      </c>
      <c r="O383" t="s">
        <v>1400</v>
      </c>
      <c r="P383">
        <v>3.0000000000000001E-3</v>
      </c>
      <c r="Q383" t="s">
        <v>29</v>
      </c>
      <c r="R383" t="s">
        <v>157</v>
      </c>
    </row>
    <row r="384" spans="1:18" x14ac:dyDescent="0.25">
      <c r="A384">
        <v>2010</v>
      </c>
      <c r="B384">
        <v>30723</v>
      </c>
      <c r="C384" t="s">
        <v>2146</v>
      </c>
      <c r="D384" t="s">
        <v>2147</v>
      </c>
      <c r="E384">
        <v>211113</v>
      </c>
      <c r="F384" t="s">
        <v>425</v>
      </c>
      <c r="G384" t="s">
        <v>426</v>
      </c>
      <c r="H384" t="s">
        <v>243</v>
      </c>
      <c r="I384" t="s">
        <v>1441</v>
      </c>
      <c r="J384" t="s">
        <v>1442</v>
      </c>
      <c r="K384" t="s">
        <v>1443</v>
      </c>
      <c r="L384" t="s">
        <v>1372</v>
      </c>
      <c r="M384" t="s">
        <v>1373</v>
      </c>
      <c r="N384" t="s">
        <v>1374</v>
      </c>
      <c r="O384" t="s">
        <v>1375</v>
      </c>
      <c r="P384">
        <v>52.067999999999998</v>
      </c>
      <c r="Q384" t="s">
        <v>29</v>
      </c>
      <c r="R384" t="s">
        <v>430</v>
      </c>
    </row>
    <row r="385" spans="1:18" x14ac:dyDescent="0.25">
      <c r="A385">
        <v>2022</v>
      </c>
      <c r="B385">
        <v>16763</v>
      </c>
      <c r="C385" t="s">
        <v>2148</v>
      </c>
      <c r="D385" t="s">
        <v>2149</v>
      </c>
      <c r="E385">
        <v>211110</v>
      </c>
      <c r="F385" t="s">
        <v>233</v>
      </c>
      <c r="G385" t="s">
        <v>234</v>
      </c>
      <c r="H385" t="s">
        <v>85</v>
      </c>
      <c r="I385" t="s">
        <v>1533</v>
      </c>
      <c r="J385" t="s">
        <v>1534</v>
      </c>
      <c r="K385" t="s">
        <v>1535</v>
      </c>
      <c r="L385" t="s">
        <v>1372</v>
      </c>
      <c r="M385" t="s">
        <v>1373</v>
      </c>
      <c r="N385" t="s">
        <v>1374</v>
      </c>
      <c r="O385" t="s">
        <v>1375</v>
      </c>
      <c r="P385">
        <v>11.714119999999999</v>
      </c>
      <c r="Q385" t="s">
        <v>29</v>
      </c>
      <c r="R385" t="s">
        <v>430</v>
      </c>
    </row>
    <row r="386" spans="1:18" x14ac:dyDescent="0.25">
      <c r="A386">
        <v>2005</v>
      </c>
      <c r="B386">
        <v>1039</v>
      </c>
      <c r="C386" t="s">
        <v>2150</v>
      </c>
      <c r="D386" t="s">
        <v>2151</v>
      </c>
      <c r="E386">
        <v>221112</v>
      </c>
      <c r="F386" t="s">
        <v>134</v>
      </c>
      <c r="G386" t="s">
        <v>135</v>
      </c>
      <c r="H386" t="s">
        <v>85</v>
      </c>
      <c r="I386" t="s">
        <v>1369</v>
      </c>
      <c r="J386" t="s">
        <v>1370</v>
      </c>
      <c r="K386" t="s">
        <v>1371</v>
      </c>
      <c r="L386" t="s">
        <v>1372</v>
      </c>
      <c r="M386" t="s">
        <v>1373</v>
      </c>
      <c r="N386" t="s">
        <v>1374</v>
      </c>
      <c r="O386" t="s">
        <v>1375</v>
      </c>
      <c r="P386">
        <v>94.65</v>
      </c>
      <c r="Q386" t="s">
        <v>29</v>
      </c>
      <c r="R386" t="s">
        <v>30</v>
      </c>
    </row>
    <row r="387" spans="1:18" x14ac:dyDescent="0.25">
      <c r="A387">
        <v>2002</v>
      </c>
      <c r="B387">
        <v>3790</v>
      </c>
      <c r="C387" t="s">
        <v>276</v>
      </c>
      <c r="E387">
        <v>336110</v>
      </c>
      <c r="F387" t="s">
        <v>377</v>
      </c>
      <c r="G387" t="s">
        <v>44</v>
      </c>
      <c r="H387" t="s">
        <v>21</v>
      </c>
      <c r="I387" t="s">
        <v>1369</v>
      </c>
      <c r="J387" t="s">
        <v>1370</v>
      </c>
      <c r="K387" t="s">
        <v>1371</v>
      </c>
      <c r="L387" t="s">
        <v>1372</v>
      </c>
      <c r="M387" t="s">
        <v>1373</v>
      </c>
      <c r="N387" t="s">
        <v>1374</v>
      </c>
      <c r="O387" t="s">
        <v>1375</v>
      </c>
      <c r="P387">
        <v>2.87</v>
      </c>
      <c r="Q387" t="s">
        <v>29</v>
      </c>
      <c r="R387" t="s">
        <v>30</v>
      </c>
    </row>
    <row r="388" spans="1:18" x14ac:dyDescent="0.25">
      <c r="A388">
        <v>2022</v>
      </c>
      <c r="B388">
        <v>16410</v>
      </c>
      <c r="C388" t="s">
        <v>1027</v>
      </c>
      <c r="D388" t="s">
        <v>2152</v>
      </c>
      <c r="E388">
        <v>211110</v>
      </c>
      <c r="F388" t="s">
        <v>233</v>
      </c>
      <c r="G388" t="s">
        <v>234</v>
      </c>
      <c r="H388" t="s">
        <v>69</v>
      </c>
      <c r="I388" t="s">
        <v>1421</v>
      </c>
      <c r="J388" t="s">
        <v>1422</v>
      </c>
      <c r="K388" t="s">
        <v>1423</v>
      </c>
      <c r="L388" t="s">
        <v>1372</v>
      </c>
      <c r="M388" t="s">
        <v>1373</v>
      </c>
      <c r="N388" t="s">
        <v>1374</v>
      </c>
      <c r="O388" t="s">
        <v>1375</v>
      </c>
      <c r="P388">
        <v>0.19464000000000001</v>
      </c>
      <c r="Q388" t="s">
        <v>29</v>
      </c>
      <c r="R388" t="s">
        <v>430</v>
      </c>
    </row>
    <row r="389" spans="1:18" x14ac:dyDescent="0.25">
      <c r="A389">
        <v>2008</v>
      </c>
      <c r="B389">
        <v>2984</v>
      </c>
      <c r="C389" t="s">
        <v>2153</v>
      </c>
      <c r="D389" t="s">
        <v>2154</v>
      </c>
      <c r="E389">
        <v>331110</v>
      </c>
      <c r="F389" t="s">
        <v>335</v>
      </c>
      <c r="G389" t="s">
        <v>336</v>
      </c>
      <c r="H389" t="s">
        <v>21</v>
      </c>
      <c r="I389" t="s">
        <v>811</v>
      </c>
      <c r="J389" t="s">
        <v>812</v>
      </c>
      <c r="K389" t="s">
        <v>813</v>
      </c>
      <c r="L389" t="s">
        <v>1372</v>
      </c>
      <c r="M389" t="s">
        <v>1373</v>
      </c>
      <c r="N389" t="s">
        <v>1374</v>
      </c>
      <c r="O389" t="s">
        <v>1375</v>
      </c>
      <c r="P389">
        <v>8.0000000000000002E-3</v>
      </c>
      <c r="Q389" t="s">
        <v>40</v>
      </c>
      <c r="R389" t="s">
        <v>157</v>
      </c>
    </row>
    <row r="390" spans="1:18" x14ac:dyDescent="0.25">
      <c r="A390">
        <v>2019</v>
      </c>
      <c r="B390">
        <v>7920</v>
      </c>
      <c r="C390" t="s">
        <v>2155</v>
      </c>
      <c r="D390" t="s">
        <v>2156</v>
      </c>
      <c r="E390">
        <v>321111</v>
      </c>
      <c r="F390" t="s">
        <v>1367</v>
      </c>
      <c r="G390" t="s">
        <v>1368</v>
      </c>
      <c r="H390" t="s">
        <v>69</v>
      </c>
      <c r="I390" t="s">
        <v>1487</v>
      </c>
      <c r="J390" t="s">
        <v>1488</v>
      </c>
      <c r="K390" t="s">
        <v>1489</v>
      </c>
      <c r="L390" t="s">
        <v>1372</v>
      </c>
      <c r="M390" t="s">
        <v>1373</v>
      </c>
      <c r="N390" t="s">
        <v>1374</v>
      </c>
      <c r="O390" t="s">
        <v>1375</v>
      </c>
      <c r="P390">
        <v>90.67</v>
      </c>
      <c r="Q390" t="s">
        <v>29</v>
      </c>
      <c r="R390" t="s">
        <v>430</v>
      </c>
    </row>
    <row r="391" spans="1:18" x14ac:dyDescent="0.25">
      <c r="A391">
        <v>2015</v>
      </c>
      <c r="B391">
        <v>1236</v>
      </c>
      <c r="C391" t="s">
        <v>1109</v>
      </c>
      <c r="D391" t="s">
        <v>2157</v>
      </c>
      <c r="E391">
        <v>331410</v>
      </c>
      <c r="F391" t="s">
        <v>1234</v>
      </c>
      <c r="G391" t="s">
        <v>1235</v>
      </c>
      <c r="H391" t="s">
        <v>21</v>
      </c>
      <c r="I391" t="s">
        <v>62</v>
      </c>
      <c r="J391" t="s">
        <v>63</v>
      </c>
      <c r="K391" t="s">
        <v>64</v>
      </c>
      <c r="L391" t="s">
        <v>1372</v>
      </c>
      <c r="M391" t="s">
        <v>1373</v>
      </c>
      <c r="N391" t="s">
        <v>1374</v>
      </c>
      <c r="O391" t="s">
        <v>1375</v>
      </c>
      <c r="P391">
        <v>9.1130999999999993</v>
      </c>
      <c r="Q391" t="s">
        <v>29</v>
      </c>
      <c r="R391" t="s">
        <v>50</v>
      </c>
    </row>
    <row r="392" spans="1:18" x14ac:dyDescent="0.25">
      <c r="A392">
        <v>2011</v>
      </c>
      <c r="B392">
        <v>25072</v>
      </c>
      <c r="C392" t="s">
        <v>1043</v>
      </c>
      <c r="D392" t="s">
        <v>2158</v>
      </c>
      <c r="E392">
        <v>211113</v>
      </c>
      <c r="F392" t="s">
        <v>425</v>
      </c>
      <c r="G392" t="s">
        <v>426</v>
      </c>
      <c r="H392" t="s">
        <v>243</v>
      </c>
      <c r="I392" t="s">
        <v>1369</v>
      </c>
      <c r="J392" t="s">
        <v>1370</v>
      </c>
      <c r="K392" t="s">
        <v>1371</v>
      </c>
      <c r="L392" t="s">
        <v>1372</v>
      </c>
      <c r="M392" t="s">
        <v>1373</v>
      </c>
      <c r="N392" t="s">
        <v>1374</v>
      </c>
      <c r="O392" t="s">
        <v>1375</v>
      </c>
      <c r="P392">
        <v>1.94</v>
      </c>
      <c r="Q392" t="s">
        <v>29</v>
      </c>
      <c r="R392" t="s">
        <v>430</v>
      </c>
    </row>
    <row r="393" spans="1:18" x14ac:dyDescent="0.25">
      <c r="A393">
        <v>2023</v>
      </c>
      <c r="B393">
        <v>929</v>
      </c>
      <c r="C393" t="s">
        <v>1621</v>
      </c>
      <c r="D393" t="s">
        <v>2159</v>
      </c>
      <c r="E393">
        <v>322122</v>
      </c>
      <c r="F393" t="s">
        <v>1061</v>
      </c>
      <c r="G393" t="s">
        <v>1062</v>
      </c>
      <c r="H393" t="s">
        <v>79</v>
      </c>
      <c r="I393" t="s">
        <v>778</v>
      </c>
      <c r="J393" t="s">
        <v>779</v>
      </c>
      <c r="K393" t="s">
        <v>780</v>
      </c>
      <c r="L393" t="s">
        <v>1372</v>
      </c>
      <c r="M393" t="s">
        <v>1373</v>
      </c>
      <c r="N393" t="s">
        <v>1374</v>
      </c>
      <c r="O393" t="s">
        <v>1375</v>
      </c>
      <c r="P393">
        <v>1.0999999999999999E-2</v>
      </c>
      <c r="Q393" t="s">
        <v>29</v>
      </c>
      <c r="R393" t="s">
        <v>124</v>
      </c>
    </row>
    <row r="394" spans="1:18" x14ac:dyDescent="0.25">
      <c r="A394">
        <v>2012</v>
      </c>
      <c r="B394">
        <v>2537</v>
      </c>
      <c r="C394" t="s">
        <v>370</v>
      </c>
      <c r="D394" t="s">
        <v>2160</v>
      </c>
      <c r="E394">
        <v>562210</v>
      </c>
      <c r="F394" t="s">
        <v>84</v>
      </c>
      <c r="G394" t="s">
        <v>53</v>
      </c>
      <c r="H394" t="s">
        <v>21</v>
      </c>
      <c r="I394" t="s">
        <v>2161</v>
      </c>
      <c r="J394" t="s">
        <v>2162</v>
      </c>
      <c r="K394" t="s">
        <v>2163</v>
      </c>
      <c r="L394" t="s">
        <v>1372</v>
      </c>
      <c r="M394" t="s">
        <v>1373</v>
      </c>
      <c r="N394" t="s">
        <v>1374</v>
      </c>
      <c r="O394" t="s">
        <v>1375</v>
      </c>
      <c r="P394">
        <v>1.01E-2</v>
      </c>
      <c r="Q394" t="s">
        <v>29</v>
      </c>
      <c r="R394" t="s">
        <v>30</v>
      </c>
    </row>
    <row r="395" spans="1:18" x14ac:dyDescent="0.25">
      <c r="A395">
        <v>2013</v>
      </c>
      <c r="B395">
        <v>4896</v>
      </c>
      <c r="C395" t="s">
        <v>1805</v>
      </c>
      <c r="D395" t="s">
        <v>1841</v>
      </c>
      <c r="E395">
        <v>311224</v>
      </c>
      <c r="F395" t="s">
        <v>1842</v>
      </c>
      <c r="G395" t="s">
        <v>1843</v>
      </c>
      <c r="H395" t="s">
        <v>54</v>
      </c>
      <c r="I395" t="s">
        <v>1457</v>
      </c>
      <c r="J395" t="s">
        <v>1458</v>
      </c>
      <c r="K395" t="s">
        <v>1459</v>
      </c>
      <c r="L395" t="s">
        <v>1372</v>
      </c>
      <c r="M395" t="s">
        <v>1373</v>
      </c>
      <c r="N395" t="s">
        <v>1409</v>
      </c>
      <c r="O395" t="s">
        <v>1410</v>
      </c>
      <c r="P395">
        <v>43.780999999999999</v>
      </c>
      <c r="Q395" t="s">
        <v>29</v>
      </c>
      <c r="R395" t="s">
        <v>50</v>
      </c>
    </row>
    <row r="396" spans="1:18" x14ac:dyDescent="0.25">
      <c r="A396">
        <v>2005</v>
      </c>
      <c r="B396">
        <v>16069</v>
      </c>
      <c r="C396" t="s">
        <v>2164</v>
      </c>
      <c r="D396" t="s">
        <v>2165</v>
      </c>
      <c r="E396">
        <v>211113</v>
      </c>
      <c r="F396" t="s">
        <v>425</v>
      </c>
      <c r="G396" t="s">
        <v>426</v>
      </c>
      <c r="H396" t="s">
        <v>69</v>
      </c>
      <c r="I396" t="s">
        <v>1441</v>
      </c>
      <c r="J396" t="s">
        <v>1442</v>
      </c>
      <c r="K396" t="s">
        <v>1443</v>
      </c>
      <c r="L396" t="s">
        <v>1372</v>
      </c>
      <c r="M396" t="s">
        <v>1373</v>
      </c>
      <c r="N396" t="s">
        <v>1374</v>
      </c>
      <c r="O396" t="s">
        <v>1375</v>
      </c>
      <c r="P396">
        <v>22.472000000000001</v>
      </c>
      <c r="Q396" t="s">
        <v>29</v>
      </c>
      <c r="R396" t="s">
        <v>430</v>
      </c>
    </row>
    <row r="397" spans="1:18" x14ac:dyDescent="0.25">
      <c r="A397">
        <v>2008</v>
      </c>
      <c r="B397">
        <v>1383</v>
      </c>
      <c r="C397" t="s">
        <v>2166</v>
      </c>
      <c r="D397" t="s">
        <v>2167</v>
      </c>
      <c r="E397">
        <v>322112</v>
      </c>
      <c r="F397" t="s">
        <v>620</v>
      </c>
      <c r="G397" t="s">
        <v>621</v>
      </c>
      <c r="H397" t="s">
        <v>69</v>
      </c>
      <c r="I397" t="s">
        <v>324</v>
      </c>
      <c r="J397" t="s">
        <v>325</v>
      </c>
      <c r="K397" t="s">
        <v>326</v>
      </c>
      <c r="L397" t="s">
        <v>1378</v>
      </c>
      <c r="M397" t="s">
        <v>1379</v>
      </c>
      <c r="N397" t="s">
        <v>1380</v>
      </c>
      <c r="O397" t="s">
        <v>1381</v>
      </c>
      <c r="P397">
        <v>6.0250000000000004</v>
      </c>
      <c r="Q397" t="s">
        <v>40</v>
      </c>
      <c r="R397" t="s">
        <v>430</v>
      </c>
    </row>
    <row r="398" spans="1:18" x14ac:dyDescent="0.25">
      <c r="A398">
        <v>2001</v>
      </c>
      <c r="B398">
        <v>5569</v>
      </c>
      <c r="C398" t="s">
        <v>2168</v>
      </c>
      <c r="D398" t="s">
        <v>2169</v>
      </c>
      <c r="E398">
        <v>327990</v>
      </c>
      <c r="F398" t="s">
        <v>2170</v>
      </c>
      <c r="G398" t="s">
        <v>2171</v>
      </c>
      <c r="H398" t="s">
        <v>79</v>
      </c>
      <c r="I398" t="s">
        <v>543</v>
      </c>
      <c r="J398" t="s">
        <v>544</v>
      </c>
      <c r="K398" t="s">
        <v>545</v>
      </c>
      <c r="L398" t="s">
        <v>1372</v>
      </c>
      <c r="M398" t="s">
        <v>1373</v>
      </c>
      <c r="N398" t="s">
        <v>1374</v>
      </c>
      <c r="O398" t="s">
        <v>1375</v>
      </c>
      <c r="P398">
        <v>24.34</v>
      </c>
      <c r="Q398" t="s">
        <v>40</v>
      </c>
      <c r="R398" t="s">
        <v>442</v>
      </c>
    </row>
    <row r="399" spans="1:18" x14ac:dyDescent="0.25">
      <c r="A399">
        <v>2003</v>
      </c>
      <c r="B399">
        <v>10155</v>
      </c>
      <c r="C399" t="s">
        <v>2172</v>
      </c>
      <c r="E399">
        <v>326122</v>
      </c>
      <c r="F399" t="s">
        <v>2173</v>
      </c>
      <c r="G399" t="s">
        <v>2174</v>
      </c>
      <c r="H399" t="s">
        <v>21</v>
      </c>
      <c r="I399" t="s">
        <v>1413</v>
      </c>
      <c r="J399" t="s">
        <v>1414</v>
      </c>
      <c r="K399" t="s">
        <v>1415</v>
      </c>
      <c r="L399" t="s">
        <v>1372</v>
      </c>
      <c r="M399" t="s">
        <v>1373</v>
      </c>
      <c r="N399" t="s">
        <v>1520</v>
      </c>
      <c r="O399" t="s">
        <v>1521</v>
      </c>
      <c r="P399">
        <v>5.0999999999999997E-2</v>
      </c>
      <c r="Q399" t="s">
        <v>29</v>
      </c>
      <c r="R399" t="s">
        <v>30</v>
      </c>
    </row>
    <row r="400" spans="1:18" x14ac:dyDescent="0.25">
      <c r="A400">
        <v>2011</v>
      </c>
      <c r="B400">
        <v>16309</v>
      </c>
      <c r="C400" t="s">
        <v>1995</v>
      </c>
      <c r="D400" t="s">
        <v>2175</v>
      </c>
      <c r="E400">
        <v>211113</v>
      </c>
      <c r="F400" t="s">
        <v>425</v>
      </c>
      <c r="G400" t="s">
        <v>426</v>
      </c>
      <c r="H400" t="s">
        <v>85</v>
      </c>
      <c r="I400" t="s">
        <v>1533</v>
      </c>
      <c r="J400" t="s">
        <v>1534</v>
      </c>
      <c r="K400" t="s">
        <v>1535</v>
      </c>
      <c r="L400" t="s">
        <v>1372</v>
      </c>
      <c r="M400" t="s">
        <v>1373</v>
      </c>
      <c r="N400" t="s">
        <v>1374</v>
      </c>
      <c r="O400" t="s">
        <v>1375</v>
      </c>
      <c r="P400">
        <v>73.361000000000004</v>
      </c>
      <c r="Q400" t="s">
        <v>29</v>
      </c>
      <c r="R400" t="s">
        <v>430</v>
      </c>
    </row>
    <row r="401" spans="1:18" x14ac:dyDescent="0.25">
      <c r="A401">
        <v>2022</v>
      </c>
      <c r="B401">
        <v>23810</v>
      </c>
      <c r="C401" t="s">
        <v>2176</v>
      </c>
      <c r="D401" t="s">
        <v>2177</v>
      </c>
      <c r="E401">
        <v>211110</v>
      </c>
      <c r="F401" t="s">
        <v>233</v>
      </c>
      <c r="G401" t="s">
        <v>234</v>
      </c>
      <c r="H401" t="s">
        <v>85</v>
      </c>
      <c r="I401" t="s">
        <v>1413</v>
      </c>
      <c r="J401" t="s">
        <v>1414</v>
      </c>
      <c r="K401" t="s">
        <v>1415</v>
      </c>
      <c r="L401" t="s">
        <v>1372</v>
      </c>
      <c r="M401" t="s">
        <v>1373</v>
      </c>
      <c r="N401" t="s">
        <v>1374</v>
      </c>
      <c r="O401" t="s">
        <v>1375</v>
      </c>
      <c r="P401">
        <v>0</v>
      </c>
      <c r="Q401" t="s">
        <v>29</v>
      </c>
    </row>
    <row r="402" spans="1:18" x14ac:dyDescent="0.25">
      <c r="A402">
        <v>2018</v>
      </c>
      <c r="B402">
        <v>3751</v>
      </c>
      <c r="C402" t="s">
        <v>1485</v>
      </c>
      <c r="D402" t="s">
        <v>2178</v>
      </c>
      <c r="E402">
        <v>211110</v>
      </c>
      <c r="F402" t="s">
        <v>233</v>
      </c>
      <c r="G402" t="s">
        <v>234</v>
      </c>
      <c r="H402" t="s">
        <v>85</v>
      </c>
      <c r="I402" t="s">
        <v>70</v>
      </c>
      <c r="J402" t="s">
        <v>71</v>
      </c>
      <c r="K402" t="s">
        <v>72</v>
      </c>
      <c r="L402" t="s">
        <v>1361</v>
      </c>
      <c r="M402" t="s">
        <v>1362</v>
      </c>
      <c r="N402" t="s">
        <v>1363</v>
      </c>
      <c r="O402" t="s">
        <v>1364</v>
      </c>
      <c r="P402">
        <v>0.1075</v>
      </c>
      <c r="Q402" t="s">
        <v>29</v>
      </c>
      <c r="R402" t="s">
        <v>430</v>
      </c>
    </row>
    <row r="403" spans="1:18" x14ac:dyDescent="0.25">
      <c r="A403">
        <v>2005</v>
      </c>
      <c r="B403">
        <v>11224</v>
      </c>
      <c r="C403" t="s">
        <v>2179</v>
      </c>
      <c r="D403" t="s">
        <v>2180</v>
      </c>
      <c r="E403">
        <v>327320</v>
      </c>
      <c r="F403" t="s">
        <v>1924</v>
      </c>
      <c r="G403" t="s">
        <v>1925</v>
      </c>
      <c r="H403" t="s">
        <v>21</v>
      </c>
      <c r="I403" t="s">
        <v>1369</v>
      </c>
      <c r="J403" t="s">
        <v>1370</v>
      </c>
      <c r="K403" t="s">
        <v>1371</v>
      </c>
      <c r="L403" t="s">
        <v>1372</v>
      </c>
      <c r="M403" t="s">
        <v>1373</v>
      </c>
      <c r="N403" t="s">
        <v>1409</v>
      </c>
      <c r="O403" t="s">
        <v>1410</v>
      </c>
      <c r="P403">
        <v>0.876</v>
      </c>
      <c r="Q403" t="s">
        <v>29</v>
      </c>
      <c r="R403" t="s">
        <v>430</v>
      </c>
    </row>
    <row r="404" spans="1:18" x14ac:dyDescent="0.25">
      <c r="A404">
        <v>2008</v>
      </c>
      <c r="B404">
        <v>18113</v>
      </c>
      <c r="C404" t="s">
        <v>1940</v>
      </c>
      <c r="D404" t="s">
        <v>2181</v>
      </c>
      <c r="E404">
        <v>211113</v>
      </c>
      <c r="F404" t="s">
        <v>425</v>
      </c>
      <c r="G404" t="s">
        <v>426</v>
      </c>
      <c r="H404" t="s">
        <v>243</v>
      </c>
      <c r="I404" t="s">
        <v>1421</v>
      </c>
      <c r="J404" t="s">
        <v>1422</v>
      </c>
      <c r="K404" t="s">
        <v>1423</v>
      </c>
      <c r="L404" t="s">
        <v>1372</v>
      </c>
      <c r="M404" t="s">
        <v>1373</v>
      </c>
      <c r="N404" t="s">
        <v>1374</v>
      </c>
      <c r="O404" t="s">
        <v>1375</v>
      </c>
      <c r="P404">
        <v>1.5469999999999999</v>
      </c>
      <c r="Q404" t="s">
        <v>29</v>
      </c>
      <c r="R404" t="s">
        <v>430</v>
      </c>
    </row>
    <row r="405" spans="1:18" x14ac:dyDescent="0.25">
      <c r="A405">
        <v>2007</v>
      </c>
      <c r="B405">
        <v>2051</v>
      </c>
      <c r="C405" t="s">
        <v>2182</v>
      </c>
      <c r="D405" t="s">
        <v>2183</v>
      </c>
      <c r="E405">
        <v>322121</v>
      </c>
      <c r="F405" t="s">
        <v>764</v>
      </c>
      <c r="G405" t="s">
        <v>765</v>
      </c>
      <c r="H405" t="s">
        <v>54</v>
      </c>
      <c r="I405" t="s">
        <v>461</v>
      </c>
      <c r="J405" t="s">
        <v>462</v>
      </c>
      <c r="K405" t="s">
        <v>463</v>
      </c>
      <c r="L405" t="s">
        <v>1372</v>
      </c>
      <c r="M405" t="s">
        <v>1373</v>
      </c>
      <c r="N405" t="s">
        <v>1374</v>
      </c>
      <c r="O405" t="s">
        <v>1375</v>
      </c>
      <c r="P405">
        <v>3.18</v>
      </c>
      <c r="Q405" t="s">
        <v>40</v>
      </c>
      <c r="R405" t="s">
        <v>430</v>
      </c>
    </row>
    <row r="406" spans="1:18" x14ac:dyDescent="0.25">
      <c r="A406">
        <v>2016</v>
      </c>
      <c r="B406">
        <v>29384</v>
      </c>
      <c r="C406" t="s">
        <v>327</v>
      </c>
      <c r="D406" t="s">
        <v>2184</v>
      </c>
      <c r="E406">
        <v>562110</v>
      </c>
      <c r="F406" t="s">
        <v>644</v>
      </c>
      <c r="G406" t="s">
        <v>645</v>
      </c>
      <c r="H406" t="s">
        <v>85</v>
      </c>
      <c r="I406" t="s">
        <v>271</v>
      </c>
      <c r="J406" t="s">
        <v>272</v>
      </c>
      <c r="K406" t="s">
        <v>273</v>
      </c>
      <c r="L406" t="s">
        <v>1361</v>
      </c>
      <c r="M406" t="s">
        <v>1362</v>
      </c>
      <c r="N406" t="s">
        <v>1363</v>
      </c>
      <c r="O406" t="s">
        <v>1364</v>
      </c>
      <c r="P406">
        <v>2.9999999999999997E-4</v>
      </c>
      <c r="Q406" t="s">
        <v>29</v>
      </c>
      <c r="R406" t="s">
        <v>50</v>
      </c>
    </row>
    <row r="407" spans="1:18" x14ac:dyDescent="0.25">
      <c r="A407">
        <v>2007</v>
      </c>
      <c r="B407">
        <v>6379</v>
      </c>
      <c r="C407" t="s">
        <v>2185</v>
      </c>
      <c r="D407" t="s">
        <v>2186</v>
      </c>
      <c r="E407">
        <v>221320</v>
      </c>
      <c r="F407" t="s">
        <v>390</v>
      </c>
      <c r="G407" t="s">
        <v>147</v>
      </c>
      <c r="H407" t="s">
        <v>79</v>
      </c>
      <c r="I407" t="s">
        <v>97</v>
      </c>
      <c r="J407" t="s">
        <v>98</v>
      </c>
      <c r="K407" t="s">
        <v>99</v>
      </c>
      <c r="L407" t="s">
        <v>1378</v>
      </c>
      <c r="M407" t="s">
        <v>1379</v>
      </c>
      <c r="N407" t="s">
        <v>1380</v>
      </c>
      <c r="O407" t="s">
        <v>1381</v>
      </c>
      <c r="P407">
        <v>3.08</v>
      </c>
      <c r="Q407" t="s">
        <v>29</v>
      </c>
      <c r="R407" t="s">
        <v>725</v>
      </c>
    </row>
    <row r="408" spans="1:18" x14ac:dyDescent="0.25">
      <c r="A408">
        <v>2001</v>
      </c>
      <c r="B408">
        <v>5446</v>
      </c>
      <c r="C408" t="s">
        <v>2187</v>
      </c>
      <c r="E408">
        <v>325999</v>
      </c>
      <c r="F408" t="s">
        <v>396</v>
      </c>
      <c r="G408" t="s">
        <v>397</v>
      </c>
      <c r="H408" t="s">
        <v>79</v>
      </c>
      <c r="I408" t="s">
        <v>220</v>
      </c>
      <c r="J408" t="s">
        <v>221</v>
      </c>
      <c r="K408" t="s">
        <v>222</v>
      </c>
      <c r="L408" t="s">
        <v>1372</v>
      </c>
      <c r="M408" t="s">
        <v>1373</v>
      </c>
      <c r="N408" t="s">
        <v>1409</v>
      </c>
      <c r="O408" t="s">
        <v>1410</v>
      </c>
      <c r="P408">
        <v>6.6000000000000003E-2</v>
      </c>
      <c r="Q408" t="s">
        <v>29</v>
      </c>
      <c r="R408" t="s">
        <v>30</v>
      </c>
    </row>
    <row r="409" spans="1:18" x14ac:dyDescent="0.25">
      <c r="A409">
        <v>2021</v>
      </c>
      <c r="B409">
        <v>4511</v>
      </c>
      <c r="C409" t="s">
        <v>2188</v>
      </c>
      <c r="D409" t="s">
        <v>2189</v>
      </c>
      <c r="E409">
        <v>311919</v>
      </c>
      <c r="F409" t="s">
        <v>2190</v>
      </c>
      <c r="G409" t="s">
        <v>2191</v>
      </c>
      <c r="H409" t="s">
        <v>21</v>
      </c>
      <c r="I409" t="s">
        <v>1421</v>
      </c>
      <c r="J409" t="s">
        <v>1422</v>
      </c>
      <c r="K409" t="s">
        <v>1423</v>
      </c>
      <c r="L409" t="s">
        <v>1372</v>
      </c>
      <c r="M409" t="s">
        <v>1373</v>
      </c>
      <c r="N409" t="s">
        <v>1374</v>
      </c>
      <c r="O409" t="s">
        <v>1375</v>
      </c>
      <c r="P409">
        <v>10.718999999999999</v>
      </c>
      <c r="Q409" t="s">
        <v>29</v>
      </c>
      <c r="R409" t="s">
        <v>430</v>
      </c>
    </row>
    <row r="410" spans="1:18" x14ac:dyDescent="0.25">
      <c r="A410">
        <v>2007</v>
      </c>
      <c r="B410">
        <v>21637</v>
      </c>
      <c r="C410" t="s">
        <v>2192</v>
      </c>
      <c r="D410" t="s">
        <v>2193</v>
      </c>
      <c r="E410">
        <v>211113</v>
      </c>
      <c r="F410" t="s">
        <v>425</v>
      </c>
      <c r="G410" t="s">
        <v>426</v>
      </c>
      <c r="H410" t="s">
        <v>85</v>
      </c>
      <c r="I410" t="s">
        <v>1369</v>
      </c>
      <c r="J410" t="s">
        <v>1370</v>
      </c>
      <c r="K410" t="s">
        <v>1371</v>
      </c>
      <c r="L410" t="s">
        <v>1372</v>
      </c>
      <c r="M410" t="s">
        <v>1373</v>
      </c>
      <c r="N410" t="s">
        <v>1374</v>
      </c>
      <c r="O410" t="s">
        <v>1375</v>
      </c>
      <c r="P410">
        <v>0.55300000000000005</v>
      </c>
      <c r="Q410" t="s">
        <v>29</v>
      </c>
      <c r="R410" t="s">
        <v>430</v>
      </c>
    </row>
    <row r="411" spans="1:18" x14ac:dyDescent="0.25">
      <c r="A411">
        <v>2023</v>
      </c>
      <c r="B411">
        <v>25434</v>
      </c>
      <c r="C411" t="s">
        <v>2194</v>
      </c>
      <c r="D411" t="s">
        <v>2195</v>
      </c>
      <c r="E411">
        <v>212220</v>
      </c>
      <c r="F411" t="s">
        <v>1619</v>
      </c>
      <c r="G411" t="s">
        <v>1620</v>
      </c>
      <c r="H411" t="s">
        <v>69</v>
      </c>
      <c r="I411" t="s">
        <v>209</v>
      </c>
      <c r="J411" t="s">
        <v>210</v>
      </c>
      <c r="K411" t="s">
        <v>211</v>
      </c>
      <c r="L411" t="s">
        <v>1372</v>
      </c>
      <c r="M411" t="s">
        <v>1373</v>
      </c>
      <c r="N411" t="s">
        <v>1409</v>
      </c>
      <c r="O411" t="s">
        <v>1410</v>
      </c>
      <c r="P411">
        <v>4.64E-4</v>
      </c>
      <c r="Q411" t="s">
        <v>29</v>
      </c>
      <c r="R411" t="s">
        <v>124</v>
      </c>
    </row>
    <row r="412" spans="1:18" x14ac:dyDescent="0.25">
      <c r="A412">
        <v>2004</v>
      </c>
      <c r="B412">
        <v>18470</v>
      </c>
      <c r="C412" t="s">
        <v>2164</v>
      </c>
      <c r="D412" t="s">
        <v>2196</v>
      </c>
      <c r="E412">
        <v>211113</v>
      </c>
      <c r="F412" t="s">
        <v>425</v>
      </c>
      <c r="G412" t="s">
        <v>426</v>
      </c>
      <c r="H412" t="s">
        <v>85</v>
      </c>
      <c r="I412" t="s">
        <v>1369</v>
      </c>
      <c r="J412" t="s">
        <v>1370</v>
      </c>
      <c r="K412" t="s">
        <v>1371</v>
      </c>
      <c r="L412" t="s">
        <v>1372</v>
      </c>
      <c r="M412" t="s">
        <v>1373</v>
      </c>
      <c r="N412" t="s">
        <v>1374</v>
      </c>
      <c r="O412" t="s">
        <v>1375</v>
      </c>
      <c r="P412">
        <v>0.57699999999999996</v>
      </c>
      <c r="Q412" t="s">
        <v>29</v>
      </c>
      <c r="R412" t="s">
        <v>430</v>
      </c>
    </row>
    <row r="413" spans="1:18" x14ac:dyDescent="0.25">
      <c r="A413">
        <v>2018</v>
      </c>
      <c r="B413">
        <v>6226</v>
      </c>
      <c r="C413" t="s">
        <v>1365</v>
      </c>
      <c r="D413" t="s">
        <v>2197</v>
      </c>
      <c r="E413">
        <v>321111</v>
      </c>
      <c r="F413" t="s">
        <v>1367</v>
      </c>
      <c r="G413" t="s">
        <v>1368</v>
      </c>
      <c r="H413" t="s">
        <v>79</v>
      </c>
      <c r="I413" t="s">
        <v>1533</v>
      </c>
      <c r="J413" t="s">
        <v>1534</v>
      </c>
      <c r="K413" t="s">
        <v>1535</v>
      </c>
      <c r="L413" t="s">
        <v>1372</v>
      </c>
      <c r="M413" t="s">
        <v>1373</v>
      </c>
      <c r="N413" t="s">
        <v>1374</v>
      </c>
      <c r="O413" t="s">
        <v>1375</v>
      </c>
      <c r="P413">
        <v>27.8</v>
      </c>
      <c r="Q413" t="s">
        <v>29</v>
      </c>
      <c r="R413" t="s">
        <v>430</v>
      </c>
    </row>
    <row r="414" spans="1:18" x14ac:dyDescent="0.25">
      <c r="A414">
        <v>1999</v>
      </c>
      <c r="B414">
        <v>3707</v>
      </c>
      <c r="C414" t="s">
        <v>125</v>
      </c>
      <c r="D414" t="s">
        <v>808</v>
      </c>
      <c r="E414">
        <v>324110</v>
      </c>
      <c r="F414" t="s">
        <v>95</v>
      </c>
      <c r="G414" t="s">
        <v>96</v>
      </c>
      <c r="H414" t="s">
        <v>85</v>
      </c>
      <c r="I414" t="s">
        <v>271</v>
      </c>
      <c r="J414" t="s">
        <v>387</v>
      </c>
      <c r="K414" t="s">
        <v>388</v>
      </c>
      <c r="L414" t="s">
        <v>1372</v>
      </c>
      <c r="M414" t="s">
        <v>1373</v>
      </c>
      <c r="N414" t="s">
        <v>1520</v>
      </c>
      <c r="O414" t="s">
        <v>1521</v>
      </c>
      <c r="P414">
        <v>4.5999999999999999E-2</v>
      </c>
      <c r="Q414" t="s">
        <v>29</v>
      </c>
      <c r="R414" t="s">
        <v>30</v>
      </c>
    </row>
    <row r="415" spans="1:18" x14ac:dyDescent="0.25">
      <c r="A415">
        <v>2008</v>
      </c>
      <c r="B415">
        <v>764</v>
      </c>
      <c r="C415" t="s">
        <v>2198</v>
      </c>
      <c r="D415" t="s">
        <v>2199</v>
      </c>
      <c r="E415">
        <v>326140</v>
      </c>
      <c r="F415" t="s">
        <v>2200</v>
      </c>
      <c r="G415" t="s">
        <v>1900</v>
      </c>
      <c r="H415" t="s">
        <v>85</v>
      </c>
      <c r="I415" t="s">
        <v>2201</v>
      </c>
      <c r="J415" t="s">
        <v>2202</v>
      </c>
      <c r="K415" t="s">
        <v>2203</v>
      </c>
      <c r="L415" t="s">
        <v>1372</v>
      </c>
      <c r="M415" t="s">
        <v>1373</v>
      </c>
      <c r="N415" t="s">
        <v>1374</v>
      </c>
      <c r="O415" t="s">
        <v>1375</v>
      </c>
      <c r="P415">
        <v>2.0529999999999999</v>
      </c>
      <c r="Q415" t="s">
        <v>29</v>
      </c>
      <c r="R415" t="s">
        <v>30</v>
      </c>
    </row>
    <row r="416" spans="1:18" x14ac:dyDescent="0.25">
      <c r="A416">
        <v>1998</v>
      </c>
      <c r="B416">
        <v>2022</v>
      </c>
      <c r="C416" t="s">
        <v>1578</v>
      </c>
      <c r="D416" t="s">
        <v>2204</v>
      </c>
      <c r="E416">
        <v>325510</v>
      </c>
      <c r="F416" t="s">
        <v>143</v>
      </c>
      <c r="G416" t="s">
        <v>112</v>
      </c>
      <c r="H416" t="s">
        <v>21</v>
      </c>
      <c r="I416" t="s">
        <v>427</v>
      </c>
      <c r="J416" t="s">
        <v>428</v>
      </c>
      <c r="K416" t="s">
        <v>429</v>
      </c>
      <c r="L416" t="s">
        <v>1361</v>
      </c>
      <c r="M416" t="s">
        <v>1362</v>
      </c>
      <c r="N416" t="s">
        <v>1363</v>
      </c>
      <c r="O416" t="s">
        <v>1364</v>
      </c>
      <c r="P416">
        <v>3.6999999999999998E-2</v>
      </c>
      <c r="Q416" t="s">
        <v>29</v>
      </c>
      <c r="R416" t="s">
        <v>30</v>
      </c>
    </row>
    <row r="417" spans="1:18" x14ac:dyDescent="0.25">
      <c r="A417">
        <v>2009</v>
      </c>
      <c r="B417">
        <v>11765</v>
      </c>
      <c r="C417" t="s">
        <v>2205</v>
      </c>
      <c r="D417" t="s">
        <v>2206</v>
      </c>
      <c r="E417">
        <v>321911</v>
      </c>
      <c r="F417" t="s">
        <v>842</v>
      </c>
      <c r="G417" t="s">
        <v>2207</v>
      </c>
      <c r="H417" t="s">
        <v>21</v>
      </c>
      <c r="I417" t="s">
        <v>778</v>
      </c>
      <c r="J417" t="s">
        <v>779</v>
      </c>
      <c r="K417" t="s">
        <v>780</v>
      </c>
      <c r="L417" t="s">
        <v>1361</v>
      </c>
      <c r="M417" t="s">
        <v>1362</v>
      </c>
      <c r="N417" t="s">
        <v>1363</v>
      </c>
      <c r="O417" t="s">
        <v>1364</v>
      </c>
      <c r="P417">
        <v>0.21199999999999999</v>
      </c>
      <c r="Q417" t="s">
        <v>29</v>
      </c>
      <c r="R417" t="s">
        <v>30</v>
      </c>
    </row>
    <row r="418" spans="1:18" x14ac:dyDescent="0.25">
      <c r="A418">
        <v>2022</v>
      </c>
      <c r="B418">
        <v>20077</v>
      </c>
      <c r="C418" t="s">
        <v>2208</v>
      </c>
      <c r="D418" t="s">
        <v>2209</v>
      </c>
      <c r="E418">
        <v>321111</v>
      </c>
      <c r="F418" t="s">
        <v>1367</v>
      </c>
      <c r="G418" t="s">
        <v>1368</v>
      </c>
      <c r="H418" t="s">
        <v>69</v>
      </c>
      <c r="I418" t="s">
        <v>1421</v>
      </c>
      <c r="J418" t="s">
        <v>1422</v>
      </c>
      <c r="K418" t="s">
        <v>1423</v>
      </c>
      <c r="L418" t="s">
        <v>1372</v>
      </c>
      <c r="M418" t="s">
        <v>1373</v>
      </c>
      <c r="N418" t="s">
        <v>1374</v>
      </c>
      <c r="O418" t="s">
        <v>1375</v>
      </c>
      <c r="P418">
        <v>0.74580000000000002</v>
      </c>
      <c r="Q418" t="s">
        <v>29</v>
      </c>
      <c r="R418" t="s">
        <v>430</v>
      </c>
    </row>
    <row r="419" spans="1:18" x14ac:dyDescent="0.25">
      <c r="A419">
        <v>2021</v>
      </c>
      <c r="B419">
        <v>4449</v>
      </c>
      <c r="C419" t="s">
        <v>2210</v>
      </c>
      <c r="D419" t="s">
        <v>2211</v>
      </c>
      <c r="E419">
        <v>327214</v>
      </c>
      <c r="F419" t="s">
        <v>2212</v>
      </c>
      <c r="G419" t="s">
        <v>2213</v>
      </c>
      <c r="H419" t="s">
        <v>79</v>
      </c>
      <c r="I419" t="s">
        <v>500</v>
      </c>
      <c r="J419" t="s">
        <v>501</v>
      </c>
      <c r="K419" t="s">
        <v>502</v>
      </c>
      <c r="L419" t="s">
        <v>1394</v>
      </c>
      <c r="M419" t="s">
        <v>1395</v>
      </c>
      <c r="N419" t="s">
        <v>1396</v>
      </c>
      <c r="O419" t="s">
        <v>1397</v>
      </c>
      <c r="P419">
        <v>1.82</v>
      </c>
      <c r="Q419" t="s">
        <v>40</v>
      </c>
      <c r="R419" t="s">
        <v>50</v>
      </c>
    </row>
    <row r="420" spans="1:18" x14ac:dyDescent="0.25">
      <c r="A420">
        <v>2019</v>
      </c>
      <c r="B420">
        <v>2960</v>
      </c>
      <c r="C420" t="s">
        <v>507</v>
      </c>
      <c r="D420" t="s">
        <v>2214</v>
      </c>
      <c r="E420">
        <v>324110</v>
      </c>
      <c r="F420" t="s">
        <v>196</v>
      </c>
      <c r="G420" t="s">
        <v>96</v>
      </c>
      <c r="H420" t="s">
        <v>85</v>
      </c>
      <c r="I420" t="s">
        <v>1457</v>
      </c>
      <c r="J420" t="s">
        <v>1458</v>
      </c>
      <c r="K420" t="s">
        <v>1459</v>
      </c>
      <c r="L420" t="s">
        <v>1372</v>
      </c>
      <c r="M420" t="s">
        <v>1373</v>
      </c>
      <c r="N420" t="s">
        <v>1409</v>
      </c>
      <c r="O420" t="s">
        <v>1410</v>
      </c>
      <c r="P420">
        <v>59.83</v>
      </c>
      <c r="Q420" t="s">
        <v>29</v>
      </c>
      <c r="R420" t="s">
        <v>725</v>
      </c>
    </row>
    <row r="421" spans="1:18" x14ac:dyDescent="0.25">
      <c r="A421">
        <v>1995</v>
      </c>
      <c r="B421">
        <v>679</v>
      </c>
      <c r="C421" t="s">
        <v>2215</v>
      </c>
      <c r="E421">
        <v>325520</v>
      </c>
      <c r="F421" t="s">
        <v>1147</v>
      </c>
      <c r="G421" t="s">
        <v>1122</v>
      </c>
      <c r="H421" t="s">
        <v>21</v>
      </c>
      <c r="I421" t="s">
        <v>22</v>
      </c>
      <c r="J421" t="s">
        <v>23</v>
      </c>
      <c r="K421" t="s">
        <v>24</v>
      </c>
      <c r="L421" t="s">
        <v>1361</v>
      </c>
      <c r="M421" t="s">
        <v>1362</v>
      </c>
      <c r="N421" t="s">
        <v>1363</v>
      </c>
      <c r="O421" t="s">
        <v>1364</v>
      </c>
      <c r="P421">
        <v>0.7</v>
      </c>
      <c r="Q421" t="s">
        <v>29</v>
      </c>
      <c r="R421" t="s">
        <v>50</v>
      </c>
    </row>
    <row r="422" spans="1:18" x14ac:dyDescent="0.25">
      <c r="A422">
        <v>2023</v>
      </c>
      <c r="B422">
        <v>23412</v>
      </c>
      <c r="C422" t="s">
        <v>1641</v>
      </c>
      <c r="D422" t="s">
        <v>2216</v>
      </c>
      <c r="E422">
        <v>211110</v>
      </c>
      <c r="F422" t="s">
        <v>233</v>
      </c>
      <c r="G422" t="s">
        <v>234</v>
      </c>
      <c r="H422" t="s">
        <v>85</v>
      </c>
      <c r="I422" t="s">
        <v>1421</v>
      </c>
      <c r="J422" t="s">
        <v>1422</v>
      </c>
      <c r="K422" t="s">
        <v>1423</v>
      </c>
      <c r="L422" t="s">
        <v>1372</v>
      </c>
      <c r="M422" t="s">
        <v>1373</v>
      </c>
      <c r="N422" t="s">
        <v>1374</v>
      </c>
      <c r="O422" t="s">
        <v>1375</v>
      </c>
      <c r="P422">
        <v>0.11958000000000001</v>
      </c>
      <c r="Q422" t="s">
        <v>29</v>
      </c>
      <c r="R422" t="s">
        <v>430</v>
      </c>
    </row>
    <row r="423" spans="1:18" x14ac:dyDescent="0.25">
      <c r="A423">
        <v>2022</v>
      </c>
      <c r="B423">
        <v>30386</v>
      </c>
      <c r="C423" t="s">
        <v>1592</v>
      </c>
      <c r="D423" t="s">
        <v>2217</v>
      </c>
      <c r="E423">
        <v>211110</v>
      </c>
      <c r="F423" t="s">
        <v>233</v>
      </c>
      <c r="G423" t="s">
        <v>234</v>
      </c>
      <c r="H423" t="s">
        <v>85</v>
      </c>
      <c r="I423" t="s">
        <v>1369</v>
      </c>
      <c r="J423" t="s">
        <v>1370</v>
      </c>
      <c r="K423" t="s">
        <v>1371</v>
      </c>
      <c r="L423" t="s">
        <v>1372</v>
      </c>
      <c r="M423" t="s">
        <v>1373</v>
      </c>
      <c r="N423" t="s">
        <v>1374</v>
      </c>
      <c r="O423" t="s">
        <v>1375</v>
      </c>
      <c r="P423">
        <v>0.63449999999999995</v>
      </c>
      <c r="Q423" t="s">
        <v>29</v>
      </c>
      <c r="R423" t="s">
        <v>430</v>
      </c>
    </row>
    <row r="424" spans="1:18" x14ac:dyDescent="0.25">
      <c r="A424">
        <v>2010</v>
      </c>
      <c r="B424">
        <v>18241</v>
      </c>
      <c r="C424" t="s">
        <v>2218</v>
      </c>
      <c r="D424" t="s">
        <v>2219</v>
      </c>
      <c r="E424">
        <v>212392</v>
      </c>
      <c r="F424" t="s">
        <v>2084</v>
      </c>
      <c r="G424" t="s">
        <v>2085</v>
      </c>
      <c r="H424" t="s">
        <v>379</v>
      </c>
      <c r="I424" t="s">
        <v>1369</v>
      </c>
      <c r="J424" t="s">
        <v>1370</v>
      </c>
      <c r="K424" t="s">
        <v>1371</v>
      </c>
      <c r="L424" t="s">
        <v>1372</v>
      </c>
      <c r="M424" t="s">
        <v>1373</v>
      </c>
      <c r="N424" t="s">
        <v>1520</v>
      </c>
      <c r="O424" t="s">
        <v>1521</v>
      </c>
      <c r="P424">
        <v>175</v>
      </c>
      <c r="Q424" t="s">
        <v>29</v>
      </c>
      <c r="R424" t="s">
        <v>430</v>
      </c>
    </row>
    <row r="425" spans="1:18" x14ac:dyDescent="0.25">
      <c r="A425">
        <v>2011</v>
      </c>
      <c r="B425">
        <v>5375</v>
      </c>
      <c r="C425" t="s">
        <v>2220</v>
      </c>
      <c r="D425" t="s">
        <v>2221</v>
      </c>
      <c r="E425">
        <v>321111</v>
      </c>
      <c r="F425" t="s">
        <v>1474</v>
      </c>
      <c r="G425" t="s">
        <v>1368</v>
      </c>
      <c r="H425" t="s">
        <v>85</v>
      </c>
      <c r="I425" t="s">
        <v>1762</v>
      </c>
      <c r="J425" t="s">
        <v>1763</v>
      </c>
      <c r="K425" t="s">
        <v>1764</v>
      </c>
      <c r="L425" t="s">
        <v>1372</v>
      </c>
      <c r="M425" t="s">
        <v>1373</v>
      </c>
      <c r="N425" t="s">
        <v>1374</v>
      </c>
      <c r="O425" t="s">
        <v>1375</v>
      </c>
      <c r="P425">
        <v>6.2E-2</v>
      </c>
      <c r="Q425" t="s">
        <v>29</v>
      </c>
      <c r="R425" t="s">
        <v>430</v>
      </c>
    </row>
    <row r="426" spans="1:18" x14ac:dyDescent="0.25">
      <c r="A426">
        <v>2014</v>
      </c>
      <c r="B426">
        <v>6591</v>
      </c>
      <c r="C426" t="s">
        <v>1600</v>
      </c>
      <c r="D426" t="s">
        <v>1601</v>
      </c>
      <c r="E426">
        <v>221112</v>
      </c>
      <c r="F426" t="s">
        <v>499</v>
      </c>
      <c r="G426" t="s">
        <v>135</v>
      </c>
      <c r="H426" t="s">
        <v>85</v>
      </c>
      <c r="I426" t="s">
        <v>1487</v>
      </c>
      <c r="J426" t="s">
        <v>1488</v>
      </c>
      <c r="K426" t="s">
        <v>1489</v>
      </c>
      <c r="L426" t="s">
        <v>1372</v>
      </c>
      <c r="M426" t="s">
        <v>1373</v>
      </c>
      <c r="N426" t="s">
        <v>1520</v>
      </c>
      <c r="O426" t="s">
        <v>1521</v>
      </c>
      <c r="P426">
        <v>1.8660000000000001</v>
      </c>
      <c r="Q426" t="s">
        <v>29</v>
      </c>
      <c r="R426" t="s">
        <v>30</v>
      </c>
    </row>
    <row r="427" spans="1:18" x14ac:dyDescent="0.25">
      <c r="A427">
        <v>2021</v>
      </c>
      <c r="B427">
        <v>10087</v>
      </c>
      <c r="C427" t="s">
        <v>2222</v>
      </c>
      <c r="D427" t="s">
        <v>2223</v>
      </c>
      <c r="E427">
        <v>411120</v>
      </c>
      <c r="F427" t="s">
        <v>1974</v>
      </c>
      <c r="G427" t="s">
        <v>1975</v>
      </c>
      <c r="H427" t="s">
        <v>21</v>
      </c>
      <c r="I427" t="s">
        <v>1421</v>
      </c>
      <c r="J427" t="s">
        <v>1422</v>
      </c>
      <c r="K427" t="s">
        <v>1423</v>
      </c>
      <c r="L427" t="s">
        <v>1372</v>
      </c>
      <c r="M427" t="s">
        <v>1373</v>
      </c>
      <c r="N427" t="s">
        <v>1374</v>
      </c>
      <c r="O427" t="s">
        <v>1375</v>
      </c>
      <c r="P427">
        <v>8.0000000000000002E-3</v>
      </c>
      <c r="Q427" t="s">
        <v>29</v>
      </c>
      <c r="R427" t="s">
        <v>430</v>
      </c>
    </row>
    <row r="428" spans="1:18" x14ac:dyDescent="0.25">
      <c r="A428">
        <v>2021</v>
      </c>
      <c r="B428">
        <v>4324</v>
      </c>
      <c r="C428" t="s">
        <v>2224</v>
      </c>
      <c r="D428" t="s">
        <v>2225</v>
      </c>
      <c r="E428">
        <v>326191</v>
      </c>
      <c r="F428" t="s">
        <v>2226</v>
      </c>
      <c r="G428" t="s">
        <v>2227</v>
      </c>
      <c r="H428" t="s">
        <v>79</v>
      </c>
      <c r="I428" t="s">
        <v>1457</v>
      </c>
      <c r="J428" t="s">
        <v>1458</v>
      </c>
      <c r="K428" t="s">
        <v>1459</v>
      </c>
      <c r="L428" t="s">
        <v>1372</v>
      </c>
      <c r="M428" t="s">
        <v>1373</v>
      </c>
      <c r="N428" t="s">
        <v>1374</v>
      </c>
      <c r="O428" t="s">
        <v>1375</v>
      </c>
      <c r="P428">
        <v>42.22</v>
      </c>
      <c r="Q428" t="s">
        <v>29</v>
      </c>
      <c r="R428" t="s">
        <v>430</v>
      </c>
    </row>
    <row r="429" spans="1:18" x14ac:dyDescent="0.25">
      <c r="A429">
        <v>2007</v>
      </c>
      <c r="B429">
        <v>3845</v>
      </c>
      <c r="C429" t="s">
        <v>2228</v>
      </c>
      <c r="D429" t="s">
        <v>2229</v>
      </c>
      <c r="E429">
        <v>332810</v>
      </c>
      <c r="F429" t="s">
        <v>237</v>
      </c>
      <c r="G429" t="s">
        <v>238</v>
      </c>
      <c r="H429" t="s">
        <v>21</v>
      </c>
      <c r="I429" t="s">
        <v>1369</v>
      </c>
      <c r="J429" t="s">
        <v>1370</v>
      </c>
      <c r="K429" t="s">
        <v>1371</v>
      </c>
      <c r="L429" t="s">
        <v>1372</v>
      </c>
      <c r="M429" t="s">
        <v>1373</v>
      </c>
      <c r="N429" t="s">
        <v>1390</v>
      </c>
      <c r="O429" t="s">
        <v>1391</v>
      </c>
      <c r="P429">
        <v>0</v>
      </c>
      <c r="Q429" t="s">
        <v>29</v>
      </c>
      <c r="R429" t="s">
        <v>30</v>
      </c>
    </row>
    <row r="430" spans="1:18" x14ac:dyDescent="0.25">
      <c r="A430">
        <v>2005</v>
      </c>
      <c r="B430">
        <v>4378</v>
      </c>
      <c r="C430" t="s">
        <v>2230</v>
      </c>
      <c r="D430" t="s">
        <v>2231</v>
      </c>
      <c r="E430">
        <v>322299</v>
      </c>
      <c r="F430" t="s">
        <v>906</v>
      </c>
      <c r="G430" t="s">
        <v>716</v>
      </c>
      <c r="H430" t="s">
        <v>79</v>
      </c>
      <c r="I430" t="s">
        <v>648</v>
      </c>
      <c r="J430" t="s">
        <v>649</v>
      </c>
      <c r="K430" t="s">
        <v>650</v>
      </c>
      <c r="L430" t="s">
        <v>1372</v>
      </c>
      <c r="M430" t="s">
        <v>1373</v>
      </c>
      <c r="N430" t="s">
        <v>1374</v>
      </c>
      <c r="O430" t="s">
        <v>1375</v>
      </c>
      <c r="P430">
        <v>128.6</v>
      </c>
      <c r="Q430" t="s">
        <v>29</v>
      </c>
      <c r="R430" t="s">
        <v>124</v>
      </c>
    </row>
    <row r="431" spans="1:18" x14ac:dyDescent="0.25">
      <c r="A431">
        <v>2011</v>
      </c>
      <c r="B431">
        <v>4649</v>
      </c>
      <c r="C431" t="s">
        <v>2232</v>
      </c>
      <c r="D431" t="s">
        <v>352</v>
      </c>
      <c r="E431">
        <v>325910</v>
      </c>
      <c r="F431" t="s">
        <v>2233</v>
      </c>
      <c r="G431" t="s">
        <v>2234</v>
      </c>
      <c r="H431" t="s">
        <v>21</v>
      </c>
      <c r="I431" t="s">
        <v>1369</v>
      </c>
      <c r="J431" t="s">
        <v>1370</v>
      </c>
      <c r="K431" t="s">
        <v>1371</v>
      </c>
      <c r="L431" t="s">
        <v>1372</v>
      </c>
      <c r="M431" t="s">
        <v>1373</v>
      </c>
      <c r="N431" t="s">
        <v>1374</v>
      </c>
      <c r="O431" t="s">
        <v>1375</v>
      </c>
      <c r="P431">
        <v>3.2730000000000001</v>
      </c>
      <c r="Q431" t="s">
        <v>29</v>
      </c>
      <c r="R431" t="s">
        <v>30</v>
      </c>
    </row>
    <row r="432" spans="1:18" x14ac:dyDescent="0.25">
      <c r="A432">
        <v>2019</v>
      </c>
      <c r="B432">
        <v>1077</v>
      </c>
      <c r="C432" t="s">
        <v>1485</v>
      </c>
      <c r="D432" t="s">
        <v>2235</v>
      </c>
      <c r="E432">
        <v>211110</v>
      </c>
      <c r="F432" t="s">
        <v>233</v>
      </c>
      <c r="G432" t="s">
        <v>234</v>
      </c>
      <c r="H432" t="s">
        <v>85</v>
      </c>
      <c r="I432" t="s">
        <v>1487</v>
      </c>
      <c r="J432" t="s">
        <v>1488</v>
      </c>
      <c r="K432" t="s">
        <v>1489</v>
      </c>
      <c r="L432" t="s">
        <v>1372</v>
      </c>
      <c r="M432" t="s">
        <v>1373</v>
      </c>
      <c r="N432" t="s">
        <v>1374</v>
      </c>
      <c r="O432" t="s">
        <v>1375</v>
      </c>
      <c r="P432">
        <v>2.7570000000000001</v>
      </c>
      <c r="Q432" t="s">
        <v>29</v>
      </c>
      <c r="R432" t="s">
        <v>430</v>
      </c>
    </row>
    <row r="433" spans="1:18" x14ac:dyDescent="0.25">
      <c r="A433">
        <v>2019</v>
      </c>
      <c r="B433">
        <v>2122</v>
      </c>
      <c r="C433" t="s">
        <v>833</v>
      </c>
      <c r="D433" t="s">
        <v>2236</v>
      </c>
      <c r="E433">
        <v>324190</v>
      </c>
      <c r="F433" t="s">
        <v>666</v>
      </c>
      <c r="G433" t="s">
        <v>667</v>
      </c>
      <c r="H433" t="s">
        <v>21</v>
      </c>
      <c r="I433" t="s">
        <v>152</v>
      </c>
      <c r="J433" t="s">
        <v>153</v>
      </c>
      <c r="K433" t="s">
        <v>154</v>
      </c>
      <c r="L433" t="s">
        <v>1361</v>
      </c>
      <c r="M433" t="s">
        <v>1362</v>
      </c>
      <c r="N433" t="s">
        <v>1363</v>
      </c>
      <c r="O433" t="s">
        <v>1364</v>
      </c>
      <c r="P433">
        <v>0</v>
      </c>
      <c r="Q433" t="s">
        <v>29</v>
      </c>
      <c r="R433" t="s">
        <v>430</v>
      </c>
    </row>
    <row r="434" spans="1:18" x14ac:dyDescent="0.25">
      <c r="A434">
        <v>2014</v>
      </c>
      <c r="B434">
        <v>6631</v>
      </c>
      <c r="C434" t="s">
        <v>1718</v>
      </c>
      <c r="D434" t="s">
        <v>2237</v>
      </c>
      <c r="E434">
        <v>211113</v>
      </c>
      <c r="F434" t="s">
        <v>786</v>
      </c>
      <c r="G434" t="s">
        <v>426</v>
      </c>
      <c r="H434" t="s">
        <v>243</v>
      </c>
      <c r="I434" t="s">
        <v>1549</v>
      </c>
      <c r="J434" t="s">
        <v>1550</v>
      </c>
      <c r="K434" t="s">
        <v>1551</v>
      </c>
      <c r="L434" t="s">
        <v>1372</v>
      </c>
      <c r="M434" t="s">
        <v>1373</v>
      </c>
      <c r="N434" t="s">
        <v>1409</v>
      </c>
      <c r="O434" t="s">
        <v>1410</v>
      </c>
      <c r="P434">
        <v>17.841999999999999</v>
      </c>
      <c r="Q434" t="s">
        <v>29</v>
      </c>
      <c r="R434" t="s">
        <v>30</v>
      </c>
    </row>
    <row r="435" spans="1:18" x14ac:dyDescent="0.25">
      <c r="A435">
        <v>2008</v>
      </c>
      <c r="B435">
        <v>2963</v>
      </c>
      <c r="C435" t="s">
        <v>2238</v>
      </c>
      <c r="D435" t="s">
        <v>2239</v>
      </c>
      <c r="E435">
        <v>325110</v>
      </c>
      <c r="F435" t="s">
        <v>1194</v>
      </c>
      <c r="G435" t="s">
        <v>445</v>
      </c>
      <c r="H435" t="s">
        <v>85</v>
      </c>
      <c r="I435" t="s">
        <v>1421</v>
      </c>
      <c r="J435" t="s">
        <v>1422</v>
      </c>
      <c r="K435" t="s">
        <v>1423</v>
      </c>
      <c r="L435" t="s">
        <v>1372</v>
      </c>
      <c r="M435" t="s">
        <v>1373</v>
      </c>
      <c r="N435" t="s">
        <v>1374</v>
      </c>
      <c r="O435" t="s">
        <v>1375</v>
      </c>
      <c r="P435">
        <v>8.8510000000000009</v>
      </c>
      <c r="Q435" t="s">
        <v>29</v>
      </c>
      <c r="R435" t="s">
        <v>430</v>
      </c>
    </row>
    <row r="436" spans="1:18" x14ac:dyDescent="0.25">
      <c r="A436">
        <v>2017</v>
      </c>
      <c r="B436">
        <v>6647</v>
      </c>
      <c r="C436" t="s">
        <v>2240</v>
      </c>
      <c r="D436" t="s">
        <v>2241</v>
      </c>
      <c r="E436">
        <v>211142</v>
      </c>
      <c r="F436" t="s">
        <v>357</v>
      </c>
      <c r="G436" t="s">
        <v>358</v>
      </c>
      <c r="H436" t="s">
        <v>85</v>
      </c>
      <c r="I436" t="s">
        <v>70</v>
      </c>
      <c r="J436" t="s">
        <v>71</v>
      </c>
      <c r="K436" t="s">
        <v>72</v>
      </c>
      <c r="L436" t="s">
        <v>1372</v>
      </c>
      <c r="M436" t="s">
        <v>1373</v>
      </c>
      <c r="N436" t="s">
        <v>1399</v>
      </c>
      <c r="O436" t="s">
        <v>1400</v>
      </c>
      <c r="P436">
        <v>0</v>
      </c>
      <c r="Q436" t="s">
        <v>29</v>
      </c>
      <c r="R436" t="s">
        <v>30</v>
      </c>
    </row>
    <row r="437" spans="1:18" x14ac:dyDescent="0.25">
      <c r="A437">
        <v>2012</v>
      </c>
      <c r="B437">
        <v>2083</v>
      </c>
      <c r="C437" t="s">
        <v>497</v>
      </c>
      <c r="D437" t="s">
        <v>498</v>
      </c>
      <c r="E437">
        <v>221112</v>
      </c>
      <c r="F437" t="s">
        <v>499</v>
      </c>
      <c r="G437" t="s">
        <v>135</v>
      </c>
      <c r="H437" t="s">
        <v>243</v>
      </c>
      <c r="I437" t="s">
        <v>1487</v>
      </c>
      <c r="J437" t="s">
        <v>1488</v>
      </c>
      <c r="K437" t="s">
        <v>1489</v>
      </c>
      <c r="L437" t="s">
        <v>1372</v>
      </c>
      <c r="M437" t="s">
        <v>1373</v>
      </c>
      <c r="N437" t="s">
        <v>1399</v>
      </c>
      <c r="O437" t="s">
        <v>1400</v>
      </c>
      <c r="P437">
        <v>7.0000000000000007E-2</v>
      </c>
      <c r="Q437" t="s">
        <v>29</v>
      </c>
      <c r="R437" t="s">
        <v>30</v>
      </c>
    </row>
    <row r="438" spans="1:18" x14ac:dyDescent="0.25">
      <c r="A438">
        <v>2008</v>
      </c>
      <c r="B438">
        <v>6647</v>
      </c>
      <c r="C438" t="s">
        <v>2242</v>
      </c>
      <c r="D438" t="s">
        <v>2243</v>
      </c>
      <c r="E438">
        <v>211114</v>
      </c>
      <c r="F438" t="s">
        <v>835</v>
      </c>
      <c r="G438" t="s">
        <v>836</v>
      </c>
      <c r="H438" t="s">
        <v>85</v>
      </c>
      <c r="I438" t="s">
        <v>136</v>
      </c>
      <c r="J438" t="s">
        <v>137</v>
      </c>
      <c r="K438" t="s">
        <v>138</v>
      </c>
      <c r="L438" t="s">
        <v>1372</v>
      </c>
      <c r="M438" t="s">
        <v>1373</v>
      </c>
      <c r="N438" t="s">
        <v>1520</v>
      </c>
      <c r="O438" t="s">
        <v>1521</v>
      </c>
      <c r="P438">
        <v>1E-3</v>
      </c>
      <c r="Q438" t="s">
        <v>29</v>
      </c>
      <c r="R438" t="s">
        <v>430</v>
      </c>
    </row>
    <row r="439" spans="1:18" x14ac:dyDescent="0.25">
      <c r="A439">
        <v>2023</v>
      </c>
      <c r="B439">
        <v>23408</v>
      </c>
      <c r="C439" t="s">
        <v>2244</v>
      </c>
      <c r="D439" t="s">
        <v>2245</v>
      </c>
      <c r="E439">
        <v>211110</v>
      </c>
      <c r="F439" t="s">
        <v>233</v>
      </c>
      <c r="G439" t="s">
        <v>234</v>
      </c>
      <c r="H439" t="s">
        <v>85</v>
      </c>
      <c r="I439" t="s">
        <v>1533</v>
      </c>
      <c r="J439" t="s">
        <v>1534</v>
      </c>
      <c r="K439" t="s">
        <v>1535</v>
      </c>
      <c r="L439" t="s">
        <v>1372</v>
      </c>
      <c r="M439" t="s">
        <v>1373</v>
      </c>
      <c r="N439" t="s">
        <v>1374</v>
      </c>
      <c r="O439" t="s">
        <v>1375</v>
      </c>
      <c r="P439">
        <v>23.954899999999999</v>
      </c>
      <c r="Q439" t="s">
        <v>29</v>
      </c>
      <c r="R439" t="s">
        <v>430</v>
      </c>
    </row>
    <row r="440" spans="1:18" x14ac:dyDescent="0.25">
      <c r="A440">
        <v>2021</v>
      </c>
      <c r="B440">
        <v>161</v>
      </c>
      <c r="C440" t="s">
        <v>1840</v>
      </c>
      <c r="D440" t="s">
        <v>2246</v>
      </c>
      <c r="E440">
        <v>311224</v>
      </c>
      <c r="F440" t="s">
        <v>1842</v>
      </c>
      <c r="G440" t="s">
        <v>1843</v>
      </c>
      <c r="H440" t="s">
        <v>21</v>
      </c>
      <c r="I440" t="s">
        <v>1457</v>
      </c>
      <c r="J440" t="s">
        <v>1458</v>
      </c>
      <c r="K440" t="s">
        <v>1459</v>
      </c>
      <c r="L440" t="s">
        <v>1372</v>
      </c>
      <c r="M440" t="s">
        <v>1373</v>
      </c>
      <c r="N440" t="s">
        <v>1374</v>
      </c>
      <c r="O440" t="s">
        <v>1375</v>
      </c>
      <c r="P440">
        <v>72.775000000000006</v>
      </c>
      <c r="Q440" t="s">
        <v>29</v>
      </c>
      <c r="R440" t="s">
        <v>50</v>
      </c>
    </row>
    <row r="441" spans="1:18" x14ac:dyDescent="0.25">
      <c r="A441">
        <v>2008</v>
      </c>
      <c r="B441">
        <v>5871</v>
      </c>
      <c r="C441" t="s">
        <v>2247</v>
      </c>
      <c r="D441" t="s">
        <v>2248</v>
      </c>
      <c r="E441">
        <v>327310</v>
      </c>
      <c r="F441" t="s">
        <v>2249</v>
      </c>
      <c r="G441" t="s">
        <v>1389</v>
      </c>
      <c r="H441" t="s">
        <v>21</v>
      </c>
      <c r="I441" t="s">
        <v>136</v>
      </c>
      <c r="J441" t="s">
        <v>137</v>
      </c>
      <c r="K441" t="s">
        <v>138</v>
      </c>
      <c r="L441" t="s">
        <v>1372</v>
      </c>
      <c r="M441" t="s">
        <v>1373</v>
      </c>
      <c r="N441" t="s">
        <v>1374</v>
      </c>
      <c r="O441" t="s">
        <v>1375</v>
      </c>
      <c r="P441">
        <v>4.2000000000000003E-2</v>
      </c>
      <c r="Q441" t="s">
        <v>29</v>
      </c>
      <c r="R441" t="s">
        <v>124</v>
      </c>
    </row>
    <row r="442" spans="1:18" x14ac:dyDescent="0.25">
      <c r="A442">
        <v>2020</v>
      </c>
      <c r="B442">
        <v>7755</v>
      </c>
      <c r="C442" t="s">
        <v>2250</v>
      </c>
      <c r="D442" t="s">
        <v>2251</v>
      </c>
      <c r="E442">
        <v>221320</v>
      </c>
      <c r="F442" t="s">
        <v>146</v>
      </c>
      <c r="G442" t="s">
        <v>147</v>
      </c>
      <c r="H442" t="s">
        <v>69</v>
      </c>
      <c r="I442" t="s">
        <v>97</v>
      </c>
      <c r="J442" t="s">
        <v>98</v>
      </c>
      <c r="K442" t="s">
        <v>99</v>
      </c>
      <c r="L442" t="s">
        <v>1378</v>
      </c>
      <c r="M442" t="s">
        <v>1379</v>
      </c>
      <c r="N442" t="s">
        <v>1380</v>
      </c>
      <c r="O442" t="s">
        <v>1381</v>
      </c>
      <c r="P442">
        <v>121.05</v>
      </c>
      <c r="Q442" t="s">
        <v>29</v>
      </c>
      <c r="R442" t="s">
        <v>725</v>
      </c>
    </row>
    <row r="443" spans="1:18" x14ac:dyDescent="0.25">
      <c r="A443">
        <v>2020</v>
      </c>
      <c r="B443">
        <v>7838</v>
      </c>
      <c r="C443" t="s">
        <v>2057</v>
      </c>
      <c r="D443" t="s">
        <v>2252</v>
      </c>
      <c r="E443">
        <v>212114</v>
      </c>
      <c r="F443" t="s">
        <v>2059</v>
      </c>
      <c r="G443" t="s">
        <v>2060</v>
      </c>
      <c r="H443" t="s">
        <v>69</v>
      </c>
      <c r="I443" t="s">
        <v>35</v>
      </c>
      <c r="J443" t="s">
        <v>36</v>
      </c>
      <c r="K443" t="s">
        <v>37</v>
      </c>
      <c r="L443" t="s">
        <v>1378</v>
      </c>
      <c r="M443" t="s">
        <v>1379</v>
      </c>
      <c r="N443" t="s">
        <v>1380</v>
      </c>
      <c r="O443" t="s">
        <v>1381</v>
      </c>
      <c r="P443">
        <v>0.76600000000000001</v>
      </c>
      <c r="Q443" t="s">
        <v>40</v>
      </c>
      <c r="R443" t="s">
        <v>124</v>
      </c>
    </row>
    <row r="444" spans="1:18" x14ac:dyDescent="0.25">
      <c r="A444">
        <v>2007</v>
      </c>
      <c r="B444">
        <v>7010</v>
      </c>
      <c r="C444" t="s">
        <v>2253</v>
      </c>
      <c r="D444" t="s">
        <v>2254</v>
      </c>
      <c r="E444">
        <v>327320</v>
      </c>
      <c r="F444" t="s">
        <v>1924</v>
      </c>
      <c r="G444" t="s">
        <v>1925</v>
      </c>
      <c r="H444" t="s">
        <v>21</v>
      </c>
      <c r="I444" t="s">
        <v>1369</v>
      </c>
      <c r="J444" t="s">
        <v>1370</v>
      </c>
      <c r="K444" t="s">
        <v>1371</v>
      </c>
      <c r="L444" t="s">
        <v>1372</v>
      </c>
      <c r="M444" t="s">
        <v>1373</v>
      </c>
      <c r="N444" t="s">
        <v>1399</v>
      </c>
      <c r="O444" t="s">
        <v>1400</v>
      </c>
      <c r="P444">
        <v>0.32</v>
      </c>
      <c r="Q444" t="s">
        <v>29</v>
      </c>
      <c r="R444" t="s">
        <v>430</v>
      </c>
    </row>
    <row r="445" spans="1:18" x14ac:dyDescent="0.25">
      <c r="A445">
        <v>2003</v>
      </c>
      <c r="B445">
        <v>1233</v>
      </c>
      <c r="C445" t="s">
        <v>2255</v>
      </c>
      <c r="D445" t="s">
        <v>2256</v>
      </c>
      <c r="E445">
        <v>212232</v>
      </c>
      <c r="F445" t="s">
        <v>2257</v>
      </c>
      <c r="G445" t="s">
        <v>2004</v>
      </c>
      <c r="H445" t="s">
        <v>21</v>
      </c>
      <c r="I445" t="s">
        <v>337</v>
      </c>
      <c r="J445" t="s">
        <v>338</v>
      </c>
      <c r="K445" t="s">
        <v>339</v>
      </c>
      <c r="L445" t="s">
        <v>1372</v>
      </c>
      <c r="M445" t="s">
        <v>1373</v>
      </c>
      <c r="N445" t="s">
        <v>1399</v>
      </c>
      <c r="O445" t="s">
        <v>1400</v>
      </c>
      <c r="P445">
        <v>2.4E-2</v>
      </c>
      <c r="Q445" t="s">
        <v>29</v>
      </c>
      <c r="R445" t="s">
        <v>30</v>
      </c>
    </row>
    <row r="446" spans="1:18" x14ac:dyDescent="0.25">
      <c r="A446">
        <v>2018</v>
      </c>
      <c r="B446">
        <v>10238</v>
      </c>
      <c r="C446" t="s">
        <v>125</v>
      </c>
      <c r="D446" t="s">
        <v>126</v>
      </c>
      <c r="E446">
        <v>412110</v>
      </c>
      <c r="F446" t="s">
        <v>127</v>
      </c>
      <c r="G446" t="s">
        <v>128</v>
      </c>
      <c r="H446" t="s">
        <v>69</v>
      </c>
      <c r="I446" t="s">
        <v>348</v>
      </c>
      <c r="J446" t="s">
        <v>349</v>
      </c>
      <c r="K446" t="s">
        <v>350</v>
      </c>
      <c r="L446" t="s">
        <v>1361</v>
      </c>
      <c r="M446" t="s">
        <v>1362</v>
      </c>
      <c r="N446" t="s">
        <v>1363</v>
      </c>
      <c r="O446" t="s">
        <v>1364</v>
      </c>
      <c r="P446">
        <v>6.0400000000000002E-2</v>
      </c>
      <c r="Q446" t="s">
        <v>29</v>
      </c>
      <c r="R446" t="s">
        <v>430</v>
      </c>
    </row>
    <row r="447" spans="1:18" x14ac:dyDescent="0.25">
      <c r="A447">
        <v>2012</v>
      </c>
      <c r="B447">
        <v>11030</v>
      </c>
      <c r="C447" t="s">
        <v>2258</v>
      </c>
      <c r="D447" t="s">
        <v>2258</v>
      </c>
      <c r="E447">
        <v>337110</v>
      </c>
      <c r="F447" t="s">
        <v>2259</v>
      </c>
      <c r="G447" t="s">
        <v>2260</v>
      </c>
      <c r="H447" t="s">
        <v>21</v>
      </c>
      <c r="I447" t="s">
        <v>271</v>
      </c>
      <c r="J447" t="s">
        <v>272</v>
      </c>
      <c r="K447" t="s">
        <v>273</v>
      </c>
      <c r="L447" t="s">
        <v>1372</v>
      </c>
      <c r="M447" t="s">
        <v>1373</v>
      </c>
      <c r="N447" t="s">
        <v>1374</v>
      </c>
      <c r="O447" t="s">
        <v>1375</v>
      </c>
      <c r="P447">
        <v>9.65</v>
      </c>
      <c r="Q447" t="s">
        <v>29</v>
      </c>
      <c r="R447" t="s">
        <v>30</v>
      </c>
    </row>
    <row r="448" spans="1:18" x14ac:dyDescent="0.25">
      <c r="A448">
        <v>2010</v>
      </c>
      <c r="B448">
        <v>979</v>
      </c>
      <c r="C448" t="s">
        <v>2261</v>
      </c>
      <c r="D448" t="s">
        <v>2262</v>
      </c>
      <c r="E448">
        <v>322122</v>
      </c>
      <c r="F448" t="s">
        <v>1556</v>
      </c>
      <c r="G448" t="s">
        <v>1062</v>
      </c>
      <c r="H448" t="s">
        <v>79</v>
      </c>
      <c r="I448" t="s">
        <v>1421</v>
      </c>
      <c r="J448" t="s">
        <v>1422</v>
      </c>
      <c r="K448" t="s">
        <v>1423</v>
      </c>
      <c r="L448" t="s">
        <v>1372</v>
      </c>
      <c r="M448" t="s">
        <v>1373</v>
      </c>
      <c r="N448" t="s">
        <v>1374</v>
      </c>
      <c r="O448" t="s">
        <v>1375</v>
      </c>
      <c r="P448">
        <v>1.3566</v>
      </c>
      <c r="Q448" t="s">
        <v>29</v>
      </c>
      <c r="R448" t="s">
        <v>124</v>
      </c>
    </row>
    <row r="449" spans="1:18" x14ac:dyDescent="0.25">
      <c r="A449">
        <v>2018</v>
      </c>
      <c r="B449">
        <v>19600</v>
      </c>
      <c r="C449" t="s">
        <v>1027</v>
      </c>
      <c r="D449" t="s">
        <v>2263</v>
      </c>
      <c r="E449">
        <v>211110</v>
      </c>
      <c r="F449" t="s">
        <v>233</v>
      </c>
      <c r="G449" t="s">
        <v>234</v>
      </c>
      <c r="H449" t="s">
        <v>85</v>
      </c>
      <c r="I449" t="s">
        <v>1533</v>
      </c>
      <c r="J449" t="s">
        <v>1534</v>
      </c>
      <c r="K449" t="s">
        <v>1535</v>
      </c>
      <c r="L449" t="s">
        <v>1372</v>
      </c>
      <c r="M449" t="s">
        <v>1373</v>
      </c>
      <c r="N449" t="s">
        <v>1374</v>
      </c>
      <c r="O449" t="s">
        <v>1375</v>
      </c>
      <c r="P449">
        <v>41.784999999999997</v>
      </c>
      <c r="Q449" t="s">
        <v>29</v>
      </c>
      <c r="R449" t="s">
        <v>430</v>
      </c>
    </row>
    <row r="450" spans="1:18" x14ac:dyDescent="0.25">
      <c r="A450">
        <v>2006</v>
      </c>
      <c r="B450">
        <v>3283</v>
      </c>
      <c r="C450" t="s">
        <v>2264</v>
      </c>
      <c r="D450" t="s">
        <v>2265</v>
      </c>
      <c r="E450">
        <v>336390</v>
      </c>
      <c r="F450" t="s">
        <v>60</v>
      </c>
      <c r="G450" t="s">
        <v>61</v>
      </c>
      <c r="H450" t="s">
        <v>21</v>
      </c>
      <c r="I450" t="s">
        <v>1369</v>
      </c>
      <c r="J450" t="s">
        <v>1370</v>
      </c>
      <c r="K450" t="s">
        <v>1371</v>
      </c>
      <c r="L450" t="s">
        <v>1372</v>
      </c>
      <c r="M450" t="s">
        <v>1373</v>
      </c>
      <c r="N450" t="s">
        <v>1520</v>
      </c>
      <c r="O450" t="s">
        <v>1521</v>
      </c>
      <c r="P450">
        <v>1.2E-2</v>
      </c>
      <c r="Q450" t="s">
        <v>29</v>
      </c>
      <c r="R450" t="s">
        <v>430</v>
      </c>
    </row>
    <row r="451" spans="1:18" x14ac:dyDescent="0.25">
      <c r="A451">
        <v>2021</v>
      </c>
      <c r="B451">
        <v>5157</v>
      </c>
      <c r="C451" t="s">
        <v>2266</v>
      </c>
      <c r="D451" t="s">
        <v>2267</v>
      </c>
      <c r="E451">
        <v>321212</v>
      </c>
      <c r="F451" t="s">
        <v>1692</v>
      </c>
      <c r="G451" t="s">
        <v>1693</v>
      </c>
      <c r="H451" t="s">
        <v>85</v>
      </c>
      <c r="I451" t="s">
        <v>1421</v>
      </c>
      <c r="J451" t="s">
        <v>1422</v>
      </c>
      <c r="K451" t="s">
        <v>1423</v>
      </c>
      <c r="L451" t="s">
        <v>1372</v>
      </c>
      <c r="M451" t="s">
        <v>1373</v>
      </c>
      <c r="N451" t="s">
        <v>1390</v>
      </c>
      <c r="O451" t="s">
        <v>1391</v>
      </c>
      <c r="P451">
        <v>2.2242999999999999</v>
      </c>
      <c r="Q451" t="s">
        <v>29</v>
      </c>
      <c r="R451" t="s">
        <v>430</v>
      </c>
    </row>
    <row r="452" spans="1:18" x14ac:dyDescent="0.25">
      <c r="A452">
        <v>2002</v>
      </c>
      <c r="B452">
        <v>5841</v>
      </c>
      <c r="C452" t="s">
        <v>2268</v>
      </c>
      <c r="D452" t="s">
        <v>2269</v>
      </c>
      <c r="E452">
        <v>327310</v>
      </c>
      <c r="F452" t="s">
        <v>2249</v>
      </c>
      <c r="G452" t="s">
        <v>1389</v>
      </c>
      <c r="H452" t="s">
        <v>21</v>
      </c>
      <c r="I452" t="s">
        <v>197</v>
      </c>
      <c r="J452" t="s">
        <v>198</v>
      </c>
      <c r="K452" t="s">
        <v>199</v>
      </c>
      <c r="L452" t="s">
        <v>1372</v>
      </c>
      <c r="M452" t="s">
        <v>1373</v>
      </c>
      <c r="N452" t="s">
        <v>1374</v>
      </c>
      <c r="O452" t="s">
        <v>1375</v>
      </c>
      <c r="P452">
        <v>0.129</v>
      </c>
      <c r="Q452" t="s">
        <v>40</v>
      </c>
      <c r="R452" t="s">
        <v>204</v>
      </c>
    </row>
    <row r="453" spans="1:18" x14ac:dyDescent="0.25">
      <c r="A453">
        <v>2007</v>
      </c>
      <c r="B453">
        <v>17422</v>
      </c>
      <c r="C453" t="s">
        <v>2270</v>
      </c>
      <c r="D453" t="s">
        <v>2271</v>
      </c>
      <c r="E453">
        <v>211113</v>
      </c>
      <c r="F453" t="s">
        <v>425</v>
      </c>
      <c r="G453" t="s">
        <v>426</v>
      </c>
      <c r="H453" t="s">
        <v>85</v>
      </c>
      <c r="I453" t="s">
        <v>1533</v>
      </c>
      <c r="J453" t="s">
        <v>1534</v>
      </c>
      <c r="K453" t="s">
        <v>1535</v>
      </c>
      <c r="L453" t="s">
        <v>1372</v>
      </c>
      <c r="M453" t="s">
        <v>1373</v>
      </c>
      <c r="N453" t="s">
        <v>1374</v>
      </c>
      <c r="O453" t="s">
        <v>1375</v>
      </c>
      <c r="P453">
        <v>393.89800000000002</v>
      </c>
      <c r="Q453" t="s">
        <v>29</v>
      </c>
      <c r="R453" t="s">
        <v>430</v>
      </c>
    </row>
    <row r="454" spans="1:18" x14ac:dyDescent="0.25">
      <c r="A454">
        <v>2006</v>
      </c>
      <c r="B454">
        <v>2182</v>
      </c>
      <c r="C454" t="s">
        <v>2272</v>
      </c>
      <c r="D454" t="s">
        <v>2273</v>
      </c>
      <c r="E454">
        <v>327310</v>
      </c>
      <c r="F454" t="s">
        <v>2249</v>
      </c>
      <c r="G454" t="s">
        <v>1389</v>
      </c>
      <c r="H454" t="s">
        <v>21</v>
      </c>
      <c r="I454" t="s">
        <v>1457</v>
      </c>
      <c r="J454" t="s">
        <v>1458</v>
      </c>
      <c r="K454" t="s">
        <v>1459</v>
      </c>
      <c r="L454" t="s">
        <v>1372</v>
      </c>
      <c r="M454" t="s">
        <v>1373</v>
      </c>
      <c r="N454" t="s">
        <v>1399</v>
      </c>
      <c r="O454" t="s">
        <v>1400</v>
      </c>
      <c r="P454">
        <v>0</v>
      </c>
      <c r="Q454" t="s">
        <v>29</v>
      </c>
      <c r="R454" t="s">
        <v>157</v>
      </c>
    </row>
    <row r="455" spans="1:18" x14ac:dyDescent="0.25">
      <c r="A455">
        <v>2010</v>
      </c>
      <c r="B455">
        <v>1755</v>
      </c>
      <c r="C455" t="s">
        <v>1027</v>
      </c>
      <c r="D455" t="s">
        <v>2274</v>
      </c>
      <c r="E455">
        <v>211113</v>
      </c>
      <c r="F455" t="s">
        <v>425</v>
      </c>
      <c r="G455" t="s">
        <v>426</v>
      </c>
      <c r="H455" t="s">
        <v>85</v>
      </c>
      <c r="I455" t="s">
        <v>70</v>
      </c>
      <c r="J455" t="s">
        <v>71</v>
      </c>
      <c r="K455" t="s">
        <v>72</v>
      </c>
      <c r="L455" t="s">
        <v>1372</v>
      </c>
      <c r="M455" t="s">
        <v>1373</v>
      </c>
      <c r="N455" t="s">
        <v>1409</v>
      </c>
      <c r="O455" t="s">
        <v>1410</v>
      </c>
      <c r="P455">
        <v>0.442</v>
      </c>
      <c r="Q455" t="s">
        <v>29</v>
      </c>
      <c r="R455" t="s">
        <v>430</v>
      </c>
    </row>
    <row r="456" spans="1:18" x14ac:dyDescent="0.25">
      <c r="A456">
        <v>2003</v>
      </c>
      <c r="B456">
        <v>1748</v>
      </c>
      <c r="C456" t="s">
        <v>2275</v>
      </c>
      <c r="D456" t="s">
        <v>2276</v>
      </c>
      <c r="E456">
        <v>321217</v>
      </c>
      <c r="F456" t="s">
        <v>1702</v>
      </c>
      <c r="G456" t="s">
        <v>151</v>
      </c>
      <c r="H456" t="s">
        <v>79</v>
      </c>
      <c r="I456" t="s">
        <v>1533</v>
      </c>
      <c r="J456" t="s">
        <v>1534</v>
      </c>
      <c r="K456" t="s">
        <v>1535</v>
      </c>
      <c r="L456" t="s">
        <v>1372</v>
      </c>
      <c r="M456" t="s">
        <v>1373</v>
      </c>
      <c r="N456" t="s">
        <v>1374</v>
      </c>
      <c r="O456" t="s">
        <v>1375</v>
      </c>
      <c r="P456">
        <v>115.752</v>
      </c>
      <c r="Q456" t="s">
        <v>29</v>
      </c>
      <c r="R456" t="s">
        <v>124</v>
      </c>
    </row>
    <row r="457" spans="1:18" x14ac:dyDescent="0.25">
      <c r="A457">
        <v>2008</v>
      </c>
      <c r="B457">
        <v>18993</v>
      </c>
      <c r="C457" t="s">
        <v>2277</v>
      </c>
      <c r="D457" t="s">
        <v>2278</v>
      </c>
      <c r="E457">
        <v>221119</v>
      </c>
      <c r="F457" t="s">
        <v>1851</v>
      </c>
      <c r="G457" t="s">
        <v>323</v>
      </c>
      <c r="H457" t="s">
        <v>69</v>
      </c>
      <c r="I457" t="s">
        <v>1441</v>
      </c>
      <c r="J457" t="s">
        <v>1442</v>
      </c>
      <c r="K457" t="s">
        <v>1443</v>
      </c>
      <c r="L457" t="s">
        <v>1372</v>
      </c>
      <c r="M457" t="s">
        <v>1373</v>
      </c>
      <c r="N457" t="s">
        <v>1374</v>
      </c>
      <c r="O457" t="s">
        <v>1375</v>
      </c>
      <c r="P457">
        <v>41.682000000000002</v>
      </c>
      <c r="Q457" t="s">
        <v>29</v>
      </c>
      <c r="R457" t="s">
        <v>124</v>
      </c>
    </row>
    <row r="458" spans="1:18" x14ac:dyDescent="0.25">
      <c r="A458">
        <v>2017</v>
      </c>
      <c r="B458">
        <v>8596</v>
      </c>
      <c r="C458" t="s">
        <v>2279</v>
      </c>
      <c r="D458" t="s">
        <v>2279</v>
      </c>
      <c r="E458">
        <v>311614</v>
      </c>
      <c r="F458" t="s">
        <v>2280</v>
      </c>
      <c r="G458" t="s">
        <v>2281</v>
      </c>
      <c r="H458" t="s">
        <v>79</v>
      </c>
      <c r="I458" t="s">
        <v>1421</v>
      </c>
      <c r="J458" t="s">
        <v>1422</v>
      </c>
      <c r="K458" t="s">
        <v>1423</v>
      </c>
      <c r="L458" t="s">
        <v>1372</v>
      </c>
      <c r="M458" t="s">
        <v>1373</v>
      </c>
      <c r="N458" t="s">
        <v>1374</v>
      </c>
      <c r="O458" t="s">
        <v>1375</v>
      </c>
      <c r="P458">
        <v>1.99</v>
      </c>
      <c r="Q458" t="s">
        <v>29</v>
      </c>
      <c r="R458" t="s">
        <v>124</v>
      </c>
    </row>
    <row r="459" spans="1:18" x14ac:dyDescent="0.25">
      <c r="A459">
        <v>2015</v>
      </c>
      <c r="B459">
        <v>28437</v>
      </c>
      <c r="C459" t="s">
        <v>1466</v>
      </c>
      <c r="D459" t="s">
        <v>2282</v>
      </c>
      <c r="E459">
        <v>211113</v>
      </c>
      <c r="F459" t="s">
        <v>786</v>
      </c>
      <c r="G459" t="s">
        <v>426</v>
      </c>
      <c r="H459" t="s">
        <v>85</v>
      </c>
      <c r="I459" t="s">
        <v>1421</v>
      </c>
      <c r="J459" t="s">
        <v>1422</v>
      </c>
      <c r="K459" t="s">
        <v>1423</v>
      </c>
      <c r="L459" t="s">
        <v>1372</v>
      </c>
      <c r="M459" t="s">
        <v>1373</v>
      </c>
      <c r="N459" t="s">
        <v>1374</v>
      </c>
      <c r="O459" t="s">
        <v>1375</v>
      </c>
      <c r="P459">
        <v>0.36099999999999999</v>
      </c>
      <c r="Q459" t="s">
        <v>29</v>
      </c>
      <c r="R459" t="s">
        <v>430</v>
      </c>
    </row>
    <row r="460" spans="1:18" x14ac:dyDescent="0.25">
      <c r="A460">
        <v>2022</v>
      </c>
      <c r="B460">
        <v>31525</v>
      </c>
      <c r="C460" t="s">
        <v>2283</v>
      </c>
      <c r="D460" t="s">
        <v>2284</v>
      </c>
      <c r="E460">
        <v>211110</v>
      </c>
      <c r="F460" t="s">
        <v>233</v>
      </c>
      <c r="G460" t="s">
        <v>234</v>
      </c>
      <c r="H460" t="s">
        <v>85</v>
      </c>
      <c r="I460" t="s">
        <v>1487</v>
      </c>
      <c r="J460" t="s">
        <v>1488</v>
      </c>
      <c r="K460" t="s">
        <v>1489</v>
      </c>
      <c r="L460" t="s">
        <v>1372</v>
      </c>
      <c r="M460" t="s">
        <v>1373</v>
      </c>
      <c r="N460" t="s">
        <v>1374</v>
      </c>
      <c r="O460" t="s">
        <v>1375</v>
      </c>
      <c r="P460">
        <v>2.8E-3</v>
      </c>
      <c r="Q460" t="s">
        <v>29</v>
      </c>
      <c r="R460" t="s">
        <v>430</v>
      </c>
    </row>
    <row r="461" spans="1:18" x14ac:dyDescent="0.25">
      <c r="A461">
        <v>2021</v>
      </c>
      <c r="B461">
        <v>18381</v>
      </c>
      <c r="C461" t="s">
        <v>1027</v>
      </c>
      <c r="D461" t="s">
        <v>2285</v>
      </c>
      <c r="E461">
        <v>211110</v>
      </c>
      <c r="F461" t="s">
        <v>233</v>
      </c>
      <c r="G461" t="s">
        <v>234</v>
      </c>
      <c r="H461" t="s">
        <v>69</v>
      </c>
      <c r="I461" t="s">
        <v>1457</v>
      </c>
      <c r="J461" t="s">
        <v>1458</v>
      </c>
      <c r="K461" t="s">
        <v>1459</v>
      </c>
      <c r="L461" t="s">
        <v>1372</v>
      </c>
      <c r="M461" t="s">
        <v>1373</v>
      </c>
      <c r="N461" t="s">
        <v>1409</v>
      </c>
      <c r="O461" t="s">
        <v>1410</v>
      </c>
      <c r="P461">
        <v>0.40953000000000001</v>
      </c>
      <c r="Q461" t="s">
        <v>29</v>
      </c>
      <c r="R461" t="s">
        <v>30</v>
      </c>
    </row>
    <row r="462" spans="1:18" x14ac:dyDescent="0.25">
      <c r="A462">
        <v>2002</v>
      </c>
      <c r="B462">
        <v>3701</v>
      </c>
      <c r="C462" t="s">
        <v>344</v>
      </c>
      <c r="D462" t="s">
        <v>681</v>
      </c>
      <c r="E462">
        <v>324110</v>
      </c>
      <c r="F462" t="s">
        <v>95</v>
      </c>
      <c r="G462" t="s">
        <v>96</v>
      </c>
      <c r="H462" t="s">
        <v>21</v>
      </c>
      <c r="I462" t="s">
        <v>2286</v>
      </c>
      <c r="J462" t="s">
        <v>2287</v>
      </c>
      <c r="K462" t="s">
        <v>2288</v>
      </c>
      <c r="L462" t="s">
        <v>1372</v>
      </c>
      <c r="M462" t="s">
        <v>1373</v>
      </c>
      <c r="N462" t="s">
        <v>1399</v>
      </c>
      <c r="O462" t="s">
        <v>1400</v>
      </c>
      <c r="P462">
        <v>0</v>
      </c>
      <c r="Q462" t="s">
        <v>40</v>
      </c>
      <c r="R462" t="s">
        <v>204</v>
      </c>
    </row>
    <row r="463" spans="1:18" x14ac:dyDescent="0.25">
      <c r="A463">
        <v>2015</v>
      </c>
      <c r="B463">
        <v>2776</v>
      </c>
      <c r="C463" t="s">
        <v>2289</v>
      </c>
      <c r="D463" t="s">
        <v>1199</v>
      </c>
      <c r="E463">
        <v>324110</v>
      </c>
      <c r="F463" t="s">
        <v>196</v>
      </c>
      <c r="G463" t="s">
        <v>96</v>
      </c>
      <c r="H463" t="s">
        <v>69</v>
      </c>
      <c r="I463" t="s">
        <v>1515</v>
      </c>
      <c r="J463" t="s">
        <v>1516</v>
      </c>
      <c r="K463" t="s">
        <v>1517</v>
      </c>
      <c r="L463" t="s">
        <v>1372</v>
      </c>
      <c r="M463" t="s">
        <v>1373</v>
      </c>
      <c r="N463" t="s">
        <v>1409</v>
      </c>
      <c r="O463" t="s">
        <v>1410</v>
      </c>
      <c r="P463">
        <v>5.0000000000000001E-3</v>
      </c>
      <c r="Q463" t="s">
        <v>29</v>
      </c>
      <c r="R463" t="s">
        <v>30</v>
      </c>
    </row>
    <row r="464" spans="1:18" x14ac:dyDescent="0.25">
      <c r="A464">
        <v>2015</v>
      </c>
      <c r="B464">
        <v>5015</v>
      </c>
      <c r="C464" t="s">
        <v>2290</v>
      </c>
      <c r="D464" t="s">
        <v>2291</v>
      </c>
      <c r="E464">
        <v>562210</v>
      </c>
      <c r="F464" t="s">
        <v>84</v>
      </c>
      <c r="G464" t="s">
        <v>53</v>
      </c>
      <c r="H464" t="s">
        <v>1012</v>
      </c>
      <c r="I464" t="s">
        <v>86</v>
      </c>
      <c r="J464" t="s">
        <v>87</v>
      </c>
      <c r="K464" t="s">
        <v>88</v>
      </c>
      <c r="L464" t="s">
        <v>1372</v>
      </c>
      <c r="M464" t="s">
        <v>1373</v>
      </c>
      <c r="N464" t="s">
        <v>1374</v>
      </c>
      <c r="O464" t="s">
        <v>1375</v>
      </c>
      <c r="P464">
        <v>3.9119999999999999</v>
      </c>
      <c r="Q464" t="s">
        <v>29</v>
      </c>
      <c r="R464" t="s">
        <v>124</v>
      </c>
    </row>
    <row r="465" spans="1:18" x14ac:dyDescent="0.25">
      <c r="A465">
        <v>2022</v>
      </c>
      <c r="B465">
        <v>11552</v>
      </c>
      <c r="C465" t="s">
        <v>2292</v>
      </c>
      <c r="D465" t="s">
        <v>2293</v>
      </c>
      <c r="E465">
        <v>562110</v>
      </c>
      <c r="F465" t="s">
        <v>644</v>
      </c>
      <c r="G465" t="s">
        <v>645</v>
      </c>
      <c r="H465" t="s">
        <v>21</v>
      </c>
      <c r="I465" t="s">
        <v>1421</v>
      </c>
      <c r="J465" t="s">
        <v>1422</v>
      </c>
      <c r="K465" t="s">
        <v>1423</v>
      </c>
      <c r="L465" t="s">
        <v>1372</v>
      </c>
      <c r="M465" t="s">
        <v>1373</v>
      </c>
      <c r="N465" t="s">
        <v>1390</v>
      </c>
      <c r="O465" t="s">
        <v>1391</v>
      </c>
      <c r="P465">
        <v>0.06</v>
      </c>
      <c r="Q465" t="s">
        <v>29</v>
      </c>
      <c r="R465" t="s">
        <v>430</v>
      </c>
    </row>
    <row r="466" spans="1:18" x14ac:dyDescent="0.25">
      <c r="A466">
        <v>2019</v>
      </c>
      <c r="B466">
        <v>28516</v>
      </c>
      <c r="C466" t="s">
        <v>2294</v>
      </c>
      <c r="D466" t="s">
        <v>2295</v>
      </c>
      <c r="E466">
        <v>211110</v>
      </c>
      <c r="F466" t="s">
        <v>233</v>
      </c>
      <c r="G466" t="s">
        <v>234</v>
      </c>
      <c r="H466" t="s">
        <v>69</v>
      </c>
      <c r="I466" t="s">
        <v>1413</v>
      </c>
      <c r="J466" t="s">
        <v>1414</v>
      </c>
      <c r="K466" t="s">
        <v>1415</v>
      </c>
      <c r="L466" t="s">
        <v>1372</v>
      </c>
      <c r="M466" t="s">
        <v>1373</v>
      </c>
      <c r="N466" t="s">
        <v>1374</v>
      </c>
      <c r="O466" t="s">
        <v>1375</v>
      </c>
      <c r="P466">
        <v>42.866</v>
      </c>
      <c r="Q466" t="s">
        <v>29</v>
      </c>
      <c r="R466" t="s">
        <v>30</v>
      </c>
    </row>
    <row r="467" spans="1:18" x14ac:dyDescent="0.25">
      <c r="A467">
        <v>2007</v>
      </c>
      <c r="B467">
        <v>407</v>
      </c>
      <c r="C467" t="s">
        <v>2296</v>
      </c>
      <c r="D467" t="s">
        <v>2297</v>
      </c>
      <c r="E467">
        <v>211113</v>
      </c>
      <c r="F467" t="s">
        <v>425</v>
      </c>
      <c r="G467" t="s">
        <v>426</v>
      </c>
      <c r="H467" t="s">
        <v>85</v>
      </c>
      <c r="I467" t="s">
        <v>1549</v>
      </c>
      <c r="J467" t="s">
        <v>1550</v>
      </c>
      <c r="K467" t="s">
        <v>1551</v>
      </c>
      <c r="L467" t="s">
        <v>1372</v>
      </c>
      <c r="M467" t="s">
        <v>1373</v>
      </c>
      <c r="N467" t="s">
        <v>1399</v>
      </c>
      <c r="O467" t="s">
        <v>1400</v>
      </c>
      <c r="P467">
        <v>51</v>
      </c>
      <c r="Q467" t="s">
        <v>29</v>
      </c>
      <c r="R467" t="s">
        <v>30</v>
      </c>
    </row>
    <row r="468" spans="1:18" x14ac:dyDescent="0.25">
      <c r="A468">
        <v>2013</v>
      </c>
      <c r="B468">
        <v>4566</v>
      </c>
      <c r="C468" t="s">
        <v>1608</v>
      </c>
      <c r="D468" t="s">
        <v>2298</v>
      </c>
      <c r="E468">
        <v>211113</v>
      </c>
      <c r="F468" t="s">
        <v>786</v>
      </c>
      <c r="G468" t="s">
        <v>426</v>
      </c>
      <c r="H468" t="s">
        <v>85</v>
      </c>
      <c r="I468" t="s">
        <v>427</v>
      </c>
      <c r="J468" t="s">
        <v>428</v>
      </c>
      <c r="K468" t="s">
        <v>429</v>
      </c>
      <c r="L468" t="s">
        <v>1361</v>
      </c>
      <c r="M468" t="s">
        <v>1362</v>
      </c>
      <c r="N468" t="s">
        <v>1363</v>
      </c>
      <c r="O468" t="s">
        <v>1364</v>
      </c>
      <c r="P468">
        <v>0.111</v>
      </c>
      <c r="Q468" t="s">
        <v>29</v>
      </c>
      <c r="R468" t="s">
        <v>430</v>
      </c>
    </row>
    <row r="469" spans="1:18" x14ac:dyDescent="0.25">
      <c r="A469">
        <v>2001</v>
      </c>
      <c r="B469">
        <v>2984</v>
      </c>
      <c r="C469" t="s">
        <v>2299</v>
      </c>
      <c r="D469" t="s">
        <v>2300</v>
      </c>
      <c r="E469">
        <v>331110</v>
      </c>
      <c r="F469" t="s">
        <v>335</v>
      </c>
      <c r="G469" t="s">
        <v>336</v>
      </c>
      <c r="H469" t="s">
        <v>21</v>
      </c>
      <c r="I469" t="s">
        <v>628</v>
      </c>
      <c r="J469" t="s">
        <v>629</v>
      </c>
      <c r="K469" t="s">
        <v>630</v>
      </c>
      <c r="L469" t="s">
        <v>1372</v>
      </c>
      <c r="M469" t="s">
        <v>1373</v>
      </c>
      <c r="N469" t="s">
        <v>1374</v>
      </c>
      <c r="O469" t="s">
        <v>1375</v>
      </c>
      <c r="P469">
        <v>1.73</v>
      </c>
      <c r="Q469" t="s">
        <v>631</v>
      </c>
      <c r="R469" t="s">
        <v>204</v>
      </c>
    </row>
    <row r="470" spans="1:18" x14ac:dyDescent="0.25">
      <c r="A470">
        <v>2021</v>
      </c>
      <c r="B470">
        <v>32084</v>
      </c>
      <c r="C470" t="s">
        <v>2301</v>
      </c>
      <c r="D470" t="s">
        <v>2302</v>
      </c>
      <c r="E470">
        <v>211110</v>
      </c>
      <c r="F470" t="s">
        <v>233</v>
      </c>
      <c r="G470" t="s">
        <v>234</v>
      </c>
      <c r="H470" t="s">
        <v>85</v>
      </c>
      <c r="I470" t="s">
        <v>1369</v>
      </c>
      <c r="J470" t="s">
        <v>1370</v>
      </c>
      <c r="K470" t="s">
        <v>1371</v>
      </c>
      <c r="L470" t="s">
        <v>1372</v>
      </c>
      <c r="M470" t="s">
        <v>1373</v>
      </c>
      <c r="N470" t="s">
        <v>1374</v>
      </c>
      <c r="O470" t="s">
        <v>1375</v>
      </c>
      <c r="P470">
        <v>0.35799999999999998</v>
      </c>
      <c r="Q470" t="s">
        <v>29</v>
      </c>
      <c r="R470" t="s">
        <v>430</v>
      </c>
    </row>
    <row r="471" spans="1:18" x14ac:dyDescent="0.25">
      <c r="A471">
        <v>2003</v>
      </c>
      <c r="B471">
        <v>6074</v>
      </c>
      <c r="C471" t="s">
        <v>2303</v>
      </c>
      <c r="D471" t="s">
        <v>2304</v>
      </c>
      <c r="E471">
        <v>314110</v>
      </c>
      <c r="F471" t="s">
        <v>2305</v>
      </c>
      <c r="G471" t="s">
        <v>2306</v>
      </c>
      <c r="H471" t="s">
        <v>483</v>
      </c>
      <c r="I471" t="s">
        <v>1533</v>
      </c>
      <c r="J471" t="s">
        <v>1534</v>
      </c>
      <c r="K471" t="s">
        <v>1535</v>
      </c>
      <c r="L471" t="s">
        <v>1372</v>
      </c>
      <c r="M471" t="s">
        <v>1373</v>
      </c>
      <c r="N471" t="s">
        <v>1374</v>
      </c>
      <c r="O471" t="s">
        <v>1375</v>
      </c>
      <c r="P471">
        <v>19.64</v>
      </c>
      <c r="Q471" t="s">
        <v>29</v>
      </c>
      <c r="R471" t="s">
        <v>430</v>
      </c>
    </row>
    <row r="472" spans="1:18" x14ac:dyDescent="0.25">
      <c r="A472">
        <v>2010</v>
      </c>
      <c r="B472">
        <v>7051</v>
      </c>
      <c r="C472" t="s">
        <v>2307</v>
      </c>
      <c r="D472" t="s">
        <v>2308</v>
      </c>
      <c r="E472">
        <v>212220</v>
      </c>
      <c r="F472" t="s">
        <v>1980</v>
      </c>
      <c r="G472" t="s">
        <v>1620</v>
      </c>
      <c r="H472" t="s">
        <v>21</v>
      </c>
      <c r="I472" t="s">
        <v>1369</v>
      </c>
      <c r="J472" t="s">
        <v>1370</v>
      </c>
      <c r="K472" t="s">
        <v>1371</v>
      </c>
      <c r="L472" t="s">
        <v>1372</v>
      </c>
      <c r="M472" t="s">
        <v>1373</v>
      </c>
      <c r="N472" t="s">
        <v>1390</v>
      </c>
      <c r="O472" t="s">
        <v>1391</v>
      </c>
      <c r="P472">
        <v>2.0199999999999999E-2</v>
      </c>
      <c r="Q472" t="s">
        <v>29</v>
      </c>
      <c r="R472" t="s">
        <v>430</v>
      </c>
    </row>
    <row r="473" spans="1:18" x14ac:dyDescent="0.25">
      <c r="A473">
        <v>2002</v>
      </c>
      <c r="B473">
        <v>6290</v>
      </c>
      <c r="C473" t="s">
        <v>2309</v>
      </c>
      <c r="D473" t="s">
        <v>2310</v>
      </c>
      <c r="E473">
        <v>412110</v>
      </c>
      <c r="F473" t="s">
        <v>346</v>
      </c>
      <c r="G473" t="s">
        <v>347</v>
      </c>
      <c r="H473" t="s">
        <v>79</v>
      </c>
      <c r="I473" t="s">
        <v>1413</v>
      </c>
      <c r="J473" t="s">
        <v>1414</v>
      </c>
      <c r="K473" t="s">
        <v>1415</v>
      </c>
      <c r="L473" t="s">
        <v>1372</v>
      </c>
      <c r="M473" t="s">
        <v>1373</v>
      </c>
      <c r="N473" t="s">
        <v>1374</v>
      </c>
      <c r="O473" t="s">
        <v>1375</v>
      </c>
      <c r="P473">
        <v>48.35</v>
      </c>
      <c r="Q473" t="s">
        <v>29</v>
      </c>
      <c r="R473" t="s">
        <v>204</v>
      </c>
    </row>
    <row r="474" spans="1:18" x14ac:dyDescent="0.25">
      <c r="A474">
        <v>2009</v>
      </c>
      <c r="B474">
        <v>1684</v>
      </c>
      <c r="C474" t="s">
        <v>2311</v>
      </c>
      <c r="D474" t="s">
        <v>2312</v>
      </c>
      <c r="E474">
        <v>325210</v>
      </c>
      <c r="F474" t="s">
        <v>1752</v>
      </c>
      <c r="G474" t="s">
        <v>415</v>
      </c>
      <c r="H474" t="s">
        <v>21</v>
      </c>
      <c r="I474" t="s">
        <v>191</v>
      </c>
      <c r="J474" t="s">
        <v>192</v>
      </c>
      <c r="K474" t="s">
        <v>193</v>
      </c>
      <c r="L474" t="s">
        <v>1372</v>
      </c>
      <c r="M474" t="s">
        <v>1373</v>
      </c>
      <c r="N474" t="s">
        <v>1374</v>
      </c>
      <c r="O474" t="s">
        <v>1375</v>
      </c>
      <c r="P474">
        <v>0.75</v>
      </c>
      <c r="Q474" t="s">
        <v>29</v>
      </c>
      <c r="R474" t="s">
        <v>725</v>
      </c>
    </row>
    <row r="475" spans="1:18" x14ac:dyDescent="0.25">
      <c r="A475">
        <v>2019</v>
      </c>
      <c r="B475">
        <v>5158</v>
      </c>
      <c r="C475" t="s">
        <v>2313</v>
      </c>
      <c r="D475" t="s">
        <v>2314</v>
      </c>
      <c r="E475">
        <v>321111</v>
      </c>
      <c r="F475" t="s">
        <v>1367</v>
      </c>
      <c r="G475" t="s">
        <v>1368</v>
      </c>
      <c r="H475" t="s">
        <v>69</v>
      </c>
      <c r="I475" t="s">
        <v>1441</v>
      </c>
      <c r="J475" t="s">
        <v>1442</v>
      </c>
      <c r="K475" t="s">
        <v>1443</v>
      </c>
      <c r="L475" t="s">
        <v>1372</v>
      </c>
      <c r="M475" t="s">
        <v>1373</v>
      </c>
      <c r="N475" t="s">
        <v>1374</v>
      </c>
      <c r="O475" t="s">
        <v>1375</v>
      </c>
      <c r="P475">
        <v>319.52300000000002</v>
      </c>
      <c r="Q475" t="s">
        <v>29</v>
      </c>
      <c r="R475" t="s">
        <v>430</v>
      </c>
    </row>
    <row r="476" spans="1:18" x14ac:dyDescent="0.25">
      <c r="A476">
        <v>2019</v>
      </c>
      <c r="B476">
        <v>31261</v>
      </c>
      <c r="C476" t="s">
        <v>2315</v>
      </c>
      <c r="D476" t="s">
        <v>2316</v>
      </c>
      <c r="E476">
        <v>324121</v>
      </c>
      <c r="F476" t="s">
        <v>1540</v>
      </c>
      <c r="G476" t="s">
        <v>1541</v>
      </c>
      <c r="H476" t="s">
        <v>85</v>
      </c>
      <c r="I476" t="s">
        <v>1413</v>
      </c>
      <c r="J476" t="s">
        <v>1414</v>
      </c>
      <c r="K476" t="s">
        <v>1415</v>
      </c>
      <c r="L476" t="s">
        <v>1372</v>
      </c>
      <c r="M476" t="s">
        <v>1373</v>
      </c>
      <c r="N476" t="s">
        <v>1374</v>
      </c>
      <c r="O476" t="s">
        <v>1375</v>
      </c>
      <c r="P476">
        <v>5.8890000000000001E-3</v>
      </c>
      <c r="Q476" t="s">
        <v>29</v>
      </c>
      <c r="R476" t="s">
        <v>30</v>
      </c>
    </row>
    <row r="477" spans="1:18" x14ac:dyDescent="0.25">
      <c r="A477">
        <v>2022</v>
      </c>
      <c r="B477">
        <v>33456</v>
      </c>
      <c r="C477" t="s">
        <v>1791</v>
      </c>
      <c r="D477" t="s">
        <v>2317</v>
      </c>
      <c r="E477">
        <v>211110</v>
      </c>
      <c r="F477" t="s">
        <v>233</v>
      </c>
      <c r="G477" t="s">
        <v>234</v>
      </c>
      <c r="H477" t="s">
        <v>243</v>
      </c>
      <c r="I477" t="s">
        <v>1457</v>
      </c>
      <c r="J477" t="s">
        <v>1680</v>
      </c>
      <c r="K477" t="s">
        <v>1681</v>
      </c>
      <c r="L477" t="s">
        <v>1372</v>
      </c>
      <c r="M477" t="s">
        <v>1373</v>
      </c>
      <c r="N477" t="s">
        <v>1409</v>
      </c>
      <c r="O477" t="s">
        <v>1410</v>
      </c>
      <c r="P477">
        <v>9.5899999999999999E-2</v>
      </c>
      <c r="Q477" t="s">
        <v>29</v>
      </c>
      <c r="R477" t="s">
        <v>30</v>
      </c>
    </row>
    <row r="478" spans="1:18" x14ac:dyDescent="0.25">
      <c r="A478">
        <v>2005</v>
      </c>
      <c r="B478">
        <v>17327</v>
      </c>
      <c r="C478" t="s">
        <v>2318</v>
      </c>
      <c r="D478" t="s">
        <v>2319</v>
      </c>
      <c r="E478">
        <v>211113</v>
      </c>
      <c r="F478" t="s">
        <v>425</v>
      </c>
      <c r="G478" t="s">
        <v>426</v>
      </c>
      <c r="H478" t="s">
        <v>85</v>
      </c>
      <c r="I478" t="s">
        <v>1533</v>
      </c>
      <c r="J478" t="s">
        <v>1534</v>
      </c>
      <c r="K478" t="s">
        <v>1535</v>
      </c>
      <c r="L478" t="s">
        <v>1372</v>
      </c>
      <c r="M478" t="s">
        <v>1373</v>
      </c>
      <c r="N478" t="s">
        <v>1374</v>
      </c>
      <c r="O478" t="s">
        <v>1375</v>
      </c>
      <c r="P478">
        <v>158.49700000000001</v>
      </c>
      <c r="Q478" t="s">
        <v>29</v>
      </c>
      <c r="R478" t="s">
        <v>430</v>
      </c>
    </row>
    <row r="479" spans="1:18" x14ac:dyDescent="0.25">
      <c r="A479">
        <v>2021</v>
      </c>
      <c r="B479">
        <v>31267</v>
      </c>
      <c r="C479" t="s">
        <v>2320</v>
      </c>
      <c r="D479" t="s">
        <v>2321</v>
      </c>
      <c r="E479">
        <v>212323</v>
      </c>
      <c r="F479" t="s">
        <v>1568</v>
      </c>
      <c r="G479" t="s">
        <v>1498</v>
      </c>
      <c r="H479" t="s">
        <v>21</v>
      </c>
      <c r="I479" t="s">
        <v>1421</v>
      </c>
      <c r="J479" t="s">
        <v>1422</v>
      </c>
      <c r="K479" t="s">
        <v>1423</v>
      </c>
      <c r="L479" t="s">
        <v>1372</v>
      </c>
      <c r="M479" t="s">
        <v>1373</v>
      </c>
      <c r="N479" t="s">
        <v>1409</v>
      </c>
      <c r="O479" t="s">
        <v>1410</v>
      </c>
      <c r="P479">
        <v>3.9300000000000002E-2</v>
      </c>
      <c r="Q479" t="s">
        <v>29</v>
      </c>
      <c r="R479" t="s">
        <v>30</v>
      </c>
    </row>
    <row r="480" spans="1:18" x14ac:dyDescent="0.25">
      <c r="A480">
        <v>2023</v>
      </c>
      <c r="B480">
        <v>3897</v>
      </c>
      <c r="C480" t="s">
        <v>1250</v>
      </c>
      <c r="D480" t="s">
        <v>275</v>
      </c>
      <c r="E480">
        <v>324110</v>
      </c>
      <c r="F480" t="s">
        <v>196</v>
      </c>
      <c r="G480" t="s">
        <v>96</v>
      </c>
      <c r="H480" t="s">
        <v>79</v>
      </c>
      <c r="I480" t="s">
        <v>1295</v>
      </c>
      <c r="J480" t="s">
        <v>1296</v>
      </c>
      <c r="K480" t="s">
        <v>1297</v>
      </c>
      <c r="L480" t="s">
        <v>1372</v>
      </c>
      <c r="M480" t="s">
        <v>1373</v>
      </c>
      <c r="N480" t="s">
        <v>1374</v>
      </c>
      <c r="O480" t="s">
        <v>1375</v>
      </c>
      <c r="P480">
        <v>0.63966699999999999</v>
      </c>
      <c r="Q480" t="s">
        <v>29</v>
      </c>
      <c r="R480" t="s">
        <v>430</v>
      </c>
    </row>
    <row r="481" spans="1:18" x14ac:dyDescent="0.25">
      <c r="A481">
        <v>2023</v>
      </c>
      <c r="B481">
        <v>30639</v>
      </c>
      <c r="C481" t="s">
        <v>2322</v>
      </c>
      <c r="D481" t="s">
        <v>2323</v>
      </c>
      <c r="E481">
        <v>332999</v>
      </c>
      <c r="F481" t="s">
        <v>303</v>
      </c>
      <c r="G481" t="s">
        <v>304</v>
      </c>
      <c r="H481" t="s">
        <v>21</v>
      </c>
      <c r="I481" t="s">
        <v>136</v>
      </c>
      <c r="J481" t="s">
        <v>137</v>
      </c>
      <c r="K481" t="s">
        <v>138</v>
      </c>
      <c r="L481" t="s">
        <v>1372</v>
      </c>
      <c r="M481" t="s">
        <v>1373</v>
      </c>
      <c r="N481" t="s">
        <v>1374</v>
      </c>
      <c r="O481" t="s">
        <v>1375</v>
      </c>
      <c r="P481">
        <v>2.9999999999999997E-4</v>
      </c>
      <c r="Q481" t="s">
        <v>29</v>
      </c>
      <c r="R481" t="s">
        <v>430</v>
      </c>
    </row>
    <row r="482" spans="1:18" x14ac:dyDescent="0.25">
      <c r="A482">
        <v>2013</v>
      </c>
      <c r="B482">
        <v>6185</v>
      </c>
      <c r="C482" t="s">
        <v>2324</v>
      </c>
      <c r="D482" t="s">
        <v>1387</v>
      </c>
      <c r="E482">
        <v>327410</v>
      </c>
      <c r="F482" t="s">
        <v>2325</v>
      </c>
      <c r="G482" t="s">
        <v>2326</v>
      </c>
      <c r="H482" t="s">
        <v>79</v>
      </c>
      <c r="I482" t="s">
        <v>1421</v>
      </c>
      <c r="J482" t="s">
        <v>1422</v>
      </c>
      <c r="K482" t="s">
        <v>1423</v>
      </c>
      <c r="L482" t="s">
        <v>1372</v>
      </c>
      <c r="M482" t="s">
        <v>1373</v>
      </c>
      <c r="N482" t="s">
        <v>1374</v>
      </c>
      <c r="O482" t="s">
        <v>1375</v>
      </c>
      <c r="P482">
        <v>1.468</v>
      </c>
      <c r="Q482" t="s">
        <v>29</v>
      </c>
      <c r="R482" t="s">
        <v>124</v>
      </c>
    </row>
    <row r="483" spans="1:18" x14ac:dyDescent="0.25">
      <c r="A483">
        <v>2013</v>
      </c>
      <c r="B483">
        <v>5684</v>
      </c>
      <c r="C483" t="s">
        <v>1115</v>
      </c>
      <c r="D483" t="s">
        <v>2327</v>
      </c>
      <c r="E483">
        <v>212398</v>
      </c>
      <c r="F483" t="s">
        <v>2328</v>
      </c>
      <c r="G483" t="s">
        <v>2329</v>
      </c>
      <c r="H483" t="s">
        <v>21</v>
      </c>
      <c r="I483" t="s">
        <v>62</v>
      </c>
      <c r="J483" t="s">
        <v>63</v>
      </c>
      <c r="K483" t="s">
        <v>64</v>
      </c>
      <c r="L483" t="s">
        <v>1378</v>
      </c>
      <c r="M483" t="s">
        <v>1379</v>
      </c>
      <c r="N483" t="s">
        <v>1380</v>
      </c>
      <c r="O483" t="s">
        <v>1381</v>
      </c>
      <c r="P483">
        <v>1.3599999999999999E-2</v>
      </c>
      <c r="Q483" t="s">
        <v>29</v>
      </c>
      <c r="R483" t="s">
        <v>124</v>
      </c>
    </row>
    <row r="484" spans="1:18" x14ac:dyDescent="0.25">
      <c r="A484">
        <v>2013</v>
      </c>
      <c r="B484">
        <v>11763</v>
      </c>
      <c r="C484" t="s">
        <v>2330</v>
      </c>
      <c r="D484" t="s">
        <v>2331</v>
      </c>
      <c r="E484">
        <v>327330</v>
      </c>
      <c r="F484" t="s">
        <v>710</v>
      </c>
      <c r="G484" t="s">
        <v>711</v>
      </c>
      <c r="H484" t="s">
        <v>21</v>
      </c>
      <c r="I484" t="s">
        <v>1421</v>
      </c>
      <c r="J484" t="s">
        <v>1422</v>
      </c>
      <c r="K484" t="s">
        <v>1423</v>
      </c>
      <c r="L484" t="s">
        <v>1372</v>
      </c>
      <c r="M484" t="s">
        <v>1373</v>
      </c>
      <c r="N484" t="s">
        <v>1374</v>
      </c>
      <c r="O484" t="s">
        <v>1375</v>
      </c>
      <c r="P484">
        <v>1.5660000000000001</v>
      </c>
      <c r="Q484" t="s">
        <v>29</v>
      </c>
      <c r="R484" t="s">
        <v>430</v>
      </c>
    </row>
    <row r="485" spans="1:18" x14ac:dyDescent="0.25">
      <c r="A485">
        <v>2005</v>
      </c>
      <c r="B485">
        <v>1779</v>
      </c>
      <c r="C485" t="s">
        <v>247</v>
      </c>
      <c r="D485" t="s">
        <v>2332</v>
      </c>
      <c r="E485">
        <v>325110</v>
      </c>
      <c r="F485" t="s">
        <v>1194</v>
      </c>
      <c r="G485" t="s">
        <v>445</v>
      </c>
      <c r="H485" t="s">
        <v>85</v>
      </c>
      <c r="I485" t="s">
        <v>491</v>
      </c>
      <c r="J485" t="s">
        <v>492</v>
      </c>
      <c r="K485" t="s">
        <v>492</v>
      </c>
      <c r="L485" t="s">
        <v>1372</v>
      </c>
      <c r="M485" t="s">
        <v>1373</v>
      </c>
      <c r="N485" t="s">
        <v>1374</v>
      </c>
      <c r="O485" t="s">
        <v>1375</v>
      </c>
      <c r="P485">
        <v>0.40100000000000002</v>
      </c>
      <c r="Q485" t="s">
        <v>29</v>
      </c>
      <c r="R485" t="s">
        <v>30</v>
      </c>
    </row>
    <row r="486" spans="1:18" x14ac:dyDescent="0.25">
      <c r="A486">
        <v>2023</v>
      </c>
      <c r="B486">
        <v>26403</v>
      </c>
      <c r="C486" t="s">
        <v>1168</v>
      </c>
      <c r="D486" t="s">
        <v>1169</v>
      </c>
      <c r="E486">
        <v>211142</v>
      </c>
      <c r="F486" t="s">
        <v>357</v>
      </c>
      <c r="G486" t="s">
        <v>358</v>
      </c>
      <c r="H486" t="s">
        <v>85</v>
      </c>
      <c r="I486" t="s">
        <v>1421</v>
      </c>
      <c r="J486" t="s">
        <v>1422</v>
      </c>
      <c r="K486" t="s">
        <v>1423</v>
      </c>
      <c r="L486" t="s">
        <v>1372</v>
      </c>
      <c r="M486" t="s">
        <v>1373</v>
      </c>
      <c r="N486" t="s">
        <v>1409</v>
      </c>
      <c r="O486" t="s">
        <v>1410</v>
      </c>
      <c r="P486">
        <v>27.376835</v>
      </c>
      <c r="Q486" t="s">
        <v>29</v>
      </c>
      <c r="R486" t="s">
        <v>430</v>
      </c>
    </row>
    <row r="487" spans="1:18" x14ac:dyDescent="0.25">
      <c r="A487">
        <v>1999</v>
      </c>
      <c r="B487">
        <v>2322</v>
      </c>
      <c r="C487" t="s">
        <v>2333</v>
      </c>
      <c r="E487">
        <v>325999</v>
      </c>
      <c r="F487" t="s">
        <v>396</v>
      </c>
      <c r="G487" t="s">
        <v>397</v>
      </c>
      <c r="H487" t="s">
        <v>21</v>
      </c>
      <c r="I487" t="s">
        <v>504</v>
      </c>
      <c r="J487" t="s">
        <v>505</v>
      </c>
      <c r="K487" t="s">
        <v>506</v>
      </c>
      <c r="L487" t="s">
        <v>1372</v>
      </c>
      <c r="M487" t="s">
        <v>1373</v>
      </c>
      <c r="N487" t="s">
        <v>1374</v>
      </c>
      <c r="O487" t="s">
        <v>1375</v>
      </c>
      <c r="P487">
        <v>2.0939999999999999</v>
      </c>
      <c r="Q487" t="s">
        <v>29</v>
      </c>
      <c r="R487" t="s">
        <v>204</v>
      </c>
    </row>
    <row r="488" spans="1:18" x14ac:dyDescent="0.25">
      <c r="A488">
        <v>2015</v>
      </c>
      <c r="B488">
        <v>18000</v>
      </c>
      <c r="C488" t="s">
        <v>1027</v>
      </c>
      <c r="D488" t="s">
        <v>2334</v>
      </c>
      <c r="E488">
        <v>211113</v>
      </c>
      <c r="F488" t="s">
        <v>786</v>
      </c>
      <c r="G488" t="s">
        <v>426</v>
      </c>
      <c r="H488" t="s">
        <v>85</v>
      </c>
      <c r="I488" t="s">
        <v>1533</v>
      </c>
      <c r="J488" t="s">
        <v>1534</v>
      </c>
      <c r="K488" t="s">
        <v>1535</v>
      </c>
      <c r="L488" t="s">
        <v>1372</v>
      </c>
      <c r="M488" t="s">
        <v>1373</v>
      </c>
      <c r="N488" t="s">
        <v>1374</v>
      </c>
      <c r="O488" t="s">
        <v>1375</v>
      </c>
      <c r="P488">
        <v>64.987499999999997</v>
      </c>
      <c r="Q488" t="s">
        <v>29</v>
      </c>
      <c r="R488" t="s">
        <v>430</v>
      </c>
    </row>
    <row r="489" spans="1:18" x14ac:dyDescent="0.25">
      <c r="A489">
        <v>2016</v>
      </c>
      <c r="B489">
        <v>2230</v>
      </c>
      <c r="C489" t="s">
        <v>1548</v>
      </c>
      <c r="D489" t="s">
        <v>1514</v>
      </c>
      <c r="E489">
        <v>211114</v>
      </c>
      <c r="F489" t="s">
        <v>956</v>
      </c>
      <c r="G489" t="s">
        <v>836</v>
      </c>
      <c r="H489" t="s">
        <v>85</v>
      </c>
      <c r="I489" t="s">
        <v>1050</v>
      </c>
      <c r="J489" t="s">
        <v>1051</v>
      </c>
      <c r="K489" t="s">
        <v>1052</v>
      </c>
      <c r="L489" t="s">
        <v>1372</v>
      </c>
      <c r="M489" t="s">
        <v>1373</v>
      </c>
      <c r="N489" t="s">
        <v>1409</v>
      </c>
      <c r="O489" t="s">
        <v>1410</v>
      </c>
      <c r="P489">
        <v>2.2997000000000001</v>
      </c>
      <c r="Q489" t="s">
        <v>40</v>
      </c>
      <c r="R489" t="s">
        <v>124</v>
      </c>
    </row>
    <row r="490" spans="1:18" x14ac:dyDescent="0.25">
      <c r="A490">
        <v>2016</v>
      </c>
      <c r="B490">
        <v>24145</v>
      </c>
      <c r="C490" t="s">
        <v>2335</v>
      </c>
      <c r="D490" t="s">
        <v>2336</v>
      </c>
      <c r="E490">
        <v>211114</v>
      </c>
      <c r="F490" t="s">
        <v>956</v>
      </c>
      <c r="G490" t="s">
        <v>836</v>
      </c>
      <c r="H490" t="s">
        <v>85</v>
      </c>
      <c r="I490" t="s">
        <v>1421</v>
      </c>
      <c r="J490" t="s">
        <v>1422</v>
      </c>
      <c r="K490" t="s">
        <v>1423</v>
      </c>
      <c r="L490" t="s">
        <v>1372</v>
      </c>
      <c r="M490" t="s">
        <v>1373</v>
      </c>
      <c r="N490" t="s">
        <v>1390</v>
      </c>
      <c r="O490" t="s">
        <v>1391</v>
      </c>
      <c r="P490">
        <v>2.637</v>
      </c>
      <c r="Q490" t="s">
        <v>29</v>
      </c>
      <c r="R490" t="s">
        <v>30</v>
      </c>
    </row>
    <row r="491" spans="1:18" x14ac:dyDescent="0.25">
      <c r="A491">
        <v>2023</v>
      </c>
      <c r="B491">
        <v>31705</v>
      </c>
      <c r="C491" t="s">
        <v>2337</v>
      </c>
      <c r="D491" t="s">
        <v>2338</v>
      </c>
      <c r="E491">
        <v>324121</v>
      </c>
      <c r="F491" t="s">
        <v>1540</v>
      </c>
      <c r="G491" t="s">
        <v>1541</v>
      </c>
      <c r="H491" t="s">
        <v>69</v>
      </c>
      <c r="I491" t="s">
        <v>1369</v>
      </c>
      <c r="J491" t="s">
        <v>1370</v>
      </c>
      <c r="K491" t="s">
        <v>1371</v>
      </c>
      <c r="L491" t="s">
        <v>1372</v>
      </c>
      <c r="M491" t="s">
        <v>1373</v>
      </c>
      <c r="N491" t="s">
        <v>1402</v>
      </c>
      <c r="O491" t="s">
        <v>1403</v>
      </c>
      <c r="P491">
        <v>0</v>
      </c>
      <c r="Q491" t="s">
        <v>29</v>
      </c>
      <c r="R491" t="s">
        <v>30</v>
      </c>
    </row>
    <row r="492" spans="1:18" x14ac:dyDescent="0.25">
      <c r="A492">
        <v>2021</v>
      </c>
      <c r="B492">
        <v>15120</v>
      </c>
      <c r="C492" t="s">
        <v>2339</v>
      </c>
      <c r="D492" t="s">
        <v>2340</v>
      </c>
      <c r="E492">
        <v>211110</v>
      </c>
      <c r="F492" t="s">
        <v>233</v>
      </c>
      <c r="G492" t="s">
        <v>234</v>
      </c>
      <c r="H492" t="s">
        <v>85</v>
      </c>
      <c r="I492" t="s">
        <v>1441</v>
      </c>
      <c r="J492" t="s">
        <v>1442</v>
      </c>
      <c r="K492" t="s">
        <v>1443</v>
      </c>
      <c r="L492" t="s">
        <v>1372</v>
      </c>
      <c r="M492" t="s">
        <v>1373</v>
      </c>
      <c r="N492" t="s">
        <v>1374</v>
      </c>
      <c r="O492" t="s">
        <v>1375</v>
      </c>
      <c r="P492">
        <v>64.584199999999996</v>
      </c>
      <c r="Q492" t="s">
        <v>29</v>
      </c>
      <c r="R492" t="s">
        <v>430</v>
      </c>
    </row>
    <row r="493" spans="1:18" x14ac:dyDescent="0.25">
      <c r="A493">
        <v>2023</v>
      </c>
      <c r="B493">
        <v>29053</v>
      </c>
      <c r="C493" t="s">
        <v>2341</v>
      </c>
      <c r="D493" t="s">
        <v>2342</v>
      </c>
      <c r="E493">
        <v>221112</v>
      </c>
      <c r="F493" t="s">
        <v>499</v>
      </c>
      <c r="G493" t="s">
        <v>135</v>
      </c>
      <c r="H493" t="s">
        <v>1625</v>
      </c>
      <c r="I493" t="s">
        <v>1533</v>
      </c>
      <c r="J493" t="s">
        <v>1534</v>
      </c>
      <c r="K493" t="s">
        <v>1535</v>
      </c>
      <c r="L493" t="s">
        <v>1372</v>
      </c>
      <c r="M493" t="s">
        <v>1373</v>
      </c>
      <c r="N493" t="s">
        <v>1374</v>
      </c>
      <c r="O493" t="s">
        <v>1375</v>
      </c>
      <c r="P493">
        <v>30.83</v>
      </c>
      <c r="Q493" t="s">
        <v>29</v>
      </c>
      <c r="R493" t="s">
        <v>157</v>
      </c>
    </row>
    <row r="494" spans="1:18" x14ac:dyDescent="0.25">
      <c r="A494">
        <v>2023</v>
      </c>
      <c r="B494">
        <v>34493</v>
      </c>
      <c r="C494" t="s">
        <v>1791</v>
      </c>
      <c r="D494" t="s">
        <v>2343</v>
      </c>
      <c r="E494">
        <v>211110</v>
      </c>
      <c r="F494" t="s">
        <v>233</v>
      </c>
      <c r="G494" t="s">
        <v>234</v>
      </c>
      <c r="H494" t="s">
        <v>243</v>
      </c>
      <c r="I494" t="s">
        <v>1533</v>
      </c>
      <c r="J494" t="s">
        <v>1534</v>
      </c>
      <c r="K494" t="s">
        <v>1535</v>
      </c>
      <c r="L494" t="s">
        <v>1372</v>
      </c>
      <c r="M494" t="s">
        <v>1373</v>
      </c>
      <c r="N494" t="s">
        <v>1374</v>
      </c>
      <c r="O494" t="s">
        <v>1375</v>
      </c>
      <c r="P494">
        <v>0.17566000000000001</v>
      </c>
      <c r="Q494" t="s">
        <v>29</v>
      </c>
      <c r="R494" t="s">
        <v>430</v>
      </c>
    </row>
    <row r="495" spans="1:18" x14ac:dyDescent="0.25">
      <c r="A495">
        <v>2004</v>
      </c>
      <c r="B495">
        <v>6374</v>
      </c>
      <c r="C495" t="s">
        <v>2344</v>
      </c>
      <c r="D495" t="s">
        <v>2345</v>
      </c>
      <c r="E495">
        <v>221320</v>
      </c>
      <c r="F495" t="s">
        <v>390</v>
      </c>
      <c r="G495" t="s">
        <v>147</v>
      </c>
      <c r="H495" t="s">
        <v>79</v>
      </c>
      <c r="I495" t="s">
        <v>504</v>
      </c>
      <c r="J495" t="s">
        <v>505</v>
      </c>
      <c r="K495" t="s">
        <v>506</v>
      </c>
      <c r="L495" t="s">
        <v>1378</v>
      </c>
      <c r="M495" t="s">
        <v>1379</v>
      </c>
      <c r="N495" t="s">
        <v>1380</v>
      </c>
      <c r="O495" t="s">
        <v>1381</v>
      </c>
      <c r="P495">
        <v>176</v>
      </c>
      <c r="Q495" t="s">
        <v>29</v>
      </c>
      <c r="R495" t="s">
        <v>30</v>
      </c>
    </row>
    <row r="496" spans="1:18" x14ac:dyDescent="0.25">
      <c r="A496">
        <v>2019</v>
      </c>
      <c r="B496">
        <v>5739</v>
      </c>
      <c r="C496" t="s">
        <v>2346</v>
      </c>
      <c r="D496" t="s">
        <v>2347</v>
      </c>
      <c r="E496">
        <v>325190</v>
      </c>
      <c r="F496" t="s">
        <v>600</v>
      </c>
      <c r="G496" t="s">
        <v>601</v>
      </c>
      <c r="H496" t="s">
        <v>21</v>
      </c>
      <c r="I496" t="s">
        <v>923</v>
      </c>
      <c r="J496" t="s">
        <v>924</v>
      </c>
      <c r="K496" t="s">
        <v>924</v>
      </c>
      <c r="L496" t="s">
        <v>1372</v>
      </c>
      <c r="M496" t="s">
        <v>1373</v>
      </c>
      <c r="N496" t="s">
        <v>1399</v>
      </c>
      <c r="O496" t="s">
        <v>1400</v>
      </c>
      <c r="P496">
        <v>1.9099999999999999E-2</v>
      </c>
      <c r="Q496" t="s">
        <v>29</v>
      </c>
      <c r="R496" t="s">
        <v>30</v>
      </c>
    </row>
    <row r="497" spans="1:18" x14ac:dyDescent="0.25">
      <c r="A497">
        <v>2017</v>
      </c>
      <c r="B497">
        <v>3394</v>
      </c>
      <c r="C497" t="s">
        <v>2348</v>
      </c>
      <c r="D497" t="s">
        <v>2349</v>
      </c>
      <c r="E497">
        <v>322121</v>
      </c>
      <c r="F497" t="s">
        <v>938</v>
      </c>
      <c r="G497" t="s">
        <v>765</v>
      </c>
      <c r="H497" t="s">
        <v>661</v>
      </c>
      <c r="I497" t="s">
        <v>55</v>
      </c>
      <c r="J497" t="s">
        <v>56</v>
      </c>
      <c r="K497" t="s">
        <v>57</v>
      </c>
      <c r="L497" t="s">
        <v>1378</v>
      </c>
      <c r="M497" t="s">
        <v>1379</v>
      </c>
      <c r="N497" t="s">
        <v>1380</v>
      </c>
      <c r="O497" t="s">
        <v>1381</v>
      </c>
      <c r="P497">
        <v>0.1065</v>
      </c>
      <c r="Q497" t="s">
        <v>29</v>
      </c>
      <c r="R497" t="s">
        <v>430</v>
      </c>
    </row>
    <row r="498" spans="1:18" x14ac:dyDescent="0.25">
      <c r="A498">
        <v>2023</v>
      </c>
      <c r="B498">
        <v>29526</v>
      </c>
      <c r="C498" t="s">
        <v>787</v>
      </c>
      <c r="D498" t="s">
        <v>788</v>
      </c>
      <c r="E498">
        <v>336212</v>
      </c>
      <c r="F498" t="s">
        <v>789</v>
      </c>
      <c r="G498" t="s">
        <v>790</v>
      </c>
      <c r="H498" t="s">
        <v>21</v>
      </c>
      <c r="I498" t="s">
        <v>1421</v>
      </c>
      <c r="J498" t="s">
        <v>1422</v>
      </c>
      <c r="K498" t="s">
        <v>1423</v>
      </c>
      <c r="L498" t="s">
        <v>1372</v>
      </c>
      <c r="M498" t="s">
        <v>1373</v>
      </c>
      <c r="N498" t="s">
        <v>1374</v>
      </c>
      <c r="O498" t="s">
        <v>1375</v>
      </c>
      <c r="P498">
        <v>0.34173599999999998</v>
      </c>
      <c r="Q498" t="s">
        <v>29</v>
      </c>
      <c r="R498" t="s">
        <v>430</v>
      </c>
    </row>
    <row r="499" spans="1:18" x14ac:dyDescent="0.25">
      <c r="A499">
        <v>2016</v>
      </c>
      <c r="B499">
        <v>6647</v>
      </c>
      <c r="C499" t="s">
        <v>2350</v>
      </c>
      <c r="D499" t="s">
        <v>2351</v>
      </c>
      <c r="E499">
        <v>211114</v>
      </c>
      <c r="F499" t="s">
        <v>956</v>
      </c>
      <c r="G499" t="s">
        <v>836</v>
      </c>
      <c r="H499" t="s">
        <v>85</v>
      </c>
      <c r="I499" t="s">
        <v>209</v>
      </c>
      <c r="J499" t="s">
        <v>210</v>
      </c>
      <c r="K499" t="s">
        <v>211</v>
      </c>
      <c r="L499" t="s">
        <v>1361</v>
      </c>
      <c r="M499" t="s">
        <v>1362</v>
      </c>
      <c r="N499" t="s">
        <v>1363</v>
      </c>
      <c r="O499" t="s">
        <v>1364</v>
      </c>
      <c r="P499">
        <v>2.9999999999999997E-4</v>
      </c>
      <c r="Q499" t="s">
        <v>29</v>
      </c>
      <c r="R499" t="s">
        <v>430</v>
      </c>
    </row>
    <row r="500" spans="1:18" x14ac:dyDescent="0.25">
      <c r="A500">
        <v>2023</v>
      </c>
      <c r="B500">
        <v>4872</v>
      </c>
      <c r="C500" t="s">
        <v>2352</v>
      </c>
      <c r="D500" t="s">
        <v>2353</v>
      </c>
      <c r="E500">
        <v>221112</v>
      </c>
      <c r="F500" t="s">
        <v>499</v>
      </c>
      <c r="G500" t="s">
        <v>135</v>
      </c>
      <c r="H500" t="s">
        <v>21</v>
      </c>
      <c r="I500" t="s">
        <v>1487</v>
      </c>
      <c r="J500" t="s">
        <v>1488</v>
      </c>
      <c r="K500" t="s">
        <v>1489</v>
      </c>
      <c r="L500" t="s">
        <v>1372</v>
      </c>
      <c r="M500" t="s">
        <v>1373</v>
      </c>
      <c r="N500" t="s">
        <v>1409</v>
      </c>
      <c r="O500" t="s">
        <v>1410</v>
      </c>
      <c r="P500">
        <v>3.7999999999999999E-2</v>
      </c>
      <c r="Q500" t="s">
        <v>29</v>
      </c>
      <c r="R500" t="s">
        <v>30</v>
      </c>
    </row>
    <row r="501" spans="1:18" x14ac:dyDescent="0.25">
      <c r="A501">
        <v>2019</v>
      </c>
      <c r="B501">
        <v>18584</v>
      </c>
      <c r="C501" t="s">
        <v>2354</v>
      </c>
      <c r="D501" t="s">
        <v>2355</v>
      </c>
      <c r="E501">
        <v>211110</v>
      </c>
      <c r="F501" t="s">
        <v>233</v>
      </c>
      <c r="G501" t="s">
        <v>234</v>
      </c>
      <c r="H501" t="s">
        <v>85</v>
      </c>
      <c r="I501" t="s">
        <v>1369</v>
      </c>
      <c r="J501" t="s">
        <v>1370</v>
      </c>
      <c r="K501" t="s">
        <v>1371</v>
      </c>
      <c r="L501" t="s">
        <v>1372</v>
      </c>
      <c r="M501" t="s">
        <v>1373</v>
      </c>
      <c r="N501" t="s">
        <v>1374</v>
      </c>
      <c r="O501" t="s">
        <v>1375</v>
      </c>
      <c r="P501">
        <v>0.45500000000000002</v>
      </c>
      <c r="Q501" t="s">
        <v>29</v>
      </c>
      <c r="R501" t="s">
        <v>430</v>
      </c>
    </row>
  </sheetData>
  <sheetProtection algorithmName="SHA-512" hashValue="/RqH6UswEySca4dFNpUR7niF/9vFcl6XMxn24+Y2MQE9k7wMGadkThyM07bD4e7OAZyot02gs7mFo2at5bf60w==" saltValue="fOhESxusWN0qjM9nhkBFQA==" spinCount="100000" sheet="1" objects="1" scenarios="1" selectLockedCells="1" selectUnlockedCell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75F1-17F8-4218-BA97-9F418CDE6DE9}">
  <sheetPr>
    <tabColor theme="8" tint="0.79998168889431442"/>
  </sheetPr>
  <dimension ref="A1:R501"/>
  <sheetViews>
    <sheetView workbookViewId="0"/>
  </sheetViews>
  <sheetFormatPr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2005</v>
      </c>
      <c r="B2">
        <v>3713</v>
      </c>
      <c r="C2" t="s">
        <v>5166</v>
      </c>
      <c r="D2" t="s">
        <v>524</v>
      </c>
      <c r="E2">
        <v>331110</v>
      </c>
      <c r="F2" t="s">
        <v>335</v>
      </c>
      <c r="G2" t="s">
        <v>336</v>
      </c>
      <c r="H2" t="s">
        <v>21</v>
      </c>
      <c r="I2" t="s">
        <v>913</v>
      </c>
      <c r="J2" t="s">
        <v>914</v>
      </c>
      <c r="K2" t="s">
        <v>915</v>
      </c>
      <c r="L2" t="s">
        <v>5167</v>
      </c>
      <c r="M2" t="s">
        <v>5168</v>
      </c>
      <c r="N2" t="s">
        <v>5169</v>
      </c>
      <c r="O2" t="s">
        <v>5170</v>
      </c>
      <c r="P2">
        <v>46.3</v>
      </c>
      <c r="Q2" t="s">
        <v>29</v>
      </c>
      <c r="R2" t="s">
        <v>50</v>
      </c>
    </row>
    <row r="3" spans="1:18" x14ac:dyDescent="0.25">
      <c r="A3">
        <v>2007</v>
      </c>
      <c r="B3">
        <v>2388</v>
      </c>
      <c r="C3" t="s">
        <v>1854</v>
      </c>
      <c r="D3" t="s">
        <v>5171</v>
      </c>
      <c r="E3">
        <v>326150</v>
      </c>
      <c r="F3" t="s">
        <v>640</v>
      </c>
      <c r="G3" t="s">
        <v>641</v>
      </c>
      <c r="H3" t="s">
        <v>21</v>
      </c>
      <c r="I3" t="s">
        <v>5172</v>
      </c>
      <c r="J3" t="s">
        <v>5173</v>
      </c>
      <c r="K3" t="s">
        <v>5174</v>
      </c>
      <c r="L3" t="s">
        <v>5167</v>
      </c>
      <c r="M3" t="s">
        <v>5168</v>
      </c>
      <c r="N3" t="s">
        <v>5175</v>
      </c>
      <c r="O3" t="s">
        <v>5176</v>
      </c>
      <c r="P3">
        <v>0.27</v>
      </c>
      <c r="Q3" t="s">
        <v>29</v>
      </c>
      <c r="R3" t="s">
        <v>50</v>
      </c>
    </row>
    <row r="4" spans="1:18" x14ac:dyDescent="0.25">
      <c r="A4">
        <v>2021</v>
      </c>
      <c r="B4">
        <v>25207</v>
      </c>
      <c r="C4" t="s">
        <v>5177</v>
      </c>
      <c r="D4" t="s">
        <v>5178</v>
      </c>
      <c r="E4">
        <v>213118</v>
      </c>
      <c r="F4" t="s">
        <v>5179</v>
      </c>
      <c r="G4" t="s">
        <v>1337</v>
      </c>
      <c r="H4" t="s">
        <v>85</v>
      </c>
      <c r="I4" t="s">
        <v>5180</v>
      </c>
      <c r="J4" t="s">
        <v>5181</v>
      </c>
      <c r="K4" t="s">
        <v>5182</v>
      </c>
      <c r="L4" t="s">
        <v>5167</v>
      </c>
      <c r="M4" t="s">
        <v>5168</v>
      </c>
      <c r="N4" t="s">
        <v>5169</v>
      </c>
      <c r="O4" t="s">
        <v>5170</v>
      </c>
      <c r="P4">
        <v>3.8000000000000002E-4</v>
      </c>
      <c r="Q4" t="s">
        <v>29</v>
      </c>
      <c r="R4" t="s">
        <v>30</v>
      </c>
    </row>
    <row r="5" spans="1:18" x14ac:dyDescent="0.25">
      <c r="A5">
        <v>2019</v>
      </c>
      <c r="B5">
        <v>2815</v>
      </c>
      <c r="C5" t="s">
        <v>1109</v>
      </c>
      <c r="D5" t="s">
        <v>439</v>
      </c>
      <c r="E5">
        <v>212233</v>
      </c>
      <c r="F5" t="s">
        <v>1111</v>
      </c>
      <c r="G5" t="s">
        <v>441</v>
      </c>
      <c r="H5" t="s">
        <v>21</v>
      </c>
      <c r="I5" t="s">
        <v>177</v>
      </c>
      <c r="J5" t="s">
        <v>178</v>
      </c>
      <c r="K5" t="s">
        <v>179</v>
      </c>
      <c r="L5" t="s">
        <v>5183</v>
      </c>
      <c r="M5" t="s">
        <v>5184</v>
      </c>
      <c r="N5" t="s">
        <v>5185</v>
      </c>
      <c r="O5" t="s">
        <v>5186</v>
      </c>
      <c r="P5">
        <v>868.85</v>
      </c>
      <c r="Q5" t="s">
        <v>29</v>
      </c>
      <c r="R5" t="s">
        <v>50</v>
      </c>
    </row>
    <row r="6" spans="1:18" x14ac:dyDescent="0.25">
      <c r="A6">
        <v>2015</v>
      </c>
      <c r="B6">
        <v>29021</v>
      </c>
      <c r="C6" t="s">
        <v>5187</v>
      </c>
      <c r="D6" t="s">
        <v>5188</v>
      </c>
      <c r="E6">
        <v>221111</v>
      </c>
      <c r="F6" t="s">
        <v>5189</v>
      </c>
      <c r="G6" t="s">
        <v>5190</v>
      </c>
      <c r="H6" t="s">
        <v>69</v>
      </c>
      <c r="I6" t="s">
        <v>35</v>
      </c>
      <c r="J6" t="s">
        <v>36</v>
      </c>
      <c r="K6" t="s">
        <v>37</v>
      </c>
      <c r="L6" t="s">
        <v>5167</v>
      </c>
      <c r="M6" t="s">
        <v>5168</v>
      </c>
      <c r="N6" t="s">
        <v>5169</v>
      </c>
      <c r="O6" t="s">
        <v>5170</v>
      </c>
      <c r="P6">
        <v>27.8</v>
      </c>
      <c r="Q6" t="s">
        <v>40</v>
      </c>
      <c r="R6" t="s">
        <v>50</v>
      </c>
    </row>
    <row r="7" spans="1:18" x14ac:dyDescent="0.25">
      <c r="A7">
        <v>2016</v>
      </c>
      <c r="B7">
        <v>3707</v>
      </c>
      <c r="C7" t="s">
        <v>194</v>
      </c>
      <c r="D7" t="s">
        <v>195</v>
      </c>
      <c r="E7">
        <v>324110</v>
      </c>
      <c r="F7" t="s">
        <v>196</v>
      </c>
      <c r="G7" t="s">
        <v>96</v>
      </c>
      <c r="H7" t="s">
        <v>85</v>
      </c>
      <c r="I7" t="s">
        <v>543</v>
      </c>
      <c r="J7" t="s">
        <v>544</v>
      </c>
      <c r="K7" t="s">
        <v>545</v>
      </c>
      <c r="L7" t="s">
        <v>5167</v>
      </c>
      <c r="M7" t="s">
        <v>5168</v>
      </c>
      <c r="N7" t="s">
        <v>5169</v>
      </c>
      <c r="O7" t="s">
        <v>5170</v>
      </c>
      <c r="P7">
        <v>106.255</v>
      </c>
      <c r="Q7" t="s">
        <v>40</v>
      </c>
      <c r="R7" t="s">
        <v>30</v>
      </c>
    </row>
    <row r="8" spans="1:18" x14ac:dyDescent="0.25">
      <c r="A8">
        <v>1998</v>
      </c>
      <c r="B8">
        <v>2134</v>
      </c>
      <c r="C8" t="s">
        <v>5191</v>
      </c>
      <c r="D8" t="s">
        <v>1338</v>
      </c>
      <c r="E8">
        <v>325313</v>
      </c>
      <c r="F8" t="s">
        <v>1585</v>
      </c>
      <c r="G8" t="s">
        <v>5192</v>
      </c>
      <c r="H8" t="s">
        <v>85</v>
      </c>
      <c r="I8" t="s">
        <v>913</v>
      </c>
      <c r="J8" t="s">
        <v>914</v>
      </c>
      <c r="K8" t="s">
        <v>915</v>
      </c>
      <c r="L8" t="s">
        <v>5167</v>
      </c>
      <c r="M8" t="s">
        <v>5168</v>
      </c>
      <c r="N8" t="s">
        <v>5169</v>
      </c>
      <c r="O8" t="s">
        <v>5170</v>
      </c>
      <c r="P8">
        <v>33.020000000000003</v>
      </c>
      <c r="Q8" t="s">
        <v>29</v>
      </c>
      <c r="R8" t="s">
        <v>442</v>
      </c>
    </row>
    <row r="9" spans="1:18" x14ac:dyDescent="0.25">
      <c r="A9">
        <v>2019</v>
      </c>
      <c r="B9">
        <v>16103</v>
      </c>
      <c r="C9" t="s">
        <v>5193</v>
      </c>
      <c r="D9" t="s">
        <v>5194</v>
      </c>
      <c r="E9">
        <v>562210</v>
      </c>
      <c r="F9" t="s">
        <v>84</v>
      </c>
      <c r="G9" t="s">
        <v>53</v>
      </c>
      <c r="H9" t="s">
        <v>85</v>
      </c>
      <c r="I9" t="s">
        <v>35</v>
      </c>
      <c r="J9" t="s">
        <v>36</v>
      </c>
      <c r="K9" t="s">
        <v>37</v>
      </c>
      <c r="L9" t="s">
        <v>5183</v>
      </c>
      <c r="M9" t="s">
        <v>5184</v>
      </c>
      <c r="N9" t="s">
        <v>5195</v>
      </c>
      <c r="O9" t="s">
        <v>5196</v>
      </c>
      <c r="P9">
        <v>761.43499999999995</v>
      </c>
      <c r="Q9" t="s">
        <v>40</v>
      </c>
      <c r="R9" t="s">
        <v>50</v>
      </c>
    </row>
    <row r="10" spans="1:18" x14ac:dyDescent="0.25">
      <c r="A10">
        <v>2014</v>
      </c>
      <c r="B10">
        <v>2537</v>
      </c>
      <c r="C10" t="s">
        <v>370</v>
      </c>
      <c r="D10" t="s">
        <v>5197</v>
      </c>
      <c r="E10">
        <v>562210</v>
      </c>
      <c r="F10" t="s">
        <v>84</v>
      </c>
      <c r="G10" t="s">
        <v>53</v>
      </c>
      <c r="H10" t="s">
        <v>21</v>
      </c>
      <c r="I10" t="s">
        <v>703</v>
      </c>
      <c r="J10" t="s">
        <v>1127</v>
      </c>
      <c r="K10" t="s">
        <v>1128</v>
      </c>
      <c r="L10" t="s">
        <v>5183</v>
      </c>
      <c r="M10" t="s">
        <v>5184</v>
      </c>
      <c r="N10" t="s">
        <v>5169</v>
      </c>
      <c r="O10" t="s">
        <v>5170</v>
      </c>
      <c r="P10">
        <v>3.0150000000000001</v>
      </c>
      <c r="Q10" t="s">
        <v>29</v>
      </c>
      <c r="R10" t="s">
        <v>30</v>
      </c>
    </row>
    <row r="11" spans="1:18" x14ac:dyDescent="0.25">
      <c r="A11">
        <v>2003</v>
      </c>
      <c r="B11">
        <v>4788</v>
      </c>
      <c r="C11" t="s">
        <v>5198</v>
      </c>
      <c r="E11">
        <v>322111</v>
      </c>
      <c r="F11" t="s">
        <v>1077</v>
      </c>
      <c r="G11" t="s">
        <v>1078</v>
      </c>
      <c r="H11" t="s">
        <v>79</v>
      </c>
      <c r="I11" t="s">
        <v>244</v>
      </c>
      <c r="J11" t="s">
        <v>245</v>
      </c>
      <c r="K11" t="s">
        <v>246</v>
      </c>
      <c r="L11" t="s">
        <v>5183</v>
      </c>
      <c r="M11" t="s">
        <v>5184</v>
      </c>
      <c r="N11" t="s">
        <v>5169</v>
      </c>
      <c r="O11" t="s">
        <v>5170</v>
      </c>
      <c r="P11">
        <v>113.181</v>
      </c>
      <c r="Q11" t="s">
        <v>40</v>
      </c>
      <c r="R11" t="s">
        <v>430</v>
      </c>
    </row>
    <row r="12" spans="1:18" x14ac:dyDescent="0.25">
      <c r="A12">
        <v>2005</v>
      </c>
      <c r="B12">
        <v>20081</v>
      </c>
      <c r="C12" t="s">
        <v>5199</v>
      </c>
      <c r="D12" t="s">
        <v>5200</v>
      </c>
      <c r="E12">
        <v>331221</v>
      </c>
      <c r="F12" t="s">
        <v>418</v>
      </c>
      <c r="G12" t="s">
        <v>419</v>
      </c>
      <c r="H12" t="s">
        <v>69</v>
      </c>
      <c r="I12" t="s">
        <v>461</v>
      </c>
      <c r="J12" t="s">
        <v>462</v>
      </c>
      <c r="K12" t="s">
        <v>463</v>
      </c>
      <c r="L12" t="s">
        <v>5167</v>
      </c>
      <c r="M12" t="s">
        <v>5168</v>
      </c>
      <c r="N12" t="s">
        <v>5169</v>
      </c>
      <c r="O12" t="s">
        <v>5170</v>
      </c>
      <c r="P12">
        <v>5000</v>
      </c>
      <c r="Q12" t="s">
        <v>40</v>
      </c>
      <c r="R12" t="s">
        <v>30</v>
      </c>
    </row>
    <row r="13" spans="1:18" x14ac:dyDescent="0.25">
      <c r="A13">
        <v>2006</v>
      </c>
      <c r="B13">
        <v>442</v>
      </c>
      <c r="C13" t="s">
        <v>125</v>
      </c>
      <c r="D13" t="s">
        <v>1230</v>
      </c>
      <c r="E13">
        <v>211114</v>
      </c>
      <c r="F13" t="s">
        <v>835</v>
      </c>
      <c r="G13" t="s">
        <v>836</v>
      </c>
      <c r="H13" t="s">
        <v>85</v>
      </c>
      <c r="I13" t="s">
        <v>55</v>
      </c>
      <c r="J13" t="s">
        <v>56</v>
      </c>
      <c r="K13" t="s">
        <v>57</v>
      </c>
      <c r="L13" t="s">
        <v>5183</v>
      </c>
      <c r="M13" t="s">
        <v>5184</v>
      </c>
      <c r="N13" t="s">
        <v>5195</v>
      </c>
      <c r="O13" t="s">
        <v>5196</v>
      </c>
      <c r="P13">
        <v>0</v>
      </c>
      <c r="Q13" t="s">
        <v>29</v>
      </c>
      <c r="R13" t="s">
        <v>30</v>
      </c>
    </row>
    <row r="14" spans="1:18" x14ac:dyDescent="0.25">
      <c r="A14">
        <v>2004</v>
      </c>
      <c r="B14">
        <v>2872</v>
      </c>
      <c r="C14" t="s">
        <v>5201</v>
      </c>
      <c r="D14" t="s">
        <v>5202</v>
      </c>
      <c r="E14">
        <v>322112</v>
      </c>
      <c r="F14" t="s">
        <v>620</v>
      </c>
      <c r="G14" t="s">
        <v>621</v>
      </c>
      <c r="H14" t="s">
        <v>69</v>
      </c>
      <c r="I14" t="s">
        <v>461</v>
      </c>
      <c r="J14" t="s">
        <v>462</v>
      </c>
      <c r="K14" t="s">
        <v>463</v>
      </c>
      <c r="L14" t="s">
        <v>5183</v>
      </c>
      <c r="M14" t="s">
        <v>5184</v>
      </c>
      <c r="N14" t="s">
        <v>5169</v>
      </c>
      <c r="O14" t="s">
        <v>5170</v>
      </c>
      <c r="P14">
        <v>30.89</v>
      </c>
      <c r="Q14" t="s">
        <v>40</v>
      </c>
      <c r="R14" t="s">
        <v>430</v>
      </c>
    </row>
    <row r="15" spans="1:18" x14ac:dyDescent="0.25">
      <c r="A15">
        <v>2009</v>
      </c>
      <c r="B15">
        <v>3916</v>
      </c>
      <c r="C15" t="s">
        <v>2255</v>
      </c>
      <c r="D15" t="s">
        <v>5203</v>
      </c>
      <c r="E15">
        <v>331410</v>
      </c>
      <c r="F15" t="s">
        <v>1453</v>
      </c>
      <c r="G15" t="s">
        <v>1235</v>
      </c>
      <c r="H15" t="s">
        <v>79</v>
      </c>
      <c r="I15" t="s">
        <v>209</v>
      </c>
      <c r="J15" t="s">
        <v>210</v>
      </c>
      <c r="K15" t="s">
        <v>211</v>
      </c>
      <c r="L15" t="s">
        <v>5167</v>
      </c>
      <c r="M15" t="s">
        <v>5168</v>
      </c>
      <c r="N15" t="s">
        <v>5169</v>
      </c>
      <c r="O15" t="s">
        <v>5170</v>
      </c>
      <c r="P15">
        <v>0.128</v>
      </c>
      <c r="Q15" t="s">
        <v>29</v>
      </c>
      <c r="R15" t="s">
        <v>124</v>
      </c>
    </row>
    <row r="16" spans="1:18" x14ac:dyDescent="0.25">
      <c r="A16">
        <v>1997</v>
      </c>
      <c r="B16">
        <v>5645</v>
      </c>
      <c r="C16" t="s">
        <v>5204</v>
      </c>
      <c r="D16" t="s">
        <v>5205</v>
      </c>
      <c r="E16">
        <v>562210</v>
      </c>
      <c r="F16" t="s">
        <v>52</v>
      </c>
      <c r="G16" t="s">
        <v>53</v>
      </c>
      <c r="H16" t="s">
        <v>21</v>
      </c>
      <c r="I16" t="s">
        <v>5206</v>
      </c>
      <c r="J16" t="s">
        <v>5207</v>
      </c>
      <c r="K16" t="s">
        <v>5208</v>
      </c>
      <c r="L16" t="s">
        <v>5167</v>
      </c>
      <c r="M16" t="s">
        <v>5168</v>
      </c>
      <c r="N16" t="s">
        <v>5169</v>
      </c>
      <c r="O16" t="s">
        <v>5170</v>
      </c>
      <c r="P16">
        <v>56.320999999999998</v>
      </c>
      <c r="Q16" t="s">
        <v>29</v>
      </c>
      <c r="R16" t="s">
        <v>30</v>
      </c>
    </row>
    <row r="17" spans="1:18" x14ac:dyDescent="0.25">
      <c r="A17">
        <v>2022</v>
      </c>
      <c r="B17">
        <v>5232</v>
      </c>
      <c r="C17" t="s">
        <v>5209</v>
      </c>
      <c r="D17" t="s">
        <v>5210</v>
      </c>
      <c r="E17">
        <v>311616</v>
      </c>
      <c r="F17" t="s">
        <v>5211</v>
      </c>
      <c r="G17" t="s">
        <v>5212</v>
      </c>
      <c r="H17" t="s">
        <v>85</v>
      </c>
      <c r="I17" t="s">
        <v>97</v>
      </c>
      <c r="J17" t="s">
        <v>98</v>
      </c>
      <c r="K17" t="s">
        <v>99</v>
      </c>
      <c r="L17" t="s">
        <v>5183</v>
      </c>
      <c r="M17" t="s">
        <v>5184</v>
      </c>
      <c r="N17" t="s">
        <v>5175</v>
      </c>
      <c r="O17" t="s">
        <v>5176</v>
      </c>
      <c r="P17">
        <v>44.511000000000003</v>
      </c>
      <c r="Q17" t="s">
        <v>29</v>
      </c>
      <c r="R17" t="s">
        <v>30</v>
      </c>
    </row>
    <row r="18" spans="1:18" x14ac:dyDescent="0.25">
      <c r="A18">
        <v>1996</v>
      </c>
      <c r="B18">
        <v>1221</v>
      </c>
      <c r="C18" t="s">
        <v>5213</v>
      </c>
      <c r="D18" t="s">
        <v>5214</v>
      </c>
      <c r="E18">
        <v>322112</v>
      </c>
      <c r="F18" t="s">
        <v>620</v>
      </c>
      <c r="G18" t="s">
        <v>621</v>
      </c>
      <c r="H18" t="s">
        <v>661</v>
      </c>
      <c r="I18" t="s">
        <v>55</v>
      </c>
      <c r="J18" t="s">
        <v>56</v>
      </c>
      <c r="K18" t="s">
        <v>57</v>
      </c>
      <c r="L18" t="s">
        <v>5167</v>
      </c>
      <c r="M18" t="s">
        <v>5168</v>
      </c>
      <c r="N18" t="s">
        <v>5169</v>
      </c>
      <c r="O18" t="s">
        <v>5170</v>
      </c>
      <c r="P18">
        <v>5.8000000000000003E-2</v>
      </c>
      <c r="Q18" t="s">
        <v>29</v>
      </c>
      <c r="R18" t="s">
        <v>30</v>
      </c>
    </row>
    <row r="19" spans="1:18" x14ac:dyDescent="0.25">
      <c r="A19">
        <v>2009</v>
      </c>
      <c r="B19">
        <v>629</v>
      </c>
      <c r="C19" t="s">
        <v>5215</v>
      </c>
      <c r="D19" t="s">
        <v>5215</v>
      </c>
      <c r="E19">
        <v>336410</v>
      </c>
      <c r="F19" t="s">
        <v>260</v>
      </c>
      <c r="G19" t="s">
        <v>261</v>
      </c>
      <c r="H19" t="s">
        <v>54</v>
      </c>
      <c r="I19" t="s">
        <v>461</v>
      </c>
      <c r="J19" t="s">
        <v>462</v>
      </c>
      <c r="K19" t="s">
        <v>463</v>
      </c>
      <c r="L19" t="s">
        <v>5167</v>
      </c>
      <c r="M19" t="s">
        <v>5168</v>
      </c>
      <c r="N19" t="s">
        <v>5169</v>
      </c>
      <c r="O19" t="s">
        <v>5170</v>
      </c>
      <c r="P19">
        <v>12.84</v>
      </c>
      <c r="Q19" t="s">
        <v>40</v>
      </c>
      <c r="R19" t="s">
        <v>30</v>
      </c>
    </row>
    <row r="20" spans="1:18" x14ac:dyDescent="0.25">
      <c r="A20">
        <v>2000</v>
      </c>
      <c r="B20">
        <v>3941</v>
      </c>
      <c r="C20" t="s">
        <v>5216</v>
      </c>
      <c r="D20" t="s">
        <v>5217</v>
      </c>
      <c r="E20">
        <v>211113</v>
      </c>
      <c r="F20" t="s">
        <v>425</v>
      </c>
      <c r="G20" t="s">
        <v>426</v>
      </c>
      <c r="H20" t="s">
        <v>85</v>
      </c>
      <c r="I20" t="s">
        <v>1549</v>
      </c>
      <c r="J20" t="s">
        <v>1550</v>
      </c>
      <c r="K20" t="s">
        <v>1551</v>
      </c>
      <c r="L20" t="s">
        <v>5167</v>
      </c>
      <c r="M20" t="s">
        <v>5168</v>
      </c>
      <c r="N20" t="s">
        <v>5195</v>
      </c>
      <c r="O20" t="s">
        <v>5196</v>
      </c>
      <c r="P20">
        <v>8.0000000000000002E-3</v>
      </c>
      <c r="Q20" t="s">
        <v>29</v>
      </c>
      <c r="R20" t="s">
        <v>30</v>
      </c>
    </row>
    <row r="21" spans="1:18" x14ac:dyDescent="0.25">
      <c r="A21">
        <v>2010</v>
      </c>
      <c r="B21">
        <v>2181</v>
      </c>
      <c r="C21" t="s">
        <v>658</v>
      </c>
      <c r="D21" t="s">
        <v>659</v>
      </c>
      <c r="E21">
        <v>322112</v>
      </c>
      <c r="F21" t="s">
        <v>620</v>
      </c>
      <c r="G21" t="s">
        <v>621</v>
      </c>
      <c r="H21" t="s">
        <v>661</v>
      </c>
      <c r="I21" t="s">
        <v>847</v>
      </c>
      <c r="J21" t="s">
        <v>848</v>
      </c>
      <c r="K21" t="s">
        <v>849</v>
      </c>
      <c r="L21" t="s">
        <v>5183</v>
      </c>
      <c r="M21" t="s">
        <v>5184</v>
      </c>
      <c r="N21" t="s">
        <v>5169</v>
      </c>
      <c r="O21" t="s">
        <v>5170</v>
      </c>
      <c r="P21">
        <v>3.4599999999999999E-2</v>
      </c>
      <c r="Q21" t="s">
        <v>40</v>
      </c>
      <c r="R21" t="s">
        <v>430</v>
      </c>
    </row>
    <row r="22" spans="1:18" x14ac:dyDescent="0.25">
      <c r="A22">
        <v>2020</v>
      </c>
      <c r="B22">
        <v>10228</v>
      </c>
      <c r="C22" t="s">
        <v>125</v>
      </c>
      <c r="D22" t="s">
        <v>1222</v>
      </c>
      <c r="E22">
        <v>412110</v>
      </c>
      <c r="F22" t="s">
        <v>127</v>
      </c>
      <c r="G22" t="s">
        <v>128</v>
      </c>
      <c r="H22" t="s">
        <v>243</v>
      </c>
      <c r="I22" t="s">
        <v>427</v>
      </c>
      <c r="J22" t="s">
        <v>428</v>
      </c>
      <c r="K22" t="s">
        <v>429</v>
      </c>
      <c r="L22" t="s">
        <v>5167</v>
      </c>
      <c r="M22" t="s">
        <v>5168</v>
      </c>
      <c r="N22" t="s">
        <v>5169</v>
      </c>
      <c r="O22" t="s">
        <v>5170</v>
      </c>
      <c r="P22">
        <v>2.0200000000000001E-3</v>
      </c>
      <c r="Q22" t="s">
        <v>29</v>
      </c>
      <c r="R22" t="s">
        <v>30</v>
      </c>
    </row>
    <row r="23" spans="1:18" x14ac:dyDescent="0.25">
      <c r="A23">
        <v>2003</v>
      </c>
      <c r="B23">
        <v>5008</v>
      </c>
      <c r="C23" t="s">
        <v>5218</v>
      </c>
      <c r="E23">
        <v>322112</v>
      </c>
      <c r="F23" t="s">
        <v>620</v>
      </c>
      <c r="G23" t="s">
        <v>621</v>
      </c>
      <c r="H23" t="s">
        <v>661</v>
      </c>
      <c r="I23" t="s">
        <v>730</v>
      </c>
      <c r="J23" t="s">
        <v>731</v>
      </c>
      <c r="K23" t="s">
        <v>732</v>
      </c>
      <c r="L23" t="s">
        <v>5183</v>
      </c>
      <c r="M23" t="s">
        <v>5184</v>
      </c>
      <c r="N23" t="s">
        <v>5169</v>
      </c>
      <c r="O23" t="s">
        <v>5170</v>
      </c>
      <c r="P23">
        <v>0</v>
      </c>
      <c r="Q23" t="s">
        <v>29</v>
      </c>
      <c r="R23" t="s">
        <v>430</v>
      </c>
    </row>
    <row r="24" spans="1:18" x14ac:dyDescent="0.25">
      <c r="A24">
        <v>2008</v>
      </c>
      <c r="B24">
        <v>17137</v>
      </c>
      <c r="C24" t="s">
        <v>5219</v>
      </c>
      <c r="D24" t="s">
        <v>5220</v>
      </c>
      <c r="E24">
        <v>311611</v>
      </c>
      <c r="F24" t="s">
        <v>5221</v>
      </c>
      <c r="G24" t="s">
        <v>5222</v>
      </c>
      <c r="H24" t="s">
        <v>243</v>
      </c>
      <c r="I24" t="s">
        <v>504</v>
      </c>
      <c r="J24" t="s">
        <v>505</v>
      </c>
      <c r="K24" t="s">
        <v>506</v>
      </c>
      <c r="L24" t="s">
        <v>5167</v>
      </c>
      <c r="M24" t="s">
        <v>5168</v>
      </c>
      <c r="N24" t="s">
        <v>5223</v>
      </c>
      <c r="O24" t="s">
        <v>5224</v>
      </c>
      <c r="P24">
        <v>1.2370000000000001</v>
      </c>
      <c r="Q24" t="s">
        <v>29</v>
      </c>
      <c r="R24" t="s">
        <v>50</v>
      </c>
    </row>
    <row r="25" spans="1:18" x14ac:dyDescent="0.25">
      <c r="A25">
        <v>2021</v>
      </c>
      <c r="B25">
        <v>23275</v>
      </c>
      <c r="C25" t="s">
        <v>1027</v>
      </c>
      <c r="D25" t="s">
        <v>1522</v>
      </c>
      <c r="E25">
        <v>211142</v>
      </c>
      <c r="F25" t="s">
        <v>357</v>
      </c>
      <c r="G25" t="s">
        <v>358</v>
      </c>
      <c r="H25" t="s">
        <v>85</v>
      </c>
      <c r="I25" t="s">
        <v>209</v>
      </c>
      <c r="J25" t="s">
        <v>210</v>
      </c>
      <c r="K25" t="s">
        <v>211</v>
      </c>
      <c r="L25" t="s">
        <v>5183</v>
      </c>
      <c r="M25" t="s">
        <v>5184</v>
      </c>
      <c r="N25" t="s">
        <v>5185</v>
      </c>
      <c r="O25" t="s">
        <v>5186</v>
      </c>
      <c r="P25">
        <v>403.005</v>
      </c>
      <c r="Q25" t="s">
        <v>29</v>
      </c>
      <c r="R25" t="s">
        <v>124</v>
      </c>
    </row>
    <row r="26" spans="1:18" x14ac:dyDescent="0.25">
      <c r="A26">
        <v>2020</v>
      </c>
      <c r="B26">
        <v>8783</v>
      </c>
      <c r="C26" t="s">
        <v>5225</v>
      </c>
      <c r="D26" t="s">
        <v>1599</v>
      </c>
      <c r="E26">
        <v>212210</v>
      </c>
      <c r="F26" t="s">
        <v>888</v>
      </c>
      <c r="G26" t="s">
        <v>889</v>
      </c>
      <c r="H26" t="s">
        <v>79</v>
      </c>
      <c r="I26" t="s">
        <v>184</v>
      </c>
      <c r="J26" t="s">
        <v>185</v>
      </c>
      <c r="K26" t="s">
        <v>186</v>
      </c>
      <c r="L26" t="s">
        <v>5183</v>
      </c>
      <c r="M26" t="s">
        <v>5184</v>
      </c>
      <c r="N26" t="s">
        <v>5185</v>
      </c>
      <c r="O26" t="s">
        <v>5186</v>
      </c>
      <c r="P26">
        <v>33933.75</v>
      </c>
      <c r="Q26" t="s">
        <v>40</v>
      </c>
      <c r="R26" t="s">
        <v>50</v>
      </c>
    </row>
    <row r="27" spans="1:18" x14ac:dyDescent="0.25">
      <c r="A27">
        <v>2023</v>
      </c>
      <c r="B27">
        <v>5460</v>
      </c>
      <c r="C27" t="s">
        <v>5226</v>
      </c>
      <c r="D27" t="s">
        <v>5227</v>
      </c>
      <c r="E27">
        <v>212210</v>
      </c>
      <c r="F27" t="s">
        <v>888</v>
      </c>
      <c r="G27" t="s">
        <v>889</v>
      </c>
      <c r="H27" t="s">
        <v>1625</v>
      </c>
      <c r="I27" t="s">
        <v>402</v>
      </c>
      <c r="J27" t="s">
        <v>403</v>
      </c>
      <c r="K27" t="s">
        <v>404</v>
      </c>
      <c r="L27" t="s">
        <v>5183</v>
      </c>
      <c r="M27" t="s">
        <v>5184</v>
      </c>
      <c r="N27" t="s">
        <v>5185</v>
      </c>
      <c r="O27" t="s">
        <v>5186</v>
      </c>
      <c r="P27">
        <v>50.704999999999998</v>
      </c>
      <c r="Q27" t="s">
        <v>29</v>
      </c>
      <c r="R27" t="s">
        <v>124</v>
      </c>
    </row>
    <row r="28" spans="1:18" x14ac:dyDescent="0.25">
      <c r="A28">
        <v>2016</v>
      </c>
      <c r="B28">
        <v>5472</v>
      </c>
      <c r="C28" t="s">
        <v>5228</v>
      </c>
      <c r="D28" t="s">
        <v>5229</v>
      </c>
      <c r="E28">
        <v>322130</v>
      </c>
      <c r="F28" t="s">
        <v>5230</v>
      </c>
      <c r="G28" t="s">
        <v>1646</v>
      </c>
      <c r="H28" t="s">
        <v>79</v>
      </c>
      <c r="I28" t="s">
        <v>331</v>
      </c>
      <c r="J28" t="s">
        <v>332</v>
      </c>
      <c r="K28" t="s">
        <v>333</v>
      </c>
      <c r="L28" t="s">
        <v>5167</v>
      </c>
      <c r="M28" t="s">
        <v>5168</v>
      </c>
      <c r="N28" t="s">
        <v>5169</v>
      </c>
      <c r="O28" t="s">
        <v>5170</v>
      </c>
      <c r="P28">
        <v>0</v>
      </c>
      <c r="Q28" t="s">
        <v>29</v>
      </c>
      <c r="R28" t="s">
        <v>30</v>
      </c>
    </row>
    <row r="29" spans="1:18" x14ac:dyDescent="0.25">
      <c r="A29">
        <v>2018</v>
      </c>
      <c r="B29">
        <v>29384</v>
      </c>
      <c r="C29" t="s">
        <v>327</v>
      </c>
      <c r="D29" t="s">
        <v>2184</v>
      </c>
      <c r="E29">
        <v>562110</v>
      </c>
      <c r="F29" t="s">
        <v>644</v>
      </c>
      <c r="G29" t="s">
        <v>645</v>
      </c>
      <c r="H29" t="s">
        <v>85</v>
      </c>
      <c r="I29" t="s">
        <v>70</v>
      </c>
      <c r="J29" t="s">
        <v>71</v>
      </c>
      <c r="K29" t="s">
        <v>72</v>
      </c>
      <c r="L29" t="s">
        <v>5167</v>
      </c>
      <c r="M29" t="s">
        <v>5168</v>
      </c>
      <c r="N29" t="s">
        <v>5195</v>
      </c>
      <c r="O29" t="s">
        <v>5196</v>
      </c>
      <c r="P29">
        <v>3.3999999999999998E-3</v>
      </c>
      <c r="Q29" t="s">
        <v>29</v>
      </c>
      <c r="R29" t="s">
        <v>50</v>
      </c>
    </row>
    <row r="30" spans="1:18" x14ac:dyDescent="0.25">
      <c r="A30">
        <v>2012</v>
      </c>
      <c r="B30">
        <v>2991</v>
      </c>
      <c r="C30" t="s">
        <v>5231</v>
      </c>
      <c r="D30" t="s">
        <v>5232</v>
      </c>
      <c r="E30">
        <v>322112</v>
      </c>
      <c r="F30" t="s">
        <v>660</v>
      </c>
      <c r="G30" t="s">
        <v>621</v>
      </c>
      <c r="H30" t="s">
        <v>85</v>
      </c>
      <c r="I30" t="s">
        <v>1050</v>
      </c>
      <c r="J30" t="s">
        <v>1051</v>
      </c>
      <c r="K30" t="s">
        <v>1052</v>
      </c>
      <c r="L30" t="s">
        <v>5183</v>
      </c>
      <c r="M30" t="s">
        <v>5184</v>
      </c>
      <c r="N30" t="s">
        <v>5169</v>
      </c>
      <c r="O30" t="s">
        <v>5170</v>
      </c>
      <c r="P30">
        <v>0.70199999999999996</v>
      </c>
      <c r="Q30" t="s">
        <v>40</v>
      </c>
      <c r="R30" t="s">
        <v>430</v>
      </c>
    </row>
    <row r="31" spans="1:18" x14ac:dyDescent="0.25">
      <c r="A31">
        <v>2011</v>
      </c>
      <c r="B31">
        <v>2372</v>
      </c>
      <c r="C31" t="s">
        <v>1437</v>
      </c>
      <c r="D31" t="s">
        <v>5233</v>
      </c>
      <c r="E31">
        <v>212233</v>
      </c>
      <c r="F31" t="s">
        <v>440</v>
      </c>
      <c r="G31" t="s">
        <v>441</v>
      </c>
      <c r="H31" t="s">
        <v>69</v>
      </c>
      <c r="I31" t="s">
        <v>152</v>
      </c>
      <c r="J31" t="s">
        <v>153</v>
      </c>
      <c r="K31" t="s">
        <v>154</v>
      </c>
      <c r="L31" t="s">
        <v>5183</v>
      </c>
      <c r="M31" t="s">
        <v>5184</v>
      </c>
      <c r="N31" t="s">
        <v>5185</v>
      </c>
      <c r="O31" t="s">
        <v>5186</v>
      </c>
      <c r="P31">
        <v>767.63599999999997</v>
      </c>
      <c r="Q31" t="s">
        <v>29</v>
      </c>
      <c r="R31" t="s">
        <v>124</v>
      </c>
    </row>
    <row r="32" spans="1:18" x14ac:dyDescent="0.25">
      <c r="A32">
        <v>2014</v>
      </c>
      <c r="B32">
        <v>99</v>
      </c>
      <c r="C32" t="s">
        <v>5234</v>
      </c>
      <c r="D32" t="s">
        <v>5235</v>
      </c>
      <c r="E32">
        <v>212220</v>
      </c>
      <c r="F32" t="s">
        <v>1619</v>
      </c>
      <c r="G32" t="s">
        <v>1620</v>
      </c>
      <c r="H32" t="s">
        <v>79</v>
      </c>
      <c r="I32" t="s">
        <v>35</v>
      </c>
      <c r="J32" t="s">
        <v>36</v>
      </c>
      <c r="K32" t="s">
        <v>37</v>
      </c>
      <c r="L32" t="s">
        <v>5183</v>
      </c>
      <c r="M32" t="s">
        <v>5184</v>
      </c>
      <c r="N32" t="s">
        <v>5185</v>
      </c>
      <c r="O32" t="s">
        <v>5186</v>
      </c>
      <c r="P32">
        <v>474769.33</v>
      </c>
      <c r="Q32" t="s">
        <v>40</v>
      </c>
      <c r="R32" t="s">
        <v>50</v>
      </c>
    </row>
    <row r="33" spans="1:18" x14ac:dyDescent="0.25">
      <c r="A33">
        <v>2004</v>
      </c>
      <c r="B33">
        <v>11219</v>
      </c>
      <c r="C33" t="s">
        <v>5236</v>
      </c>
      <c r="D33" t="s">
        <v>5237</v>
      </c>
      <c r="E33">
        <v>332810</v>
      </c>
      <c r="F33" t="s">
        <v>237</v>
      </c>
      <c r="G33" t="s">
        <v>238</v>
      </c>
      <c r="H33" t="s">
        <v>21</v>
      </c>
      <c r="I33" t="s">
        <v>152</v>
      </c>
      <c r="J33" t="s">
        <v>153</v>
      </c>
      <c r="K33" t="s">
        <v>154</v>
      </c>
      <c r="L33" t="s">
        <v>5167</v>
      </c>
      <c r="M33" t="s">
        <v>5168</v>
      </c>
      <c r="N33" t="s">
        <v>5169</v>
      </c>
      <c r="O33" t="s">
        <v>5170</v>
      </c>
      <c r="P33">
        <v>0.88600000000000001</v>
      </c>
      <c r="Q33" t="s">
        <v>29</v>
      </c>
      <c r="R33" t="s">
        <v>50</v>
      </c>
    </row>
    <row r="34" spans="1:18" x14ac:dyDescent="0.25">
      <c r="A34">
        <v>2003</v>
      </c>
      <c r="B34">
        <v>3475</v>
      </c>
      <c r="C34" t="s">
        <v>5238</v>
      </c>
      <c r="E34">
        <v>326114</v>
      </c>
      <c r="F34" t="s">
        <v>5239</v>
      </c>
      <c r="G34" t="s">
        <v>982</v>
      </c>
      <c r="H34" t="s">
        <v>21</v>
      </c>
      <c r="I34" t="s">
        <v>152</v>
      </c>
      <c r="J34" t="s">
        <v>153</v>
      </c>
      <c r="K34" t="s">
        <v>154</v>
      </c>
      <c r="L34" t="s">
        <v>5167</v>
      </c>
      <c r="M34" t="s">
        <v>5168</v>
      </c>
      <c r="N34" t="s">
        <v>5169</v>
      </c>
      <c r="O34" t="s">
        <v>5170</v>
      </c>
      <c r="P34">
        <v>1.34</v>
      </c>
      <c r="Q34" t="s">
        <v>29</v>
      </c>
      <c r="R34" t="s">
        <v>30</v>
      </c>
    </row>
    <row r="35" spans="1:18" x14ac:dyDescent="0.25">
      <c r="A35">
        <v>1997</v>
      </c>
      <c r="B35">
        <v>2852</v>
      </c>
      <c r="C35" t="s">
        <v>5240</v>
      </c>
      <c r="D35" t="s">
        <v>5241</v>
      </c>
      <c r="E35">
        <v>339990</v>
      </c>
      <c r="F35" t="s">
        <v>871</v>
      </c>
      <c r="G35" t="s">
        <v>872</v>
      </c>
      <c r="H35" t="s">
        <v>79</v>
      </c>
      <c r="I35" t="s">
        <v>177</v>
      </c>
      <c r="J35" t="s">
        <v>178</v>
      </c>
      <c r="K35" t="s">
        <v>179</v>
      </c>
      <c r="L35" t="s">
        <v>5183</v>
      </c>
      <c r="M35" t="s">
        <v>5184</v>
      </c>
      <c r="N35" t="s">
        <v>5169</v>
      </c>
      <c r="O35" t="s">
        <v>5170</v>
      </c>
      <c r="P35">
        <v>0.4</v>
      </c>
      <c r="Q35" t="s">
        <v>29</v>
      </c>
      <c r="R35" t="s">
        <v>50</v>
      </c>
    </row>
    <row r="36" spans="1:18" x14ac:dyDescent="0.25">
      <c r="A36">
        <v>2007</v>
      </c>
      <c r="B36">
        <v>5430</v>
      </c>
      <c r="C36" t="s">
        <v>5242</v>
      </c>
      <c r="D36" t="s">
        <v>5243</v>
      </c>
      <c r="E36">
        <v>325999</v>
      </c>
      <c r="F36" t="s">
        <v>396</v>
      </c>
      <c r="G36" t="s">
        <v>397</v>
      </c>
      <c r="H36" t="s">
        <v>79</v>
      </c>
      <c r="I36" t="s">
        <v>648</v>
      </c>
      <c r="J36" t="s">
        <v>649</v>
      </c>
      <c r="K36" t="s">
        <v>650</v>
      </c>
      <c r="L36" t="s">
        <v>5167</v>
      </c>
      <c r="M36" t="s">
        <v>5168</v>
      </c>
      <c r="N36" t="s">
        <v>5169</v>
      </c>
      <c r="O36" t="s">
        <v>5170</v>
      </c>
      <c r="P36">
        <v>0.17</v>
      </c>
      <c r="Q36" t="s">
        <v>29</v>
      </c>
      <c r="R36" t="s">
        <v>50</v>
      </c>
    </row>
    <row r="37" spans="1:18" x14ac:dyDescent="0.25">
      <c r="A37">
        <v>2021</v>
      </c>
      <c r="B37">
        <v>3707</v>
      </c>
      <c r="C37" t="s">
        <v>194</v>
      </c>
      <c r="D37" t="s">
        <v>651</v>
      </c>
      <c r="E37">
        <v>324110</v>
      </c>
      <c r="F37" t="s">
        <v>196</v>
      </c>
      <c r="G37" t="s">
        <v>96</v>
      </c>
      <c r="H37" t="s">
        <v>85</v>
      </c>
      <c r="I37" t="s">
        <v>129</v>
      </c>
      <c r="J37" t="s">
        <v>130</v>
      </c>
      <c r="K37" t="s">
        <v>131</v>
      </c>
      <c r="L37" t="s">
        <v>5167</v>
      </c>
      <c r="M37" t="s">
        <v>5168</v>
      </c>
      <c r="N37" t="s">
        <v>5195</v>
      </c>
      <c r="O37" t="s">
        <v>5196</v>
      </c>
      <c r="P37">
        <v>5.0000000000000001E-3</v>
      </c>
      <c r="Q37" t="s">
        <v>29</v>
      </c>
      <c r="R37" t="s">
        <v>30</v>
      </c>
    </row>
    <row r="38" spans="1:18" x14ac:dyDescent="0.25">
      <c r="A38">
        <v>2010</v>
      </c>
      <c r="B38">
        <v>4316</v>
      </c>
      <c r="C38" t="s">
        <v>5244</v>
      </c>
      <c r="D38" t="s">
        <v>5245</v>
      </c>
      <c r="E38">
        <v>324110</v>
      </c>
      <c r="F38" t="s">
        <v>95</v>
      </c>
      <c r="G38" t="s">
        <v>96</v>
      </c>
      <c r="H38" t="s">
        <v>1625</v>
      </c>
      <c r="I38" t="s">
        <v>197</v>
      </c>
      <c r="J38" t="s">
        <v>198</v>
      </c>
      <c r="K38" t="s">
        <v>199</v>
      </c>
      <c r="L38" t="s">
        <v>5167</v>
      </c>
      <c r="M38" t="s">
        <v>5168</v>
      </c>
      <c r="N38" t="s">
        <v>5169</v>
      </c>
      <c r="O38" t="s">
        <v>5170</v>
      </c>
      <c r="P38">
        <v>0.223</v>
      </c>
      <c r="Q38" t="s">
        <v>40</v>
      </c>
      <c r="R38" t="s">
        <v>50</v>
      </c>
    </row>
    <row r="39" spans="1:18" x14ac:dyDescent="0.25">
      <c r="A39">
        <v>2014</v>
      </c>
      <c r="B39">
        <v>10219</v>
      </c>
      <c r="C39" t="s">
        <v>125</v>
      </c>
      <c r="D39" t="s">
        <v>746</v>
      </c>
      <c r="E39">
        <v>412110</v>
      </c>
      <c r="F39" t="s">
        <v>127</v>
      </c>
      <c r="G39" t="s">
        <v>128</v>
      </c>
      <c r="H39" t="s">
        <v>21</v>
      </c>
      <c r="I39" t="s">
        <v>446</v>
      </c>
      <c r="J39" t="s">
        <v>447</v>
      </c>
      <c r="K39" t="s">
        <v>448</v>
      </c>
      <c r="L39" t="s">
        <v>5167</v>
      </c>
      <c r="M39" t="s">
        <v>5168</v>
      </c>
      <c r="N39" t="s">
        <v>5223</v>
      </c>
      <c r="O39" t="s">
        <v>5224</v>
      </c>
      <c r="P39">
        <v>0</v>
      </c>
      <c r="Q39" t="s">
        <v>40</v>
      </c>
      <c r="R39" t="s">
        <v>30</v>
      </c>
    </row>
    <row r="40" spans="1:18" x14ac:dyDescent="0.25">
      <c r="A40">
        <v>2004</v>
      </c>
      <c r="B40">
        <v>333</v>
      </c>
      <c r="C40" t="s">
        <v>5246</v>
      </c>
      <c r="D40" t="s">
        <v>5247</v>
      </c>
      <c r="E40">
        <v>322122</v>
      </c>
      <c r="F40" t="s">
        <v>1556</v>
      </c>
      <c r="G40" t="s">
        <v>1062</v>
      </c>
      <c r="H40" t="s">
        <v>69</v>
      </c>
      <c r="I40" t="s">
        <v>628</v>
      </c>
      <c r="J40" t="s">
        <v>629</v>
      </c>
      <c r="K40" t="s">
        <v>630</v>
      </c>
      <c r="L40" t="s">
        <v>5167</v>
      </c>
      <c r="M40" t="s">
        <v>5168</v>
      </c>
      <c r="N40" t="s">
        <v>5169</v>
      </c>
      <c r="O40" t="s">
        <v>5170</v>
      </c>
      <c r="P40">
        <v>3.456</v>
      </c>
      <c r="Q40" t="s">
        <v>631</v>
      </c>
      <c r="R40" t="s">
        <v>157</v>
      </c>
    </row>
    <row r="41" spans="1:18" x14ac:dyDescent="0.25">
      <c r="A41">
        <v>2009</v>
      </c>
      <c r="B41">
        <v>1809</v>
      </c>
      <c r="C41" t="s">
        <v>909</v>
      </c>
      <c r="D41" t="s">
        <v>5248</v>
      </c>
      <c r="E41">
        <v>221112</v>
      </c>
      <c r="F41" t="s">
        <v>134</v>
      </c>
      <c r="G41" t="s">
        <v>135</v>
      </c>
      <c r="H41" t="s">
        <v>21</v>
      </c>
      <c r="I41" t="s">
        <v>97</v>
      </c>
      <c r="J41" t="s">
        <v>98</v>
      </c>
      <c r="K41" t="s">
        <v>99</v>
      </c>
      <c r="L41" t="s">
        <v>5183</v>
      </c>
      <c r="M41" t="s">
        <v>5184</v>
      </c>
      <c r="N41" t="s">
        <v>5169</v>
      </c>
      <c r="O41" t="s">
        <v>5170</v>
      </c>
      <c r="P41">
        <v>83</v>
      </c>
      <c r="Q41" t="s">
        <v>29</v>
      </c>
      <c r="R41" t="s">
        <v>50</v>
      </c>
    </row>
    <row r="42" spans="1:18" x14ac:dyDescent="0.25">
      <c r="A42">
        <v>2005</v>
      </c>
      <c r="B42">
        <v>2915</v>
      </c>
      <c r="C42" t="s">
        <v>5249</v>
      </c>
      <c r="D42" t="s">
        <v>5250</v>
      </c>
      <c r="E42">
        <v>335990</v>
      </c>
      <c r="F42" t="s">
        <v>5251</v>
      </c>
      <c r="G42" t="s">
        <v>5252</v>
      </c>
      <c r="H42" t="s">
        <v>21</v>
      </c>
      <c r="I42" t="s">
        <v>35</v>
      </c>
      <c r="J42" t="s">
        <v>36</v>
      </c>
      <c r="K42" t="s">
        <v>37</v>
      </c>
      <c r="L42" t="s">
        <v>5167</v>
      </c>
      <c r="M42" t="s">
        <v>5168</v>
      </c>
      <c r="N42" t="s">
        <v>5169</v>
      </c>
      <c r="O42" t="s">
        <v>5170</v>
      </c>
      <c r="P42">
        <v>1E-3</v>
      </c>
      <c r="Q42" t="s">
        <v>40</v>
      </c>
      <c r="R42" t="s">
        <v>30</v>
      </c>
    </row>
    <row r="43" spans="1:18" x14ac:dyDescent="0.25">
      <c r="A43">
        <v>2011</v>
      </c>
      <c r="B43">
        <v>1236</v>
      </c>
      <c r="C43" t="s">
        <v>5253</v>
      </c>
      <c r="D43" t="s">
        <v>5254</v>
      </c>
      <c r="E43">
        <v>331410</v>
      </c>
      <c r="F43" t="s">
        <v>1453</v>
      </c>
      <c r="G43" t="s">
        <v>1235</v>
      </c>
      <c r="H43" t="s">
        <v>21</v>
      </c>
      <c r="I43" t="s">
        <v>136</v>
      </c>
      <c r="J43" t="s">
        <v>137</v>
      </c>
      <c r="K43" t="s">
        <v>138</v>
      </c>
      <c r="L43" t="s">
        <v>5183</v>
      </c>
      <c r="M43" t="s">
        <v>5184</v>
      </c>
      <c r="N43" t="s">
        <v>5169</v>
      </c>
      <c r="O43" t="s">
        <v>5170</v>
      </c>
      <c r="P43">
        <v>5.0000000000000001E-4</v>
      </c>
      <c r="Q43" t="s">
        <v>29</v>
      </c>
      <c r="R43" t="s">
        <v>157</v>
      </c>
    </row>
    <row r="44" spans="1:18" x14ac:dyDescent="0.25">
      <c r="A44">
        <v>2006</v>
      </c>
      <c r="B44">
        <v>7709</v>
      </c>
      <c r="C44" t="s">
        <v>5255</v>
      </c>
      <c r="D44" t="s">
        <v>5256</v>
      </c>
      <c r="E44">
        <v>321111</v>
      </c>
      <c r="F44" t="s">
        <v>1474</v>
      </c>
      <c r="G44" t="s">
        <v>1368</v>
      </c>
      <c r="H44" t="s">
        <v>69</v>
      </c>
      <c r="I44" t="s">
        <v>628</v>
      </c>
      <c r="J44" t="s">
        <v>629</v>
      </c>
      <c r="K44" t="s">
        <v>630</v>
      </c>
      <c r="L44" t="s">
        <v>5167</v>
      </c>
      <c r="M44" t="s">
        <v>5168</v>
      </c>
      <c r="N44" t="s">
        <v>5169</v>
      </c>
      <c r="O44" t="s">
        <v>5170</v>
      </c>
      <c r="P44">
        <v>0</v>
      </c>
      <c r="Q44" t="s">
        <v>631</v>
      </c>
      <c r="R44" t="s">
        <v>430</v>
      </c>
    </row>
    <row r="45" spans="1:18" x14ac:dyDescent="0.25">
      <c r="A45">
        <v>2003</v>
      </c>
      <c r="B45">
        <v>1861</v>
      </c>
      <c r="C45" t="s">
        <v>909</v>
      </c>
      <c r="D45" t="s">
        <v>825</v>
      </c>
      <c r="E45">
        <v>221112</v>
      </c>
      <c r="F45" t="s">
        <v>134</v>
      </c>
      <c r="G45" t="s">
        <v>135</v>
      </c>
      <c r="H45" t="s">
        <v>21</v>
      </c>
      <c r="I45" t="s">
        <v>324</v>
      </c>
      <c r="J45" t="s">
        <v>325</v>
      </c>
      <c r="K45" t="s">
        <v>326</v>
      </c>
      <c r="L45" t="s">
        <v>5183</v>
      </c>
      <c r="M45" t="s">
        <v>5184</v>
      </c>
      <c r="N45" t="s">
        <v>5169</v>
      </c>
      <c r="O45" t="s">
        <v>5170</v>
      </c>
      <c r="P45">
        <v>231</v>
      </c>
      <c r="Q45" t="s">
        <v>40</v>
      </c>
      <c r="R45" t="s">
        <v>50</v>
      </c>
    </row>
    <row r="46" spans="1:18" x14ac:dyDescent="0.25">
      <c r="A46">
        <v>2019</v>
      </c>
      <c r="B46">
        <v>27957</v>
      </c>
      <c r="C46" t="s">
        <v>5257</v>
      </c>
      <c r="D46" t="s">
        <v>5257</v>
      </c>
      <c r="E46">
        <v>325999</v>
      </c>
      <c r="F46" t="s">
        <v>548</v>
      </c>
      <c r="G46" t="s">
        <v>397</v>
      </c>
      <c r="H46" t="s">
        <v>21</v>
      </c>
      <c r="I46" t="s">
        <v>97</v>
      </c>
      <c r="J46" t="s">
        <v>98</v>
      </c>
      <c r="K46" t="s">
        <v>99</v>
      </c>
      <c r="L46" t="s">
        <v>5167</v>
      </c>
      <c r="M46" t="s">
        <v>5168</v>
      </c>
      <c r="N46" t="s">
        <v>5175</v>
      </c>
      <c r="O46" t="s">
        <v>5176</v>
      </c>
      <c r="P46">
        <v>14.087</v>
      </c>
      <c r="Q46" t="s">
        <v>29</v>
      </c>
      <c r="R46" t="s">
        <v>50</v>
      </c>
    </row>
    <row r="47" spans="1:18" x14ac:dyDescent="0.25">
      <c r="A47">
        <v>2019</v>
      </c>
      <c r="B47">
        <v>1585</v>
      </c>
      <c r="C47" t="s">
        <v>5258</v>
      </c>
      <c r="D47" t="s">
        <v>5259</v>
      </c>
      <c r="E47">
        <v>212114</v>
      </c>
      <c r="F47" t="s">
        <v>2059</v>
      </c>
      <c r="G47" t="s">
        <v>2060</v>
      </c>
      <c r="H47" t="s">
        <v>85</v>
      </c>
      <c r="I47" t="s">
        <v>106</v>
      </c>
      <c r="J47" t="s">
        <v>107</v>
      </c>
      <c r="K47" t="s">
        <v>108</v>
      </c>
      <c r="L47" t="s">
        <v>5183</v>
      </c>
      <c r="M47" t="s">
        <v>5184</v>
      </c>
      <c r="N47" t="s">
        <v>5260</v>
      </c>
      <c r="O47" t="s">
        <v>5261</v>
      </c>
      <c r="P47">
        <v>80</v>
      </c>
      <c r="Q47" t="s">
        <v>40</v>
      </c>
      <c r="R47" t="s">
        <v>157</v>
      </c>
    </row>
    <row r="48" spans="1:18" x14ac:dyDescent="0.25">
      <c r="A48">
        <v>2022</v>
      </c>
      <c r="B48">
        <v>3242</v>
      </c>
      <c r="C48" t="s">
        <v>5262</v>
      </c>
      <c r="D48" t="s">
        <v>5263</v>
      </c>
      <c r="E48">
        <v>322112</v>
      </c>
      <c r="F48" t="s">
        <v>660</v>
      </c>
      <c r="G48" t="s">
        <v>621</v>
      </c>
      <c r="H48" t="s">
        <v>79</v>
      </c>
      <c r="I48" t="s">
        <v>244</v>
      </c>
      <c r="J48" t="s">
        <v>245</v>
      </c>
      <c r="K48" t="s">
        <v>246</v>
      </c>
      <c r="L48" t="s">
        <v>5183</v>
      </c>
      <c r="M48" t="s">
        <v>5184</v>
      </c>
      <c r="N48" t="s">
        <v>5169</v>
      </c>
      <c r="O48" t="s">
        <v>5170</v>
      </c>
      <c r="P48">
        <v>2.71</v>
      </c>
      <c r="Q48" t="s">
        <v>40</v>
      </c>
      <c r="R48" t="s">
        <v>124</v>
      </c>
    </row>
    <row r="49" spans="1:18" x14ac:dyDescent="0.25">
      <c r="A49">
        <v>2017</v>
      </c>
      <c r="B49">
        <v>4922</v>
      </c>
      <c r="C49" t="s">
        <v>5264</v>
      </c>
      <c r="D49" t="s">
        <v>5265</v>
      </c>
      <c r="E49">
        <v>212233</v>
      </c>
      <c r="F49" t="s">
        <v>1111</v>
      </c>
      <c r="G49" t="s">
        <v>441</v>
      </c>
      <c r="H49" t="s">
        <v>79</v>
      </c>
      <c r="I49" t="s">
        <v>500</v>
      </c>
      <c r="J49" t="s">
        <v>501</v>
      </c>
      <c r="K49" t="s">
        <v>502</v>
      </c>
      <c r="L49" t="s">
        <v>5183</v>
      </c>
      <c r="M49" t="s">
        <v>5184</v>
      </c>
      <c r="N49" t="s">
        <v>5185</v>
      </c>
      <c r="O49" t="s">
        <v>5186</v>
      </c>
      <c r="P49">
        <v>2042</v>
      </c>
      <c r="Q49" t="s">
        <v>40</v>
      </c>
      <c r="R49" t="s">
        <v>124</v>
      </c>
    </row>
    <row r="50" spans="1:18" x14ac:dyDescent="0.25">
      <c r="A50">
        <v>1999</v>
      </c>
      <c r="B50">
        <v>308</v>
      </c>
      <c r="C50" t="s">
        <v>5266</v>
      </c>
      <c r="E50">
        <v>325999</v>
      </c>
      <c r="F50" t="s">
        <v>396</v>
      </c>
      <c r="G50" t="s">
        <v>397</v>
      </c>
      <c r="H50" t="s">
        <v>79</v>
      </c>
      <c r="I50" t="s">
        <v>86</v>
      </c>
      <c r="J50" t="s">
        <v>87</v>
      </c>
      <c r="K50" t="s">
        <v>88</v>
      </c>
      <c r="L50" t="s">
        <v>5167</v>
      </c>
      <c r="M50" t="s">
        <v>5168</v>
      </c>
      <c r="N50" t="s">
        <v>5169</v>
      </c>
      <c r="O50" t="s">
        <v>5170</v>
      </c>
      <c r="P50">
        <v>1E-3</v>
      </c>
      <c r="Q50" t="s">
        <v>29</v>
      </c>
      <c r="R50" t="s">
        <v>50</v>
      </c>
    </row>
    <row r="51" spans="1:18" x14ac:dyDescent="0.25">
      <c r="A51">
        <v>2014</v>
      </c>
      <c r="B51">
        <v>5453</v>
      </c>
      <c r="C51" t="s">
        <v>5267</v>
      </c>
      <c r="D51" t="s">
        <v>1387</v>
      </c>
      <c r="E51">
        <v>326210</v>
      </c>
      <c r="F51" t="s">
        <v>1696</v>
      </c>
      <c r="G51" t="s">
        <v>968</v>
      </c>
      <c r="H51" t="s">
        <v>79</v>
      </c>
      <c r="I51" t="s">
        <v>184</v>
      </c>
      <c r="J51" t="s">
        <v>185</v>
      </c>
      <c r="K51" t="s">
        <v>186</v>
      </c>
      <c r="L51" t="s">
        <v>5167</v>
      </c>
      <c r="M51" t="s">
        <v>5168</v>
      </c>
      <c r="N51" t="s">
        <v>5169</v>
      </c>
      <c r="O51" t="s">
        <v>5170</v>
      </c>
      <c r="P51">
        <v>0</v>
      </c>
      <c r="Q51" t="s">
        <v>29</v>
      </c>
      <c r="R51" t="s">
        <v>50</v>
      </c>
    </row>
    <row r="52" spans="1:18" x14ac:dyDescent="0.25">
      <c r="A52">
        <v>2009</v>
      </c>
      <c r="B52">
        <v>22378</v>
      </c>
      <c r="C52" t="s">
        <v>2318</v>
      </c>
      <c r="D52" t="s">
        <v>5268</v>
      </c>
      <c r="E52">
        <v>211114</v>
      </c>
      <c r="F52" t="s">
        <v>835</v>
      </c>
      <c r="G52" t="s">
        <v>836</v>
      </c>
      <c r="H52" t="s">
        <v>85</v>
      </c>
      <c r="I52" t="s">
        <v>129</v>
      </c>
      <c r="J52" t="s">
        <v>130</v>
      </c>
      <c r="K52" t="s">
        <v>131</v>
      </c>
      <c r="L52" t="s">
        <v>5167</v>
      </c>
      <c r="M52" t="s">
        <v>5168</v>
      </c>
      <c r="N52" t="s">
        <v>5169</v>
      </c>
      <c r="O52" t="s">
        <v>5170</v>
      </c>
      <c r="P52">
        <v>3.4000000000000002E-2</v>
      </c>
      <c r="Q52" t="s">
        <v>29</v>
      </c>
      <c r="R52" t="s">
        <v>30</v>
      </c>
    </row>
    <row r="53" spans="1:18" x14ac:dyDescent="0.25">
      <c r="A53">
        <v>2018</v>
      </c>
      <c r="B53">
        <v>7858</v>
      </c>
      <c r="C53" t="s">
        <v>5269</v>
      </c>
      <c r="D53" t="s">
        <v>5270</v>
      </c>
      <c r="E53">
        <v>221320</v>
      </c>
      <c r="F53" t="s">
        <v>146</v>
      </c>
      <c r="G53" t="s">
        <v>147</v>
      </c>
      <c r="H53" t="s">
        <v>69</v>
      </c>
      <c r="I53" t="s">
        <v>324</v>
      </c>
      <c r="J53" t="s">
        <v>325</v>
      </c>
      <c r="K53" t="s">
        <v>326</v>
      </c>
      <c r="L53" t="s">
        <v>5183</v>
      </c>
      <c r="M53" t="s">
        <v>5184</v>
      </c>
      <c r="N53" t="s">
        <v>5175</v>
      </c>
      <c r="O53" t="s">
        <v>5176</v>
      </c>
      <c r="P53">
        <v>8.9999999999999993E-3</v>
      </c>
      <c r="Q53" t="s">
        <v>40</v>
      </c>
      <c r="R53" t="s">
        <v>124</v>
      </c>
    </row>
    <row r="54" spans="1:18" x14ac:dyDescent="0.25">
      <c r="A54">
        <v>2016</v>
      </c>
      <c r="B54">
        <v>3701</v>
      </c>
      <c r="C54" t="s">
        <v>194</v>
      </c>
      <c r="D54" t="s">
        <v>681</v>
      </c>
      <c r="E54">
        <v>324110</v>
      </c>
      <c r="F54" t="s">
        <v>196</v>
      </c>
      <c r="G54" t="s">
        <v>96</v>
      </c>
      <c r="H54" t="s">
        <v>21</v>
      </c>
      <c r="I54" t="s">
        <v>648</v>
      </c>
      <c r="J54" t="s">
        <v>649</v>
      </c>
      <c r="K54" t="s">
        <v>650</v>
      </c>
      <c r="L54" t="s">
        <v>5167</v>
      </c>
      <c r="M54" t="s">
        <v>5168</v>
      </c>
      <c r="N54" t="s">
        <v>5169</v>
      </c>
      <c r="O54" t="s">
        <v>5170</v>
      </c>
      <c r="P54">
        <v>1.1999999999999999E-3</v>
      </c>
      <c r="Q54" t="s">
        <v>29</v>
      </c>
      <c r="R54" t="s">
        <v>30</v>
      </c>
    </row>
    <row r="55" spans="1:18" x14ac:dyDescent="0.25">
      <c r="A55">
        <v>2000</v>
      </c>
      <c r="B55">
        <v>5645</v>
      </c>
      <c r="C55" t="s">
        <v>1166</v>
      </c>
      <c r="D55" t="s">
        <v>5205</v>
      </c>
      <c r="E55">
        <v>562210</v>
      </c>
      <c r="F55" t="s">
        <v>52</v>
      </c>
      <c r="G55" t="s">
        <v>53</v>
      </c>
      <c r="H55" t="s">
        <v>21</v>
      </c>
      <c r="I55" t="s">
        <v>80</v>
      </c>
      <c r="J55" t="s">
        <v>81</v>
      </c>
      <c r="K55" t="s">
        <v>82</v>
      </c>
      <c r="L55" t="s">
        <v>5167</v>
      </c>
      <c r="M55" t="s">
        <v>5168</v>
      </c>
      <c r="N55" t="s">
        <v>5223</v>
      </c>
      <c r="O55" t="s">
        <v>5224</v>
      </c>
      <c r="P55">
        <v>0.7</v>
      </c>
      <c r="Q55" t="s">
        <v>29</v>
      </c>
      <c r="R55" t="s">
        <v>442</v>
      </c>
    </row>
    <row r="56" spans="1:18" x14ac:dyDescent="0.25">
      <c r="A56">
        <v>2015</v>
      </c>
      <c r="B56">
        <v>4140</v>
      </c>
      <c r="C56" t="s">
        <v>2043</v>
      </c>
      <c r="D56" t="s">
        <v>5271</v>
      </c>
      <c r="E56">
        <v>211113</v>
      </c>
      <c r="F56" t="s">
        <v>786</v>
      </c>
      <c r="G56" t="s">
        <v>426</v>
      </c>
      <c r="H56" t="s">
        <v>85</v>
      </c>
      <c r="I56" t="s">
        <v>70</v>
      </c>
      <c r="J56" t="s">
        <v>71</v>
      </c>
      <c r="K56" t="s">
        <v>72</v>
      </c>
      <c r="L56" t="s">
        <v>5167</v>
      </c>
      <c r="M56" t="s">
        <v>5168</v>
      </c>
      <c r="N56" t="s">
        <v>5195</v>
      </c>
      <c r="O56" t="s">
        <v>5196</v>
      </c>
      <c r="P56">
        <v>1.609</v>
      </c>
      <c r="Q56" t="s">
        <v>29</v>
      </c>
      <c r="R56" t="s">
        <v>30</v>
      </c>
    </row>
    <row r="57" spans="1:18" x14ac:dyDescent="0.25">
      <c r="A57">
        <v>2015</v>
      </c>
      <c r="B57">
        <v>3962</v>
      </c>
      <c r="C57" t="s">
        <v>507</v>
      </c>
      <c r="D57" t="s">
        <v>508</v>
      </c>
      <c r="E57">
        <v>324110</v>
      </c>
      <c r="F57" t="s">
        <v>196</v>
      </c>
      <c r="G57" t="s">
        <v>96</v>
      </c>
      <c r="H57" t="s">
        <v>21</v>
      </c>
      <c r="I57" t="s">
        <v>367</v>
      </c>
      <c r="J57" t="s">
        <v>368</v>
      </c>
      <c r="K57" t="s">
        <v>369</v>
      </c>
      <c r="L57" t="s">
        <v>5167</v>
      </c>
      <c r="M57" t="s">
        <v>5168</v>
      </c>
      <c r="N57" t="s">
        <v>5169</v>
      </c>
      <c r="O57" t="s">
        <v>5170</v>
      </c>
      <c r="P57">
        <v>27.018899999999999</v>
      </c>
      <c r="Q57" t="s">
        <v>40</v>
      </c>
      <c r="R57" t="s">
        <v>124</v>
      </c>
    </row>
    <row r="58" spans="1:18" x14ac:dyDescent="0.25">
      <c r="A58">
        <v>1998</v>
      </c>
      <c r="B58">
        <v>3845</v>
      </c>
      <c r="C58" t="s">
        <v>5272</v>
      </c>
      <c r="E58">
        <v>332210</v>
      </c>
      <c r="F58" t="s">
        <v>5273</v>
      </c>
      <c r="G58" t="s">
        <v>5274</v>
      </c>
      <c r="H58" t="s">
        <v>21</v>
      </c>
      <c r="I58" t="s">
        <v>136</v>
      </c>
      <c r="J58" t="s">
        <v>137</v>
      </c>
      <c r="K58" t="s">
        <v>138</v>
      </c>
      <c r="L58" t="s">
        <v>5167</v>
      </c>
      <c r="M58" t="s">
        <v>5168</v>
      </c>
      <c r="N58" t="s">
        <v>5169</v>
      </c>
      <c r="O58" t="s">
        <v>5170</v>
      </c>
      <c r="P58">
        <v>4.7E-2</v>
      </c>
      <c r="Q58" t="s">
        <v>29</v>
      </c>
      <c r="R58" t="s">
        <v>30</v>
      </c>
    </row>
    <row r="59" spans="1:18" x14ac:dyDescent="0.25">
      <c r="A59">
        <v>2018</v>
      </c>
      <c r="B59">
        <v>5015</v>
      </c>
      <c r="C59" t="s">
        <v>2291</v>
      </c>
      <c r="D59" t="s">
        <v>1835</v>
      </c>
      <c r="E59">
        <v>562210</v>
      </c>
      <c r="F59" t="s">
        <v>84</v>
      </c>
      <c r="G59" t="s">
        <v>53</v>
      </c>
      <c r="H59" t="s">
        <v>1012</v>
      </c>
      <c r="I59" t="s">
        <v>244</v>
      </c>
      <c r="J59" t="s">
        <v>245</v>
      </c>
      <c r="K59" t="s">
        <v>246</v>
      </c>
      <c r="L59" t="s">
        <v>5167</v>
      </c>
      <c r="M59" t="s">
        <v>5168</v>
      </c>
      <c r="N59" t="s">
        <v>5169</v>
      </c>
      <c r="O59" t="s">
        <v>5170</v>
      </c>
      <c r="P59">
        <v>77.052999999999997</v>
      </c>
      <c r="Q59" t="s">
        <v>40</v>
      </c>
      <c r="R59" t="s">
        <v>124</v>
      </c>
    </row>
    <row r="60" spans="1:18" x14ac:dyDescent="0.25">
      <c r="A60">
        <v>2011</v>
      </c>
      <c r="B60">
        <v>6669</v>
      </c>
      <c r="C60" t="s">
        <v>2057</v>
      </c>
      <c r="D60" t="s">
        <v>5275</v>
      </c>
      <c r="E60">
        <v>212114</v>
      </c>
      <c r="F60" t="s">
        <v>5276</v>
      </c>
      <c r="G60" t="s">
        <v>2060</v>
      </c>
      <c r="H60" t="s">
        <v>69</v>
      </c>
      <c r="I60" t="s">
        <v>106</v>
      </c>
      <c r="J60" t="s">
        <v>107</v>
      </c>
      <c r="K60" t="s">
        <v>108</v>
      </c>
      <c r="L60" t="s">
        <v>5183</v>
      </c>
      <c r="M60" t="s">
        <v>5184</v>
      </c>
      <c r="N60" t="s">
        <v>5185</v>
      </c>
      <c r="O60" t="s">
        <v>5186</v>
      </c>
      <c r="P60">
        <v>286.83</v>
      </c>
      <c r="Q60" t="s">
        <v>40</v>
      </c>
      <c r="R60" t="s">
        <v>30</v>
      </c>
    </row>
    <row r="61" spans="1:18" x14ac:dyDescent="0.25">
      <c r="A61">
        <v>2011</v>
      </c>
      <c r="B61">
        <v>979</v>
      </c>
      <c r="C61" t="s">
        <v>5277</v>
      </c>
      <c r="D61" t="s">
        <v>5278</v>
      </c>
      <c r="E61">
        <v>322122</v>
      </c>
      <c r="F61" t="s">
        <v>1556</v>
      </c>
      <c r="G61" t="s">
        <v>1062</v>
      </c>
      <c r="H61" t="s">
        <v>79</v>
      </c>
      <c r="I61" t="s">
        <v>97</v>
      </c>
      <c r="J61" t="s">
        <v>98</v>
      </c>
      <c r="K61" t="s">
        <v>99</v>
      </c>
      <c r="L61" t="s">
        <v>5167</v>
      </c>
      <c r="M61" t="s">
        <v>5168</v>
      </c>
      <c r="N61" t="s">
        <v>5175</v>
      </c>
      <c r="O61" t="s">
        <v>5176</v>
      </c>
      <c r="P61">
        <v>20.701000000000001</v>
      </c>
      <c r="Q61" t="s">
        <v>29</v>
      </c>
      <c r="R61" t="s">
        <v>124</v>
      </c>
    </row>
    <row r="62" spans="1:18" x14ac:dyDescent="0.25">
      <c r="A62">
        <v>2020</v>
      </c>
      <c r="B62">
        <v>11454</v>
      </c>
      <c r="C62" t="s">
        <v>5279</v>
      </c>
      <c r="D62" t="s">
        <v>1742</v>
      </c>
      <c r="E62">
        <v>212220</v>
      </c>
      <c r="F62" t="s">
        <v>1619</v>
      </c>
      <c r="G62" t="s">
        <v>1620</v>
      </c>
      <c r="H62" t="s">
        <v>21</v>
      </c>
      <c r="I62" t="s">
        <v>152</v>
      </c>
      <c r="J62" t="s">
        <v>153</v>
      </c>
      <c r="K62" t="s">
        <v>154</v>
      </c>
      <c r="L62" t="s">
        <v>5183</v>
      </c>
      <c r="M62" t="s">
        <v>5184</v>
      </c>
      <c r="N62" t="s">
        <v>5185</v>
      </c>
      <c r="O62" t="s">
        <v>5186</v>
      </c>
      <c r="P62">
        <v>18.353999999999999</v>
      </c>
      <c r="Q62" t="s">
        <v>29</v>
      </c>
      <c r="R62" t="s">
        <v>124</v>
      </c>
    </row>
    <row r="63" spans="1:18" x14ac:dyDescent="0.25">
      <c r="A63">
        <v>2021</v>
      </c>
      <c r="B63">
        <v>1585</v>
      </c>
      <c r="C63" t="s">
        <v>5258</v>
      </c>
      <c r="D63" t="s">
        <v>5259</v>
      </c>
      <c r="E63">
        <v>212114</v>
      </c>
      <c r="F63" t="s">
        <v>2059</v>
      </c>
      <c r="G63" t="s">
        <v>2060</v>
      </c>
      <c r="H63" t="s">
        <v>85</v>
      </c>
      <c r="I63" t="s">
        <v>543</v>
      </c>
      <c r="J63" t="s">
        <v>544</v>
      </c>
      <c r="K63" t="s">
        <v>545</v>
      </c>
      <c r="L63" t="s">
        <v>5183</v>
      </c>
      <c r="M63" t="s">
        <v>5184</v>
      </c>
      <c r="N63" t="s">
        <v>5185</v>
      </c>
      <c r="O63" t="s">
        <v>5186</v>
      </c>
      <c r="P63">
        <v>36</v>
      </c>
      <c r="Q63" t="s">
        <v>40</v>
      </c>
      <c r="R63" t="s">
        <v>157</v>
      </c>
    </row>
    <row r="64" spans="1:18" x14ac:dyDescent="0.25">
      <c r="A64">
        <v>2011</v>
      </c>
      <c r="B64">
        <v>5392</v>
      </c>
      <c r="C64" t="s">
        <v>5280</v>
      </c>
      <c r="D64" t="s">
        <v>5281</v>
      </c>
      <c r="E64">
        <v>562210</v>
      </c>
      <c r="F64" t="s">
        <v>52</v>
      </c>
      <c r="G64" t="s">
        <v>53</v>
      </c>
      <c r="H64" t="s">
        <v>54</v>
      </c>
      <c r="I64" t="s">
        <v>35</v>
      </c>
      <c r="J64" t="s">
        <v>36</v>
      </c>
      <c r="K64" t="s">
        <v>37</v>
      </c>
      <c r="L64" t="s">
        <v>5167</v>
      </c>
      <c r="M64" t="s">
        <v>5168</v>
      </c>
      <c r="N64" t="s">
        <v>5169</v>
      </c>
      <c r="O64" t="s">
        <v>5170</v>
      </c>
      <c r="P64">
        <v>3841.6954000000001</v>
      </c>
      <c r="Q64" t="s">
        <v>40</v>
      </c>
      <c r="R64" t="s">
        <v>30</v>
      </c>
    </row>
    <row r="65" spans="1:18" x14ac:dyDescent="0.25">
      <c r="A65">
        <v>2022</v>
      </c>
      <c r="B65">
        <v>3962</v>
      </c>
      <c r="C65" t="s">
        <v>806</v>
      </c>
      <c r="D65" t="s">
        <v>508</v>
      </c>
      <c r="E65">
        <v>324110</v>
      </c>
      <c r="F65" t="s">
        <v>196</v>
      </c>
      <c r="G65" t="s">
        <v>96</v>
      </c>
      <c r="H65" t="s">
        <v>21</v>
      </c>
      <c r="I65" t="s">
        <v>35</v>
      </c>
      <c r="J65" t="s">
        <v>36</v>
      </c>
      <c r="K65" t="s">
        <v>37</v>
      </c>
      <c r="L65" t="s">
        <v>5167</v>
      </c>
      <c r="M65" t="s">
        <v>5168</v>
      </c>
      <c r="N65" t="s">
        <v>5169</v>
      </c>
      <c r="O65" t="s">
        <v>5170</v>
      </c>
      <c r="P65">
        <v>7.7663000000000002</v>
      </c>
      <c r="Q65" t="s">
        <v>40</v>
      </c>
      <c r="R65" t="s">
        <v>5282</v>
      </c>
    </row>
    <row r="66" spans="1:18" x14ac:dyDescent="0.25">
      <c r="A66">
        <v>1994</v>
      </c>
      <c r="B66">
        <v>4485</v>
      </c>
      <c r="C66" t="s">
        <v>5283</v>
      </c>
      <c r="D66" t="s">
        <v>5284</v>
      </c>
      <c r="E66">
        <v>334610</v>
      </c>
      <c r="F66" t="s">
        <v>5285</v>
      </c>
      <c r="G66" t="s">
        <v>5286</v>
      </c>
      <c r="H66" t="s">
        <v>21</v>
      </c>
      <c r="I66" t="s">
        <v>1150</v>
      </c>
      <c r="J66" t="s">
        <v>1151</v>
      </c>
      <c r="K66" t="s">
        <v>1152</v>
      </c>
      <c r="L66" t="s">
        <v>5167</v>
      </c>
      <c r="M66" t="s">
        <v>5168</v>
      </c>
      <c r="N66" t="s">
        <v>5169</v>
      </c>
      <c r="O66" t="s">
        <v>5170</v>
      </c>
      <c r="P66">
        <v>1.68</v>
      </c>
      <c r="Q66" t="s">
        <v>29</v>
      </c>
      <c r="R66" t="s">
        <v>30</v>
      </c>
    </row>
    <row r="67" spans="1:18" x14ac:dyDescent="0.25">
      <c r="A67">
        <v>2011</v>
      </c>
      <c r="B67">
        <v>17420</v>
      </c>
      <c r="C67" t="s">
        <v>1529</v>
      </c>
      <c r="D67" t="s">
        <v>5287</v>
      </c>
      <c r="E67">
        <v>211113</v>
      </c>
      <c r="F67" t="s">
        <v>425</v>
      </c>
      <c r="G67" t="s">
        <v>426</v>
      </c>
      <c r="H67" t="s">
        <v>85</v>
      </c>
      <c r="I67" t="s">
        <v>1549</v>
      </c>
      <c r="J67" t="s">
        <v>1550</v>
      </c>
      <c r="K67" t="s">
        <v>1551</v>
      </c>
      <c r="L67" t="s">
        <v>5167</v>
      </c>
      <c r="M67" t="s">
        <v>5168</v>
      </c>
      <c r="N67" t="s">
        <v>5195</v>
      </c>
      <c r="O67" t="s">
        <v>5196</v>
      </c>
      <c r="P67">
        <v>2088.4969999999998</v>
      </c>
      <c r="Q67" t="s">
        <v>29</v>
      </c>
      <c r="R67" t="s">
        <v>30</v>
      </c>
    </row>
    <row r="68" spans="1:18" x14ac:dyDescent="0.25">
      <c r="A68">
        <v>2012</v>
      </c>
      <c r="B68">
        <v>1812</v>
      </c>
      <c r="C68" t="s">
        <v>5288</v>
      </c>
      <c r="D68" t="s">
        <v>5289</v>
      </c>
      <c r="E68">
        <v>221112</v>
      </c>
      <c r="F68" t="s">
        <v>499</v>
      </c>
      <c r="G68" t="s">
        <v>135</v>
      </c>
      <c r="H68" t="s">
        <v>21</v>
      </c>
      <c r="I68" t="s">
        <v>628</v>
      </c>
      <c r="J68" t="s">
        <v>629</v>
      </c>
      <c r="K68" t="s">
        <v>630</v>
      </c>
      <c r="L68" t="s">
        <v>5183</v>
      </c>
      <c r="M68" t="s">
        <v>5184</v>
      </c>
      <c r="N68" t="s">
        <v>5169</v>
      </c>
      <c r="O68" t="s">
        <v>5170</v>
      </c>
      <c r="P68">
        <v>2.0000000000000001E-4</v>
      </c>
      <c r="Q68" t="s">
        <v>631</v>
      </c>
      <c r="R68" t="s">
        <v>50</v>
      </c>
    </row>
    <row r="69" spans="1:18" x14ac:dyDescent="0.25">
      <c r="A69">
        <v>2018</v>
      </c>
      <c r="B69">
        <v>5392</v>
      </c>
      <c r="C69" t="s">
        <v>5280</v>
      </c>
      <c r="D69" t="s">
        <v>5281</v>
      </c>
      <c r="E69">
        <v>562210</v>
      </c>
      <c r="F69" t="s">
        <v>84</v>
      </c>
      <c r="G69" t="s">
        <v>53</v>
      </c>
      <c r="H69" t="s">
        <v>54</v>
      </c>
      <c r="I69" t="s">
        <v>209</v>
      </c>
      <c r="J69" t="s">
        <v>210</v>
      </c>
      <c r="K69" t="s">
        <v>211</v>
      </c>
      <c r="L69" t="s">
        <v>5183</v>
      </c>
      <c r="M69" t="s">
        <v>5184</v>
      </c>
      <c r="N69" t="s">
        <v>5169</v>
      </c>
      <c r="O69" t="s">
        <v>5170</v>
      </c>
      <c r="P69">
        <v>11.5609</v>
      </c>
      <c r="Q69" t="s">
        <v>29</v>
      </c>
      <c r="R69" t="s">
        <v>30</v>
      </c>
    </row>
    <row r="70" spans="1:18" x14ac:dyDescent="0.25">
      <c r="A70">
        <v>2010</v>
      </c>
      <c r="B70">
        <v>7182</v>
      </c>
      <c r="C70" t="s">
        <v>5290</v>
      </c>
      <c r="D70" t="s">
        <v>5291</v>
      </c>
      <c r="E70">
        <v>311520</v>
      </c>
      <c r="F70" t="s">
        <v>5292</v>
      </c>
      <c r="G70" t="s">
        <v>5293</v>
      </c>
      <c r="H70" t="s">
        <v>21</v>
      </c>
      <c r="I70" t="s">
        <v>504</v>
      </c>
      <c r="J70" t="s">
        <v>505</v>
      </c>
      <c r="K70" t="s">
        <v>506</v>
      </c>
      <c r="L70" t="s">
        <v>5167</v>
      </c>
      <c r="M70" t="s">
        <v>5168</v>
      </c>
      <c r="N70" t="s">
        <v>5175</v>
      </c>
      <c r="O70" t="s">
        <v>5176</v>
      </c>
      <c r="P70">
        <v>3.4200000000000001E-2</v>
      </c>
      <c r="Q70" t="s">
        <v>29</v>
      </c>
      <c r="R70" t="s">
        <v>30</v>
      </c>
    </row>
    <row r="71" spans="1:18" x14ac:dyDescent="0.25">
      <c r="A71">
        <v>2007</v>
      </c>
      <c r="B71">
        <v>1</v>
      </c>
      <c r="C71" t="s">
        <v>5294</v>
      </c>
      <c r="D71" t="s">
        <v>5294</v>
      </c>
      <c r="E71">
        <v>322112</v>
      </c>
      <c r="F71" t="s">
        <v>620</v>
      </c>
      <c r="G71" t="s">
        <v>621</v>
      </c>
      <c r="H71" t="s">
        <v>85</v>
      </c>
      <c r="I71" t="s">
        <v>628</v>
      </c>
      <c r="J71" t="s">
        <v>629</v>
      </c>
      <c r="K71" t="s">
        <v>630</v>
      </c>
      <c r="L71" t="s">
        <v>5183</v>
      </c>
      <c r="M71" t="s">
        <v>5184</v>
      </c>
      <c r="N71" t="s">
        <v>5175</v>
      </c>
      <c r="O71" t="s">
        <v>5176</v>
      </c>
      <c r="P71">
        <v>0</v>
      </c>
      <c r="Q71" t="s">
        <v>631</v>
      </c>
      <c r="R71" t="s">
        <v>124</v>
      </c>
    </row>
    <row r="72" spans="1:18" x14ac:dyDescent="0.25">
      <c r="A72">
        <v>2016</v>
      </c>
      <c r="B72">
        <v>2776</v>
      </c>
      <c r="C72" t="s">
        <v>2289</v>
      </c>
      <c r="D72" t="s">
        <v>1199</v>
      </c>
      <c r="E72">
        <v>324110</v>
      </c>
      <c r="F72" t="s">
        <v>196</v>
      </c>
      <c r="G72" t="s">
        <v>96</v>
      </c>
      <c r="H72" t="s">
        <v>69</v>
      </c>
      <c r="I72" t="s">
        <v>837</v>
      </c>
      <c r="J72" t="s">
        <v>838</v>
      </c>
      <c r="K72" t="s">
        <v>839</v>
      </c>
      <c r="L72" t="s">
        <v>5167</v>
      </c>
      <c r="M72" t="s">
        <v>5168</v>
      </c>
      <c r="N72" t="s">
        <v>5169</v>
      </c>
      <c r="O72" t="s">
        <v>5170</v>
      </c>
      <c r="P72">
        <v>2.5</v>
      </c>
      <c r="Q72" t="s">
        <v>40</v>
      </c>
      <c r="R72" t="s">
        <v>124</v>
      </c>
    </row>
    <row r="73" spans="1:18" x14ac:dyDescent="0.25">
      <c r="A73">
        <v>2017</v>
      </c>
      <c r="B73">
        <v>22267</v>
      </c>
      <c r="C73" t="s">
        <v>1995</v>
      </c>
      <c r="D73" t="s">
        <v>5295</v>
      </c>
      <c r="E73">
        <v>211141</v>
      </c>
      <c r="F73" t="s">
        <v>1189</v>
      </c>
      <c r="G73" t="s">
        <v>1190</v>
      </c>
      <c r="H73" t="s">
        <v>85</v>
      </c>
      <c r="I73" t="s">
        <v>55</v>
      </c>
      <c r="J73" t="s">
        <v>56</v>
      </c>
      <c r="K73" t="s">
        <v>57</v>
      </c>
      <c r="L73" t="s">
        <v>5183</v>
      </c>
      <c r="M73" t="s">
        <v>5184</v>
      </c>
      <c r="N73" t="s">
        <v>5169</v>
      </c>
      <c r="O73" t="s">
        <v>5170</v>
      </c>
      <c r="P73">
        <v>1.6799999999999999E-2</v>
      </c>
      <c r="Q73" t="s">
        <v>29</v>
      </c>
      <c r="R73" t="s">
        <v>30</v>
      </c>
    </row>
    <row r="74" spans="1:18" x14ac:dyDescent="0.25">
      <c r="A74">
        <v>2022</v>
      </c>
      <c r="B74">
        <v>5647</v>
      </c>
      <c r="C74" t="s">
        <v>205</v>
      </c>
      <c r="D74" t="s">
        <v>206</v>
      </c>
      <c r="E74">
        <v>562210</v>
      </c>
      <c r="F74" t="s">
        <v>84</v>
      </c>
      <c r="G74" t="s">
        <v>53</v>
      </c>
      <c r="H74" t="s">
        <v>21</v>
      </c>
      <c r="I74" t="s">
        <v>255</v>
      </c>
      <c r="J74" t="s">
        <v>256</v>
      </c>
      <c r="K74" t="s">
        <v>257</v>
      </c>
      <c r="L74" t="s">
        <v>5167</v>
      </c>
      <c r="M74" t="s">
        <v>5168</v>
      </c>
      <c r="N74" t="s">
        <v>5169</v>
      </c>
      <c r="O74" t="s">
        <v>5170</v>
      </c>
      <c r="P74">
        <v>0.04</v>
      </c>
      <c r="Q74" t="s">
        <v>29</v>
      </c>
      <c r="R74" t="s">
        <v>50</v>
      </c>
    </row>
    <row r="75" spans="1:18" x14ac:dyDescent="0.25">
      <c r="A75">
        <v>2007</v>
      </c>
      <c r="B75">
        <v>390</v>
      </c>
      <c r="C75" t="s">
        <v>5296</v>
      </c>
      <c r="D75" t="s">
        <v>677</v>
      </c>
      <c r="E75">
        <v>336410</v>
      </c>
      <c r="F75" t="s">
        <v>260</v>
      </c>
      <c r="G75" t="s">
        <v>261</v>
      </c>
      <c r="H75" t="s">
        <v>79</v>
      </c>
      <c r="I75" t="s">
        <v>35</v>
      </c>
      <c r="J75" t="s">
        <v>36</v>
      </c>
      <c r="K75" t="s">
        <v>37</v>
      </c>
      <c r="L75" t="s">
        <v>5167</v>
      </c>
      <c r="M75" t="s">
        <v>5168</v>
      </c>
      <c r="N75" t="s">
        <v>5169</v>
      </c>
      <c r="O75" t="s">
        <v>5170</v>
      </c>
      <c r="P75">
        <v>607.79999999999995</v>
      </c>
      <c r="Q75" t="s">
        <v>40</v>
      </c>
      <c r="R75" t="s">
        <v>124</v>
      </c>
    </row>
    <row r="76" spans="1:18" x14ac:dyDescent="0.25">
      <c r="A76">
        <v>2010</v>
      </c>
      <c r="B76">
        <v>2100</v>
      </c>
      <c r="C76" t="s">
        <v>5297</v>
      </c>
      <c r="D76" t="s">
        <v>5298</v>
      </c>
      <c r="E76">
        <v>212299</v>
      </c>
      <c r="F76" t="s">
        <v>5299</v>
      </c>
      <c r="G76" t="s">
        <v>1435</v>
      </c>
      <c r="H76" t="s">
        <v>79</v>
      </c>
      <c r="I76" t="s">
        <v>244</v>
      </c>
      <c r="J76" t="s">
        <v>245</v>
      </c>
      <c r="K76" t="s">
        <v>246</v>
      </c>
      <c r="L76" t="s">
        <v>5183</v>
      </c>
      <c r="M76" t="s">
        <v>5184</v>
      </c>
      <c r="N76" t="s">
        <v>5175</v>
      </c>
      <c r="O76" t="s">
        <v>5176</v>
      </c>
      <c r="P76">
        <v>8322.5</v>
      </c>
      <c r="Q76" t="s">
        <v>40</v>
      </c>
      <c r="R76" t="s">
        <v>50</v>
      </c>
    </row>
    <row r="77" spans="1:18" x14ac:dyDescent="0.25">
      <c r="A77">
        <v>2003</v>
      </c>
      <c r="B77">
        <v>479</v>
      </c>
      <c r="C77" t="s">
        <v>5300</v>
      </c>
      <c r="D77" t="s">
        <v>5301</v>
      </c>
      <c r="E77">
        <v>322112</v>
      </c>
      <c r="F77" t="s">
        <v>620</v>
      </c>
      <c r="G77" t="s">
        <v>621</v>
      </c>
      <c r="H77" t="s">
        <v>69</v>
      </c>
      <c r="I77" t="s">
        <v>5302</v>
      </c>
      <c r="J77" t="s">
        <v>5303</v>
      </c>
      <c r="K77" t="s">
        <v>5304</v>
      </c>
      <c r="L77" t="s">
        <v>5183</v>
      </c>
      <c r="M77" t="s">
        <v>5184</v>
      </c>
      <c r="N77" t="s">
        <v>5169</v>
      </c>
      <c r="O77" t="s">
        <v>5170</v>
      </c>
      <c r="P77">
        <v>0.03</v>
      </c>
      <c r="Q77" t="s">
        <v>40</v>
      </c>
      <c r="R77" t="s">
        <v>430</v>
      </c>
    </row>
    <row r="78" spans="1:18" x14ac:dyDescent="0.25">
      <c r="A78">
        <v>2002</v>
      </c>
      <c r="B78">
        <v>5838</v>
      </c>
      <c r="C78" t="s">
        <v>5305</v>
      </c>
      <c r="D78" t="s">
        <v>5306</v>
      </c>
      <c r="E78">
        <v>326191</v>
      </c>
      <c r="F78" t="s">
        <v>5307</v>
      </c>
      <c r="G78" t="s">
        <v>2227</v>
      </c>
      <c r="H78" t="s">
        <v>21</v>
      </c>
      <c r="I78" t="s">
        <v>2201</v>
      </c>
      <c r="J78" t="s">
        <v>2202</v>
      </c>
      <c r="K78" t="s">
        <v>2203</v>
      </c>
      <c r="L78" t="s">
        <v>5167</v>
      </c>
      <c r="M78" t="s">
        <v>5168</v>
      </c>
      <c r="N78" t="s">
        <v>5169</v>
      </c>
      <c r="O78" t="s">
        <v>5170</v>
      </c>
      <c r="P78">
        <v>0.85199999999999998</v>
      </c>
      <c r="Q78" t="s">
        <v>29</v>
      </c>
      <c r="R78" t="s">
        <v>442</v>
      </c>
    </row>
    <row r="79" spans="1:18" x14ac:dyDescent="0.25">
      <c r="A79">
        <v>2007</v>
      </c>
      <c r="B79">
        <v>5448</v>
      </c>
      <c r="C79" t="s">
        <v>2255</v>
      </c>
      <c r="D79" t="s">
        <v>5308</v>
      </c>
      <c r="E79">
        <v>212232</v>
      </c>
      <c r="F79" t="s">
        <v>2257</v>
      </c>
      <c r="G79" t="s">
        <v>2004</v>
      </c>
      <c r="H79" t="s">
        <v>79</v>
      </c>
      <c r="I79" t="s">
        <v>244</v>
      </c>
      <c r="J79" t="s">
        <v>245</v>
      </c>
      <c r="K79" t="s">
        <v>246</v>
      </c>
      <c r="L79" t="s">
        <v>5183</v>
      </c>
      <c r="M79" t="s">
        <v>5184</v>
      </c>
      <c r="N79" t="s">
        <v>5260</v>
      </c>
      <c r="O79" t="s">
        <v>5261</v>
      </c>
      <c r="P79">
        <v>4716</v>
      </c>
      <c r="Q79" t="s">
        <v>40</v>
      </c>
      <c r="R79" t="s">
        <v>124</v>
      </c>
    </row>
    <row r="80" spans="1:18" x14ac:dyDescent="0.25">
      <c r="A80">
        <v>2021</v>
      </c>
      <c r="B80">
        <v>3754</v>
      </c>
      <c r="C80" t="s">
        <v>1529</v>
      </c>
      <c r="D80" t="s">
        <v>635</v>
      </c>
      <c r="E80">
        <v>211110</v>
      </c>
      <c r="F80" t="s">
        <v>233</v>
      </c>
      <c r="G80" t="s">
        <v>234</v>
      </c>
      <c r="H80" t="s">
        <v>85</v>
      </c>
      <c r="I80" t="s">
        <v>348</v>
      </c>
      <c r="J80" t="s">
        <v>349</v>
      </c>
      <c r="K80" t="s">
        <v>350</v>
      </c>
      <c r="L80" t="s">
        <v>5167</v>
      </c>
      <c r="M80" t="s">
        <v>5168</v>
      </c>
      <c r="N80" t="s">
        <v>5175</v>
      </c>
      <c r="O80" t="s">
        <v>5176</v>
      </c>
      <c r="P80">
        <v>7.7000000000000002E-3</v>
      </c>
      <c r="Q80" t="s">
        <v>29</v>
      </c>
      <c r="R80" t="s">
        <v>30</v>
      </c>
    </row>
    <row r="81" spans="1:18" x14ac:dyDescent="0.25">
      <c r="A81">
        <v>2020</v>
      </c>
      <c r="B81">
        <v>30830</v>
      </c>
      <c r="C81" t="s">
        <v>3661</v>
      </c>
      <c r="D81" t="s">
        <v>5309</v>
      </c>
      <c r="E81">
        <v>211141</v>
      </c>
      <c r="F81" t="s">
        <v>1189</v>
      </c>
      <c r="G81" t="s">
        <v>1190</v>
      </c>
      <c r="H81" t="s">
        <v>85</v>
      </c>
      <c r="I81" t="s">
        <v>491</v>
      </c>
      <c r="J81" t="s">
        <v>492</v>
      </c>
      <c r="K81" t="s">
        <v>492</v>
      </c>
      <c r="L81" t="s">
        <v>5167</v>
      </c>
      <c r="M81" t="s">
        <v>5168</v>
      </c>
      <c r="N81" t="s">
        <v>5169</v>
      </c>
      <c r="O81" t="s">
        <v>5170</v>
      </c>
      <c r="P81">
        <v>2.0000000000000001E-4</v>
      </c>
      <c r="Q81" t="s">
        <v>29</v>
      </c>
      <c r="R81" t="s">
        <v>30</v>
      </c>
    </row>
    <row r="82" spans="1:18" x14ac:dyDescent="0.25">
      <c r="A82">
        <v>2019</v>
      </c>
      <c r="B82">
        <v>5390</v>
      </c>
      <c r="C82" t="s">
        <v>5310</v>
      </c>
      <c r="D82" t="s">
        <v>5311</v>
      </c>
      <c r="E82">
        <v>221320</v>
      </c>
      <c r="F82" t="s">
        <v>146</v>
      </c>
      <c r="G82" t="s">
        <v>147</v>
      </c>
      <c r="H82" t="s">
        <v>85</v>
      </c>
      <c r="I82" t="s">
        <v>35</v>
      </c>
      <c r="J82" t="s">
        <v>36</v>
      </c>
      <c r="K82" t="s">
        <v>37</v>
      </c>
      <c r="L82" t="s">
        <v>5167</v>
      </c>
      <c r="M82" t="s">
        <v>5168</v>
      </c>
      <c r="N82" t="s">
        <v>5175</v>
      </c>
      <c r="O82" t="s">
        <v>5176</v>
      </c>
      <c r="P82">
        <v>1091.6600000000001</v>
      </c>
      <c r="Q82" t="s">
        <v>40</v>
      </c>
      <c r="R82" t="s">
        <v>124</v>
      </c>
    </row>
    <row r="83" spans="1:18" x14ac:dyDescent="0.25">
      <c r="A83">
        <v>2011</v>
      </c>
      <c r="B83">
        <v>3571</v>
      </c>
      <c r="C83" t="s">
        <v>5312</v>
      </c>
      <c r="D83" t="s">
        <v>5313</v>
      </c>
      <c r="E83">
        <v>221320</v>
      </c>
      <c r="F83" t="s">
        <v>390</v>
      </c>
      <c r="G83" t="s">
        <v>147</v>
      </c>
      <c r="H83" t="s">
        <v>79</v>
      </c>
      <c r="I83" t="s">
        <v>152</v>
      </c>
      <c r="J83" t="s">
        <v>153</v>
      </c>
      <c r="K83" t="s">
        <v>154</v>
      </c>
      <c r="L83" t="s">
        <v>5167</v>
      </c>
      <c r="M83" t="s">
        <v>5168</v>
      </c>
      <c r="N83" t="s">
        <v>5169</v>
      </c>
      <c r="O83" t="s">
        <v>5170</v>
      </c>
      <c r="P83">
        <v>37.268999999999998</v>
      </c>
      <c r="Q83" t="s">
        <v>29</v>
      </c>
      <c r="R83" t="s">
        <v>124</v>
      </c>
    </row>
    <row r="84" spans="1:18" x14ac:dyDescent="0.25">
      <c r="A84">
        <v>2011</v>
      </c>
      <c r="B84">
        <v>20225</v>
      </c>
      <c r="C84" t="s">
        <v>5314</v>
      </c>
      <c r="D84" t="s">
        <v>5315</v>
      </c>
      <c r="E84">
        <v>212299</v>
      </c>
      <c r="F84" t="s">
        <v>5299</v>
      </c>
      <c r="G84" t="s">
        <v>1435</v>
      </c>
      <c r="H84" t="s">
        <v>379</v>
      </c>
      <c r="I84" t="s">
        <v>402</v>
      </c>
      <c r="J84" t="s">
        <v>403</v>
      </c>
      <c r="K84" t="s">
        <v>404</v>
      </c>
      <c r="L84" t="s">
        <v>5183</v>
      </c>
      <c r="M84" t="s">
        <v>5184</v>
      </c>
      <c r="N84" t="s">
        <v>5260</v>
      </c>
      <c r="O84" t="s">
        <v>5261</v>
      </c>
      <c r="P84">
        <v>0</v>
      </c>
      <c r="Q84" t="s">
        <v>29</v>
      </c>
      <c r="R84" t="s">
        <v>30</v>
      </c>
    </row>
    <row r="85" spans="1:18" x14ac:dyDescent="0.25">
      <c r="A85">
        <v>2002</v>
      </c>
      <c r="B85">
        <v>2587</v>
      </c>
      <c r="C85" t="s">
        <v>5316</v>
      </c>
      <c r="D85" t="s">
        <v>5317</v>
      </c>
      <c r="E85">
        <v>322121</v>
      </c>
      <c r="F85" t="s">
        <v>764</v>
      </c>
      <c r="G85" t="s">
        <v>765</v>
      </c>
      <c r="H85" t="s">
        <v>79</v>
      </c>
      <c r="I85" t="s">
        <v>136</v>
      </c>
      <c r="J85" t="s">
        <v>137</v>
      </c>
      <c r="K85" t="s">
        <v>138</v>
      </c>
      <c r="L85" t="s">
        <v>5183</v>
      </c>
      <c r="M85" t="s">
        <v>5184</v>
      </c>
      <c r="N85" t="s">
        <v>5175</v>
      </c>
      <c r="O85" t="s">
        <v>5176</v>
      </c>
      <c r="P85">
        <v>0.31</v>
      </c>
      <c r="Q85" t="s">
        <v>29</v>
      </c>
      <c r="R85" t="s">
        <v>442</v>
      </c>
    </row>
    <row r="86" spans="1:18" x14ac:dyDescent="0.25">
      <c r="A86">
        <v>2017</v>
      </c>
      <c r="B86">
        <v>5189</v>
      </c>
      <c r="C86" t="s">
        <v>212</v>
      </c>
      <c r="D86" t="s">
        <v>826</v>
      </c>
      <c r="E86">
        <v>221320</v>
      </c>
      <c r="F86" t="s">
        <v>146</v>
      </c>
      <c r="G86" t="s">
        <v>147</v>
      </c>
      <c r="H86" t="s">
        <v>69</v>
      </c>
      <c r="I86" t="s">
        <v>106</v>
      </c>
      <c r="J86" t="s">
        <v>107</v>
      </c>
      <c r="K86" t="s">
        <v>108</v>
      </c>
      <c r="L86" t="s">
        <v>5167</v>
      </c>
      <c r="M86" t="s">
        <v>5168</v>
      </c>
      <c r="N86" t="s">
        <v>5169</v>
      </c>
      <c r="O86" t="s">
        <v>5170</v>
      </c>
      <c r="P86">
        <v>20.461500000000001</v>
      </c>
      <c r="Q86" t="s">
        <v>40</v>
      </c>
      <c r="R86" t="s">
        <v>124</v>
      </c>
    </row>
    <row r="87" spans="1:18" x14ac:dyDescent="0.25">
      <c r="A87">
        <v>2005</v>
      </c>
      <c r="B87">
        <v>1344</v>
      </c>
      <c r="C87" t="s">
        <v>5318</v>
      </c>
      <c r="D87" t="s">
        <v>291</v>
      </c>
      <c r="E87">
        <v>331514</v>
      </c>
      <c r="F87" t="s">
        <v>1756</v>
      </c>
      <c r="G87" t="s">
        <v>293</v>
      </c>
      <c r="H87" t="s">
        <v>54</v>
      </c>
      <c r="I87" t="s">
        <v>324</v>
      </c>
      <c r="J87" t="s">
        <v>325</v>
      </c>
      <c r="K87" t="s">
        <v>326</v>
      </c>
      <c r="L87" t="s">
        <v>5167</v>
      </c>
      <c r="M87" t="s">
        <v>5168</v>
      </c>
      <c r="N87" t="s">
        <v>5169</v>
      </c>
      <c r="O87" t="s">
        <v>5170</v>
      </c>
      <c r="P87">
        <v>21.096</v>
      </c>
      <c r="Q87" t="s">
        <v>40</v>
      </c>
      <c r="R87" t="s">
        <v>30</v>
      </c>
    </row>
    <row r="88" spans="1:18" x14ac:dyDescent="0.25">
      <c r="A88">
        <v>2008</v>
      </c>
      <c r="B88">
        <v>8518</v>
      </c>
      <c r="C88" t="s">
        <v>5319</v>
      </c>
      <c r="D88" t="s">
        <v>5320</v>
      </c>
      <c r="E88">
        <v>221320</v>
      </c>
      <c r="F88" t="s">
        <v>390</v>
      </c>
      <c r="G88" t="s">
        <v>147</v>
      </c>
      <c r="H88" t="s">
        <v>79</v>
      </c>
      <c r="I88" t="s">
        <v>97</v>
      </c>
      <c r="J88" t="s">
        <v>98</v>
      </c>
      <c r="K88" t="s">
        <v>99</v>
      </c>
      <c r="L88" t="s">
        <v>5167</v>
      </c>
      <c r="M88" t="s">
        <v>5168</v>
      </c>
      <c r="N88" t="s">
        <v>5175</v>
      </c>
      <c r="O88" t="s">
        <v>5176</v>
      </c>
      <c r="P88">
        <v>9.0719999999999992</v>
      </c>
      <c r="Q88" t="s">
        <v>29</v>
      </c>
      <c r="R88" t="s">
        <v>124</v>
      </c>
    </row>
    <row r="89" spans="1:18" x14ac:dyDescent="0.25">
      <c r="A89">
        <v>2019</v>
      </c>
      <c r="B89">
        <v>1221</v>
      </c>
      <c r="C89" t="s">
        <v>5321</v>
      </c>
      <c r="D89" t="s">
        <v>5322</v>
      </c>
      <c r="E89">
        <v>322112</v>
      </c>
      <c r="F89" t="s">
        <v>660</v>
      </c>
      <c r="G89" t="s">
        <v>621</v>
      </c>
      <c r="H89" t="s">
        <v>661</v>
      </c>
      <c r="I89" t="s">
        <v>152</v>
      </c>
      <c r="J89" t="s">
        <v>153</v>
      </c>
      <c r="K89" t="s">
        <v>154</v>
      </c>
      <c r="L89" t="s">
        <v>5167</v>
      </c>
      <c r="M89" t="s">
        <v>5168</v>
      </c>
      <c r="N89" t="s">
        <v>5169</v>
      </c>
      <c r="O89" t="s">
        <v>5170</v>
      </c>
      <c r="P89">
        <v>1.78</v>
      </c>
      <c r="Q89" t="s">
        <v>29</v>
      </c>
      <c r="R89" t="s">
        <v>124</v>
      </c>
    </row>
    <row r="90" spans="1:18" x14ac:dyDescent="0.25">
      <c r="A90">
        <v>2023</v>
      </c>
      <c r="B90">
        <v>2924</v>
      </c>
      <c r="C90" t="s">
        <v>5323</v>
      </c>
      <c r="D90" t="s">
        <v>5324</v>
      </c>
      <c r="E90">
        <v>322112</v>
      </c>
      <c r="F90" t="s">
        <v>660</v>
      </c>
      <c r="G90" t="s">
        <v>621</v>
      </c>
      <c r="H90" t="s">
        <v>69</v>
      </c>
      <c r="I90" t="s">
        <v>543</v>
      </c>
      <c r="J90" t="s">
        <v>544</v>
      </c>
      <c r="K90" t="s">
        <v>545</v>
      </c>
      <c r="L90" t="s">
        <v>5167</v>
      </c>
      <c r="M90" t="s">
        <v>5168</v>
      </c>
      <c r="N90" t="s">
        <v>5169</v>
      </c>
      <c r="O90" t="s">
        <v>5170</v>
      </c>
      <c r="P90">
        <v>18.05</v>
      </c>
      <c r="Q90" t="s">
        <v>40</v>
      </c>
      <c r="R90" t="s">
        <v>430</v>
      </c>
    </row>
    <row r="91" spans="1:18" x14ac:dyDescent="0.25">
      <c r="A91">
        <v>2003</v>
      </c>
      <c r="B91">
        <v>1162</v>
      </c>
      <c r="C91" t="s">
        <v>2047</v>
      </c>
      <c r="D91" t="s">
        <v>1315</v>
      </c>
      <c r="E91">
        <v>325110</v>
      </c>
      <c r="F91" t="s">
        <v>1194</v>
      </c>
      <c r="G91" t="s">
        <v>445</v>
      </c>
      <c r="H91" t="s">
        <v>85</v>
      </c>
      <c r="I91" t="s">
        <v>55</v>
      </c>
      <c r="J91" t="s">
        <v>56</v>
      </c>
      <c r="K91" t="s">
        <v>57</v>
      </c>
      <c r="L91" t="s">
        <v>5183</v>
      </c>
      <c r="M91" t="s">
        <v>5184</v>
      </c>
      <c r="N91" t="s">
        <v>5195</v>
      </c>
      <c r="O91" t="s">
        <v>5196</v>
      </c>
      <c r="P91">
        <v>231.48400000000001</v>
      </c>
      <c r="Q91" t="s">
        <v>29</v>
      </c>
      <c r="R91" t="s">
        <v>124</v>
      </c>
    </row>
    <row r="92" spans="1:18" x14ac:dyDescent="0.25">
      <c r="A92">
        <v>2021</v>
      </c>
      <c r="B92">
        <v>4065</v>
      </c>
      <c r="C92" t="s">
        <v>507</v>
      </c>
      <c r="D92" t="s">
        <v>5325</v>
      </c>
      <c r="E92">
        <v>412110</v>
      </c>
      <c r="F92" t="s">
        <v>127</v>
      </c>
      <c r="G92" t="s">
        <v>128</v>
      </c>
      <c r="H92" t="s">
        <v>69</v>
      </c>
      <c r="I92" t="s">
        <v>271</v>
      </c>
      <c r="J92" t="s">
        <v>272</v>
      </c>
      <c r="K92" t="s">
        <v>273</v>
      </c>
      <c r="L92" t="s">
        <v>5167</v>
      </c>
      <c r="M92" t="s">
        <v>5168</v>
      </c>
      <c r="N92" t="s">
        <v>5169</v>
      </c>
      <c r="O92" t="s">
        <v>5170</v>
      </c>
      <c r="P92">
        <v>1.12E-4</v>
      </c>
      <c r="Q92" t="s">
        <v>29</v>
      </c>
      <c r="R92" t="s">
        <v>30</v>
      </c>
    </row>
    <row r="93" spans="1:18" x14ac:dyDescent="0.25">
      <c r="A93">
        <v>2000</v>
      </c>
      <c r="B93">
        <v>2493</v>
      </c>
      <c r="C93" t="s">
        <v>5326</v>
      </c>
      <c r="D93" t="s">
        <v>5327</v>
      </c>
      <c r="E93">
        <v>321114</v>
      </c>
      <c r="F93" t="s">
        <v>365</v>
      </c>
      <c r="G93" t="s">
        <v>366</v>
      </c>
      <c r="H93" t="s">
        <v>69</v>
      </c>
      <c r="I93" t="s">
        <v>209</v>
      </c>
      <c r="J93" t="s">
        <v>210</v>
      </c>
      <c r="K93" t="s">
        <v>211</v>
      </c>
      <c r="L93" t="s">
        <v>5167</v>
      </c>
      <c r="M93" t="s">
        <v>5168</v>
      </c>
      <c r="N93" t="s">
        <v>5169</v>
      </c>
      <c r="O93" t="s">
        <v>5170</v>
      </c>
      <c r="P93">
        <v>0.22500000000000001</v>
      </c>
      <c r="Q93" t="s">
        <v>29</v>
      </c>
      <c r="R93" t="s">
        <v>442</v>
      </c>
    </row>
    <row r="94" spans="1:18" x14ac:dyDescent="0.25">
      <c r="A94">
        <v>2019</v>
      </c>
      <c r="B94">
        <v>16491</v>
      </c>
      <c r="C94" t="s">
        <v>1704</v>
      </c>
      <c r="D94" t="s">
        <v>5328</v>
      </c>
      <c r="E94">
        <v>211110</v>
      </c>
      <c r="F94" t="s">
        <v>233</v>
      </c>
      <c r="G94" t="s">
        <v>234</v>
      </c>
      <c r="H94" t="s">
        <v>85</v>
      </c>
      <c r="I94" t="s">
        <v>491</v>
      </c>
      <c r="J94" t="s">
        <v>492</v>
      </c>
      <c r="K94" t="s">
        <v>492</v>
      </c>
      <c r="L94" t="s">
        <v>5167</v>
      </c>
      <c r="M94" t="s">
        <v>5168</v>
      </c>
      <c r="N94" t="s">
        <v>5195</v>
      </c>
      <c r="O94" t="s">
        <v>5196</v>
      </c>
      <c r="P94">
        <v>0.56699999999999995</v>
      </c>
      <c r="Q94" t="s">
        <v>29</v>
      </c>
      <c r="R94" t="s">
        <v>50</v>
      </c>
    </row>
    <row r="95" spans="1:18" x14ac:dyDescent="0.25">
      <c r="A95">
        <v>2015</v>
      </c>
      <c r="B95">
        <v>2710</v>
      </c>
      <c r="C95" t="s">
        <v>5329</v>
      </c>
      <c r="D95" t="s">
        <v>5330</v>
      </c>
      <c r="E95">
        <v>212220</v>
      </c>
      <c r="F95" t="s">
        <v>1619</v>
      </c>
      <c r="G95" t="s">
        <v>1620</v>
      </c>
      <c r="H95" t="s">
        <v>21</v>
      </c>
      <c r="I95" t="s">
        <v>35</v>
      </c>
      <c r="J95" t="s">
        <v>36</v>
      </c>
      <c r="K95" t="s">
        <v>37</v>
      </c>
      <c r="L95" t="s">
        <v>5183</v>
      </c>
      <c r="M95" t="s">
        <v>5184</v>
      </c>
      <c r="N95" t="s">
        <v>5260</v>
      </c>
      <c r="O95" t="s">
        <v>5261</v>
      </c>
      <c r="P95">
        <v>4576.9065000000001</v>
      </c>
      <c r="Q95" t="s">
        <v>40</v>
      </c>
      <c r="R95" t="s">
        <v>50</v>
      </c>
    </row>
    <row r="96" spans="1:18" x14ac:dyDescent="0.25">
      <c r="A96">
        <v>2005</v>
      </c>
      <c r="B96">
        <v>477</v>
      </c>
      <c r="C96" t="s">
        <v>5331</v>
      </c>
      <c r="D96" t="s">
        <v>547</v>
      </c>
      <c r="E96">
        <v>325999</v>
      </c>
      <c r="F96" t="s">
        <v>396</v>
      </c>
      <c r="G96" t="s">
        <v>397</v>
      </c>
      <c r="H96" t="s">
        <v>21</v>
      </c>
      <c r="I96" t="s">
        <v>435</v>
      </c>
      <c r="J96" t="s">
        <v>436</v>
      </c>
      <c r="K96" t="s">
        <v>437</v>
      </c>
      <c r="L96" t="s">
        <v>5183</v>
      </c>
      <c r="M96" t="s">
        <v>5184</v>
      </c>
      <c r="N96" t="s">
        <v>5195</v>
      </c>
      <c r="O96" t="s">
        <v>5196</v>
      </c>
      <c r="P96">
        <v>0</v>
      </c>
      <c r="Q96" t="s">
        <v>29</v>
      </c>
      <c r="R96" t="s">
        <v>124</v>
      </c>
    </row>
    <row r="97" spans="1:18" x14ac:dyDescent="0.25">
      <c r="A97">
        <v>2007</v>
      </c>
      <c r="B97">
        <v>6688</v>
      </c>
      <c r="C97" t="s">
        <v>5332</v>
      </c>
      <c r="D97" t="s">
        <v>5333</v>
      </c>
      <c r="E97">
        <v>221119</v>
      </c>
      <c r="F97" t="s">
        <v>1851</v>
      </c>
      <c r="G97" t="s">
        <v>323</v>
      </c>
      <c r="H97" t="s">
        <v>69</v>
      </c>
      <c r="I97" t="s">
        <v>152</v>
      </c>
      <c r="J97" t="s">
        <v>153</v>
      </c>
      <c r="K97" t="s">
        <v>154</v>
      </c>
      <c r="L97" t="s">
        <v>5183</v>
      </c>
      <c r="M97" t="s">
        <v>5184</v>
      </c>
      <c r="N97" t="s">
        <v>5169</v>
      </c>
      <c r="O97" t="s">
        <v>5170</v>
      </c>
      <c r="P97">
        <v>66.021000000000001</v>
      </c>
      <c r="Q97" t="s">
        <v>29</v>
      </c>
      <c r="R97" t="s">
        <v>124</v>
      </c>
    </row>
    <row r="98" spans="1:18" x14ac:dyDescent="0.25">
      <c r="A98">
        <v>2019</v>
      </c>
      <c r="B98">
        <v>5189</v>
      </c>
      <c r="C98" t="s">
        <v>212</v>
      </c>
      <c r="D98" t="s">
        <v>826</v>
      </c>
      <c r="E98">
        <v>221320</v>
      </c>
      <c r="F98" t="s">
        <v>146</v>
      </c>
      <c r="G98" t="s">
        <v>147</v>
      </c>
      <c r="H98" t="s">
        <v>69</v>
      </c>
      <c r="I98" t="s">
        <v>152</v>
      </c>
      <c r="J98" t="s">
        <v>153</v>
      </c>
      <c r="K98" t="s">
        <v>154</v>
      </c>
      <c r="L98" t="s">
        <v>5167</v>
      </c>
      <c r="M98" t="s">
        <v>5168</v>
      </c>
      <c r="N98" t="s">
        <v>5169</v>
      </c>
      <c r="O98" t="s">
        <v>5170</v>
      </c>
      <c r="P98">
        <v>7.4917999999999996</v>
      </c>
      <c r="Q98" t="s">
        <v>29</v>
      </c>
      <c r="R98" t="s">
        <v>124</v>
      </c>
    </row>
    <row r="99" spans="1:18" x14ac:dyDescent="0.25">
      <c r="A99">
        <v>2011</v>
      </c>
      <c r="B99">
        <v>2984</v>
      </c>
      <c r="C99" t="s">
        <v>5334</v>
      </c>
      <c r="D99" t="s">
        <v>5335</v>
      </c>
      <c r="E99">
        <v>331110</v>
      </c>
      <c r="F99" t="s">
        <v>335</v>
      </c>
      <c r="G99" t="s">
        <v>336</v>
      </c>
      <c r="H99" t="s">
        <v>21</v>
      </c>
      <c r="I99" t="s">
        <v>5336</v>
      </c>
      <c r="J99" t="s">
        <v>5337</v>
      </c>
      <c r="K99" t="s">
        <v>5337</v>
      </c>
      <c r="L99" t="s">
        <v>5167</v>
      </c>
      <c r="M99" t="s">
        <v>5168</v>
      </c>
      <c r="N99" t="s">
        <v>5169</v>
      </c>
      <c r="O99" t="s">
        <v>5170</v>
      </c>
      <c r="P99">
        <v>0.20169999999999999</v>
      </c>
      <c r="Q99" t="s">
        <v>40</v>
      </c>
      <c r="R99" t="s">
        <v>124</v>
      </c>
    </row>
    <row r="100" spans="1:18" x14ac:dyDescent="0.25">
      <c r="A100">
        <v>1993</v>
      </c>
      <c r="B100">
        <v>658</v>
      </c>
      <c r="C100" t="s">
        <v>5338</v>
      </c>
      <c r="D100" t="s">
        <v>1733</v>
      </c>
      <c r="E100">
        <v>325189</v>
      </c>
      <c r="F100" t="s">
        <v>1290</v>
      </c>
      <c r="G100" t="s">
        <v>1291</v>
      </c>
      <c r="H100" t="s">
        <v>243</v>
      </c>
      <c r="I100" t="s">
        <v>136</v>
      </c>
      <c r="J100" t="s">
        <v>137</v>
      </c>
      <c r="K100" t="s">
        <v>138</v>
      </c>
      <c r="L100" t="s">
        <v>5167</v>
      </c>
      <c r="M100" t="s">
        <v>5168</v>
      </c>
      <c r="N100" t="s">
        <v>5169</v>
      </c>
      <c r="O100" t="s">
        <v>5170</v>
      </c>
      <c r="P100">
        <v>0.437</v>
      </c>
      <c r="Q100" t="s">
        <v>29</v>
      </c>
    </row>
    <row r="101" spans="1:18" x14ac:dyDescent="0.25">
      <c r="A101">
        <v>2007</v>
      </c>
      <c r="B101">
        <v>4063</v>
      </c>
      <c r="C101" t="s">
        <v>1376</v>
      </c>
      <c r="D101" t="s">
        <v>5339</v>
      </c>
      <c r="E101">
        <v>322112</v>
      </c>
      <c r="F101" t="s">
        <v>620</v>
      </c>
      <c r="G101" t="s">
        <v>621</v>
      </c>
      <c r="H101" t="s">
        <v>69</v>
      </c>
      <c r="I101" t="s">
        <v>461</v>
      </c>
      <c r="J101" t="s">
        <v>462</v>
      </c>
      <c r="K101" t="s">
        <v>463</v>
      </c>
      <c r="L101" t="s">
        <v>5183</v>
      </c>
      <c r="M101" t="s">
        <v>5184</v>
      </c>
      <c r="N101" t="s">
        <v>5169</v>
      </c>
      <c r="O101" t="s">
        <v>5170</v>
      </c>
      <c r="P101">
        <v>456.68</v>
      </c>
      <c r="Q101" t="s">
        <v>40</v>
      </c>
      <c r="R101" t="s">
        <v>430</v>
      </c>
    </row>
    <row r="102" spans="1:18" x14ac:dyDescent="0.25">
      <c r="A102">
        <v>2007</v>
      </c>
      <c r="B102">
        <v>3476</v>
      </c>
      <c r="C102" t="s">
        <v>1231</v>
      </c>
      <c r="D102" t="s">
        <v>1104</v>
      </c>
      <c r="E102">
        <v>336110</v>
      </c>
      <c r="F102" t="s">
        <v>377</v>
      </c>
      <c r="G102" t="s">
        <v>44</v>
      </c>
      <c r="H102" t="s">
        <v>21</v>
      </c>
      <c r="I102" t="s">
        <v>80</v>
      </c>
      <c r="J102" t="s">
        <v>81</v>
      </c>
      <c r="K102" t="s">
        <v>82</v>
      </c>
      <c r="L102" t="s">
        <v>5167</v>
      </c>
      <c r="M102" t="s">
        <v>5168</v>
      </c>
      <c r="N102" t="s">
        <v>5169</v>
      </c>
      <c r="O102" t="s">
        <v>5170</v>
      </c>
      <c r="P102">
        <v>0</v>
      </c>
      <c r="Q102" t="s">
        <v>29</v>
      </c>
      <c r="R102" t="s">
        <v>30</v>
      </c>
    </row>
    <row r="103" spans="1:18" x14ac:dyDescent="0.25">
      <c r="A103">
        <v>2004</v>
      </c>
      <c r="B103">
        <v>7844</v>
      </c>
      <c r="C103" t="s">
        <v>5326</v>
      </c>
      <c r="D103" t="s">
        <v>5340</v>
      </c>
      <c r="E103">
        <v>321111</v>
      </c>
      <c r="F103" t="s">
        <v>1474</v>
      </c>
      <c r="G103" t="s">
        <v>1368</v>
      </c>
      <c r="H103" t="s">
        <v>69</v>
      </c>
      <c r="I103" t="s">
        <v>35</v>
      </c>
      <c r="J103" t="s">
        <v>36</v>
      </c>
      <c r="K103" t="s">
        <v>37</v>
      </c>
      <c r="L103" t="s">
        <v>5183</v>
      </c>
      <c r="M103" t="s">
        <v>5184</v>
      </c>
      <c r="N103" t="s">
        <v>5169</v>
      </c>
      <c r="O103" t="s">
        <v>5170</v>
      </c>
      <c r="P103">
        <v>95.382999999999996</v>
      </c>
      <c r="Q103" t="s">
        <v>40</v>
      </c>
      <c r="R103" t="s">
        <v>430</v>
      </c>
    </row>
    <row r="104" spans="1:18" x14ac:dyDescent="0.25">
      <c r="A104">
        <v>2020</v>
      </c>
      <c r="B104">
        <v>2960</v>
      </c>
      <c r="C104" t="s">
        <v>507</v>
      </c>
      <c r="D104" t="s">
        <v>2214</v>
      </c>
      <c r="E104">
        <v>324110</v>
      </c>
      <c r="F104" t="s">
        <v>196</v>
      </c>
      <c r="G104" t="s">
        <v>96</v>
      </c>
      <c r="H104" t="s">
        <v>85</v>
      </c>
      <c r="I104" t="s">
        <v>129</v>
      </c>
      <c r="J104" t="s">
        <v>130</v>
      </c>
      <c r="K104" t="s">
        <v>131</v>
      </c>
      <c r="L104" t="s">
        <v>5183</v>
      </c>
      <c r="M104" t="s">
        <v>5184</v>
      </c>
      <c r="N104" t="s">
        <v>5195</v>
      </c>
      <c r="O104" t="s">
        <v>5196</v>
      </c>
      <c r="P104">
        <v>0.29599999999999999</v>
      </c>
      <c r="Q104" t="s">
        <v>29</v>
      </c>
      <c r="R104" t="s">
        <v>50</v>
      </c>
    </row>
    <row r="105" spans="1:18" x14ac:dyDescent="0.25">
      <c r="A105">
        <v>2017</v>
      </c>
      <c r="B105">
        <v>3959</v>
      </c>
      <c r="C105" t="s">
        <v>5341</v>
      </c>
      <c r="D105" t="s">
        <v>5342</v>
      </c>
      <c r="E105">
        <v>322111</v>
      </c>
      <c r="F105" t="s">
        <v>5343</v>
      </c>
      <c r="G105" t="s">
        <v>1078</v>
      </c>
      <c r="H105" t="s">
        <v>85</v>
      </c>
      <c r="I105" t="s">
        <v>184</v>
      </c>
      <c r="J105" t="s">
        <v>185</v>
      </c>
      <c r="K105" t="s">
        <v>186</v>
      </c>
      <c r="L105" t="s">
        <v>5167</v>
      </c>
      <c r="M105" t="s">
        <v>5168</v>
      </c>
      <c r="N105" t="s">
        <v>5175</v>
      </c>
      <c r="O105" t="s">
        <v>5176</v>
      </c>
      <c r="P105">
        <v>12.048</v>
      </c>
      <c r="Q105" t="s">
        <v>40</v>
      </c>
      <c r="R105" t="s">
        <v>124</v>
      </c>
    </row>
    <row r="106" spans="1:18" x14ac:dyDescent="0.25">
      <c r="A106">
        <v>2016</v>
      </c>
      <c r="B106">
        <v>3571</v>
      </c>
      <c r="C106" t="s">
        <v>5312</v>
      </c>
      <c r="D106" t="s">
        <v>5313</v>
      </c>
      <c r="E106">
        <v>221320</v>
      </c>
      <c r="F106" t="s">
        <v>146</v>
      </c>
      <c r="G106" t="s">
        <v>147</v>
      </c>
      <c r="H106" t="s">
        <v>79</v>
      </c>
      <c r="I106" t="s">
        <v>35</v>
      </c>
      <c r="J106" t="s">
        <v>36</v>
      </c>
      <c r="K106" t="s">
        <v>37</v>
      </c>
      <c r="L106" t="s">
        <v>5167</v>
      </c>
      <c r="M106" t="s">
        <v>5168</v>
      </c>
      <c r="N106" t="s">
        <v>5169</v>
      </c>
      <c r="O106" t="s">
        <v>5170</v>
      </c>
      <c r="P106">
        <v>4231</v>
      </c>
      <c r="Q106" t="s">
        <v>40</v>
      </c>
      <c r="R106" t="s">
        <v>124</v>
      </c>
    </row>
    <row r="107" spans="1:18" x14ac:dyDescent="0.25">
      <c r="A107">
        <v>2019</v>
      </c>
      <c r="B107">
        <v>10233</v>
      </c>
      <c r="C107" t="s">
        <v>125</v>
      </c>
      <c r="D107" t="s">
        <v>5344</v>
      </c>
      <c r="E107">
        <v>412110</v>
      </c>
      <c r="F107" t="s">
        <v>127</v>
      </c>
      <c r="G107" t="s">
        <v>128</v>
      </c>
      <c r="H107" t="s">
        <v>21</v>
      </c>
      <c r="I107" t="s">
        <v>70</v>
      </c>
      <c r="J107" t="s">
        <v>71</v>
      </c>
      <c r="K107" t="s">
        <v>72</v>
      </c>
      <c r="L107" t="s">
        <v>5167</v>
      </c>
      <c r="M107" t="s">
        <v>5168</v>
      </c>
      <c r="N107" t="s">
        <v>5223</v>
      </c>
      <c r="O107" t="s">
        <v>5224</v>
      </c>
      <c r="P107">
        <v>9.9731E-2</v>
      </c>
      <c r="Q107" t="s">
        <v>29</v>
      </c>
      <c r="R107" t="s">
        <v>30</v>
      </c>
    </row>
    <row r="108" spans="1:18" x14ac:dyDescent="0.25">
      <c r="A108">
        <v>2011</v>
      </c>
      <c r="B108">
        <v>10258</v>
      </c>
      <c r="C108" t="s">
        <v>5345</v>
      </c>
      <c r="D108" t="s">
        <v>5346</v>
      </c>
      <c r="E108">
        <v>221320</v>
      </c>
      <c r="F108" t="s">
        <v>390</v>
      </c>
      <c r="G108" t="s">
        <v>147</v>
      </c>
      <c r="H108" t="s">
        <v>21</v>
      </c>
      <c r="I108" t="s">
        <v>324</v>
      </c>
      <c r="J108" t="s">
        <v>325</v>
      </c>
      <c r="K108" t="s">
        <v>326</v>
      </c>
      <c r="L108" t="s">
        <v>5167</v>
      </c>
      <c r="M108" t="s">
        <v>5168</v>
      </c>
      <c r="N108" t="s">
        <v>5223</v>
      </c>
      <c r="O108" t="s">
        <v>5224</v>
      </c>
      <c r="P108">
        <v>0.80600000000000005</v>
      </c>
      <c r="Q108" t="s">
        <v>40</v>
      </c>
      <c r="R108" t="s">
        <v>124</v>
      </c>
    </row>
    <row r="109" spans="1:18" x14ac:dyDescent="0.25">
      <c r="A109">
        <v>1998</v>
      </c>
      <c r="B109">
        <v>3753</v>
      </c>
      <c r="C109" t="s">
        <v>921</v>
      </c>
      <c r="D109" t="s">
        <v>922</v>
      </c>
      <c r="E109">
        <v>211113</v>
      </c>
      <c r="F109" t="s">
        <v>425</v>
      </c>
      <c r="G109" t="s">
        <v>426</v>
      </c>
      <c r="H109" t="s">
        <v>85</v>
      </c>
      <c r="I109" t="s">
        <v>80</v>
      </c>
      <c r="J109" t="s">
        <v>81</v>
      </c>
      <c r="K109" t="s">
        <v>82</v>
      </c>
      <c r="L109" t="s">
        <v>5167</v>
      </c>
      <c r="M109" t="s">
        <v>5168</v>
      </c>
      <c r="N109" t="s">
        <v>5195</v>
      </c>
      <c r="O109" t="s">
        <v>5196</v>
      </c>
      <c r="P109">
        <v>11.676</v>
      </c>
      <c r="Q109" t="s">
        <v>29</v>
      </c>
      <c r="R109" t="s">
        <v>30</v>
      </c>
    </row>
    <row r="110" spans="1:18" x14ac:dyDescent="0.25">
      <c r="A110">
        <v>2022</v>
      </c>
      <c r="B110">
        <v>5182</v>
      </c>
      <c r="C110" t="s">
        <v>5347</v>
      </c>
      <c r="D110" t="s">
        <v>5348</v>
      </c>
      <c r="E110">
        <v>325189</v>
      </c>
      <c r="F110" t="s">
        <v>1660</v>
      </c>
      <c r="G110" t="s">
        <v>1291</v>
      </c>
      <c r="H110" t="s">
        <v>69</v>
      </c>
      <c r="I110" t="s">
        <v>337</v>
      </c>
      <c r="J110" t="s">
        <v>338</v>
      </c>
      <c r="K110" t="s">
        <v>339</v>
      </c>
      <c r="L110" t="s">
        <v>5167</v>
      </c>
      <c r="M110" t="s">
        <v>5168</v>
      </c>
      <c r="N110" t="s">
        <v>5169</v>
      </c>
      <c r="O110" t="s">
        <v>5170</v>
      </c>
      <c r="P110">
        <v>1.472</v>
      </c>
      <c r="Q110" t="s">
        <v>29</v>
      </c>
      <c r="R110" t="s">
        <v>30</v>
      </c>
    </row>
    <row r="111" spans="1:18" x14ac:dyDescent="0.25">
      <c r="A111">
        <v>2006</v>
      </c>
      <c r="B111">
        <v>7294</v>
      </c>
      <c r="C111" t="s">
        <v>5349</v>
      </c>
      <c r="D111" t="s">
        <v>5350</v>
      </c>
      <c r="E111">
        <v>541990</v>
      </c>
      <c r="F111" t="s">
        <v>5351</v>
      </c>
      <c r="G111" t="s">
        <v>1786</v>
      </c>
      <c r="H111" t="s">
        <v>21</v>
      </c>
      <c r="I111" t="s">
        <v>35</v>
      </c>
      <c r="J111" t="s">
        <v>36</v>
      </c>
      <c r="K111" t="s">
        <v>37</v>
      </c>
      <c r="L111" t="s">
        <v>5167</v>
      </c>
      <c r="M111" t="s">
        <v>5168</v>
      </c>
      <c r="N111" t="s">
        <v>5169</v>
      </c>
      <c r="O111" t="s">
        <v>5170</v>
      </c>
      <c r="P111">
        <v>1.17</v>
      </c>
      <c r="Q111" t="s">
        <v>40</v>
      </c>
      <c r="R111" t="s">
        <v>30</v>
      </c>
    </row>
    <row r="112" spans="1:18" x14ac:dyDescent="0.25">
      <c r="A112">
        <v>2007</v>
      </c>
      <c r="B112">
        <v>7858</v>
      </c>
      <c r="C112" t="s">
        <v>5352</v>
      </c>
      <c r="D112" t="s">
        <v>5353</v>
      </c>
      <c r="E112">
        <v>221320</v>
      </c>
      <c r="F112" t="s">
        <v>390</v>
      </c>
      <c r="G112" t="s">
        <v>147</v>
      </c>
      <c r="H112" t="s">
        <v>69</v>
      </c>
      <c r="I112" t="s">
        <v>244</v>
      </c>
      <c r="J112" t="s">
        <v>245</v>
      </c>
      <c r="K112" t="s">
        <v>246</v>
      </c>
      <c r="L112" t="s">
        <v>5167</v>
      </c>
      <c r="M112" t="s">
        <v>5168</v>
      </c>
      <c r="N112" t="s">
        <v>5175</v>
      </c>
      <c r="O112" t="s">
        <v>5176</v>
      </c>
      <c r="P112">
        <v>1.2010000000000001</v>
      </c>
      <c r="Q112" t="s">
        <v>40</v>
      </c>
      <c r="R112" t="s">
        <v>124</v>
      </c>
    </row>
    <row r="113" spans="1:18" x14ac:dyDescent="0.25">
      <c r="A113">
        <v>2021</v>
      </c>
      <c r="B113">
        <v>7838</v>
      </c>
      <c r="C113" t="s">
        <v>2057</v>
      </c>
      <c r="D113" t="s">
        <v>2252</v>
      </c>
      <c r="E113">
        <v>212114</v>
      </c>
      <c r="F113" t="s">
        <v>2059</v>
      </c>
      <c r="G113" t="s">
        <v>2060</v>
      </c>
      <c r="H113" t="s">
        <v>69</v>
      </c>
      <c r="I113" t="s">
        <v>62</v>
      </c>
      <c r="J113" t="s">
        <v>63</v>
      </c>
      <c r="K113" t="s">
        <v>64</v>
      </c>
      <c r="L113" t="s">
        <v>5183</v>
      </c>
      <c r="M113" t="s">
        <v>5184</v>
      </c>
      <c r="N113" t="s">
        <v>5185</v>
      </c>
      <c r="O113" t="s">
        <v>5186</v>
      </c>
      <c r="P113">
        <v>18.4892</v>
      </c>
      <c r="Q113" t="s">
        <v>29</v>
      </c>
      <c r="R113" t="s">
        <v>124</v>
      </c>
    </row>
    <row r="114" spans="1:18" x14ac:dyDescent="0.25">
      <c r="A114">
        <v>2011</v>
      </c>
      <c r="B114">
        <v>930</v>
      </c>
      <c r="C114" t="s">
        <v>5277</v>
      </c>
      <c r="D114" t="s">
        <v>5354</v>
      </c>
      <c r="E114">
        <v>322112</v>
      </c>
      <c r="F114" t="s">
        <v>620</v>
      </c>
      <c r="G114" t="s">
        <v>621</v>
      </c>
      <c r="H114" t="s">
        <v>21</v>
      </c>
      <c r="I114" t="s">
        <v>324</v>
      </c>
      <c r="J114" t="s">
        <v>325</v>
      </c>
      <c r="K114" t="s">
        <v>326</v>
      </c>
      <c r="L114" t="s">
        <v>5167</v>
      </c>
      <c r="M114" t="s">
        <v>5168</v>
      </c>
      <c r="N114" t="s">
        <v>5169</v>
      </c>
      <c r="O114" t="s">
        <v>5170</v>
      </c>
      <c r="P114">
        <v>28.313800000000001</v>
      </c>
      <c r="Q114" t="s">
        <v>40</v>
      </c>
      <c r="R114" t="s">
        <v>157</v>
      </c>
    </row>
    <row r="115" spans="1:18" x14ac:dyDescent="0.25">
      <c r="A115">
        <v>2018</v>
      </c>
      <c r="B115">
        <v>2776</v>
      </c>
      <c r="C115" t="s">
        <v>5355</v>
      </c>
      <c r="D115" t="s">
        <v>1199</v>
      </c>
      <c r="E115">
        <v>324110</v>
      </c>
      <c r="F115" t="s">
        <v>196</v>
      </c>
      <c r="G115" t="s">
        <v>96</v>
      </c>
      <c r="H115" t="s">
        <v>69</v>
      </c>
      <c r="I115" t="s">
        <v>844</v>
      </c>
      <c r="J115" t="s">
        <v>845</v>
      </c>
      <c r="K115" t="s">
        <v>846</v>
      </c>
      <c r="L115" t="s">
        <v>5167</v>
      </c>
      <c r="M115" t="s">
        <v>5168</v>
      </c>
      <c r="N115" t="s">
        <v>5169</v>
      </c>
      <c r="O115" t="s">
        <v>5170</v>
      </c>
      <c r="P115">
        <v>0.28100000000000003</v>
      </c>
      <c r="Q115" t="s">
        <v>29</v>
      </c>
      <c r="R115" t="s">
        <v>124</v>
      </c>
    </row>
    <row r="116" spans="1:18" x14ac:dyDescent="0.25">
      <c r="A116">
        <v>2014</v>
      </c>
      <c r="B116">
        <v>27506</v>
      </c>
      <c r="C116" t="s">
        <v>1323</v>
      </c>
      <c r="D116" t="s">
        <v>1356</v>
      </c>
      <c r="E116">
        <v>211114</v>
      </c>
      <c r="F116" t="s">
        <v>956</v>
      </c>
      <c r="G116" t="s">
        <v>836</v>
      </c>
      <c r="H116" t="s">
        <v>85</v>
      </c>
      <c r="I116" t="s">
        <v>348</v>
      </c>
      <c r="J116" t="s">
        <v>349</v>
      </c>
      <c r="K116" t="s">
        <v>350</v>
      </c>
      <c r="L116" t="s">
        <v>5167</v>
      </c>
      <c r="M116" t="s">
        <v>5168</v>
      </c>
      <c r="N116" t="s">
        <v>5169</v>
      </c>
      <c r="O116" t="s">
        <v>5170</v>
      </c>
      <c r="P116">
        <v>1E-3</v>
      </c>
      <c r="Q116" t="s">
        <v>29</v>
      </c>
      <c r="R116" t="s">
        <v>30</v>
      </c>
    </row>
    <row r="117" spans="1:18" x14ac:dyDescent="0.25">
      <c r="A117">
        <v>2021</v>
      </c>
      <c r="B117">
        <v>5614</v>
      </c>
      <c r="C117" t="s">
        <v>1525</v>
      </c>
      <c r="D117" t="s">
        <v>1526</v>
      </c>
      <c r="E117">
        <v>221320</v>
      </c>
      <c r="F117" t="s">
        <v>146</v>
      </c>
      <c r="G117" t="s">
        <v>147</v>
      </c>
      <c r="H117" t="s">
        <v>21</v>
      </c>
      <c r="I117" t="s">
        <v>461</v>
      </c>
      <c r="J117" t="s">
        <v>462</v>
      </c>
      <c r="K117" t="s">
        <v>463</v>
      </c>
      <c r="L117" t="s">
        <v>5167</v>
      </c>
      <c r="M117" t="s">
        <v>5168</v>
      </c>
      <c r="N117" t="s">
        <v>5175</v>
      </c>
      <c r="O117" t="s">
        <v>5176</v>
      </c>
      <c r="P117">
        <v>52.99</v>
      </c>
      <c r="Q117" t="s">
        <v>40</v>
      </c>
      <c r="R117" t="s">
        <v>124</v>
      </c>
    </row>
    <row r="118" spans="1:18" x14ac:dyDescent="0.25">
      <c r="A118">
        <v>2000</v>
      </c>
      <c r="B118">
        <v>5429</v>
      </c>
      <c r="C118" t="s">
        <v>5356</v>
      </c>
      <c r="D118" t="s">
        <v>5357</v>
      </c>
      <c r="E118">
        <v>325999</v>
      </c>
      <c r="F118" t="s">
        <v>396</v>
      </c>
      <c r="G118" t="s">
        <v>397</v>
      </c>
      <c r="H118" t="s">
        <v>79</v>
      </c>
      <c r="I118" t="s">
        <v>191</v>
      </c>
      <c r="J118" t="s">
        <v>192</v>
      </c>
      <c r="K118" t="s">
        <v>193</v>
      </c>
      <c r="L118" t="s">
        <v>5167</v>
      </c>
      <c r="M118" t="s">
        <v>5168</v>
      </c>
      <c r="N118" t="s">
        <v>5169</v>
      </c>
      <c r="O118" t="s">
        <v>5170</v>
      </c>
      <c r="P118">
        <v>4.3999999999999997E-2</v>
      </c>
      <c r="Q118" t="s">
        <v>29</v>
      </c>
      <c r="R118" t="s">
        <v>442</v>
      </c>
    </row>
    <row r="119" spans="1:18" x14ac:dyDescent="0.25">
      <c r="A119">
        <v>2012</v>
      </c>
      <c r="B119">
        <v>2230</v>
      </c>
      <c r="C119" t="s">
        <v>1548</v>
      </c>
      <c r="D119" t="s">
        <v>1514</v>
      </c>
      <c r="E119">
        <v>211114</v>
      </c>
      <c r="F119" t="s">
        <v>956</v>
      </c>
      <c r="G119" t="s">
        <v>836</v>
      </c>
      <c r="H119" t="s">
        <v>85</v>
      </c>
      <c r="I119" t="s">
        <v>5358</v>
      </c>
      <c r="J119" t="s">
        <v>5359</v>
      </c>
      <c r="K119" t="s">
        <v>5360</v>
      </c>
      <c r="L119" t="s">
        <v>5183</v>
      </c>
      <c r="M119" t="s">
        <v>5184</v>
      </c>
      <c r="N119" t="s">
        <v>5185</v>
      </c>
      <c r="O119" t="s">
        <v>5186</v>
      </c>
      <c r="P119">
        <v>6732.5909000000001</v>
      </c>
      <c r="Q119" t="s">
        <v>40</v>
      </c>
      <c r="R119" t="s">
        <v>124</v>
      </c>
    </row>
    <row r="120" spans="1:18" x14ac:dyDescent="0.25">
      <c r="A120">
        <v>2007</v>
      </c>
      <c r="B120">
        <v>4925</v>
      </c>
      <c r="C120" t="s">
        <v>4551</v>
      </c>
      <c r="D120" t="s">
        <v>4552</v>
      </c>
      <c r="E120">
        <v>331529</v>
      </c>
      <c r="F120" t="s">
        <v>760</v>
      </c>
      <c r="G120" t="s">
        <v>761</v>
      </c>
      <c r="H120" t="s">
        <v>79</v>
      </c>
      <c r="I120" t="s">
        <v>177</v>
      </c>
      <c r="J120" t="s">
        <v>178</v>
      </c>
      <c r="K120" t="s">
        <v>179</v>
      </c>
      <c r="L120" t="s">
        <v>5167</v>
      </c>
      <c r="M120" t="s">
        <v>5168</v>
      </c>
      <c r="N120" t="s">
        <v>5169</v>
      </c>
      <c r="O120" t="s">
        <v>5170</v>
      </c>
      <c r="P120">
        <v>0.15</v>
      </c>
      <c r="Q120" t="s">
        <v>29</v>
      </c>
      <c r="R120" t="s">
        <v>30</v>
      </c>
    </row>
    <row r="121" spans="1:18" x14ac:dyDescent="0.25">
      <c r="A121">
        <v>2022</v>
      </c>
      <c r="B121">
        <v>5448</v>
      </c>
      <c r="C121" t="s">
        <v>1109</v>
      </c>
      <c r="D121" t="s">
        <v>5361</v>
      </c>
      <c r="E121">
        <v>212232</v>
      </c>
      <c r="F121" t="s">
        <v>2003</v>
      </c>
      <c r="G121" t="s">
        <v>2004</v>
      </c>
      <c r="H121" t="s">
        <v>79</v>
      </c>
      <c r="I121" t="s">
        <v>500</v>
      </c>
      <c r="J121" t="s">
        <v>501</v>
      </c>
      <c r="K121" t="s">
        <v>502</v>
      </c>
      <c r="L121" t="s">
        <v>5183</v>
      </c>
      <c r="M121" t="s">
        <v>5184</v>
      </c>
      <c r="N121" t="s">
        <v>5185</v>
      </c>
      <c r="O121" t="s">
        <v>5186</v>
      </c>
      <c r="P121">
        <v>8044.7381100000002</v>
      </c>
      <c r="Q121" t="s">
        <v>40</v>
      </c>
      <c r="R121" t="s">
        <v>124</v>
      </c>
    </row>
    <row r="122" spans="1:18" x14ac:dyDescent="0.25">
      <c r="A122">
        <v>2019</v>
      </c>
      <c r="B122">
        <v>2607</v>
      </c>
      <c r="C122" t="s">
        <v>5362</v>
      </c>
      <c r="D122" t="s">
        <v>5363</v>
      </c>
      <c r="E122">
        <v>322112</v>
      </c>
      <c r="F122" t="s">
        <v>660</v>
      </c>
      <c r="G122" t="s">
        <v>621</v>
      </c>
      <c r="H122" t="s">
        <v>21</v>
      </c>
      <c r="I122" t="s">
        <v>136</v>
      </c>
      <c r="J122" t="s">
        <v>137</v>
      </c>
      <c r="K122" t="s">
        <v>138</v>
      </c>
      <c r="L122" t="s">
        <v>5167</v>
      </c>
      <c r="M122" t="s">
        <v>5168</v>
      </c>
      <c r="N122" t="s">
        <v>5223</v>
      </c>
      <c r="O122" t="s">
        <v>5224</v>
      </c>
      <c r="P122">
        <v>0</v>
      </c>
      <c r="Q122" t="s">
        <v>29</v>
      </c>
      <c r="R122" t="s">
        <v>30</v>
      </c>
    </row>
    <row r="123" spans="1:18" x14ac:dyDescent="0.25">
      <c r="A123">
        <v>2001</v>
      </c>
      <c r="B123">
        <v>5211</v>
      </c>
      <c r="C123" t="s">
        <v>947</v>
      </c>
      <c r="D123" t="s">
        <v>5364</v>
      </c>
      <c r="E123">
        <v>211113</v>
      </c>
      <c r="F123" t="s">
        <v>425</v>
      </c>
      <c r="G123" t="s">
        <v>426</v>
      </c>
      <c r="H123" t="s">
        <v>85</v>
      </c>
      <c r="I123" t="s">
        <v>491</v>
      </c>
      <c r="J123" t="s">
        <v>492</v>
      </c>
      <c r="K123" t="s">
        <v>492</v>
      </c>
      <c r="L123" t="s">
        <v>5167</v>
      </c>
      <c r="M123" t="s">
        <v>5168</v>
      </c>
      <c r="N123" t="s">
        <v>5169</v>
      </c>
      <c r="O123" t="s">
        <v>5170</v>
      </c>
      <c r="P123">
        <v>7.0000000000000007E-2</v>
      </c>
      <c r="Q123" t="s">
        <v>29</v>
      </c>
      <c r="R123" t="s">
        <v>30</v>
      </c>
    </row>
    <row r="124" spans="1:18" x14ac:dyDescent="0.25">
      <c r="A124">
        <v>2016</v>
      </c>
      <c r="B124">
        <v>22493</v>
      </c>
      <c r="C124" t="s">
        <v>5365</v>
      </c>
      <c r="D124" t="s">
        <v>5366</v>
      </c>
      <c r="E124">
        <v>211114</v>
      </c>
      <c r="F124" t="s">
        <v>956</v>
      </c>
      <c r="G124" t="s">
        <v>836</v>
      </c>
      <c r="H124" t="s">
        <v>85</v>
      </c>
      <c r="I124" t="s">
        <v>55</v>
      </c>
      <c r="J124" t="s">
        <v>56</v>
      </c>
      <c r="K124" t="s">
        <v>57</v>
      </c>
      <c r="L124" t="s">
        <v>5183</v>
      </c>
      <c r="M124" t="s">
        <v>5184</v>
      </c>
      <c r="N124" t="s">
        <v>5195</v>
      </c>
      <c r="O124" t="s">
        <v>5196</v>
      </c>
      <c r="P124">
        <v>16.913</v>
      </c>
      <c r="Q124" t="s">
        <v>29</v>
      </c>
      <c r="R124" t="s">
        <v>30</v>
      </c>
    </row>
    <row r="125" spans="1:18" x14ac:dyDescent="0.25">
      <c r="A125">
        <v>1996</v>
      </c>
      <c r="B125">
        <v>2360</v>
      </c>
      <c r="C125" t="s">
        <v>5367</v>
      </c>
      <c r="D125" t="s">
        <v>5368</v>
      </c>
      <c r="E125">
        <v>326290</v>
      </c>
      <c r="F125" t="s">
        <v>451</v>
      </c>
      <c r="G125" t="s">
        <v>452</v>
      </c>
      <c r="H125" t="s">
        <v>79</v>
      </c>
      <c r="I125" t="s">
        <v>152</v>
      </c>
      <c r="J125" t="s">
        <v>153</v>
      </c>
      <c r="K125" t="s">
        <v>154</v>
      </c>
      <c r="L125" t="s">
        <v>5167</v>
      </c>
      <c r="M125" t="s">
        <v>5168</v>
      </c>
      <c r="N125" t="s">
        <v>5169</v>
      </c>
      <c r="O125" t="s">
        <v>5170</v>
      </c>
      <c r="P125">
        <v>2.46</v>
      </c>
      <c r="Q125" t="s">
        <v>29</v>
      </c>
      <c r="R125" t="s">
        <v>30</v>
      </c>
    </row>
    <row r="126" spans="1:18" x14ac:dyDescent="0.25">
      <c r="A126">
        <v>2013</v>
      </c>
      <c r="B126">
        <v>21096</v>
      </c>
      <c r="C126" t="s">
        <v>1027</v>
      </c>
      <c r="D126" t="s">
        <v>2890</v>
      </c>
      <c r="E126">
        <v>211113</v>
      </c>
      <c r="F126" t="s">
        <v>786</v>
      </c>
      <c r="G126" t="s">
        <v>426</v>
      </c>
      <c r="H126" t="s">
        <v>85</v>
      </c>
      <c r="I126" t="s">
        <v>129</v>
      </c>
      <c r="J126" t="s">
        <v>130</v>
      </c>
      <c r="K126" t="s">
        <v>131</v>
      </c>
      <c r="L126" t="s">
        <v>5183</v>
      </c>
      <c r="M126" t="s">
        <v>5184</v>
      </c>
      <c r="N126" t="s">
        <v>5195</v>
      </c>
      <c r="O126" t="s">
        <v>5196</v>
      </c>
      <c r="P126">
        <v>4.2500000000000003E-2</v>
      </c>
      <c r="Q126" t="s">
        <v>29</v>
      </c>
      <c r="R126" t="s">
        <v>30</v>
      </c>
    </row>
    <row r="127" spans="1:18" x14ac:dyDescent="0.25">
      <c r="A127">
        <v>2017</v>
      </c>
      <c r="B127">
        <v>4063</v>
      </c>
      <c r="C127" t="s">
        <v>5369</v>
      </c>
      <c r="D127" t="s">
        <v>5370</v>
      </c>
      <c r="E127">
        <v>322112</v>
      </c>
      <c r="F127" t="s">
        <v>660</v>
      </c>
      <c r="G127" t="s">
        <v>621</v>
      </c>
      <c r="H127" t="s">
        <v>69</v>
      </c>
      <c r="I127" t="s">
        <v>244</v>
      </c>
      <c r="J127" t="s">
        <v>245</v>
      </c>
      <c r="K127" t="s">
        <v>246</v>
      </c>
      <c r="L127" t="s">
        <v>5183</v>
      </c>
      <c r="M127" t="s">
        <v>5184</v>
      </c>
      <c r="N127" t="s">
        <v>5169</v>
      </c>
      <c r="O127" t="s">
        <v>5170</v>
      </c>
      <c r="P127">
        <v>111.88</v>
      </c>
      <c r="Q127" t="s">
        <v>40</v>
      </c>
      <c r="R127" t="s">
        <v>430</v>
      </c>
    </row>
    <row r="128" spans="1:18" x14ac:dyDescent="0.25">
      <c r="A128">
        <v>2012</v>
      </c>
      <c r="B128">
        <v>2712</v>
      </c>
      <c r="C128" t="s">
        <v>5371</v>
      </c>
      <c r="D128" t="s">
        <v>5372</v>
      </c>
      <c r="E128">
        <v>324110</v>
      </c>
      <c r="F128" t="s">
        <v>196</v>
      </c>
      <c r="G128" t="s">
        <v>96</v>
      </c>
      <c r="H128" t="s">
        <v>243</v>
      </c>
      <c r="I128" t="s">
        <v>913</v>
      </c>
      <c r="J128" t="s">
        <v>914</v>
      </c>
      <c r="K128" t="s">
        <v>915</v>
      </c>
      <c r="L128" t="s">
        <v>5167</v>
      </c>
      <c r="M128" t="s">
        <v>5168</v>
      </c>
      <c r="N128" t="s">
        <v>5169</v>
      </c>
      <c r="O128" t="s">
        <v>5170</v>
      </c>
      <c r="P128">
        <v>10.71</v>
      </c>
      <c r="Q128" t="s">
        <v>29</v>
      </c>
      <c r="R128" t="s">
        <v>50</v>
      </c>
    </row>
    <row r="129" spans="1:18" x14ac:dyDescent="0.25">
      <c r="A129">
        <v>2001</v>
      </c>
      <c r="B129">
        <v>308</v>
      </c>
      <c r="C129" t="s">
        <v>5266</v>
      </c>
      <c r="E129">
        <v>325999</v>
      </c>
      <c r="F129" t="s">
        <v>396</v>
      </c>
      <c r="G129" t="s">
        <v>397</v>
      </c>
      <c r="H129" t="s">
        <v>79</v>
      </c>
      <c r="I129" t="s">
        <v>86</v>
      </c>
      <c r="J129" t="s">
        <v>87</v>
      </c>
      <c r="K129" t="s">
        <v>88</v>
      </c>
      <c r="L129" t="s">
        <v>5167</v>
      </c>
      <c r="M129" t="s">
        <v>5168</v>
      </c>
      <c r="N129" t="s">
        <v>5169</v>
      </c>
      <c r="O129" t="s">
        <v>5170</v>
      </c>
      <c r="P129">
        <v>0.29599999999999999</v>
      </c>
      <c r="Q129" t="s">
        <v>29</v>
      </c>
      <c r="R129" t="s">
        <v>50</v>
      </c>
    </row>
    <row r="130" spans="1:18" x14ac:dyDescent="0.25">
      <c r="A130">
        <v>2008</v>
      </c>
      <c r="B130">
        <v>2070</v>
      </c>
      <c r="C130" t="s">
        <v>5373</v>
      </c>
      <c r="D130" t="s">
        <v>5373</v>
      </c>
      <c r="E130">
        <v>325190</v>
      </c>
      <c r="F130" t="s">
        <v>832</v>
      </c>
      <c r="G130" t="s">
        <v>601</v>
      </c>
      <c r="H130" t="s">
        <v>21</v>
      </c>
      <c r="I130" t="s">
        <v>1251</v>
      </c>
      <c r="J130" t="s">
        <v>1252</v>
      </c>
      <c r="K130" t="s">
        <v>1253</v>
      </c>
      <c r="L130" t="s">
        <v>5167</v>
      </c>
      <c r="M130" t="s">
        <v>5168</v>
      </c>
      <c r="N130" t="s">
        <v>5169</v>
      </c>
      <c r="O130" t="s">
        <v>5170</v>
      </c>
      <c r="P130">
        <v>3229.3</v>
      </c>
      <c r="Q130" t="s">
        <v>40</v>
      </c>
      <c r="R130" t="s">
        <v>30</v>
      </c>
    </row>
    <row r="131" spans="1:18" x14ac:dyDescent="0.25">
      <c r="A131">
        <v>2022</v>
      </c>
      <c r="B131">
        <v>26132</v>
      </c>
      <c r="C131" t="s">
        <v>1741</v>
      </c>
      <c r="D131" t="s">
        <v>5374</v>
      </c>
      <c r="E131">
        <v>212220</v>
      </c>
      <c r="F131" t="s">
        <v>1619</v>
      </c>
      <c r="G131" t="s">
        <v>1620</v>
      </c>
      <c r="H131" t="s">
        <v>21</v>
      </c>
      <c r="I131" t="s">
        <v>152</v>
      </c>
      <c r="J131" t="s">
        <v>153</v>
      </c>
      <c r="K131" t="s">
        <v>154</v>
      </c>
      <c r="L131" t="s">
        <v>5183</v>
      </c>
      <c r="M131" t="s">
        <v>5184</v>
      </c>
      <c r="N131" t="s">
        <v>5260</v>
      </c>
      <c r="O131" t="s">
        <v>5261</v>
      </c>
      <c r="P131">
        <v>0</v>
      </c>
      <c r="Q131" t="s">
        <v>29</v>
      </c>
      <c r="R131" t="s">
        <v>124</v>
      </c>
    </row>
    <row r="132" spans="1:18" x14ac:dyDescent="0.25">
      <c r="A132">
        <v>2021</v>
      </c>
      <c r="B132">
        <v>25284</v>
      </c>
      <c r="C132" t="s">
        <v>1614</v>
      </c>
      <c r="D132" t="s">
        <v>5375</v>
      </c>
      <c r="E132">
        <v>211110</v>
      </c>
      <c r="F132" t="s">
        <v>233</v>
      </c>
      <c r="G132" t="s">
        <v>234</v>
      </c>
      <c r="H132" t="s">
        <v>85</v>
      </c>
      <c r="I132" t="s">
        <v>70</v>
      </c>
      <c r="J132" t="s">
        <v>71</v>
      </c>
      <c r="K132" t="s">
        <v>72</v>
      </c>
      <c r="L132" t="s">
        <v>5167</v>
      </c>
      <c r="M132" t="s">
        <v>5168</v>
      </c>
      <c r="N132" t="s">
        <v>5169</v>
      </c>
      <c r="O132" t="s">
        <v>5170</v>
      </c>
      <c r="P132">
        <v>10.843299999999999</v>
      </c>
      <c r="Q132" t="s">
        <v>29</v>
      </c>
      <c r="R132" t="s">
        <v>30</v>
      </c>
    </row>
    <row r="133" spans="1:18" x14ac:dyDescent="0.25">
      <c r="A133">
        <v>2013</v>
      </c>
      <c r="B133">
        <v>1928</v>
      </c>
      <c r="C133" t="s">
        <v>65</v>
      </c>
      <c r="D133" t="s">
        <v>5376</v>
      </c>
      <c r="E133">
        <v>562210</v>
      </c>
      <c r="F133" t="s">
        <v>84</v>
      </c>
      <c r="G133" t="s">
        <v>53</v>
      </c>
      <c r="H133" t="s">
        <v>21</v>
      </c>
      <c r="I133" t="s">
        <v>209</v>
      </c>
      <c r="J133" t="s">
        <v>210</v>
      </c>
      <c r="K133" t="s">
        <v>211</v>
      </c>
      <c r="L133" t="s">
        <v>5167</v>
      </c>
      <c r="M133" t="s">
        <v>5168</v>
      </c>
      <c r="N133" t="s">
        <v>5169</v>
      </c>
      <c r="O133" t="s">
        <v>5170</v>
      </c>
      <c r="P133">
        <v>16.364999999999998</v>
      </c>
      <c r="Q133" t="s">
        <v>29</v>
      </c>
      <c r="R133" t="s">
        <v>124</v>
      </c>
    </row>
    <row r="134" spans="1:18" x14ac:dyDescent="0.25">
      <c r="A134">
        <v>2003</v>
      </c>
      <c r="B134">
        <v>1861</v>
      </c>
      <c r="C134" t="s">
        <v>909</v>
      </c>
      <c r="D134" t="s">
        <v>825</v>
      </c>
      <c r="E134">
        <v>221112</v>
      </c>
      <c r="F134" t="s">
        <v>134</v>
      </c>
      <c r="G134" t="s">
        <v>135</v>
      </c>
      <c r="H134" t="s">
        <v>21</v>
      </c>
      <c r="I134" t="s">
        <v>847</v>
      </c>
      <c r="J134" t="s">
        <v>848</v>
      </c>
      <c r="K134" t="s">
        <v>849</v>
      </c>
      <c r="L134" t="s">
        <v>5183</v>
      </c>
      <c r="M134" t="s">
        <v>5184</v>
      </c>
      <c r="N134" t="s">
        <v>5169</v>
      </c>
      <c r="O134" t="s">
        <v>5170</v>
      </c>
      <c r="P134">
        <v>7</v>
      </c>
      <c r="Q134" t="s">
        <v>40</v>
      </c>
      <c r="R134" t="s">
        <v>50</v>
      </c>
    </row>
    <row r="135" spans="1:18" x14ac:dyDescent="0.25">
      <c r="A135">
        <v>2000</v>
      </c>
      <c r="B135">
        <v>2088</v>
      </c>
      <c r="C135" t="s">
        <v>5377</v>
      </c>
      <c r="E135">
        <v>335315</v>
      </c>
      <c r="F135" t="s">
        <v>5378</v>
      </c>
      <c r="G135" t="s">
        <v>1034</v>
      </c>
      <c r="H135" t="s">
        <v>21</v>
      </c>
      <c r="I135" t="s">
        <v>177</v>
      </c>
      <c r="J135" t="s">
        <v>178</v>
      </c>
      <c r="K135" t="s">
        <v>179</v>
      </c>
      <c r="L135" t="s">
        <v>5167</v>
      </c>
      <c r="M135" t="s">
        <v>5168</v>
      </c>
      <c r="N135" t="s">
        <v>5169</v>
      </c>
      <c r="O135" t="s">
        <v>5170</v>
      </c>
      <c r="P135">
        <v>7.0000000000000001E-3</v>
      </c>
      <c r="Q135" t="s">
        <v>29</v>
      </c>
      <c r="R135" t="s">
        <v>50</v>
      </c>
    </row>
    <row r="136" spans="1:18" x14ac:dyDescent="0.25">
      <c r="A136">
        <v>2002</v>
      </c>
      <c r="B136">
        <v>3161</v>
      </c>
      <c r="C136" t="s">
        <v>5288</v>
      </c>
      <c r="D136" t="s">
        <v>5379</v>
      </c>
      <c r="E136">
        <v>221113</v>
      </c>
      <c r="F136" t="s">
        <v>911</v>
      </c>
      <c r="G136" t="s">
        <v>912</v>
      </c>
      <c r="H136" t="s">
        <v>21</v>
      </c>
      <c r="I136" t="s">
        <v>106</v>
      </c>
      <c r="J136" t="s">
        <v>107</v>
      </c>
      <c r="K136" t="s">
        <v>108</v>
      </c>
      <c r="L136" t="s">
        <v>5167</v>
      </c>
      <c r="M136" t="s">
        <v>5168</v>
      </c>
      <c r="N136" t="s">
        <v>5223</v>
      </c>
      <c r="O136" t="s">
        <v>5224</v>
      </c>
      <c r="P136">
        <v>3.5999999999999997E-2</v>
      </c>
      <c r="Q136" t="s">
        <v>40</v>
      </c>
      <c r="R136" t="s">
        <v>30</v>
      </c>
    </row>
    <row r="137" spans="1:18" x14ac:dyDescent="0.25">
      <c r="A137">
        <v>2016</v>
      </c>
      <c r="B137">
        <v>22103</v>
      </c>
      <c r="C137" t="s">
        <v>5193</v>
      </c>
      <c r="D137" t="s">
        <v>5380</v>
      </c>
      <c r="E137">
        <v>213118</v>
      </c>
      <c r="F137" t="s">
        <v>5179</v>
      </c>
      <c r="G137" t="s">
        <v>1337</v>
      </c>
      <c r="H137" t="s">
        <v>85</v>
      </c>
      <c r="I137" t="s">
        <v>271</v>
      </c>
      <c r="J137" t="s">
        <v>272</v>
      </c>
      <c r="K137" t="s">
        <v>273</v>
      </c>
      <c r="L137" t="s">
        <v>5167</v>
      </c>
      <c r="M137" t="s">
        <v>5168</v>
      </c>
      <c r="N137" t="s">
        <v>5169</v>
      </c>
      <c r="O137" t="s">
        <v>5170</v>
      </c>
      <c r="P137">
        <v>2.06</v>
      </c>
      <c r="Q137" t="s">
        <v>29</v>
      </c>
      <c r="R137" t="s">
        <v>30</v>
      </c>
    </row>
    <row r="138" spans="1:18" x14ac:dyDescent="0.25">
      <c r="A138">
        <v>2015</v>
      </c>
      <c r="B138">
        <v>23575</v>
      </c>
      <c r="C138" t="s">
        <v>1649</v>
      </c>
      <c r="D138" t="s">
        <v>5381</v>
      </c>
      <c r="E138">
        <v>211113</v>
      </c>
      <c r="F138" t="s">
        <v>786</v>
      </c>
      <c r="G138" t="s">
        <v>426</v>
      </c>
      <c r="H138" t="s">
        <v>85</v>
      </c>
      <c r="I138" t="s">
        <v>70</v>
      </c>
      <c r="J138" t="s">
        <v>71</v>
      </c>
      <c r="K138" t="s">
        <v>72</v>
      </c>
      <c r="L138" t="s">
        <v>5167</v>
      </c>
      <c r="M138" t="s">
        <v>5168</v>
      </c>
      <c r="N138" t="s">
        <v>5169</v>
      </c>
      <c r="O138" t="s">
        <v>5170</v>
      </c>
      <c r="P138">
        <v>3.1259999999999999</v>
      </c>
      <c r="Q138" t="s">
        <v>29</v>
      </c>
      <c r="R138" t="s">
        <v>30</v>
      </c>
    </row>
    <row r="139" spans="1:18" x14ac:dyDescent="0.25">
      <c r="A139">
        <v>1993</v>
      </c>
      <c r="B139">
        <v>520</v>
      </c>
      <c r="C139" t="s">
        <v>5382</v>
      </c>
      <c r="D139" t="s">
        <v>5383</v>
      </c>
      <c r="E139">
        <v>327214</v>
      </c>
      <c r="F139" t="s">
        <v>5384</v>
      </c>
      <c r="G139" t="s">
        <v>2213</v>
      </c>
      <c r="H139" t="s">
        <v>661</v>
      </c>
      <c r="I139" t="s">
        <v>209</v>
      </c>
      <c r="J139" t="s">
        <v>210</v>
      </c>
      <c r="K139" t="s">
        <v>211</v>
      </c>
      <c r="L139" t="s">
        <v>5167</v>
      </c>
      <c r="M139" t="s">
        <v>5168</v>
      </c>
      <c r="N139" t="s">
        <v>5169</v>
      </c>
      <c r="O139" t="s">
        <v>5170</v>
      </c>
      <c r="P139">
        <v>0.54500000000000004</v>
      </c>
      <c r="Q139" t="s">
        <v>29</v>
      </c>
    </row>
    <row r="140" spans="1:18" x14ac:dyDescent="0.25">
      <c r="A140">
        <v>2015</v>
      </c>
      <c r="B140">
        <v>3935</v>
      </c>
      <c r="C140" t="s">
        <v>1043</v>
      </c>
      <c r="D140" t="s">
        <v>5385</v>
      </c>
      <c r="E140">
        <v>211113</v>
      </c>
      <c r="F140" t="s">
        <v>786</v>
      </c>
      <c r="G140" t="s">
        <v>426</v>
      </c>
      <c r="H140" t="s">
        <v>69</v>
      </c>
      <c r="I140" t="s">
        <v>55</v>
      </c>
      <c r="J140" t="s">
        <v>56</v>
      </c>
      <c r="K140" t="s">
        <v>57</v>
      </c>
      <c r="L140" t="s">
        <v>5183</v>
      </c>
      <c r="M140" t="s">
        <v>5184</v>
      </c>
      <c r="N140" t="s">
        <v>5195</v>
      </c>
      <c r="O140" t="s">
        <v>5196</v>
      </c>
      <c r="P140">
        <v>43.469099999999997</v>
      </c>
      <c r="Q140" t="s">
        <v>29</v>
      </c>
      <c r="R140" t="s">
        <v>30</v>
      </c>
    </row>
    <row r="141" spans="1:18" x14ac:dyDescent="0.25">
      <c r="A141">
        <v>2021</v>
      </c>
      <c r="B141">
        <v>16103</v>
      </c>
      <c r="C141" t="s">
        <v>4250</v>
      </c>
      <c r="D141" t="s">
        <v>5194</v>
      </c>
      <c r="E141">
        <v>562210</v>
      </c>
      <c r="F141" t="s">
        <v>84</v>
      </c>
      <c r="G141" t="s">
        <v>53</v>
      </c>
      <c r="H141" t="s">
        <v>85</v>
      </c>
      <c r="I141" t="s">
        <v>427</v>
      </c>
      <c r="J141" t="s">
        <v>428</v>
      </c>
      <c r="K141" t="s">
        <v>429</v>
      </c>
      <c r="L141" t="s">
        <v>5183</v>
      </c>
      <c r="M141" t="s">
        <v>5184</v>
      </c>
      <c r="N141" t="s">
        <v>5195</v>
      </c>
      <c r="O141" t="s">
        <v>5196</v>
      </c>
      <c r="P141">
        <v>566.65315099999998</v>
      </c>
      <c r="Q141" t="s">
        <v>29</v>
      </c>
      <c r="R141" t="s">
        <v>50</v>
      </c>
    </row>
    <row r="142" spans="1:18" x14ac:dyDescent="0.25">
      <c r="A142">
        <v>2010</v>
      </c>
      <c r="B142">
        <v>5351</v>
      </c>
      <c r="C142" t="s">
        <v>5177</v>
      </c>
      <c r="D142" t="s">
        <v>1335</v>
      </c>
      <c r="E142">
        <v>213118</v>
      </c>
      <c r="F142" t="s">
        <v>1336</v>
      </c>
      <c r="G142" t="s">
        <v>1337</v>
      </c>
      <c r="H142" t="s">
        <v>85</v>
      </c>
      <c r="I142" t="s">
        <v>70</v>
      </c>
      <c r="J142" t="s">
        <v>71</v>
      </c>
      <c r="K142" t="s">
        <v>72</v>
      </c>
      <c r="L142" t="s">
        <v>5167</v>
      </c>
      <c r="M142" t="s">
        <v>5168</v>
      </c>
      <c r="N142" t="s">
        <v>5195</v>
      </c>
      <c r="O142" t="s">
        <v>5196</v>
      </c>
      <c r="P142">
        <v>2.1999999999999999E-2</v>
      </c>
      <c r="Q142" t="s">
        <v>29</v>
      </c>
      <c r="R142" t="s">
        <v>30</v>
      </c>
    </row>
    <row r="143" spans="1:18" x14ac:dyDescent="0.25">
      <c r="A143">
        <v>2022</v>
      </c>
      <c r="B143">
        <v>930</v>
      </c>
      <c r="C143" t="s">
        <v>1621</v>
      </c>
      <c r="D143" t="s">
        <v>5386</v>
      </c>
      <c r="E143">
        <v>322112</v>
      </c>
      <c r="F143" t="s">
        <v>660</v>
      </c>
      <c r="G143" t="s">
        <v>621</v>
      </c>
      <c r="H143" t="s">
        <v>21</v>
      </c>
      <c r="I143" t="s">
        <v>500</v>
      </c>
      <c r="J143" t="s">
        <v>501</v>
      </c>
      <c r="K143" t="s">
        <v>502</v>
      </c>
      <c r="L143" t="s">
        <v>5167</v>
      </c>
      <c r="M143" t="s">
        <v>5168</v>
      </c>
      <c r="N143" t="s">
        <v>5169</v>
      </c>
      <c r="O143" t="s">
        <v>5170</v>
      </c>
      <c r="P143">
        <v>13.503</v>
      </c>
      <c r="Q143" t="s">
        <v>40</v>
      </c>
      <c r="R143" t="s">
        <v>157</v>
      </c>
    </row>
    <row r="144" spans="1:18" x14ac:dyDescent="0.25">
      <c r="A144">
        <v>2016</v>
      </c>
      <c r="B144">
        <v>1338</v>
      </c>
      <c r="C144" t="s">
        <v>212</v>
      </c>
      <c r="D144" t="s">
        <v>597</v>
      </c>
      <c r="E144">
        <v>221320</v>
      </c>
      <c r="F144" t="s">
        <v>146</v>
      </c>
      <c r="G144" t="s">
        <v>147</v>
      </c>
      <c r="H144" t="s">
        <v>69</v>
      </c>
      <c r="I144" t="s">
        <v>97</v>
      </c>
      <c r="J144" t="s">
        <v>98</v>
      </c>
      <c r="K144" t="s">
        <v>99</v>
      </c>
      <c r="L144" t="s">
        <v>5167</v>
      </c>
      <c r="M144" t="s">
        <v>5168</v>
      </c>
      <c r="N144" t="s">
        <v>5169</v>
      </c>
      <c r="O144" t="s">
        <v>5170</v>
      </c>
      <c r="P144">
        <v>73.787199999999999</v>
      </c>
      <c r="Q144" t="s">
        <v>29</v>
      </c>
      <c r="R144" t="s">
        <v>124</v>
      </c>
    </row>
    <row r="145" spans="1:18" x14ac:dyDescent="0.25">
      <c r="A145">
        <v>2018</v>
      </c>
      <c r="B145">
        <v>3992</v>
      </c>
      <c r="C145" t="s">
        <v>1015</v>
      </c>
      <c r="D145" t="s">
        <v>5387</v>
      </c>
      <c r="E145">
        <v>221112</v>
      </c>
      <c r="F145" t="s">
        <v>499</v>
      </c>
      <c r="G145" t="s">
        <v>135</v>
      </c>
      <c r="H145" t="s">
        <v>483</v>
      </c>
      <c r="I145" t="s">
        <v>244</v>
      </c>
      <c r="J145" t="s">
        <v>245</v>
      </c>
      <c r="K145" t="s">
        <v>246</v>
      </c>
      <c r="L145" t="s">
        <v>5183</v>
      </c>
      <c r="M145" t="s">
        <v>5184</v>
      </c>
      <c r="N145" t="s">
        <v>5169</v>
      </c>
      <c r="O145" t="s">
        <v>5170</v>
      </c>
      <c r="P145">
        <v>6281.9</v>
      </c>
      <c r="Q145" t="s">
        <v>40</v>
      </c>
      <c r="R145" t="s">
        <v>30</v>
      </c>
    </row>
    <row r="146" spans="1:18" x14ac:dyDescent="0.25">
      <c r="A146">
        <v>2021</v>
      </c>
      <c r="B146">
        <v>6831</v>
      </c>
      <c r="C146" t="s">
        <v>1115</v>
      </c>
      <c r="D146" t="s">
        <v>5388</v>
      </c>
      <c r="E146">
        <v>418390</v>
      </c>
      <c r="F146" t="s">
        <v>1802</v>
      </c>
      <c r="G146" t="s">
        <v>1803</v>
      </c>
      <c r="H146" t="s">
        <v>243</v>
      </c>
      <c r="I146" t="s">
        <v>504</v>
      </c>
      <c r="J146" t="s">
        <v>505</v>
      </c>
      <c r="K146" t="s">
        <v>506</v>
      </c>
      <c r="L146" t="s">
        <v>5167</v>
      </c>
      <c r="M146" t="s">
        <v>5168</v>
      </c>
      <c r="N146" t="s">
        <v>5195</v>
      </c>
      <c r="O146" t="s">
        <v>5196</v>
      </c>
      <c r="P146">
        <v>287.01</v>
      </c>
      <c r="Q146" t="s">
        <v>29</v>
      </c>
      <c r="R146" t="s">
        <v>124</v>
      </c>
    </row>
    <row r="147" spans="1:18" x14ac:dyDescent="0.25">
      <c r="A147">
        <v>2001</v>
      </c>
      <c r="B147">
        <v>5907</v>
      </c>
      <c r="C147" t="s">
        <v>5389</v>
      </c>
      <c r="E147">
        <v>211114</v>
      </c>
      <c r="F147" t="s">
        <v>835</v>
      </c>
      <c r="G147" t="s">
        <v>836</v>
      </c>
      <c r="H147" t="s">
        <v>21</v>
      </c>
      <c r="I147" t="s">
        <v>844</v>
      </c>
      <c r="J147" t="s">
        <v>845</v>
      </c>
      <c r="K147" t="s">
        <v>846</v>
      </c>
      <c r="L147" t="s">
        <v>5167</v>
      </c>
      <c r="M147" t="s">
        <v>5168</v>
      </c>
      <c r="N147" t="s">
        <v>5169</v>
      </c>
      <c r="O147" t="s">
        <v>5170</v>
      </c>
      <c r="P147">
        <v>1E-3</v>
      </c>
      <c r="Q147" t="s">
        <v>29</v>
      </c>
      <c r="R147" t="s">
        <v>50</v>
      </c>
    </row>
    <row r="148" spans="1:18" x14ac:dyDescent="0.25">
      <c r="A148">
        <v>1999</v>
      </c>
      <c r="B148">
        <v>5130</v>
      </c>
      <c r="C148" t="s">
        <v>5390</v>
      </c>
      <c r="E148">
        <v>321999</v>
      </c>
      <c r="F148" t="s">
        <v>5391</v>
      </c>
      <c r="G148" t="s">
        <v>297</v>
      </c>
      <c r="H148" t="s">
        <v>69</v>
      </c>
      <c r="I148" t="s">
        <v>209</v>
      </c>
      <c r="J148" t="s">
        <v>210</v>
      </c>
      <c r="K148" t="s">
        <v>211</v>
      </c>
      <c r="L148" t="s">
        <v>5167</v>
      </c>
      <c r="M148" t="s">
        <v>5168</v>
      </c>
      <c r="N148" t="s">
        <v>5169</v>
      </c>
      <c r="O148" t="s">
        <v>5170</v>
      </c>
      <c r="P148">
        <v>4.53</v>
      </c>
      <c r="Q148" t="s">
        <v>29</v>
      </c>
      <c r="R148" t="s">
        <v>442</v>
      </c>
    </row>
    <row r="149" spans="1:18" x14ac:dyDescent="0.25">
      <c r="A149">
        <v>2005</v>
      </c>
      <c r="B149">
        <v>5188</v>
      </c>
      <c r="C149" t="s">
        <v>5392</v>
      </c>
      <c r="D149" t="s">
        <v>5393</v>
      </c>
      <c r="E149">
        <v>321111</v>
      </c>
      <c r="F149" t="s">
        <v>1474</v>
      </c>
      <c r="G149" t="s">
        <v>1368</v>
      </c>
      <c r="H149" t="s">
        <v>69</v>
      </c>
      <c r="I149" t="s">
        <v>324</v>
      </c>
      <c r="J149" t="s">
        <v>325</v>
      </c>
      <c r="K149" t="s">
        <v>326</v>
      </c>
      <c r="L149" t="s">
        <v>5183</v>
      </c>
      <c r="M149" t="s">
        <v>5184</v>
      </c>
      <c r="N149" t="s">
        <v>5169</v>
      </c>
      <c r="O149" t="s">
        <v>5170</v>
      </c>
      <c r="P149">
        <v>31.099</v>
      </c>
      <c r="Q149" t="s">
        <v>40</v>
      </c>
      <c r="R149" t="s">
        <v>430</v>
      </c>
    </row>
    <row r="150" spans="1:18" x14ac:dyDescent="0.25">
      <c r="A150">
        <v>1998</v>
      </c>
      <c r="B150">
        <v>4906</v>
      </c>
      <c r="C150" t="s">
        <v>5394</v>
      </c>
      <c r="D150" t="s">
        <v>3137</v>
      </c>
      <c r="E150">
        <v>324190</v>
      </c>
      <c r="F150" t="s">
        <v>702</v>
      </c>
      <c r="G150" t="s">
        <v>667</v>
      </c>
      <c r="H150" t="s">
        <v>85</v>
      </c>
      <c r="I150" t="s">
        <v>682</v>
      </c>
      <c r="J150" t="s">
        <v>683</v>
      </c>
      <c r="K150" t="s">
        <v>684</v>
      </c>
      <c r="L150" t="s">
        <v>5167</v>
      </c>
      <c r="M150" t="s">
        <v>5168</v>
      </c>
      <c r="N150" t="s">
        <v>5169</v>
      </c>
      <c r="O150" t="s">
        <v>5170</v>
      </c>
      <c r="P150">
        <v>4.0000000000000001E-3</v>
      </c>
      <c r="Q150" t="s">
        <v>29</v>
      </c>
      <c r="R150" t="s">
        <v>442</v>
      </c>
    </row>
    <row r="151" spans="1:18" x14ac:dyDescent="0.25">
      <c r="A151">
        <v>2014</v>
      </c>
      <c r="B151">
        <v>23560</v>
      </c>
      <c r="C151" t="s">
        <v>5395</v>
      </c>
      <c r="D151" t="s">
        <v>5395</v>
      </c>
      <c r="E151">
        <v>212114</v>
      </c>
      <c r="F151" t="s">
        <v>2059</v>
      </c>
      <c r="G151" t="s">
        <v>2060</v>
      </c>
      <c r="H151" t="s">
        <v>85</v>
      </c>
      <c r="I151" t="s">
        <v>97</v>
      </c>
      <c r="J151" t="s">
        <v>98</v>
      </c>
      <c r="K151" t="s">
        <v>99</v>
      </c>
      <c r="L151" t="s">
        <v>5183</v>
      </c>
      <c r="M151" t="s">
        <v>5184</v>
      </c>
      <c r="N151" t="s">
        <v>5169</v>
      </c>
      <c r="O151" t="s">
        <v>5170</v>
      </c>
      <c r="P151">
        <v>1.2E-2</v>
      </c>
      <c r="Q151" t="s">
        <v>29</v>
      </c>
      <c r="R151" t="s">
        <v>157</v>
      </c>
    </row>
    <row r="152" spans="1:18" x14ac:dyDescent="0.25">
      <c r="A152">
        <v>2009</v>
      </c>
      <c r="B152">
        <v>11392</v>
      </c>
      <c r="C152" t="s">
        <v>5396</v>
      </c>
      <c r="D152" t="s">
        <v>5397</v>
      </c>
      <c r="E152">
        <v>336390</v>
      </c>
      <c r="F152" t="s">
        <v>60</v>
      </c>
      <c r="G152" t="s">
        <v>61</v>
      </c>
      <c r="H152" t="s">
        <v>21</v>
      </c>
      <c r="I152" t="s">
        <v>5398</v>
      </c>
      <c r="J152" t="s">
        <v>5399</v>
      </c>
      <c r="K152" t="s">
        <v>5400</v>
      </c>
      <c r="L152" t="s">
        <v>5167</v>
      </c>
      <c r="M152" t="s">
        <v>5168</v>
      </c>
      <c r="N152" t="s">
        <v>5169</v>
      </c>
      <c r="O152" t="s">
        <v>5170</v>
      </c>
      <c r="P152">
        <v>1.7000000000000001E-2</v>
      </c>
      <c r="Q152" t="s">
        <v>29</v>
      </c>
      <c r="R152" t="s">
        <v>30</v>
      </c>
    </row>
    <row r="153" spans="1:18" x14ac:dyDescent="0.25">
      <c r="A153">
        <v>1994</v>
      </c>
      <c r="B153">
        <v>3895</v>
      </c>
      <c r="C153" t="s">
        <v>5401</v>
      </c>
      <c r="D153" t="s">
        <v>5402</v>
      </c>
      <c r="E153">
        <v>336110</v>
      </c>
      <c r="F153" t="s">
        <v>377</v>
      </c>
      <c r="G153" t="s">
        <v>44</v>
      </c>
      <c r="H153" t="s">
        <v>79</v>
      </c>
      <c r="I153" t="s">
        <v>520</v>
      </c>
      <c r="J153" t="s">
        <v>521</v>
      </c>
      <c r="K153" t="s">
        <v>522</v>
      </c>
      <c r="L153" t="s">
        <v>5167</v>
      </c>
      <c r="M153" t="s">
        <v>5168</v>
      </c>
      <c r="N153" t="s">
        <v>5223</v>
      </c>
      <c r="O153" t="s">
        <v>5224</v>
      </c>
      <c r="P153">
        <v>0.60111400000000004</v>
      </c>
      <c r="Q153" t="s">
        <v>29</v>
      </c>
      <c r="R153" t="s">
        <v>30</v>
      </c>
    </row>
    <row r="154" spans="1:18" x14ac:dyDescent="0.25">
      <c r="A154">
        <v>2001</v>
      </c>
      <c r="B154">
        <v>928</v>
      </c>
      <c r="C154" t="s">
        <v>2155</v>
      </c>
      <c r="D154" t="s">
        <v>5403</v>
      </c>
      <c r="E154">
        <v>322112</v>
      </c>
      <c r="F154" t="s">
        <v>620</v>
      </c>
      <c r="G154" t="s">
        <v>621</v>
      </c>
      <c r="H154" t="s">
        <v>21</v>
      </c>
      <c r="I154" t="s">
        <v>847</v>
      </c>
      <c r="J154" t="s">
        <v>848</v>
      </c>
      <c r="K154" t="s">
        <v>849</v>
      </c>
      <c r="L154" t="s">
        <v>5183</v>
      </c>
      <c r="M154" t="s">
        <v>5184</v>
      </c>
      <c r="N154" t="s">
        <v>5169</v>
      </c>
      <c r="O154" t="s">
        <v>5170</v>
      </c>
      <c r="P154">
        <v>0.14699999999999999</v>
      </c>
      <c r="Q154" t="s">
        <v>40</v>
      </c>
      <c r="R154" t="s">
        <v>204</v>
      </c>
    </row>
    <row r="155" spans="1:18" x14ac:dyDescent="0.25">
      <c r="A155">
        <v>1998</v>
      </c>
      <c r="B155">
        <v>3032</v>
      </c>
      <c r="C155" t="s">
        <v>5404</v>
      </c>
      <c r="E155">
        <v>331221</v>
      </c>
      <c r="F155" t="s">
        <v>418</v>
      </c>
      <c r="G155" t="s">
        <v>419</v>
      </c>
      <c r="H155" t="s">
        <v>21</v>
      </c>
      <c r="I155" t="s">
        <v>86</v>
      </c>
      <c r="J155" t="s">
        <v>87</v>
      </c>
      <c r="K155" t="s">
        <v>88</v>
      </c>
      <c r="L155" t="s">
        <v>5167</v>
      </c>
      <c r="M155" t="s">
        <v>5168</v>
      </c>
      <c r="N155" t="s">
        <v>5169</v>
      </c>
      <c r="O155" t="s">
        <v>5170</v>
      </c>
      <c r="P155">
        <v>0</v>
      </c>
      <c r="Q155" t="s">
        <v>29</v>
      </c>
      <c r="R155" t="s">
        <v>50</v>
      </c>
    </row>
    <row r="156" spans="1:18" x14ac:dyDescent="0.25">
      <c r="A156">
        <v>2022</v>
      </c>
      <c r="B156">
        <v>2372</v>
      </c>
      <c r="C156" t="s">
        <v>5405</v>
      </c>
      <c r="D156" t="s">
        <v>5405</v>
      </c>
      <c r="E156">
        <v>212233</v>
      </c>
      <c r="F156" t="s">
        <v>1111</v>
      </c>
      <c r="G156" t="s">
        <v>441</v>
      </c>
      <c r="H156" t="s">
        <v>69</v>
      </c>
      <c r="I156" t="s">
        <v>106</v>
      </c>
      <c r="J156" t="s">
        <v>107</v>
      </c>
      <c r="K156" t="s">
        <v>108</v>
      </c>
      <c r="L156" t="s">
        <v>5183</v>
      </c>
      <c r="M156" t="s">
        <v>5184</v>
      </c>
      <c r="N156" t="s">
        <v>5185</v>
      </c>
      <c r="O156" t="s">
        <v>5186</v>
      </c>
      <c r="P156">
        <v>91.377399999999994</v>
      </c>
      <c r="Q156" t="s">
        <v>40</v>
      </c>
      <c r="R156" t="s">
        <v>124</v>
      </c>
    </row>
    <row r="157" spans="1:18" x14ac:dyDescent="0.25">
      <c r="A157">
        <v>2023</v>
      </c>
      <c r="B157">
        <v>11879</v>
      </c>
      <c r="C157" t="s">
        <v>5406</v>
      </c>
      <c r="D157" t="s">
        <v>5407</v>
      </c>
      <c r="E157">
        <v>562210</v>
      </c>
      <c r="F157" t="s">
        <v>84</v>
      </c>
      <c r="G157" t="s">
        <v>53</v>
      </c>
      <c r="H157" t="s">
        <v>21</v>
      </c>
      <c r="I157" t="s">
        <v>913</v>
      </c>
      <c r="J157" t="s">
        <v>914</v>
      </c>
      <c r="K157" t="s">
        <v>915</v>
      </c>
      <c r="L157" t="s">
        <v>5183</v>
      </c>
      <c r="M157" t="s">
        <v>5184</v>
      </c>
      <c r="N157" t="s">
        <v>5169</v>
      </c>
      <c r="O157" t="s">
        <v>5170</v>
      </c>
      <c r="P157">
        <v>327.8</v>
      </c>
      <c r="Q157" t="s">
        <v>29</v>
      </c>
      <c r="R157" t="s">
        <v>50</v>
      </c>
    </row>
    <row r="158" spans="1:18" x14ac:dyDescent="0.25">
      <c r="A158">
        <v>2020</v>
      </c>
      <c r="B158">
        <v>3571</v>
      </c>
      <c r="C158" t="s">
        <v>5312</v>
      </c>
      <c r="D158" t="s">
        <v>5313</v>
      </c>
      <c r="E158">
        <v>221320</v>
      </c>
      <c r="F158" t="s">
        <v>146</v>
      </c>
      <c r="G158" t="s">
        <v>147</v>
      </c>
      <c r="H158" t="s">
        <v>79</v>
      </c>
      <c r="I158" t="s">
        <v>35</v>
      </c>
      <c r="J158" t="s">
        <v>36</v>
      </c>
      <c r="K158" t="s">
        <v>37</v>
      </c>
      <c r="L158" t="s">
        <v>5167</v>
      </c>
      <c r="M158" t="s">
        <v>5168</v>
      </c>
      <c r="N158" t="s">
        <v>5175</v>
      </c>
      <c r="O158" t="s">
        <v>5176</v>
      </c>
      <c r="P158">
        <v>452.87</v>
      </c>
      <c r="Q158" t="s">
        <v>40</v>
      </c>
      <c r="R158" t="s">
        <v>124</v>
      </c>
    </row>
    <row r="159" spans="1:18" x14ac:dyDescent="0.25">
      <c r="A159">
        <v>2001</v>
      </c>
      <c r="B159">
        <v>3941</v>
      </c>
      <c r="C159" t="s">
        <v>5408</v>
      </c>
      <c r="D159" t="s">
        <v>5217</v>
      </c>
      <c r="E159">
        <v>211113</v>
      </c>
      <c r="F159" t="s">
        <v>425</v>
      </c>
      <c r="G159" t="s">
        <v>426</v>
      </c>
      <c r="H159" t="s">
        <v>85</v>
      </c>
      <c r="I159" t="s">
        <v>491</v>
      </c>
      <c r="J159" t="s">
        <v>492</v>
      </c>
      <c r="K159" t="s">
        <v>492</v>
      </c>
      <c r="L159" t="s">
        <v>5167</v>
      </c>
      <c r="M159" t="s">
        <v>5168</v>
      </c>
      <c r="N159" t="s">
        <v>5169</v>
      </c>
      <c r="O159" t="s">
        <v>5170</v>
      </c>
      <c r="P159">
        <v>5.8999999999999997E-2</v>
      </c>
      <c r="Q159" t="s">
        <v>29</v>
      </c>
      <c r="R159" t="s">
        <v>442</v>
      </c>
    </row>
    <row r="160" spans="1:18" x14ac:dyDescent="0.25">
      <c r="A160">
        <v>2003</v>
      </c>
      <c r="B160">
        <v>2604</v>
      </c>
      <c r="C160" t="s">
        <v>5409</v>
      </c>
      <c r="E160">
        <v>322112</v>
      </c>
      <c r="F160" t="s">
        <v>620</v>
      </c>
      <c r="G160" t="s">
        <v>621</v>
      </c>
      <c r="H160" t="s">
        <v>661</v>
      </c>
      <c r="I160" t="s">
        <v>197</v>
      </c>
      <c r="J160" t="s">
        <v>198</v>
      </c>
      <c r="K160" t="s">
        <v>199</v>
      </c>
      <c r="L160" t="s">
        <v>5183</v>
      </c>
      <c r="M160" t="s">
        <v>5184</v>
      </c>
      <c r="N160" t="s">
        <v>5169</v>
      </c>
      <c r="O160" t="s">
        <v>5170</v>
      </c>
      <c r="P160">
        <v>0.52800000000000002</v>
      </c>
      <c r="Q160" t="s">
        <v>40</v>
      </c>
      <c r="R160" t="s">
        <v>430</v>
      </c>
    </row>
    <row r="161" spans="1:18" x14ac:dyDescent="0.25">
      <c r="A161">
        <v>2014</v>
      </c>
      <c r="B161">
        <v>2134</v>
      </c>
      <c r="C161" t="s">
        <v>1115</v>
      </c>
      <c r="D161" t="s">
        <v>1338</v>
      </c>
      <c r="E161">
        <v>325313</v>
      </c>
      <c r="F161" t="s">
        <v>1054</v>
      </c>
      <c r="G161" t="s">
        <v>1055</v>
      </c>
      <c r="H161" t="s">
        <v>85</v>
      </c>
      <c r="I161" t="s">
        <v>152</v>
      </c>
      <c r="J161" t="s">
        <v>153</v>
      </c>
      <c r="K161" t="s">
        <v>154</v>
      </c>
      <c r="L161" t="s">
        <v>5183</v>
      </c>
      <c r="M161" t="s">
        <v>5184</v>
      </c>
      <c r="N161" t="s">
        <v>5185</v>
      </c>
      <c r="O161" t="s">
        <v>5186</v>
      </c>
      <c r="P161">
        <v>72.849999999999994</v>
      </c>
      <c r="Q161" t="s">
        <v>29</v>
      </c>
      <c r="R161" t="s">
        <v>124</v>
      </c>
    </row>
    <row r="162" spans="1:18" x14ac:dyDescent="0.25">
      <c r="A162">
        <v>2020</v>
      </c>
      <c r="B162">
        <v>20147</v>
      </c>
      <c r="C162" t="s">
        <v>212</v>
      </c>
      <c r="D162" t="s">
        <v>5410</v>
      </c>
      <c r="E162">
        <v>221320</v>
      </c>
      <c r="F162" t="s">
        <v>146</v>
      </c>
      <c r="G162" t="s">
        <v>147</v>
      </c>
      <c r="H162" t="s">
        <v>69</v>
      </c>
      <c r="I162" t="s">
        <v>35</v>
      </c>
      <c r="J162" t="s">
        <v>36</v>
      </c>
      <c r="K162" t="s">
        <v>37</v>
      </c>
      <c r="L162" t="s">
        <v>5167</v>
      </c>
      <c r="M162" t="s">
        <v>5168</v>
      </c>
      <c r="N162" t="s">
        <v>5169</v>
      </c>
      <c r="O162" t="s">
        <v>5170</v>
      </c>
      <c r="P162">
        <v>2.1399999999999999E-2</v>
      </c>
      <c r="Q162" t="s">
        <v>40</v>
      </c>
      <c r="R162" t="s">
        <v>124</v>
      </c>
    </row>
    <row r="163" spans="1:18" x14ac:dyDescent="0.25">
      <c r="A163">
        <v>2008</v>
      </c>
      <c r="B163">
        <v>6862</v>
      </c>
      <c r="C163" t="s">
        <v>5411</v>
      </c>
      <c r="D163" t="s">
        <v>5412</v>
      </c>
      <c r="E163">
        <v>486110</v>
      </c>
      <c r="F163" t="s">
        <v>540</v>
      </c>
      <c r="G163" t="s">
        <v>541</v>
      </c>
      <c r="H163" t="s">
        <v>69</v>
      </c>
      <c r="I163" t="s">
        <v>271</v>
      </c>
      <c r="J163" t="s">
        <v>272</v>
      </c>
      <c r="K163" t="s">
        <v>273</v>
      </c>
      <c r="L163" t="s">
        <v>5167</v>
      </c>
      <c r="M163" t="s">
        <v>5168</v>
      </c>
      <c r="N163" t="s">
        <v>5169</v>
      </c>
      <c r="O163" t="s">
        <v>5170</v>
      </c>
      <c r="P163">
        <v>9.8000000000000004E-2</v>
      </c>
      <c r="Q163" t="s">
        <v>29</v>
      </c>
      <c r="R163" t="s">
        <v>30</v>
      </c>
    </row>
    <row r="164" spans="1:18" x14ac:dyDescent="0.25">
      <c r="A164">
        <v>2018</v>
      </c>
      <c r="B164">
        <v>5647</v>
      </c>
      <c r="C164" t="s">
        <v>175</v>
      </c>
      <c r="D164" t="s">
        <v>175</v>
      </c>
      <c r="E164">
        <v>562210</v>
      </c>
      <c r="F164" t="s">
        <v>84</v>
      </c>
      <c r="G164" t="s">
        <v>53</v>
      </c>
      <c r="H164" t="s">
        <v>21</v>
      </c>
      <c r="I164" t="s">
        <v>136</v>
      </c>
      <c r="J164" t="s">
        <v>137</v>
      </c>
      <c r="K164" t="s">
        <v>138</v>
      </c>
      <c r="L164" t="s">
        <v>5167</v>
      </c>
      <c r="M164" t="s">
        <v>5168</v>
      </c>
      <c r="N164" t="s">
        <v>5169</v>
      </c>
      <c r="O164" t="s">
        <v>5170</v>
      </c>
      <c r="P164">
        <v>6.87</v>
      </c>
      <c r="Q164" t="s">
        <v>29</v>
      </c>
      <c r="R164" t="s">
        <v>50</v>
      </c>
    </row>
    <row r="165" spans="1:18" x14ac:dyDescent="0.25">
      <c r="A165">
        <v>2006</v>
      </c>
      <c r="B165">
        <v>5014</v>
      </c>
      <c r="C165" t="s">
        <v>5413</v>
      </c>
      <c r="D165" t="s">
        <v>5414</v>
      </c>
      <c r="E165">
        <v>221119</v>
      </c>
      <c r="F165" t="s">
        <v>1851</v>
      </c>
      <c r="G165" t="s">
        <v>323</v>
      </c>
      <c r="H165" t="s">
        <v>483</v>
      </c>
      <c r="I165" t="s">
        <v>136</v>
      </c>
      <c r="J165" t="s">
        <v>137</v>
      </c>
      <c r="K165" t="s">
        <v>138</v>
      </c>
      <c r="L165" t="s">
        <v>5167</v>
      </c>
      <c r="M165" t="s">
        <v>5168</v>
      </c>
      <c r="N165" t="s">
        <v>5169</v>
      </c>
      <c r="O165" t="s">
        <v>5170</v>
      </c>
      <c r="P165">
        <v>59.85</v>
      </c>
      <c r="Q165" t="s">
        <v>29</v>
      </c>
      <c r="R165" t="s">
        <v>124</v>
      </c>
    </row>
    <row r="166" spans="1:18" x14ac:dyDescent="0.25">
      <c r="A166">
        <v>2006</v>
      </c>
      <c r="B166">
        <v>2274</v>
      </c>
      <c r="C166" t="s">
        <v>5415</v>
      </c>
      <c r="D166" t="s">
        <v>5416</v>
      </c>
      <c r="E166">
        <v>211114</v>
      </c>
      <c r="F166" t="s">
        <v>835</v>
      </c>
      <c r="G166" t="s">
        <v>836</v>
      </c>
      <c r="H166" t="s">
        <v>85</v>
      </c>
      <c r="I166" t="s">
        <v>391</v>
      </c>
      <c r="J166" t="s">
        <v>392</v>
      </c>
      <c r="K166" t="s">
        <v>393</v>
      </c>
      <c r="L166" t="s">
        <v>5183</v>
      </c>
      <c r="M166" t="s">
        <v>5184</v>
      </c>
      <c r="N166" t="s">
        <v>5185</v>
      </c>
      <c r="O166" t="s">
        <v>5186</v>
      </c>
      <c r="P166">
        <v>0.37</v>
      </c>
      <c r="Q166" t="s">
        <v>40</v>
      </c>
      <c r="R166" t="s">
        <v>124</v>
      </c>
    </row>
    <row r="167" spans="1:18" x14ac:dyDescent="0.25">
      <c r="A167">
        <v>2019</v>
      </c>
      <c r="B167">
        <v>442</v>
      </c>
      <c r="C167" t="s">
        <v>1323</v>
      </c>
      <c r="D167" t="s">
        <v>5417</v>
      </c>
      <c r="E167">
        <v>211141</v>
      </c>
      <c r="F167" t="s">
        <v>1189</v>
      </c>
      <c r="G167" t="s">
        <v>1190</v>
      </c>
      <c r="H167" t="s">
        <v>85</v>
      </c>
      <c r="I167" t="s">
        <v>271</v>
      </c>
      <c r="J167" t="s">
        <v>272</v>
      </c>
      <c r="K167" t="s">
        <v>273</v>
      </c>
      <c r="L167" t="s">
        <v>5167</v>
      </c>
      <c r="M167" t="s">
        <v>5168</v>
      </c>
      <c r="N167" t="s">
        <v>5169</v>
      </c>
      <c r="O167" t="s">
        <v>5170</v>
      </c>
      <c r="P167">
        <v>9.5370999999999997E-2</v>
      </c>
      <c r="Q167" t="s">
        <v>29</v>
      </c>
      <c r="R167" t="s">
        <v>30</v>
      </c>
    </row>
    <row r="168" spans="1:18" x14ac:dyDescent="0.25">
      <c r="A168">
        <v>2010</v>
      </c>
      <c r="B168">
        <v>21219</v>
      </c>
      <c r="C168" t="s">
        <v>1995</v>
      </c>
      <c r="D168" t="s">
        <v>5418</v>
      </c>
      <c r="E168">
        <v>211113</v>
      </c>
      <c r="F168" t="s">
        <v>425</v>
      </c>
      <c r="G168" t="s">
        <v>426</v>
      </c>
      <c r="H168" t="s">
        <v>85</v>
      </c>
      <c r="I168" t="s">
        <v>70</v>
      </c>
      <c r="J168" t="s">
        <v>71</v>
      </c>
      <c r="K168" t="s">
        <v>72</v>
      </c>
      <c r="L168" t="s">
        <v>5183</v>
      </c>
      <c r="M168" t="s">
        <v>5184</v>
      </c>
      <c r="N168" t="s">
        <v>5195</v>
      </c>
      <c r="O168" t="s">
        <v>5196</v>
      </c>
      <c r="P168">
        <v>5.7999999999999996E-3</v>
      </c>
      <c r="Q168" t="s">
        <v>29</v>
      </c>
      <c r="R168" t="s">
        <v>30</v>
      </c>
    </row>
    <row r="169" spans="1:18" x14ac:dyDescent="0.25">
      <c r="A169">
        <v>2015</v>
      </c>
      <c r="B169">
        <v>6389</v>
      </c>
      <c r="C169" t="s">
        <v>5419</v>
      </c>
      <c r="D169" t="s">
        <v>5420</v>
      </c>
      <c r="E169">
        <v>221320</v>
      </c>
      <c r="F169" t="s">
        <v>146</v>
      </c>
      <c r="G169" t="s">
        <v>147</v>
      </c>
      <c r="H169" t="s">
        <v>79</v>
      </c>
      <c r="I169" t="s">
        <v>97</v>
      </c>
      <c r="J169" t="s">
        <v>98</v>
      </c>
      <c r="K169" t="s">
        <v>99</v>
      </c>
      <c r="L169" t="s">
        <v>5167</v>
      </c>
      <c r="M169" t="s">
        <v>5168</v>
      </c>
      <c r="N169" t="s">
        <v>5175</v>
      </c>
      <c r="O169" t="s">
        <v>5176</v>
      </c>
      <c r="P169">
        <v>6.29</v>
      </c>
      <c r="Q169" t="s">
        <v>29</v>
      </c>
      <c r="R169" t="s">
        <v>124</v>
      </c>
    </row>
    <row r="170" spans="1:18" x14ac:dyDescent="0.25">
      <c r="A170">
        <v>2021</v>
      </c>
      <c r="B170">
        <v>5539</v>
      </c>
      <c r="C170" t="s">
        <v>5421</v>
      </c>
      <c r="D170" t="s">
        <v>5422</v>
      </c>
      <c r="E170">
        <v>493190</v>
      </c>
      <c r="F170" t="s">
        <v>5423</v>
      </c>
      <c r="G170" t="s">
        <v>5424</v>
      </c>
      <c r="H170" t="s">
        <v>79</v>
      </c>
      <c r="I170" t="s">
        <v>55</v>
      </c>
      <c r="J170" t="s">
        <v>56</v>
      </c>
      <c r="K170" t="s">
        <v>57</v>
      </c>
      <c r="L170" t="s">
        <v>5167</v>
      </c>
      <c r="M170" t="s">
        <v>5168</v>
      </c>
      <c r="N170" t="s">
        <v>5169</v>
      </c>
      <c r="O170" t="s">
        <v>5170</v>
      </c>
      <c r="P170">
        <v>1.2E-2</v>
      </c>
      <c r="Q170" t="s">
        <v>29</v>
      </c>
      <c r="R170" t="s">
        <v>30</v>
      </c>
    </row>
    <row r="171" spans="1:18" x14ac:dyDescent="0.25">
      <c r="A171">
        <v>2022</v>
      </c>
      <c r="B171">
        <v>1303</v>
      </c>
      <c r="C171" t="s">
        <v>1745</v>
      </c>
      <c r="D171" t="s">
        <v>1746</v>
      </c>
      <c r="E171">
        <v>212233</v>
      </c>
      <c r="F171" t="s">
        <v>1111</v>
      </c>
      <c r="G171" t="s">
        <v>441</v>
      </c>
      <c r="H171" t="s">
        <v>69</v>
      </c>
      <c r="I171" t="s">
        <v>184</v>
      </c>
      <c r="J171" t="s">
        <v>185</v>
      </c>
      <c r="K171" t="s">
        <v>186</v>
      </c>
      <c r="L171" t="s">
        <v>5183</v>
      </c>
      <c r="M171" t="s">
        <v>5184</v>
      </c>
      <c r="N171" t="s">
        <v>5260</v>
      </c>
      <c r="O171" t="s">
        <v>5261</v>
      </c>
      <c r="P171">
        <v>621992.95835500001</v>
      </c>
      <c r="Q171" t="s">
        <v>40</v>
      </c>
      <c r="R171" t="s">
        <v>124</v>
      </c>
    </row>
    <row r="172" spans="1:18" x14ac:dyDescent="0.25">
      <c r="A172">
        <v>2016</v>
      </c>
      <c r="B172">
        <v>29386</v>
      </c>
      <c r="C172" t="s">
        <v>1043</v>
      </c>
      <c r="D172" t="s">
        <v>1044</v>
      </c>
      <c r="E172">
        <v>211114</v>
      </c>
      <c r="F172" t="s">
        <v>956</v>
      </c>
      <c r="G172" t="s">
        <v>836</v>
      </c>
      <c r="H172" t="s">
        <v>243</v>
      </c>
      <c r="I172" t="s">
        <v>491</v>
      </c>
      <c r="J172" t="s">
        <v>492</v>
      </c>
      <c r="K172" t="s">
        <v>492</v>
      </c>
      <c r="L172" t="s">
        <v>5167</v>
      </c>
      <c r="M172" t="s">
        <v>5168</v>
      </c>
      <c r="N172" t="s">
        <v>5195</v>
      </c>
      <c r="O172" t="s">
        <v>5196</v>
      </c>
      <c r="P172">
        <v>1.41E-2</v>
      </c>
      <c r="Q172" t="s">
        <v>29</v>
      </c>
      <c r="R172" t="s">
        <v>30</v>
      </c>
    </row>
    <row r="173" spans="1:18" x14ac:dyDescent="0.25">
      <c r="A173">
        <v>2014</v>
      </c>
      <c r="B173">
        <v>1303</v>
      </c>
      <c r="C173" t="s">
        <v>1745</v>
      </c>
      <c r="D173" t="s">
        <v>1746</v>
      </c>
      <c r="E173">
        <v>212233</v>
      </c>
      <c r="F173" t="s">
        <v>1111</v>
      </c>
      <c r="G173" t="s">
        <v>441</v>
      </c>
      <c r="H173" t="s">
        <v>69</v>
      </c>
      <c r="I173" t="s">
        <v>500</v>
      </c>
      <c r="J173" t="s">
        <v>501</v>
      </c>
      <c r="K173" t="s">
        <v>502</v>
      </c>
      <c r="L173" t="s">
        <v>5183</v>
      </c>
      <c r="M173" t="s">
        <v>5184</v>
      </c>
      <c r="N173" t="s">
        <v>5185</v>
      </c>
      <c r="O173" t="s">
        <v>5186</v>
      </c>
      <c r="P173">
        <v>33028.577700000002</v>
      </c>
      <c r="Q173" t="s">
        <v>40</v>
      </c>
      <c r="R173" t="s">
        <v>124</v>
      </c>
    </row>
    <row r="174" spans="1:18" x14ac:dyDescent="0.25">
      <c r="A174">
        <v>2016</v>
      </c>
      <c r="B174">
        <v>2274</v>
      </c>
      <c r="C174" t="s">
        <v>5425</v>
      </c>
      <c r="D174" t="s">
        <v>5426</v>
      </c>
      <c r="E174">
        <v>211114</v>
      </c>
      <c r="F174" t="s">
        <v>956</v>
      </c>
      <c r="G174" t="s">
        <v>836</v>
      </c>
      <c r="H174" t="s">
        <v>85</v>
      </c>
      <c r="I174" t="s">
        <v>348</v>
      </c>
      <c r="J174" t="s">
        <v>349</v>
      </c>
      <c r="K174" t="s">
        <v>350</v>
      </c>
      <c r="L174" t="s">
        <v>5183</v>
      </c>
      <c r="M174" t="s">
        <v>5184</v>
      </c>
      <c r="N174" t="s">
        <v>5185</v>
      </c>
      <c r="O174" t="s">
        <v>5186</v>
      </c>
      <c r="P174">
        <v>17.77</v>
      </c>
      <c r="Q174" t="s">
        <v>29</v>
      </c>
      <c r="R174" t="s">
        <v>30</v>
      </c>
    </row>
    <row r="175" spans="1:18" x14ac:dyDescent="0.25">
      <c r="A175">
        <v>2021</v>
      </c>
      <c r="B175">
        <v>1471</v>
      </c>
      <c r="C175" t="s">
        <v>2096</v>
      </c>
      <c r="D175" t="s">
        <v>5427</v>
      </c>
      <c r="E175">
        <v>331410</v>
      </c>
      <c r="F175" t="s">
        <v>1234</v>
      </c>
      <c r="G175" t="s">
        <v>1235</v>
      </c>
      <c r="H175" t="s">
        <v>21</v>
      </c>
      <c r="I175" t="s">
        <v>35</v>
      </c>
      <c r="J175" t="s">
        <v>36</v>
      </c>
      <c r="K175" t="s">
        <v>37</v>
      </c>
      <c r="L175" t="s">
        <v>5167</v>
      </c>
      <c r="M175" t="s">
        <v>5168</v>
      </c>
      <c r="N175" t="s">
        <v>5195</v>
      </c>
      <c r="O175" t="s">
        <v>5196</v>
      </c>
      <c r="P175">
        <v>0.3</v>
      </c>
      <c r="Q175" t="s">
        <v>40</v>
      </c>
      <c r="R175" t="s">
        <v>124</v>
      </c>
    </row>
    <row r="176" spans="1:18" x14ac:dyDescent="0.25">
      <c r="A176">
        <v>2018</v>
      </c>
      <c r="B176">
        <v>11588</v>
      </c>
      <c r="C176" t="s">
        <v>1109</v>
      </c>
      <c r="D176" t="s">
        <v>5428</v>
      </c>
      <c r="E176">
        <v>212232</v>
      </c>
      <c r="F176" t="s">
        <v>2003</v>
      </c>
      <c r="G176" t="s">
        <v>2004</v>
      </c>
      <c r="H176" t="s">
        <v>21</v>
      </c>
      <c r="I176" t="s">
        <v>1017</v>
      </c>
      <c r="J176" t="s">
        <v>1018</v>
      </c>
      <c r="K176" t="s">
        <v>1019</v>
      </c>
      <c r="L176" t="s">
        <v>5167</v>
      </c>
      <c r="M176" t="s">
        <v>5168</v>
      </c>
      <c r="N176" t="s">
        <v>5260</v>
      </c>
      <c r="O176" t="s">
        <v>5261</v>
      </c>
      <c r="P176">
        <v>24.81</v>
      </c>
      <c r="Q176" t="s">
        <v>40</v>
      </c>
      <c r="R176" t="s">
        <v>430</v>
      </c>
    </row>
    <row r="177" spans="1:18" x14ac:dyDescent="0.25">
      <c r="A177">
        <v>2022</v>
      </c>
      <c r="B177">
        <v>31681</v>
      </c>
      <c r="C177" t="s">
        <v>1718</v>
      </c>
      <c r="D177" t="s">
        <v>5429</v>
      </c>
      <c r="E177">
        <v>211110</v>
      </c>
      <c r="F177" t="s">
        <v>233</v>
      </c>
      <c r="G177" t="s">
        <v>234</v>
      </c>
      <c r="H177" t="s">
        <v>243</v>
      </c>
      <c r="I177" t="s">
        <v>543</v>
      </c>
      <c r="J177" t="s">
        <v>544</v>
      </c>
      <c r="K177" t="s">
        <v>545</v>
      </c>
      <c r="L177" t="s">
        <v>5183</v>
      </c>
      <c r="M177" t="s">
        <v>5184</v>
      </c>
      <c r="N177" t="s">
        <v>5195</v>
      </c>
      <c r="O177" t="s">
        <v>5196</v>
      </c>
      <c r="P177">
        <v>74.995146000000005</v>
      </c>
      <c r="Q177" t="s">
        <v>40</v>
      </c>
      <c r="R177" t="s">
        <v>30</v>
      </c>
    </row>
    <row r="178" spans="1:18" x14ac:dyDescent="0.25">
      <c r="A178">
        <v>2002</v>
      </c>
      <c r="B178">
        <v>5839</v>
      </c>
      <c r="C178" t="s">
        <v>5430</v>
      </c>
      <c r="D178" t="s">
        <v>5431</v>
      </c>
      <c r="E178">
        <v>326121</v>
      </c>
      <c r="F178" t="s">
        <v>5432</v>
      </c>
      <c r="G178" t="s">
        <v>5433</v>
      </c>
      <c r="H178" t="s">
        <v>21</v>
      </c>
      <c r="I178" t="s">
        <v>407</v>
      </c>
      <c r="J178" t="s">
        <v>408</v>
      </c>
      <c r="K178" t="s">
        <v>409</v>
      </c>
      <c r="L178" t="s">
        <v>5167</v>
      </c>
      <c r="M178" t="s">
        <v>5168</v>
      </c>
      <c r="N178" t="s">
        <v>5169</v>
      </c>
      <c r="O178" t="s">
        <v>5170</v>
      </c>
      <c r="P178">
        <v>0.36499999999999999</v>
      </c>
      <c r="Q178" t="s">
        <v>29</v>
      </c>
      <c r="R178" t="s">
        <v>30</v>
      </c>
    </row>
    <row r="179" spans="1:18" x14ac:dyDescent="0.25">
      <c r="A179">
        <v>1994</v>
      </c>
      <c r="B179">
        <v>2740</v>
      </c>
      <c r="C179" t="s">
        <v>5434</v>
      </c>
      <c r="D179" t="s">
        <v>5435</v>
      </c>
      <c r="E179">
        <v>331110</v>
      </c>
      <c r="F179" t="s">
        <v>335</v>
      </c>
      <c r="G179" t="s">
        <v>336</v>
      </c>
      <c r="H179" t="s">
        <v>243</v>
      </c>
      <c r="I179" t="s">
        <v>324</v>
      </c>
      <c r="J179" t="s">
        <v>325</v>
      </c>
      <c r="K179" t="s">
        <v>326</v>
      </c>
      <c r="L179" t="s">
        <v>5167</v>
      </c>
      <c r="M179" t="s">
        <v>5168</v>
      </c>
      <c r="N179" t="s">
        <v>5169</v>
      </c>
      <c r="O179" t="s">
        <v>5170</v>
      </c>
      <c r="P179">
        <v>7.7</v>
      </c>
      <c r="Q179" t="s">
        <v>29</v>
      </c>
      <c r="R179" t="s">
        <v>30</v>
      </c>
    </row>
    <row r="180" spans="1:18" x14ac:dyDescent="0.25">
      <c r="A180">
        <v>2007</v>
      </c>
      <c r="B180">
        <v>4908</v>
      </c>
      <c r="C180" t="s">
        <v>5436</v>
      </c>
      <c r="D180" t="s">
        <v>5437</v>
      </c>
      <c r="E180">
        <v>221320</v>
      </c>
      <c r="F180" t="s">
        <v>390</v>
      </c>
      <c r="G180" t="s">
        <v>147</v>
      </c>
      <c r="H180" t="s">
        <v>21</v>
      </c>
      <c r="I180" t="s">
        <v>504</v>
      </c>
      <c r="J180" t="s">
        <v>505</v>
      </c>
      <c r="K180" t="s">
        <v>506</v>
      </c>
      <c r="L180" t="s">
        <v>5167</v>
      </c>
      <c r="M180" t="s">
        <v>5168</v>
      </c>
      <c r="N180" t="s">
        <v>5169</v>
      </c>
      <c r="O180" t="s">
        <v>5170</v>
      </c>
      <c r="P180">
        <v>15.029</v>
      </c>
      <c r="Q180" t="s">
        <v>29</v>
      </c>
      <c r="R180" t="s">
        <v>124</v>
      </c>
    </row>
    <row r="181" spans="1:18" x14ac:dyDescent="0.25">
      <c r="A181">
        <v>2023</v>
      </c>
      <c r="B181">
        <v>4743</v>
      </c>
      <c r="C181" t="s">
        <v>1446</v>
      </c>
      <c r="D181" t="s">
        <v>1447</v>
      </c>
      <c r="E181">
        <v>221320</v>
      </c>
      <c r="F181" t="s">
        <v>146</v>
      </c>
      <c r="G181" t="s">
        <v>147</v>
      </c>
      <c r="H181" t="s">
        <v>21</v>
      </c>
      <c r="I181" t="s">
        <v>504</v>
      </c>
      <c r="J181" t="s">
        <v>505</v>
      </c>
      <c r="K181" t="s">
        <v>506</v>
      </c>
      <c r="L181" t="s">
        <v>5167</v>
      </c>
      <c r="M181" t="s">
        <v>5168</v>
      </c>
      <c r="N181" t="s">
        <v>5169</v>
      </c>
      <c r="O181" t="s">
        <v>5170</v>
      </c>
      <c r="P181">
        <v>3.6230000000000002</v>
      </c>
      <c r="Q181" t="s">
        <v>29</v>
      </c>
      <c r="R181" t="s">
        <v>124</v>
      </c>
    </row>
    <row r="182" spans="1:18" x14ac:dyDescent="0.25">
      <c r="A182">
        <v>2002</v>
      </c>
      <c r="B182">
        <v>2776</v>
      </c>
      <c r="C182" t="s">
        <v>2289</v>
      </c>
      <c r="D182" t="s">
        <v>1199</v>
      </c>
      <c r="E182">
        <v>324110</v>
      </c>
      <c r="F182" t="s">
        <v>95</v>
      </c>
      <c r="G182" t="s">
        <v>96</v>
      </c>
      <c r="H182" t="s">
        <v>69</v>
      </c>
      <c r="I182" t="s">
        <v>62</v>
      </c>
      <c r="J182" t="s">
        <v>63</v>
      </c>
      <c r="K182" t="s">
        <v>64</v>
      </c>
      <c r="L182" t="s">
        <v>5167</v>
      </c>
      <c r="M182" t="s">
        <v>5168</v>
      </c>
      <c r="N182" t="s">
        <v>5169</v>
      </c>
      <c r="O182" t="s">
        <v>5170</v>
      </c>
      <c r="P182">
        <v>8.6999999999999994E-2</v>
      </c>
      <c r="Q182" t="s">
        <v>29</v>
      </c>
      <c r="R182" t="s">
        <v>30</v>
      </c>
    </row>
    <row r="183" spans="1:18" x14ac:dyDescent="0.25">
      <c r="A183">
        <v>1997</v>
      </c>
      <c r="B183">
        <v>3707</v>
      </c>
      <c r="C183" t="s">
        <v>125</v>
      </c>
      <c r="D183" t="s">
        <v>808</v>
      </c>
      <c r="E183">
        <v>324110</v>
      </c>
      <c r="F183" t="s">
        <v>95</v>
      </c>
      <c r="G183" t="s">
        <v>96</v>
      </c>
      <c r="H183" t="s">
        <v>85</v>
      </c>
      <c r="I183" t="s">
        <v>331</v>
      </c>
      <c r="J183" t="s">
        <v>332</v>
      </c>
      <c r="K183" t="s">
        <v>333</v>
      </c>
      <c r="L183" t="s">
        <v>5183</v>
      </c>
      <c r="M183" t="s">
        <v>5184</v>
      </c>
      <c r="N183" t="s">
        <v>5195</v>
      </c>
      <c r="O183" t="s">
        <v>5196</v>
      </c>
      <c r="P183">
        <v>2E-3</v>
      </c>
      <c r="Q183" t="s">
        <v>29</v>
      </c>
      <c r="R183" t="s">
        <v>50</v>
      </c>
    </row>
    <row r="184" spans="1:18" x14ac:dyDescent="0.25">
      <c r="A184">
        <v>2009</v>
      </c>
      <c r="B184">
        <v>3933</v>
      </c>
      <c r="C184" t="s">
        <v>5438</v>
      </c>
      <c r="D184" t="s">
        <v>5439</v>
      </c>
      <c r="E184">
        <v>211113</v>
      </c>
      <c r="F184" t="s">
        <v>425</v>
      </c>
      <c r="G184" t="s">
        <v>426</v>
      </c>
      <c r="H184" t="s">
        <v>85</v>
      </c>
      <c r="I184" t="s">
        <v>348</v>
      </c>
      <c r="J184" t="s">
        <v>349</v>
      </c>
      <c r="K184" t="s">
        <v>350</v>
      </c>
      <c r="L184" t="s">
        <v>5167</v>
      </c>
      <c r="M184" t="s">
        <v>5168</v>
      </c>
      <c r="N184" t="s">
        <v>5169</v>
      </c>
      <c r="O184" t="s">
        <v>5170</v>
      </c>
      <c r="P184">
        <v>4.0000000000000001E-3</v>
      </c>
      <c r="Q184" t="s">
        <v>29</v>
      </c>
      <c r="R184" t="s">
        <v>30</v>
      </c>
    </row>
    <row r="185" spans="1:18" x14ac:dyDescent="0.25">
      <c r="A185">
        <v>2004</v>
      </c>
      <c r="B185">
        <v>5100</v>
      </c>
      <c r="C185" t="s">
        <v>1098</v>
      </c>
      <c r="D185" t="s">
        <v>5440</v>
      </c>
      <c r="E185">
        <v>562210</v>
      </c>
      <c r="F185" t="s">
        <v>52</v>
      </c>
      <c r="G185" t="s">
        <v>53</v>
      </c>
      <c r="H185" t="s">
        <v>69</v>
      </c>
      <c r="I185" t="s">
        <v>317</v>
      </c>
      <c r="J185" t="s">
        <v>318</v>
      </c>
      <c r="K185" t="s">
        <v>319</v>
      </c>
      <c r="L185" t="s">
        <v>5167</v>
      </c>
      <c r="M185" t="s">
        <v>5168</v>
      </c>
      <c r="N185" t="s">
        <v>5169</v>
      </c>
      <c r="O185" t="s">
        <v>5170</v>
      </c>
      <c r="P185">
        <v>0.03</v>
      </c>
      <c r="Q185" t="s">
        <v>29</v>
      </c>
      <c r="R185" t="s">
        <v>50</v>
      </c>
    </row>
    <row r="186" spans="1:18" x14ac:dyDescent="0.25">
      <c r="A186">
        <v>2014</v>
      </c>
      <c r="B186">
        <v>23956</v>
      </c>
      <c r="C186" t="s">
        <v>5441</v>
      </c>
      <c r="D186" t="s">
        <v>5442</v>
      </c>
      <c r="E186">
        <v>211113</v>
      </c>
      <c r="F186" t="s">
        <v>786</v>
      </c>
      <c r="G186" t="s">
        <v>426</v>
      </c>
      <c r="H186" t="s">
        <v>85</v>
      </c>
      <c r="I186" t="s">
        <v>271</v>
      </c>
      <c r="J186" t="s">
        <v>272</v>
      </c>
      <c r="K186" t="s">
        <v>273</v>
      </c>
      <c r="L186" t="s">
        <v>5167</v>
      </c>
      <c r="M186" t="s">
        <v>5168</v>
      </c>
      <c r="N186" t="s">
        <v>5175</v>
      </c>
      <c r="O186" t="s">
        <v>5176</v>
      </c>
      <c r="P186">
        <v>5.7000000000000002E-2</v>
      </c>
      <c r="Q186" t="s">
        <v>29</v>
      </c>
      <c r="R186" t="s">
        <v>30</v>
      </c>
    </row>
    <row r="187" spans="1:18" x14ac:dyDescent="0.25">
      <c r="A187">
        <v>1996</v>
      </c>
      <c r="B187">
        <v>1755</v>
      </c>
      <c r="C187" t="s">
        <v>5443</v>
      </c>
      <c r="D187" t="s">
        <v>5444</v>
      </c>
      <c r="E187">
        <v>211113</v>
      </c>
      <c r="F187" t="s">
        <v>425</v>
      </c>
      <c r="G187" t="s">
        <v>426</v>
      </c>
      <c r="H187" t="s">
        <v>85</v>
      </c>
      <c r="I187" t="s">
        <v>55</v>
      </c>
      <c r="J187" t="s">
        <v>56</v>
      </c>
      <c r="K187" t="s">
        <v>57</v>
      </c>
      <c r="L187" t="s">
        <v>5167</v>
      </c>
      <c r="M187" t="s">
        <v>5168</v>
      </c>
      <c r="N187" t="s">
        <v>5195</v>
      </c>
      <c r="O187" t="s">
        <v>5196</v>
      </c>
      <c r="P187">
        <v>111.97199999999999</v>
      </c>
      <c r="Q187" t="s">
        <v>29</v>
      </c>
      <c r="R187" t="s">
        <v>30</v>
      </c>
    </row>
    <row r="188" spans="1:18" x14ac:dyDescent="0.25">
      <c r="A188">
        <v>2005</v>
      </c>
      <c r="B188">
        <v>5608</v>
      </c>
      <c r="C188" t="s">
        <v>5445</v>
      </c>
      <c r="D188" t="s">
        <v>5446</v>
      </c>
      <c r="E188">
        <v>335990</v>
      </c>
      <c r="F188" t="s">
        <v>5251</v>
      </c>
      <c r="G188" t="s">
        <v>5252</v>
      </c>
      <c r="H188" t="s">
        <v>21</v>
      </c>
      <c r="I188" t="s">
        <v>504</v>
      </c>
      <c r="J188" t="s">
        <v>505</v>
      </c>
      <c r="K188" t="s">
        <v>506</v>
      </c>
      <c r="L188" t="s">
        <v>5167</v>
      </c>
      <c r="M188" t="s">
        <v>5168</v>
      </c>
      <c r="N188" t="s">
        <v>5169</v>
      </c>
      <c r="O188" t="s">
        <v>5170</v>
      </c>
      <c r="P188">
        <v>0.31</v>
      </c>
      <c r="Q188" t="s">
        <v>29</v>
      </c>
      <c r="R188" t="s">
        <v>50</v>
      </c>
    </row>
    <row r="189" spans="1:18" x14ac:dyDescent="0.25">
      <c r="A189">
        <v>2017</v>
      </c>
      <c r="B189">
        <v>1195</v>
      </c>
      <c r="C189" t="s">
        <v>5447</v>
      </c>
      <c r="D189" t="s">
        <v>5448</v>
      </c>
      <c r="E189">
        <v>322121</v>
      </c>
      <c r="F189" t="s">
        <v>938</v>
      </c>
      <c r="G189" t="s">
        <v>765</v>
      </c>
      <c r="H189" t="s">
        <v>79</v>
      </c>
      <c r="I189" t="s">
        <v>811</v>
      </c>
      <c r="J189" t="s">
        <v>812</v>
      </c>
      <c r="K189" t="s">
        <v>813</v>
      </c>
      <c r="L189" t="s">
        <v>5167</v>
      </c>
      <c r="M189" t="s">
        <v>5168</v>
      </c>
      <c r="N189" t="s">
        <v>5175</v>
      </c>
      <c r="O189" t="s">
        <v>5176</v>
      </c>
      <c r="P189">
        <v>4.13</v>
      </c>
      <c r="Q189" t="s">
        <v>40</v>
      </c>
      <c r="R189" t="s">
        <v>430</v>
      </c>
    </row>
    <row r="190" spans="1:18" x14ac:dyDescent="0.25">
      <c r="A190">
        <v>2000</v>
      </c>
      <c r="B190">
        <v>3478</v>
      </c>
      <c r="C190" t="s">
        <v>5449</v>
      </c>
      <c r="D190" t="s">
        <v>5450</v>
      </c>
      <c r="E190">
        <v>336110</v>
      </c>
      <c r="F190" t="s">
        <v>377</v>
      </c>
      <c r="G190" t="s">
        <v>44</v>
      </c>
      <c r="H190" t="s">
        <v>21</v>
      </c>
      <c r="I190" t="s">
        <v>271</v>
      </c>
      <c r="J190" t="s">
        <v>272</v>
      </c>
      <c r="K190" t="s">
        <v>273</v>
      </c>
      <c r="L190" t="s">
        <v>5167</v>
      </c>
      <c r="M190" t="s">
        <v>5168</v>
      </c>
      <c r="N190" t="s">
        <v>5169</v>
      </c>
      <c r="O190" t="s">
        <v>5170</v>
      </c>
      <c r="P190">
        <v>1.0999999999999999E-2</v>
      </c>
      <c r="Q190" t="s">
        <v>29</v>
      </c>
      <c r="R190" t="s">
        <v>30</v>
      </c>
    </row>
    <row r="191" spans="1:18" x14ac:dyDescent="0.25">
      <c r="A191">
        <v>2011</v>
      </c>
      <c r="B191">
        <v>6654</v>
      </c>
      <c r="C191" t="s">
        <v>806</v>
      </c>
      <c r="D191" t="s">
        <v>5451</v>
      </c>
      <c r="E191">
        <v>412110</v>
      </c>
      <c r="F191" t="s">
        <v>346</v>
      </c>
      <c r="G191" t="s">
        <v>347</v>
      </c>
      <c r="H191" t="s">
        <v>69</v>
      </c>
      <c r="I191" t="s">
        <v>427</v>
      </c>
      <c r="J191" t="s">
        <v>428</v>
      </c>
      <c r="K191" t="s">
        <v>429</v>
      </c>
      <c r="L191" t="s">
        <v>5167</v>
      </c>
      <c r="M191" t="s">
        <v>5168</v>
      </c>
      <c r="N191" t="s">
        <v>5169</v>
      </c>
      <c r="O191" t="s">
        <v>5170</v>
      </c>
      <c r="P191">
        <v>3.141</v>
      </c>
      <c r="Q191" t="s">
        <v>29</v>
      </c>
      <c r="R191" t="s">
        <v>30</v>
      </c>
    </row>
    <row r="192" spans="1:18" x14ac:dyDescent="0.25">
      <c r="A192">
        <v>2011</v>
      </c>
      <c r="B192">
        <v>2161</v>
      </c>
      <c r="C192" t="s">
        <v>5452</v>
      </c>
      <c r="D192" t="s">
        <v>5453</v>
      </c>
      <c r="E192">
        <v>331110</v>
      </c>
      <c r="F192" t="s">
        <v>335</v>
      </c>
      <c r="G192" t="s">
        <v>336</v>
      </c>
      <c r="H192" t="s">
        <v>21</v>
      </c>
      <c r="I192" t="s">
        <v>62</v>
      </c>
      <c r="J192" t="s">
        <v>63</v>
      </c>
      <c r="K192" t="s">
        <v>64</v>
      </c>
      <c r="L192" t="s">
        <v>5167</v>
      </c>
      <c r="M192" t="s">
        <v>5168</v>
      </c>
      <c r="N192" t="s">
        <v>5169</v>
      </c>
      <c r="O192" t="s">
        <v>5170</v>
      </c>
      <c r="P192">
        <v>0.94269999999999998</v>
      </c>
      <c r="Q192" t="s">
        <v>29</v>
      </c>
      <c r="R192" t="s">
        <v>30</v>
      </c>
    </row>
    <row r="193" spans="1:18" x14ac:dyDescent="0.25">
      <c r="A193">
        <v>2021</v>
      </c>
      <c r="B193">
        <v>3147</v>
      </c>
      <c r="C193" t="s">
        <v>1783</v>
      </c>
      <c r="D193" t="s">
        <v>5454</v>
      </c>
      <c r="E193">
        <v>541990</v>
      </c>
      <c r="F193" t="s">
        <v>1785</v>
      </c>
      <c r="G193" t="s">
        <v>1786</v>
      </c>
      <c r="H193" t="s">
        <v>21</v>
      </c>
      <c r="I193" t="s">
        <v>35</v>
      </c>
      <c r="J193" t="s">
        <v>36</v>
      </c>
      <c r="K193" t="s">
        <v>37</v>
      </c>
      <c r="L193" t="s">
        <v>5167</v>
      </c>
      <c r="M193" t="s">
        <v>5168</v>
      </c>
      <c r="N193" t="s">
        <v>5169</v>
      </c>
      <c r="O193" t="s">
        <v>5170</v>
      </c>
      <c r="P193">
        <v>1155.4000000000001</v>
      </c>
      <c r="Q193" t="s">
        <v>40</v>
      </c>
      <c r="R193" t="s">
        <v>50</v>
      </c>
    </row>
    <row r="194" spans="1:18" x14ac:dyDescent="0.25">
      <c r="A194">
        <v>2007</v>
      </c>
      <c r="B194">
        <v>8770</v>
      </c>
      <c r="C194" t="s">
        <v>5455</v>
      </c>
      <c r="D194" t="s">
        <v>5456</v>
      </c>
      <c r="E194">
        <v>331110</v>
      </c>
      <c r="F194" t="s">
        <v>335</v>
      </c>
      <c r="G194" t="s">
        <v>336</v>
      </c>
      <c r="H194" t="s">
        <v>79</v>
      </c>
      <c r="I194" t="s">
        <v>525</v>
      </c>
      <c r="J194" t="s">
        <v>526</v>
      </c>
      <c r="K194" t="s">
        <v>527</v>
      </c>
      <c r="L194" t="s">
        <v>5183</v>
      </c>
      <c r="M194" t="s">
        <v>5184</v>
      </c>
      <c r="N194" t="s">
        <v>5185</v>
      </c>
      <c r="O194" t="s">
        <v>5186</v>
      </c>
      <c r="P194">
        <v>535</v>
      </c>
      <c r="Q194" t="s">
        <v>29</v>
      </c>
      <c r="R194" t="s">
        <v>124</v>
      </c>
    </row>
    <row r="195" spans="1:18" x14ac:dyDescent="0.25">
      <c r="A195">
        <v>2002</v>
      </c>
      <c r="B195">
        <v>3242</v>
      </c>
      <c r="C195" t="s">
        <v>5457</v>
      </c>
      <c r="D195" t="s">
        <v>5458</v>
      </c>
      <c r="E195">
        <v>322112</v>
      </c>
      <c r="F195" t="s">
        <v>620</v>
      </c>
      <c r="G195" t="s">
        <v>621</v>
      </c>
      <c r="H195" t="s">
        <v>79</v>
      </c>
      <c r="I195" t="s">
        <v>152</v>
      </c>
      <c r="J195" t="s">
        <v>153</v>
      </c>
      <c r="K195" t="s">
        <v>154</v>
      </c>
      <c r="L195" t="s">
        <v>5183</v>
      </c>
      <c r="M195" t="s">
        <v>5184</v>
      </c>
      <c r="N195" t="s">
        <v>5169</v>
      </c>
      <c r="O195" t="s">
        <v>5170</v>
      </c>
      <c r="P195">
        <v>5</v>
      </c>
      <c r="Q195" t="s">
        <v>29</v>
      </c>
      <c r="R195" t="s">
        <v>442</v>
      </c>
    </row>
    <row r="196" spans="1:18" x14ac:dyDescent="0.25">
      <c r="A196">
        <v>2012</v>
      </c>
      <c r="B196">
        <v>407</v>
      </c>
      <c r="C196" t="s">
        <v>1043</v>
      </c>
      <c r="D196" t="s">
        <v>5459</v>
      </c>
      <c r="E196">
        <v>211113</v>
      </c>
      <c r="F196" t="s">
        <v>786</v>
      </c>
      <c r="G196" t="s">
        <v>426</v>
      </c>
      <c r="H196" t="s">
        <v>85</v>
      </c>
      <c r="I196" t="s">
        <v>923</v>
      </c>
      <c r="J196" t="s">
        <v>924</v>
      </c>
      <c r="K196" t="s">
        <v>924</v>
      </c>
      <c r="L196" t="s">
        <v>5167</v>
      </c>
      <c r="M196" t="s">
        <v>5168</v>
      </c>
      <c r="N196" t="s">
        <v>5195</v>
      </c>
      <c r="O196" t="s">
        <v>5196</v>
      </c>
      <c r="P196">
        <v>0.83509999999999995</v>
      </c>
      <c r="Q196" t="s">
        <v>29</v>
      </c>
      <c r="R196" t="s">
        <v>30</v>
      </c>
    </row>
    <row r="197" spans="1:18" x14ac:dyDescent="0.25">
      <c r="A197">
        <v>2014</v>
      </c>
      <c r="B197">
        <v>26416</v>
      </c>
      <c r="C197" t="s">
        <v>4250</v>
      </c>
      <c r="D197" t="s">
        <v>5460</v>
      </c>
      <c r="E197">
        <v>562210</v>
      </c>
      <c r="F197" t="s">
        <v>84</v>
      </c>
      <c r="G197" t="s">
        <v>53</v>
      </c>
      <c r="H197" t="s">
        <v>85</v>
      </c>
      <c r="I197" t="s">
        <v>271</v>
      </c>
      <c r="J197" t="s">
        <v>272</v>
      </c>
      <c r="K197" t="s">
        <v>273</v>
      </c>
      <c r="L197" t="s">
        <v>5183</v>
      </c>
      <c r="M197" t="s">
        <v>5184</v>
      </c>
      <c r="N197" t="s">
        <v>5195</v>
      </c>
      <c r="O197" t="s">
        <v>5196</v>
      </c>
      <c r="P197">
        <v>1.8946000000000001</v>
      </c>
      <c r="Q197" t="s">
        <v>29</v>
      </c>
      <c r="R197" t="s">
        <v>430</v>
      </c>
    </row>
    <row r="198" spans="1:18" x14ac:dyDescent="0.25">
      <c r="A198">
        <v>2022</v>
      </c>
      <c r="B198">
        <v>29004</v>
      </c>
      <c r="C198" t="s">
        <v>5461</v>
      </c>
      <c r="D198" t="s">
        <v>5462</v>
      </c>
      <c r="E198">
        <v>212392</v>
      </c>
      <c r="F198" t="s">
        <v>5463</v>
      </c>
      <c r="G198" t="s">
        <v>2085</v>
      </c>
      <c r="H198" t="s">
        <v>379</v>
      </c>
      <c r="I198" t="s">
        <v>184</v>
      </c>
      <c r="J198" t="s">
        <v>185</v>
      </c>
      <c r="K198" t="s">
        <v>186</v>
      </c>
      <c r="L198" t="s">
        <v>5183</v>
      </c>
      <c r="M198" t="s">
        <v>5184</v>
      </c>
      <c r="N198" t="s">
        <v>5185</v>
      </c>
      <c r="O198" t="s">
        <v>5186</v>
      </c>
      <c r="P198">
        <v>171653.9</v>
      </c>
      <c r="Q198" t="s">
        <v>40</v>
      </c>
      <c r="R198" t="s">
        <v>124</v>
      </c>
    </row>
    <row r="199" spans="1:18" x14ac:dyDescent="0.25">
      <c r="A199">
        <v>2019</v>
      </c>
      <c r="B199">
        <v>1979</v>
      </c>
      <c r="C199" t="s">
        <v>1621</v>
      </c>
      <c r="D199" t="s">
        <v>5464</v>
      </c>
      <c r="E199">
        <v>322121</v>
      </c>
      <c r="F199" t="s">
        <v>938</v>
      </c>
      <c r="G199" t="s">
        <v>765</v>
      </c>
      <c r="H199" t="s">
        <v>79</v>
      </c>
      <c r="I199" t="s">
        <v>244</v>
      </c>
      <c r="J199" t="s">
        <v>245</v>
      </c>
      <c r="K199" t="s">
        <v>246</v>
      </c>
      <c r="L199" t="s">
        <v>5183</v>
      </c>
      <c r="M199" t="s">
        <v>5184</v>
      </c>
      <c r="N199" t="s">
        <v>5169</v>
      </c>
      <c r="O199" t="s">
        <v>5170</v>
      </c>
      <c r="P199">
        <v>435</v>
      </c>
      <c r="Q199" t="s">
        <v>40</v>
      </c>
      <c r="R199" t="s">
        <v>124</v>
      </c>
    </row>
    <row r="200" spans="1:18" x14ac:dyDescent="0.25">
      <c r="A200">
        <v>2021</v>
      </c>
      <c r="B200">
        <v>6664</v>
      </c>
      <c r="C200" t="s">
        <v>507</v>
      </c>
      <c r="D200" t="s">
        <v>5465</v>
      </c>
      <c r="E200">
        <v>412110</v>
      </c>
      <c r="F200" t="s">
        <v>127</v>
      </c>
      <c r="G200" t="s">
        <v>128</v>
      </c>
      <c r="H200" t="s">
        <v>21</v>
      </c>
      <c r="I200" t="s">
        <v>172</v>
      </c>
      <c r="J200" t="s">
        <v>173</v>
      </c>
      <c r="K200" t="s">
        <v>174</v>
      </c>
      <c r="L200" t="s">
        <v>5167</v>
      </c>
      <c r="M200" t="s">
        <v>5168</v>
      </c>
      <c r="N200" t="s">
        <v>5169</v>
      </c>
      <c r="O200" t="s">
        <v>5170</v>
      </c>
      <c r="P200">
        <v>2.0000000000000002E-5</v>
      </c>
      <c r="Q200" t="s">
        <v>29</v>
      </c>
      <c r="R200" t="s">
        <v>30</v>
      </c>
    </row>
    <row r="201" spans="1:18" x14ac:dyDescent="0.25">
      <c r="A201">
        <v>2006</v>
      </c>
      <c r="B201">
        <v>3416</v>
      </c>
      <c r="C201" t="s">
        <v>375</v>
      </c>
      <c r="D201" t="s">
        <v>609</v>
      </c>
      <c r="E201">
        <v>331511</v>
      </c>
      <c r="F201" t="s">
        <v>160</v>
      </c>
      <c r="G201" t="s">
        <v>161</v>
      </c>
      <c r="H201" t="s">
        <v>21</v>
      </c>
      <c r="I201" t="s">
        <v>1180</v>
      </c>
      <c r="J201" t="s">
        <v>1181</v>
      </c>
      <c r="K201" t="s">
        <v>1182</v>
      </c>
      <c r="L201" t="s">
        <v>5167</v>
      </c>
      <c r="M201" t="s">
        <v>5168</v>
      </c>
      <c r="N201" t="s">
        <v>5169</v>
      </c>
      <c r="O201" t="s">
        <v>5170</v>
      </c>
      <c r="P201">
        <v>0.04</v>
      </c>
      <c r="Q201" t="s">
        <v>29</v>
      </c>
      <c r="R201" t="s">
        <v>30</v>
      </c>
    </row>
    <row r="202" spans="1:18" x14ac:dyDescent="0.25">
      <c r="A202">
        <v>2023</v>
      </c>
      <c r="B202">
        <v>32912</v>
      </c>
      <c r="C202" t="s">
        <v>231</v>
      </c>
      <c r="D202" t="s">
        <v>4722</v>
      </c>
      <c r="E202">
        <v>211110</v>
      </c>
      <c r="F202" t="s">
        <v>233</v>
      </c>
      <c r="G202" t="s">
        <v>234</v>
      </c>
      <c r="H202" t="s">
        <v>85</v>
      </c>
      <c r="I202" t="s">
        <v>923</v>
      </c>
      <c r="J202" t="s">
        <v>924</v>
      </c>
      <c r="K202" t="s">
        <v>924</v>
      </c>
      <c r="L202" t="s">
        <v>5167</v>
      </c>
      <c r="M202" t="s">
        <v>5168</v>
      </c>
      <c r="N202" t="s">
        <v>5195</v>
      </c>
      <c r="O202" t="s">
        <v>5196</v>
      </c>
      <c r="P202">
        <v>3.9100000000000002E-4</v>
      </c>
      <c r="Q202" t="s">
        <v>29</v>
      </c>
      <c r="R202" t="s">
        <v>30</v>
      </c>
    </row>
    <row r="203" spans="1:18" x14ac:dyDescent="0.25">
      <c r="A203">
        <v>2015</v>
      </c>
      <c r="B203">
        <v>27506</v>
      </c>
      <c r="C203" t="s">
        <v>1323</v>
      </c>
      <c r="D203" t="s">
        <v>1356</v>
      </c>
      <c r="E203">
        <v>211114</v>
      </c>
      <c r="F203" t="s">
        <v>956</v>
      </c>
      <c r="G203" t="s">
        <v>836</v>
      </c>
      <c r="H203" t="s">
        <v>85</v>
      </c>
      <c r="I203" t="s">
        <v>491</v>
      </c>
      <c r="J203" t="s">
        <v>492</v>
      </c>
      <c r="K203" t="s">
        <v>492</v>
      </c>
      <c r="L203" t="s">
        <v>5167</v>
      </c>
      <c r="M203" t="s">
        <v>5168</v>
      </c>
      <c r="N203" t="s">
        <v>5169</v>
      </c>
      <c r="O203" t="s">
        <v>5170</v>
      </c>
      <c r="P203">
        <v>2.7000000000000001E-3</v>
      </c>
      <c r="Q203" t="s">
        <v>29</v>
      </c>
      <c r="R203" t="s">
        <v>30</v>
      </c>
    </row>
    <row r="204" spans="1:18" x14ac:dyDescent="0.25">
      <c r="A204">
        <v>2011</v>
      </c>
      <c r="B204">
        <v>5236</v>
      </c>
      <c r="C204" t="s">
        <v>5466</v>
      </c>
      <c r="D204" t="s">
        <v>5467</v>
      </c>
      <c r="E204">
        <v>212392</v>
      </c>
      <c r="F204" t="s">
        <v>2084</v>
      </c>
      <c r="G204" t="s">
        <v>2085</v>
      </c>
      <c r="H204" t="s">
        <v>379</v>
      </c>
      <c r="I204" t="s">
        <v>177</v>
      </c>
      <c r="J204" t="s">
        <v>178</v>
      </c>
      <c r="K204" t="s">
        <v>179</v>
      </c>
      <c r="L204" t="s">
        <v>5183</v>
      </c>
      <c r="M204" t="s">
        <v>5184</v>
      </c>
      <c r="N204" t="s">
        <v>5185</v>
      </c>
      <c r="O204" t="s">
        <v>5186</v>
      </c>
      <c r="P204">
        <v>143.821</v>
      </c>
      <c r="Q204" t="s">
        <v>29</v>
      </c>
      <c r="R204" t="s">
        <v>124</v>
      </c>
    </row>
    <row r="205" spans="1:18" x14ac:dyDescent="0.25">
      <c r="A205">
        <v>2006</v>
      </c>
      <c r="B205">
        <v>4892</v>
      </c>
      <c r="C205" t="s">
        <v>5468</v>
      </c>
      <c r="D205" t="s">
        <v>5469</v>
      </c>
      <c r="E205">
        <v>321217</v>
      </c>
      <c r="F205" t="s">
        <v>1702</v>
      </c>
      <c r="G205" t="s">
        <v>151</v>
      </c>
      <c r="H205" t="s">
        <v>21</v>
      </c>
      <c r="I205" t="s">
        <v>35</v>
      </c>
      <c r="J205" t="s">
        <v>36</v>
      </c>
      <c r="K205" t="s">
        <v>37</v>
      </c>
      <c r="L205" t="s">
        <v>5167</v>
      </c>
      <c r="M205" t="s">
        <v>5168</v>
      </c>
      <c r="N205" t="s">
        <v>5169</v>
      </c>
      <c r="O205" t="s">
        <v>5170</v>
      </c>
      <c r="P205">
        <v>85.1</v>
      </c>
      <c r="Q205" t="s">
        <v>40</v>
      </c>
      <c r="R205" t="s">
        <v>430</v>
      </c>
    </row>
    <row r="206" spans="1:18" x14ac:dyDescent="0.25">
      <c r="A206">
        <v>2020</v>
      </c>
      <c r="B206">
        <v>1</v>
      </c>
      <c r="C206" t="s">
        <v>5470</v>
      </c>
      <c r="D206" t="s">
        <v>5470</v>
      </c>
      <c r="E206">
        <v>322112</v>
      </c>
      <c r="F206" t="s">
        <v>660</v>
      </c>
      <c r="G206" t="s">
        <v>621</v>
      </c>
      <c r="H206" t="s">
        <v>85</v>
      </c>
      <c r="I206" t="s">
        <v>191</v>
      </c>
      <c r="J206" t="s">
        <v>192</v>
      </c>
      <c r="K206" t="s">
        <v>193</v>
      </c>
      <c r="L206" t="s">
        <v>5183</v>
      </c>
      <c r="M206" t="s">
        <v>5184</v>
      </c>
      <c r="N206" t="s">
        <v>5169</v>
      </c>
      <c r="O206" t="s">
        <v>5170</v>
      </c>
      <c r="P206">
        <v>0.36</v>
      </c>
      <c r="Q206" t="s">
        <v>29</v>
      </c>
      <c r="R206" t="s">
        <v>124</v>
      </c>
    </row>
    <row r="207" spans="1:18" x14ac:dyDescent="0.25">
      <c r="A207">
        <v>2021</v>
      </c>
      <c r="B207">
        <v>2372</v>
      </c>
      <c r="C207" t="s">
        <v>5405</v>
      </c>
      <c r="D207" t="s">
        <v>5405</v>
      </c>
      <c r="E207">
        <v>212233</v>
      </c>
      <c r="F207" t="s">
        <v>1111</v>
      </c>
      <c r="G207" t="s">
        <v>441</v>
      </c>
      <c r="H207" t="s">
        <v>69</v>
      </c>
      <c r="I207" t="s">
        <v>35</v>
      </c>
      <c r="J207" t="s">
        <v>36</v>
      </c>
      <c r="K207" t="s">
        <v>37</v>
      </c>
      <c r="L207" t="s">
        <v>5183</v>
      </c>
      <c r="M207" t="s">
        <v>5184</v>
      </c>
      <c r="N207" t="s">
        <v>5185</v>
      </c>
      <c r="O207" t="s">
        <v>5186</v>
      </c>
      <c r="P207">
        <v>363763.45</v>
      </c>
      <c r="Q207" t="s">
        <v>40</v>
      </c>
      <c r="R207" t="s">
        <v>124</v>
      </c>
    </row>
    <row r="208" spans="1:18" x14ac:dyDescent="0.25">
      <c r="A208">
        <v>2020</v>
      </c>
      <c r="B208">
        <v>28761</v>
      </c>
      <c r="C208" t="s">
        <v>5471</v>
      </c>
      <c r="D208" t="s">
        <v>5472</v>
      </c>
      <c r="E208">
        <v>331410</v>
      </c>
      <c r="F208" t="s">
        <v>1234</v>
      </c>
      <c r="G208" t="s">
        <v>1235</v>
      </c>
      <c r="H208" t="s">
        <v>1625</v>
      </c>
      <c r="I208" t="s">
        <v>1150</v>
      </c>
      <c r="J208" t="s">
        <v>1151</v>
      </c>
      <c r="K208" t="s">
        <v>1152</v>
      </c>
      <c r="L208" t="s">
        <v>5167</v>
      </c>
      <c r="M208" t="s">
        <v>5168</v>
      </c>
      <c r="N208" t="s">
        <v>5169</v>
      </c>
      <c r="O208" t="s">
        <v>5170</v>
      </c>
      <c r="P208">
        <v>15.911</v>
      </c>
      <c r="Q208" t="s">
        <v>29</v>
      </c>
      <c r="R208" t="s">
        <v>124</v>
      </c>
    </row>
    <row r="209" spans="1:18" x14ac:dyDescent="0.25">
      <c r="A209">
        <v>2015</v>
      </c>
      <c r="B209">
        <v>5112</v>
      </c>
      <c r="C209" t="s">
        <v>5473</v>
      </c>
      <c r="D209" t="s">
        <v>5474</v>
      </c>
      <c r="E209">
        <v>321114</v>
      </c>
      <c r="F209" t="s">
        <v>1212</v>
      </c>
      <c r="G209" t="s">
        <v>366</v>
      </c>
      <c r="H209" t="s">
        <v>69</v>
      </c>
      <c r="I209" t="s">
        <v>244</v>
      </c>
      <c r="J209" t="s">
        <v>245</v>
      </c>
      <c r="K209" t="s">
        <v>246</v>
      </c>
      <c r="L209" t="s">
        <v>5167</v>
      </c>
      <c r="M209" t="s">
        <v>5168</v>
      </c>
      <c r="N209" t="s">
        <v>5169</v>
      </c>
      <c r="O209" t="s">
        <v>5170</v>
      </c>
      <c r="P209">
        <v>589.14499999999998</v>
      </c>
      <c r="Q209" t="s">
        <v>40</v>
      </c>
      <c r="R209" t="s">
        <v>50</v>
      </c>
    </row>
    <row r="210" spans="1:18" x14ac:dyDescent="0.25">
      <c r="A210">
        <v>2019</v>
      </c>
      <c r="B210">
        <v>3571</v>
      </c>
      <c r="C210" t="s">
        <v>5312</v>
      </c>
      <c r="D210" t="s">
        <v>5313</v>
      </c>
      <c r="E210">
        <v>221320</v>
      </c>
      <c r="F210" t="s">
        <v>146</v>
      </c>
      <c r="G210" t="s">
        <v>147</v>
      </c>
      <c r="H210" t="s">
        <v>79</v>
      </c>
      <c r="I210" t="s">
        <v>184</v>
      </c>
      <c r="J210" t="s">
        <v>185</v>
      </c>
      <c r="K210" t="s">
        <v>186</v>
      </c>
      <c r="L210" t="s">
        <v>5167</v>
      </c>
      <c r="M210" t="s">
        <v>5168</v>
      </c>
      <c r="N210" t="s">
        <v>5169</v>
      </c>
      <c r="O210" t="s">
        <v>5170</v>
      </c>
      <c r="P210">
        <v>3100.64</v>
      </c>
      <c r="Q210" t="s">
        <v>40</v>
      </c>
      <c r="R210" t="s">
        <v>124</v>
      </c>
    </row>
    <row r="211" spans="1:18" x14ac:dyDescent="0.25">
      <c r="A211">
        <v>2010</v>
      </c>
      <c r="B211">
        <v>4566</v>
      </c>
      <c r="C211" t="s">
        <v>5475</v>
      </c>
      <c r="D211" t="s">
        <v>5476</v>
      </c>
      <c r="E211">
        <v>211113</v>
      </c>
      <c r="F211" t="s">
        <v>425</v>
      </c>
      <c r="G211" t="s">
        <v>426</v>
      </c>
      <c r="H211" t="s">
        <v>85</v>
      </c>
      <c r="I211" t="s">
        <v>271</v>
      </c>
      <c r="J211" t="s">
        <v>272</v>
      </c>
      <c r="K211" t="s">
        <v>273</v>
      </c>
      <c r="L211" t="s">
        <v>5167</v>
      </c>
      <c r="M211" t="s">
        <v>5168</v>
      </c>
      <c r="N211" t="s">
        <v>5169</v>
      </c>
      <c r="O211" t="s">
        <v>5170</v>
      </c>
      <c r="P211">
        <v>0.01</v>
      </c>
      <c r="Q211" t="s">
        <v>29</v>
      </c>
      <c r="R211" t="s">
        <v>30</v>
      </c>
    </row>
    <row r="212" spans="1:18" x14ac:dyDescent="0.25">
      <c r="A212">
        <v>2014</v>
      </c>
      <c r="B212">
        <v>6796</v>
      </c>
      <c r="C212" t="s">
        <v>5477</v>
      </c>
      <c r="D212" t="s">
        <v>5478</v>
      </c>
      <c r="E212">
        <v>221320</v>
      </c>
      <c r="F212" t="s">
        <v>146</v>
      </c>
      <c r="G212" t="s">
        <v>147</v>
      </c>
      <c r="H212" t="s">
        <v>243</v>
      </c>
      <c r="I212" t="s">
        <v>504</v>
      </c>
      <c r="J212" t="s">
        <v>505</v>
      </c>
      <c r="K212" t="s">
        <v>506</v>
      </c>
      <c r="L212" t="s">
        <v>5183</v>
      </c>
      <c r="M212" t="s">
        <v>5184</v>
      </c>
      <c r="N212" t="s">
        <v>5169</v>
      </c>
      <c r="O212" t="s">
        <v>5170</v>
      </c>
      <c r="P212">
        <v>0</v>
      </c>
      <c r="Q212" t="s">
        <v>29</v>
      </c>
      <c r="R212" t="s">
        <v>30</v>
      </c>
    </row>
    <row r="213" spans="1:18" x14ac:dyDescent="0.25">
      <c r="A213">
        <v>1997</v>
      </c>
      <c r="B213">
        <v>5668</v>
      </c>
      <c r="C213" t="s">
        <v>5479</v>
      </c>
      <c r="E213">
        <v>331511</v>
      </c>
      <c r="F213" t="s">
        <v>160</v>
      </c>
      <c r="G213" t="s">
        <v>161</v>
      </c>
      <c r="H213" t="s">
        <v>21</v>
      </c>
      <c r="I213" t="s">
        <v>244</v>
      </c>
      <c r="J213" t="s">
        <v>245</v>
      </c>
      <c r="K213" t="s">
        <v>246</v>
      </c>
      <c r="L213" t="s">
        <v>5167</v>
      </c>
      <c r="M213" t="s">
        <v>5168</v>
      </c>
      <c r="N213" t="s">
        <v>5169</v>
      </c>
      <c r="O213" t="s">
        <v>5170</v>
      </c>
      <c r="P213">
        <v>0.40500000000000003</v>
      </c>
      <c r="Q213" t="s">
        <v>29</v>
      </c>
      <c r="R213" t="s">
        <v>30</v>
      </c>
    </row>
    <row r="214" spans="1:18" x14ac:dyDescent="0.25">
      <c r="A214">
        <v>2015</v>
      </c>
      <c r="B214">
        <v>11514</v>
      </c>
      <c r="C214" t="s">
        <v>2001</v>
      </c>
      <c r="D214" t="s">
        <v>2002</v>
      </c>
      <c r="E214">
        <v>212232</v>
      </c>
      <c r="F214" t="s">
        <v>2003</v>
      </c>
      <c r="G214" t="s">
        <v>2004</v>
      </c>
      <c r="H214" t="s">
        <v>21</v>
      </c>
      <c r="I214" t="s">
        <v>152</v>
      </c>
      <c r="J214" t="s">
        <v>153</v>
      </c>
      <c r="K214" t="s">
        <v>154</v>
      </c>
      <c r="L214" t="s">
        <v>5183</v>
      </c>
      <c r="M214" t="s">
        <v>5184</v>
      </c>
      <c r="N214" t="s">
        <v>5185</v>
      </c>
      <c r="O214" t="s">
        <v>5186</v>
      </c>
      <c r="P214">
        <v>11.435</v>
      </c>
      <c r="Q214" t="s">
        <v>29</v>
      </c>
      <c r="R214" t="s">
        <v>50</v>
      </c>
    </row>
    <row r="215" spans="1:18" x14ac:dyDescent="0.25">
      <c r="A215">
        <v>1999</v>
      </c>
      <c r="B215">
        <v>5336</v>
      </c>
      <c r="C215" t="s">
        <v>5480</v>
      </c>
      <c r="D215" t="s">
        <v>5481</v>
      </c>
      <c r="E215">
        <v>211113</v>
      </c>
      <c r="F215" t="s">
        <v>425</v>
      </c>
      <c r="G215" t="s">
        <v>426</v>
      </c>
      <c r="H215" t="s">
        <v>85</v>
      </c>
      <c r="I215" t="s">
        <v>152</v>
      </c>
      <c r="J215" t="s">
        <v>153</v>
      </c>
      <c r="K215" t="s">
        <v>154</v>
      </c>
      <c r="L215" t="s">
        <v>5167</v>
      </c>
      <c r="M215" t="s">
        <v>5168</v>
      </c>
      <c r="N215" t="s">
        <v>5169</v>
      </c>
      <c r="O215" t="s">
        <v>5170</v>
      </c>
      <c r="P215">
        <v>1.61</v>
      </c>
      <c r="Q215" t="s">
        <v>29</v>
      </c>
      <c r="R215" t="s">
        <v>50</v>
      </c>
    </row>
    <row r="216" spans="1:18" x14ac:dyDescent="0.25">
      <c r="A216">
        <v>2023</v>
      </c>
      <c r="B216">
        <v>27099</v>
      </c>
      <c r="C216" t="s">
        <v>1718</v>
      </c>
      <c r="D216" t="s">
        <v>5482</v>
      </c>
      <c r="E216">
        <v>211110</v>
      </c>
      <c r="F216" t="s">
        <v>233</v>
      </c>
      <c r="G216" t="s">
        <v>234</v>
      </c>
      <c r="H216" t="s">
        <v>243</v>
      </c>
      <c r="I216" t="s">
        <v>5358</v>
      </c>
      <c r="J216" t="s">
        <v>5359</v>
      </c>
      <c r="K216" t="s">
        <v>5360</v>
      </c>
      <c r="L216" t="s">
        <v>5183</v>
      </c>
      <c r="M216" t="s">
        <v>5184</v>
      </c>
      <c r="N216" t="s">
        <v>5195</v>
      </c>
      <c r="O216" t="s">
        <v>5196</v>
      </c>
      <c r="P216">
        <v>47.768506000000002</v>
      </c>
      <c r="Q216" t="s">
        <v>40</v>
      </c>
      <c r="R216" t="s">
        <v>30</v>
      </c>
    </row>
    <row r="217" spans="1:18" x14ac:dyDescent="0.25">
      <c r="A217">
        <v>2000</v>
      </c>
      <c r="B217">
        <v>2161</v>
      </c>
      <c r="C217" t="s">
        <v>5483</v>
      </c>
      <c r="D217" t="s">
        <v>5484</v>
      </c>
      <c r="E217">
        <v>331110</v>
      </c>
      <c r="F217" t="s">
        <v>335</v>
      </c>
      <c r="G217" t="s">
        <v>336</v>
      </c>
      <c r="H217" t="s">
        <v>21</v>
      </c>
      <c r="I217" t="s">
        <v>136</v>
      </c>
      <c r="J217" t="s">
        <v>137</v>
      </c>
      <c r="K217" t="s">
        <v>138</v>
      </c>
      <c r="L217" t="s">
        <v>5167</v>
      </c>
      <c r="M217" t="s">
        <v>5168</v>
      </c>
      <c r="N217" t="s">
        <v>5169</v>
      </c>
      <c r="O217" t="s">
        <v>5170</v>
      </c>
      <c r="P217">
        <v>313.34100000000001</v>
      </c>
      <c r="Q217" t="s">
        <v>29</v>
      </c>
      <c r="R217" t="s">
        <v>442</v>
      </c>
    </row>
    <row r="218" spans="1:18" x14ac:dyDescent="0.25">
      <c r="A218">
        <v>2011</v>
      </c>
      <c r="B218">
        <v>4161</v>
      </c>
      <c r="C218" t="s">
        <v>5485</v>
      </c>
      <c r="D218" t="s">
        <v>5486</v>
      </c>
      <c r="E218">
        <v>211113</v>
      </c>
      <c r="F218" t="s">
        <v>425</v>
      </c>
      <c r="G218" t="s">
        <v>426</v>
      </c>
      <c r="H218" t="s">
        <v>85</v>
      </c>
      <c r="I218" t="s">
        <v>923</v>
      </c>
      <c r="J218" t="s">
        <v>924</v>
      </c>
      <c r="K218" t="s">
        <v>924</v>
      </c>
      <c r="L218" t="s">
        <v>5167</v>
      </c>
      <c r="M218" t="s">
        <v>5168</v>
      </c>
      <c r="N218" t="s">
        <v>5169</v>
      </c>
      <c r="O218" t="s">
        <v>5170</v>
      </c>
      <c r="P218">
        <v>5.7700000000000001E-2</v>
      </c>
      <c r="Q218" t="s">
        <v>29</v>
      </c>
      <c r="R218" t="s">
        <v>30</v>
      </c>
    </row>
    <row r="219" spans="1:18" x14ac:dyDescent="0.25">
      <c r="A219">
        <v>2016</v>
      </c>
      <c r="B219">
        <v>1338</v>
      </c>
      <c r="C219" t="s">
        <v>212</v>
      </c>
      <c r="D219" t="s">
        <v>597</v>
      </c>
      <c r="E219">
        <v>221320</v>
      </c>
      <c r="F219" t="s">
        <v>146</v>
      </c>
      <c r="G219" t="s">
        <v>147</v>
      </c>
      <c r="H219" t="s">
        <v>69</v>
      </c>
      <c r="I219" t="s">
        <v>504</v>
      </c>
      <c r="J219" t="s">
        <v>505</v>
      </c>
      <c r="K219" t="s">
        <v>506</v>
      </c>
      <c r="L219" t="s">
        <v>5167</v>
      </c>
      <c r="M219" t="s">
        <v>5168</v>
      </c>
      <c r="N219" t="s">
        <v>5169</v>
      </c>
      <c r="O219" t="s">
        <v>5170</v>
      </c>
      <c r="P219">
        <v>23.128799999999998</v>
      </c>
      <c r="Q219" t="s">
        <v>29</v>
      </c>
      <c r="R219" t="s">
        <v>124</v>
      </c>
    </row>
    <row r="220" spans="1:18" x14ac:dyDescent="0.25">
      <c r="A220">
        <v>2009</v>
      </c>
      <c r="B220">
        <v>1473</v>
      </c>
      <c r="C220" t="s">
        <v>5487</v>
      </c>
      <c r="D220" t="s">
        <v>5488</v>
      </c>
      <c r="E220">
        <v>331410</v>
      </c>
      <c r="F220" t="s">
        <v>1453</v>
      </c>
      <c r="G220" t="s">
        <v>1235</v>
      </c>
      <c r="H220" t="s">
        <v>54</v>
      </c>
      <c r="I220" t="s">
        <v>62</v>
      </c>
      <c r="J220" t="s">
        <v>63</v>
      </c>
      <c r="K220" t="s">
        <v>64</v>
      </c>
      <c r="L220" t="s">
        <v>5183</v>
      </c>
      <c r="M220" t="s">
        <v>5184</v>
      </c>
      <c r="N220" t="s">
        <v>5185</v>
      </c>
      <c r="O220" t="s">
        <v>5186</v>
      </c>
      <c r="P220">
        <v>4952</v>
      </c>
      <c r="Q220" t="s">
        <v>29</v>
      </c>
      <c r="R220" t="s">
        <v>124</v>
      </c>
    </row>
    <row r="221" spans="1:18" x14ac:dyDescent="0.25">
      <c r="A221">
        <v>1997</v>
      </c>
      <c r="B221">
        <v>918</v>
      </c>
      <c r="C221" t="s">
        <v>5489</v>
      </c>
      <c r="E221">
        <v>313210</v>
      </c>
      <c r="F221" t="s">
        <v>5490</v>
      </c>
      <c r="G221" t="s">
        <v>5491</v>
      </c>
      <c r="H221" t="s">
        <v>21</v>
      </c>
      <c r="I221" t="s">
        <v>682</v>
      </c>
      <c r="J221" t="s">
        <v>683</v>
      </c>
      <c r="K221" t="s">
        <v>684</v>
      </c>
      <c r="L221" t="s">
        <v>5167</v>
      </c>
      <c r="M221" t="s">
        <v>5168</v>
      </c>
      <c r="N221" t="s">
        <v>5223</v>
      </c>
      <c r="O221" t="s">
        <v>5224</v>
      </c>
      <c r="P221">
        <v>0.24</v>
      </c>
      <c r="Q221" t="s">
        <v>29</v>
      </c>
      <c r="R221" t="s">
        <v>30</v>
      </c>
    </row>
    <row r="222" spans="1:18" x14ac:dyDescent="0.25">
      <c r="A222">
        <v>1997</v>
      </c>
      <c r="B222">
        <v>4610</v>
      </c>
      <c r="C222" t="s">
        <v>1210</v>
      </c>
      <c r="D222" t="s">
        <v>5492</v>
      </c>
      <c r="E222">
        <v>321114</v>
      </c>
      <c r="F222" t="s">
        <v>365</v>
      </c>
      <c r="G222" t="s">
        <v>366</v>
      </c>
      <c r="H222" t="s">
        <v>69</v>
      </c>
      <c r="I222" t="s">
        <v>844</v>
      </c>
      <c r="J222" t="s">
        <v>845</v>
      </c>
      <c r="K222" t="s">
        <v>846</v>
      </c>
      <c r="L222" t="s">
        <v>5167</v>
      </c>
      <c r="M222" t="s">
        <v>5168</v>
      </c>
      <c r="N222" t="s">
        <v>5169</v>
      </c>
      <c r="O222" t="s">
        <v>5170</v>
      </c>
      <c r="P222">
        <v>2E-3</v>
      </c>
      <c r="Q222" t="s">
        <v>29</v>
      </c>
      <c r="R222" t="s">
        <v>30</v>
      </c>
    </row>
    <row r="223" spans="1:18" x14ac:dyDescent="0.25">
      <c r="A223">
        <v>2016</v>
      </c>
      <c r="B223">
        <v>1797</v>
      </c>
      <c r="C223" t="s">
        <v>5369</v>
      </c>
      <c r="D223" t="s">
        <v>5493</v>
      </c>
      <c r="E223">
        <v>322112</v>
      </c>
      <c r="F223" t="s">
        <v>660</v>
      </c>
      <c r="G223" t="s">
        <v>621</v>
      </c>
      <c r="H223" t="s">
        <v>69</v>
      </c>
      <c r="I223" t="s">
        <v>811</v>
      </c>
      <c r="J223" t="s">
        <v>812</v>
      </c>
      <c r="K223" t="s">
        <v>813</v>
      </c>
      <c r="L223" t="s">
        <v>5183</v>
      </c>
      <c r="M223" t="s">
        <v>5184</v>
      </c>
      <c r="N223" t="s">
        <v>5169</v>
      </c>
      <c r="O223" t="s">
        <v>5170</v>
      </c>
      <c r="P223">
        <v>2.831</v>
      </c>
      <c r="Q223" t="s">
        <v>40</v>
      </c>
      <c r="R223" t="s">
        <v>430</v>
      </c>
    </row>
    <row r="224" spans="1:18" x14ac:dyDescent="0.25">
      <c r="A224">
        <v>2010</v>
      </c>
      <c r="B224">
        <v>3916</v>
      </c>
      <c r="C224" t="s">
        <v>2255</v>
      </c>
      <c r="D224" t="s">
        <v>5494</v>
      </c>
      <c r="E224">
        <v>331410</v>
      </c>
      <c r="F224" t="s">
        <v>1453</v>
      </c>
      <c r="G224" t="s">
        <v>1235</v>
      </c>
      <c r="H224" t="s">
        <v>79</v>
      </c>
      <c r="I224" t="s">
        <v>255</v>
      </c>
      <c r="J224" t="s">
        <v>256</v>
      </c>
      <c r="K224" t="s">
        <v>257</v>
      </c>
      <c r="L224" t="s">
        <v>5167</v>
      </c>
      <c r="M224" t="s">
        <v>5168</v>
      </c>
      <c r="N224" t="s">
        <v>5169</v>
      </c>
      <c r="O224" t="s">
        <v>5170</v>
      </c>
      <c r="P224">
        <v>7.5200000000000003E-2</v>
      </c>
      <c r="Q224" t="s">
        <v>29</v>
      </c>
      <c r="R224" t="s">
        <v>124</v>
      </c>
    </row>
    <row r="225" spans="1:18" x14ac:dyDescent="0.25">
      <c r="A225">
        <v>2003</v>
      </c>
      <c r="B225">
        <v>5307</v>
      </c>
      <c r="C225" t="s">
        <v>5495</v>
      </c>
      <c r="D225" t="s">
        <v>5496</v>
      </c>
      <c r="E225">
        <v>221320</v>
      </c>
      <c r="F225" t="s">
        <v>390</v>
      </c>
      <c r="G225" t="s">
        <v>147</v>
      </c>
      <c r="H225" t="s">
        <v>85</v>
      </c>
      <c r="I225" t="s">
        <v>177</v>
      </c>
      <c r="J225" t="s">
        <v>178</v>
      </c>
      <c r="K225" t="s">
        <v>179</v>
      </c>
      <c r="L225" t="s">
        <v>5167</v>
      </c>
      <c r="M225" t="s">
        <v>5168</v>
      </c>
      <c r="N225" t="s">
        <v>5169</v>
      </c>
      <c r="O225" t="s">
        <v>5170</v>
      </c>
      <c r="P225">
        <v>7.2510000000000003</v>
      </c>
      <c r="Q225" t="s">
        <v>29</v>
      </c>
      <c r="R225" t="s">
        <v>124</v>
      </c>
    </row>
    <row r="226" spans="1:18" x14ac:dyDescent="0.25">
      <c r="A226">
        <v>2014</v>
      </c>
      <c r="B226">
        <v>21585</v>
      </c>
      <c r="C226" t="s">
        <v>65</v>
      </c>
      <c r="D226" t="s">
        <v>66</v>
      </c>
      <c r="E226">
        <v>562110</v>
      </c>
      <c r="F226" t="s">
        <v>644</v>
      </c>
      <c r="G226" t="s">
        <v>645</v>
      </c>
      <c r="H226" t="s">
        <v>69</v>
      </c>
      <c r="I226" t="s">
        <v>22</v>
      </c>
      <c r="J226" t="s">
        <v>23</v>
      </c>
      <c r="K226" t="s">
        <v>24</v>
      </c>
      <c r="L226" t="s">
        <v>5167</v>
      </c>
      <c r="M226" t="s">
        <v>5168</v>
      </c>
      <c r="N226" t="s">
        <v>5169</v>
      </c>
      <c r="O226" t="s">
        <v>5170</v>
      </c>
      <c r="P226">
        <v>1.0900000000000001</v>
      </c>
      <c r="Q226" t="s">
        <v>29</v>
      </c>
      <c r="R226" t="s">
        <v>50</v>
      </c>
    </row>
    <row r="227" spans="1:18" x14ac:dyDescent="0.25">
      <c r="A227">
        <v>2001</v>
      </c>
      <c r="B227">
        <v>4173</v>
      </c>
      <c r="C227" t="s">
        <v>5449</v>
      </c>
      <c r="D227" t="s">
        <v>5497</v>
      </c>
      <c r="E227">
        <v>336110</v>
      </c>
      <c r="F227" t="s">
        <v>377</v>
      </c>
      <c r="G227" t="s">
        <v>44</v>
      </c>
      <c r="H227" t="s">
        <v>21</v>
      </c>
      <c r="I227" t="s">
        <v>271</v>
      </c>
      <c r="J227" t="s">
        <v>272</v>
      </c>
      <c r="K227" t="s">
        <v>273</v>
      </c>
      <c r="L227" t="s">
        <v>5167</v>
      </c>
      <c r="M227" t="s">
        <v>5168</v>
      </c>
      <c r="N227" t="s">
        <v>5169</v>
      </c>
      <c r="O227" t="s">
        <v>5170</v>
      </c>
      <c r="P227">
        <v>1E-3</v>
      </c>
      <c r="Q227" t="s">
        <v>29</v>
      </c>
      <c r="R227" t="s">
        <v>30</v>
      </c>
    </row>
    <row r="228" spans="1:18" x14ac:dyDescent="0.25">
      <c r="A228">
        <v>2021</v>
      </c>
      <c r="B228">
        <v>10228</v>
      </c>
      <c r="C228" t="s">
        <v>125</v>
      </c>
      <c r="D228" t="s">
        <v>1222</v>
      </c>
      <c r="E228">
        <v>412110</v>
      </c>
      <c r="F228" t="s">
        <v>127</v>
      </c>
      <c r="G228" t="s">
        <v>128</v>
      </c>
      <c r="H228" t="s">
        <v>243</v>
      </c>
      <c r="I228" t="s">
        <v>1878</v>
      </c>
      <c r="J228" t="s">
        <v>1879</v>
      </c>
      <c r="K228" t="s">
        <v>1880</v>
      </c>
      <c r="L228" t="s">
        <v>5167</v>
      </c>
      <c r="M228" t="s">
        <v>5168</v>
      </c>
      <c r="N228" t="s">
        <v>5223</v>
      </c>
      <c r="O228" t="s">
        <v>5224</v>
      </c>
      <c r="P228">
        <v>7.0000000000000001E-3</v>
      </c>
      <c r="Q228" t="s">
        <v>40</v>
      </c>
      <c r="R228" t="s">
        <v>30</v>
      </c>
    </row>
    <row r="229" spans="1:18" x14ac:dyDescent="0.25">
      <c r="A229">
        <v>2013</v>
      </c>
      <c r="B229">
        <v>3197</v>
      </c>
      <c r="C229" t="s">
        <v>5498</v>
      </c>
      <c r="D229" t="s">
        <v>5499</v>
      </c>
      <c r="E229">
        <v>212220</v>
      </c>
      <c r="F229" t="s">
        <v>1619</v>
      </c>
      <c r="G229" t="s">
        <v>1620</v>
      </c>
      <c r="H229" t="s">
        <v>21</v>
      </c>
      <c r="I229" t="s">
        <v>136</v>
      </c>
      <c r="J229" t="s">
        <v>137</v>
      </c>
      <c r="K229" t="s">
        <v>138</v>
      </c>
      <c r="L229" t="s">
        <v>5183</v>
      </c>
      <c r="M229" t="s">
        <v>5184</v>
      </c>
      <c r="N229" t="s">
        <v>5185</v>
      </c>
      <c r="O229" t="s">
        <v>5186</v>
      </c>
      <c r="P229">
        <v>684.39700000000005</v>
      </c>
      <c r="Q229" t="s">
        <v>29</v>
      </c>
      <c r="R229" t="s">
        <v>124</v>
      </c>
    </row>
    <row r="230" spans="1:18" x14ac:dyDescent="0.25">
      <c r="A230">
        <v>2020</v>
      </c>
      <c r="B230">
        <v>4803</v>
      </c>
      <c r="C230" t="s">
        <v>1621</v>
      </c>
      <c r="D230" t="s">
        <v>1687</v>
      </c>
      <c r="E230">
        <v>322122</v>
      </c>
      <c r="F230" t="s">
        <v>1061</v>
      </c>
      <c r="G230" t="s">
        <v>1062</v>
      </c>
      <c r="H230" t="s">
        <v>79</v>
      </c>
      <c r="I230" t="s">
        <v>461</v>
      </c>
      <c r="J230" t="s">
        <v>462</v>
      </c>
      <c r="K230" t="s">
        <v>463</v>
      </c>
      <c r="L230" t="s">
        <v>5167</v>
      </c>
      <c r="M230" t="s">
        <v>5168</v>
      </c>
      <c r="N230" t="s">
        <v>5175</v>
      </c>
      <c r="O230" t="s">
        <v>5176</v>
      </c>
      <c r="P230">
        <v>2.4300000000000002</v>
      </c>
      <c r="Q230" t="s">
        <v>40</v>
      </c>
      <c r="R230" t="s">
        <v>50</v>
      </c>
    </row>
    <row r="231" spans="1:18" x14ac:dyDescent="0.25">
      <c r="A231">
        <v>2020</v>
      </c>
      <c r="B231">
        <v>99</v>
      </c>
      <c r="C231" t="s">
        <v>5500</v>
      </c>
      <c r="D231" t="s">
        <v>5235</v>
      </c>
      <c r="E231">
        <v>212220</v>
      </c>
      <c r="F231" t="s">
        <v>1619</v>
      </c>
      <c r="G231" t="s">
        <v>1620</v>
      </c>
      <c r="H231" t="s">
        <v>79</v>
      </c>
      <c r="I231" t="s">
        <v>209</v>
      </c>
      <c r="J231" t="s">
        <v>210</v>
      </c>
      <c r="K231" t="s">
        <v>211</v>
      </c>
      <c r="L231" t="s">
        <v>5183</v>
      </c>
      <c r="M231" t="s">
        <v>5184</v>
      </c>
      <c r="N231" t="s">
        <v>5185</v>
      </c>
      <c r="O231" t="s">
        <v>5186</v>
      </c>
      <c r="P231">
        <v>393.72</v>
      </c>
      <c r="Q231" t="s">
        <v>29</v>
      </c>
      <c r="R231" t="s">
        <v>124</v>
      </c>
    </row>
    <row r="232" spans="1:18" x14ac:dyDescent="0.25">
      <c r="A232">
        <v>2006</v>
      </c>
      <c r="B232">
        <v>930</v>
      </c>
      <c r="C232" t="s">
        <v>1554</v>
      </c>
      <c r="D232" t="s">
        <v>5501</v>
      </c>
      <c r="E232">
        <v>322112</v>
      </c>
      <c r="F232" t="s">
        <v>620</v>
      </c>
      <c r="G232" t="s">
        <v>621</v>
      </c>
      <c r="H232" t="s">
        <v>21</v>
      </c>
      <c r="I232" t="s">
        <v>136</v>
      </c>
      <c r="J232" t="s">
        <v>137</v>
      </c>
      <c r="K232" t="s">
        <v>138</v>
      </c>
      <c r="L232" t="s">
        <v>5167</v>
      </c>
      <c r="M232" t="s">
        <v>5168</v>
      </c>
      <c r="N232" t="s">
        <v>5169</v>
      </c>
      <c r="O232" t="s">
        <v>5170</v>
      </c>
      <c r="P232">
        <v>102.619</v>
      </c>
      <c r="Q232" t="s">
        <v>29</v>
      </c>
      <c r="R232" t="s">
        <v>157</v>
      </c>
    </row>
    <row r="233" spans="1:18" x14ac:dyDescent="0.25">
      <c r="A233">
        <v>2002</v>
      </c>
      <c r="B233">
        <v>3766</v>
      </c>
      <c r="C233" t="s">
        <v>881</v>
      </c>
      <c r="D233" t="s">
        <v>5502</v>
      </c>
      <c r="E233">
        <v>336990</v>
      </c>
      <c r="F233" t="s">
        <v>5503</v>
      </c>
      <c r="G233" t="s">
        <v>1096</v>
      </c>
      <c r="H233" t="s">
        <v>21</v>
      </c>
      <c r="I233" t="s">
        <v>209</v>
      </c>
      <c r="J233" t="s">
        <v>210</v>
      </c>
      <c r="K233" t="s">
        <v>211</v>
      </c>
      <c r="L233" t="s">
        <v>5167</v>
      </c>
      <c r="M233" t="s">
        <v>5168</v>
      </c>
      <c r="N233" t="s">
        <v>5169</v>
      </c>
      <c r="O233" t="s">
        <v>5170</v>
      </c>
      <c r="P233">
        <v>0.45100000000000001</v>
      </c>
      <c r="Q233" t="s">
        <v>29</v>
      </c>
      <c r="R233" t="s">
        <v>30</v>
      </c>
    </row>
    <row r="234" spans="1:18" x14ac:dyDescent="0.25">
      <c r="A234">
        <v>2019</v>
      </c>
      <c r="B234">
        <v>10218</v>
      </c>
      <c r="C234" t="s">
        <v>125</v>
      </c>
      <c r="D234" t="s">
        <v>534</v>
      </c>
      <c r="E234">
        <v>412110</v>
      </c>
      <c r="F234" t="s">
        <v>127</v>
      </c>
      <c r="G234" t="s">
        <v>128</v>
      </c>
      <c r="H234" t="s">
        <v>85</v>
      </c>
      <c r="I234" t="s">
        <v>271</v>
      </c>
      <c r="J234" t="s">
        <v>272</v>
      </c>
      <c r="K234" t="s">
        <v>273</v>
      </c>
      <c r="L234" t="s">
        <v>5167</v>
      </c>
      <c r="M234" t="s">
        <v>5168</v>
      </c>
      <c r="N234" t="s">
        <v>5169</v>
      </c>
      <c r="O234" t="s">
        <v>5170</v>
      </c>
      <c r="P234">
        <v>1.9133</v>
      </c>
      <c r="Q234" t="s">
        <v>29</v>
      </c>
      <c r="R234" t="s">
        <v>30</v>
      </c>
    </row>
    <row r="235" spans="1:18" x14ac:dyDescent="0.25">
      <c r="A235">
        <v>2022</v>
      </c>
      <c r="B235">
        <v>1812</v>
      </c>
      <c r="C235" t="s">
        <v>5288</v>
      </c>
      <c r="D235" t="s">
        <v>5289</v>
      </c>
      <c r="E235">
        <v>221112</v>
      </c>
      <c r="F235" t="s">
        <v>499</v>
      </c>
      <c r="G235" t="s">
        <v>135</v>
      </c>
      <c r="H235" t="s">
        <v>21</v>
      </c>
      <c r="I235" t="s">
        <v>628</v>
      </c>
      <c r="J235" t="s">
        <v>629</v>
      </c>
      <c r="K235" t="s">
        <v>630</v>
      </c>
      <c r="L235" t="s">
        <v>5167</v>
      </c>
      <c r="M235" t="s">
        <v>5168</v>
      </c>
      <c r="N235" t="s">
        <v>5169</v>
      </c>
      <c r="O235" t="s">
        <v>5170</v>
      </c>
      <c r="P235">
        <v>5.0000000000000004E-6</v>
      </c>
      <c r="Q235" t="s">
        <v>631</v>
      </c>
      <c r="R235" t="s">
        <v>5282</v>
      </c>
    </row>
    <row r="236" spans="1:18" x14ac:dyDescent="0.25">
      <c r="A236">
        <v>2021</v>
      </c>
      <c r="B236">
        <v>6108</v>
      </c>
      <c r="C236" t="s">
        <v>5504</v>
      </c>
      <c r="D236" t="s">
        <v>5505</v>
      </c>
      <c r="E236">
        <v>311119</v>
      </c>
      <c r="F236" t="s">
        <v>1959</v>
      </c>
      <c r="G236" t="s">
        <v>1960</v>
      </c>
      <c r="H236" t="s">
        <v>79</v>
      </c>
      <c r="I236" t="s">
        <v>97</v>
      </c>
      <c r="J236" t="s">
        <v>98</v>
      </c>
      <c r="K236" t="s">
        <v>99</v>
      </c>
      <c r="L236" t="s">
        <v>5167</v>
      </c>
      <c r="M236" t="s">
        <v>5168</v>
      </c>
      <c r="N236" t="s">
        <v>5169</v>
      </c>
      <c r="O236" t="s">
        <v>5170</v>
      </c>
      <c r="P236">
        <v>1.091</v>
      </c>
      <c r="Q236" t="s">
        <v>29</v>
      </c>
      <c r="R236" t="s">
        <v>50</v>
      </c>
    </row>
    <row r="237" spans="1:18" x14ac:dyDescent="0.25">
      <c r="A237">
        <v>2001</v>
      </c>
      <c r="B237">
        <v>2128</v>
      </c>
      <c r="C237" t="s">
        <v>1961</v>
      </c>
      <c r="D237" t="s">
        <v>5506</v>
      </c>
      <c r="E237">
        <v>211114</v>
      </c>
      <c r="F237" t="s">
        <v>835</v>
      </c>
      <c r="G237" t="s">
        <v>836</v>
      </c>
      <c r="H237" t="s">
        <v>85</v>
      </c>
      <c r="I237" t="s">
        <v>70</v>
      </c>
      <c r="J237" t="s">
        <v>71</v>
      </c>
      <c r="K237" t="s">
        <v>72</v>
      </c>
      <c r="L237" t="s">
        <v>5183</v>
      </c>
      <c r="M237" t="s">
        <v>5184</v>
      </c>
      <c r="N237" t="s">
        <v>5169</v>
      </c>
      <c r="O237" t="s">
        <v>5170</v>
      </c>
      <c r="P237">
        <v>0</v>
      </c>
      <c r="Q237" t="s">
        <v>29</v>
      </c>
      <c r="R237" t="s">
        <v>442</v>
      </c>
    </row>
    <row r="238" spans="1:18" x14ac:dyDescent="0.25">
      <c r="A238">
        <v>2010</v>
      </c>
      <c r="B238">
        <v>5911</v>
      </c>
      <c r="C238" t="s">
        <v>5507</v>
      </c>
      <c r="D238" t="s">
        <v>5508</v>
      </c>
      <c r="E238">
        <v>322299</v>
      </c>
      <c r="F238" t="s">
        <v>906</v>
      </c>
      <c r="G238" t="s">
        <v>716</v>
      </c>
      <c r="H238" t="s">
        <v>21</v>
      </c>
      <c r="I238" t="s">
        <v>80</v>
      </c>
      <c r="J238" t="s">
        <v>81</v>
      </c>
      <c r="K238" t="s">
        <v>82</v>
      </c>
      <c r="L238" t="s">
        <v>5167</v>
      </c>
      <c r="M238" t="s">
        <v>5168</v>
      </c>
      <c r="N238" t="s">
        <v>5169</v>
      </c>
      <c r="O238" t="s">
        <v>5170</v>
      </c>
      <c r="P238">
        <v>0</v>
      </c>
      <c r="Q238" t="s">
        <v>29</v>
      </c>
      <c r="R238" t="s">
        <v>50</v>
      </c>
    </row>
    <row r="239" spans="1:18" x14ac:dyDescent="0.25">
      <c r="A239">
        <v>2015</v>
      </c>
      <c r="B239">
        <v>407</v>
      </c>
      <c r="C239" t="s">
        <v>1043</v>
      </c>
      <c r="D239" t="s">
        <v>5459</v>
      </c>
      <c r="E239">
        <v>211113</v>
      </c>
      <c r="F239" t="s">
        <v>786</v>
      </c>
      <c r="G239" t="s">
        <v>426</v>
      </c>
      <c r="H239" t="s">
        <v>85</v>
      </c>
      <c r="I239" t="s">
        <v>1549</v>
      </c>
      <c r="J239" t="s">
        <v>1550</v>
      </c>
      <c r="K239" t="s">
        <v>1551</v>
      </c>
      <c r="L239" t="s">
        <v>5183</v>
      </c>
      <c r="M239" t="s">
        <v>5184</v>
      </c>
      <c r="N239" t="s">
        <v>5195</v>
      </c>
      <c r="O239" t="s">
        <v>5196</v>
      </c>
      <c r="P239">
        <v>1.5922000000000001</v>
      </c>
      <c r="Q239" t="s">
        <v>29</v>
      </c>
      <c r="R239" t="s">
        <v>30</v>
      </c>
    </row>
    <row r="240" spans="1:18" x14ac:dyDescent="0.25">
      <c r="A240">
        <v>2005</v>
      </c>
      <c r="B240">
        <v>3903</v>
      </c>
      <c r="C240" t="s">
        <v>634</v>
      </c>
      <c r="D240" t="s">
        <v>5509</v>
      </c>
      <c r="E240">
        <v>324110</v>
      </c>
      <c r="F240" t="s">
        <v>95</v>
      </c>
      <c r="G240" t="s">
        <v>96</v>
      </c>
      <c r="H240" t="s">
        <v>85</v>
      </c>
      <c r="I240" t="s">
        <v>184</v>
      </c>
      <c r="J240" t="s">
        <v>185</v>
      </c>
      <c r="K240" t="s">
        <v>186</v>
      </c>
      <c r="L240" t="s">
        <v>5183</v>
      </c>
      <c r="M240" t="s">
        <v>5184</v>
      </c>
      <c r="N240" t="s">
        <v>5195</v>
      </c>
      <c r="O240" t="s">
        <v>5196</v>
      </c>
      <c r="P240">
        <v>7.0000000000000001E-3</v>
      </c>
      <c r="Q240" t="s">
        <v>29</v>
      </c>
      <c r="R240" t="s">
        <v>30</v>
      </c>
    </row>
    <row r="241" spans="1:18" x14ac:dyDescent="0.25">
      <c r="A241">
        <v>2017</v>
      </c>
      <c r="B241">
        <v>3470</v>
      </c>
      <c r="C241" t="s">
        <v>1694</v>
      </c>
      <c r="D241" t="s">
        <v>5510</v>
      </c>
      <c r="E241">
        <v>326210</v>
      </c>
      <c r="F241" t="s">
        <v>1696</v>
      </c>
      <c r="G241" t="s">
        <v>968</v>
      </c>
      <c r="H241" t="s">
        <v>483</v>
      </c>
      <c r="I241" t="s">
        <v>184</v>
      </c>
      <c r="J241" t="s">
        <v>185</v>
      </c>
      <c r="K241" t="s">
        <v>186</v>
      </c>
      <c r="L241" t="s">
        <v>5167</v>
      </c>
      <c r="M241" t="s">
        <v>5168</v>
      </c>
      <c r="N241" t="s">
        <v>5169</v>
      </c>
      <c r="O241" t="s">
        <v>5170</v>
      </c>
      <c r="P241">
        <v>228</v>
      </c>
      <c r="Q241" t="s">
        <v>40</v>
      </c>
      <c r="R241" t="s">
        <v>50</v>
      </c>
    </row>
    <row r="242" spans="1:18" x14ac:dyDescent="0.25">
      <c r="A242">
        <v>2020</v>
      </c>
      <c r="B242">
        <v>11456</v>
      </c>
      <c r="C242" t="s">
        <v>5511</v>
      </c>
      <c r="D242" t="s">
        <v>5512</v>
      </c>
      <c r="E242">
        <v>562210</v>
      </c>
      <c r="F242" t="s">
        <v>84</v>
      </c>
      <c r="G242" t="s">
        <v>53</v>
      </c>
      <c r="H242" t="s">
        <v>21</v>
      </c>
      <c r="I242" t="s">
        <v>504</v>
      </c>
      <c r="J242" t="s">
        <v>505</v>
      </c>
      <c r="K242" t="s">
        <v>506</v>
      </c>
      <c r="L242" t="s">
        <v>5183</v>
      </c>
      <c r="M242" t="s">
        <v>5184</v>
      </c>
      <c r="N242" t="s">
        <v>5175</v>
      </c>
      <c r="O242" t="s">
        <v>5176</v>
      </c>
      <c r="P242">
        <v>1.5620000000000001</v>
      </c>
      <c r="Q242" t="s">
        <v>29</v>
      </c>
      <c r="R242" t="s">
        <v>124</v>
      </c>
    </row>
    <row r="243" spans="1:18" x14ac:dyDescent="0.25">
      <c r="A243">
        <v>1998</v>
      </c>
      <c r="B243">
        <v>3515</v>
      </c>
      <c r="C243" t="s">
        <v>5513</v>
      </c>
      <c r="D243" t="s">
        <v>5514</v>
      </c>
      <c r="E243">
        <v>332999</v>
      </c>
      <c r="F243" t="s">
        <v>309</v>
      </c>
      <c r="G243" t="s">
        <v>304</v>
      </c>
      <c r="H243" t="s">
        <v>79</v>
      </c>
      <c r="I243" t="s">
        <v>177</v>
      </c>
      <c r="J243" t="s">
        <v>178</v>
      </c>
      <c r="K243" t="s">
        <v>179</v>
      </c>
      <c r="L243" t="s">
        <v>5167</v>
      </c>
      <c r="M243" t="s">
        <v>5168</v>
      </c>
      <c r="N243" t="s">
        <v>5169</v>
      </c>
      <c r="O243" t="s">
        <v>5170</v>
      </c>
      <c r="P243">
        <v>0.95</v>
      </c>
      <c r="Q243" t="s">
        <v>29</v>
      </c>
      <c r="R243" t="s">
        <v>50</v>
      </c>
    </row>
    <row r="244" spans="1:18" x14ac:dyDescent="0.25">
      <c r="A244">
        <v>2022</v>
      </c>
      <c r="B244">
        <v>2134</v>
      </c>
      <c r="C244" t="s">
        <v>5515</v>
      </c>
      <c r="D244" t="s">
        <v>1338</v>
      </c>
      <c r="E244">
        <v>325313</v>
      </c>
      <c r="F244" t="s">
        <v>1054</v>
      </c>
      <c r="G244" t="s">
        <v>1055</v>
      </c>
      <c r="H244" t="s">
        <v>85</v>
      </c>
      <c r="I244" t="s">
        <v>152</v>
      </c>
      <c r="J244" t="s">
        <v>153</v>
      </c>
      <c r="K244" t="s">
        <v>154</v>
      </c>
      <c r="L244" t="s">
        <v>5183</v>
      </c>
      <c r="M244" t="s">
        <v>5184</v>
      </c>
      <c r="N244" t="s">
        <v>5195</v>
      </c>
      <c r="O244" t="s">
        <v>5196</v>
      </c>
      <c r="P244">
        <v>2.4E-2</v>
      </c>
      <c r="Q244" t="s">
        <v>29</v>
      </c>
      <c r="R244" t="s">
        <v>124</v>
      </c>
    </row>
    <row r="245" spans="1:18" x14ac:dyDescent="0.25">
      <c r="A245">
        <v>2007</v>
      </c>
      <c r="B245">
        <v>271</v>
      </c>
      <c r="C245" t="s">
        <v>5516</v>
      </c>
      <c r="D245" t="s">
        <v>5517</v>
      </c>
      <c r="E245">
        <v>322112</v>
      </c>
      <c r="F245" t="s">
        <v>620</v>
      </c>
      <c r="G245" t="s">
        <v>621</v>
      </c>
      <c r="H245" t="s">
        <v>79</v>
      </c>
      <c r="I245" t="s">
        <v>811</v>
      </c>
      <c r="J245" t="s">
        <v>812</v>
      </c>
      <c r="K245" t="s">
        <v>813</v>
      </c>
      <c r="L245" t="s">
        <v>5183</v>
      </c>
      <c r="M245" t="s">
        <v>5184</v>
      </c>
      <c r="N245" t="s">
        <v>5169</v>
      </c>
      <c r="O245" t="s">
        <v>5170</v>
      </c>
      <c r="P245">
        <v>1.39</v>
      </c>
      <c r="Q245" t="s">
        <v>40</v>
      </c>
      <c r="R245" t="s">
        <v>430</v>
      </c>
    </row>
    <row r="246" spans="1:18" x14ac:dyDescent="0.25">
      <c r="A246">
        <v>2019</v>
      </c>
      <c r="B246">
        <v>3941</v>
      </c>
      <c r="C246" t="s">
        <v>231</v>
      </c>
      <c r="D246" t="s">
        <v>5518</v>
      </c>
      <c r="E246">
        <v>211110</v>
      </c>
      <c r="F246" t="s">
        <v>233</v>
      </c>
      <c r="G246" t="s">
        <v>234</v>
      </c>
      <c r="H246" t="s">
        <v>85</v>
      </c>
      <c r="I246" t="s">
        <v>1549</v>
      </c>
      <c r="J246" t="s">
        <v>1550</v>
      </c>
      <c r="K246" t="s">
        <v>1551</v>
      </c>
      <c r="L246" t="s">
        <v>5167</v>
      </c>
      <c r="M246" t="s">
        <v>5168</v>
      </c>
      <c r="N246" t="s">
        <v>5195</v>
      </c>
      <c r="O246" t="s">
        <v>5196</v>
      </c>
      <c r="P246">
        <v>15.223100000000001</v>
      </c>
      <c r="Q246" t="s">
        <v>29</v>
      </c>
      <c r="R246" t="s">
        <v>124</v>
      </c>
    </row>
    <row r="247" spans="1:18" x14ac:dyDescent="0.25">
      <c r="A247">
        <v>1996</v>
      </c>
      <c r="B247">
        <v>4416</v>
      </c>
      <c r="C247" t="s">
        <v>758</v>
      </c>
      <c r="D247" t="s">
        <v>759</v>
      </c>
      <c r="E247">
        <v>331529</v>
      </c>
      <c r="F247" t="s">
        <v>760</v>
      </c>
      <c r="G247" t="s">
        <v>761</v>
      </c>
      <c r="H247" t="s">
        <v>21</v>
      </c>
      <c r="I247" t="s">
        <v>177</v>
      </c>
      <c r="J247" t="s">
        <v>178</v>
      </c>
      <c r="K247" t="s">
        <v>179</v>
      </c>
      <c r="L247" t="s">
        <v>5167</v>
      </c>
      <c r="M247" t="s">
        <v>5168</v>
      </c>
      <c r="N247" t="s">
        <v>5169</v>
      </c>
      <c r="O247" t="s">
        <v>5170</v>
      </c>
      <c r="P247">
        <v>0.56999999999999995</v>
      </c>
      <c r="Q247" t="s">
        <v>29</v>
      </c>
      <c r="R247" t="s">
        <v>30</v>
      </c>
    </row>
    <row r="248" spans="1:18" x14ac:dyDescent="0.25">
      <c r="A248">
        <v>1997</v>
      </c>
      <c r="B248">
        <v>5645</v>
      </c>
      <c r="C248" t="s">
        <v>5204</v>
      </c>
      <c r="D248" t="s">
        <v>5205</v>
      </c>
      <c r="E248">
        <v>562210</v>
      </c>
      <c r="F248" t="s">
        <v>52</v>
      </c>
      <c r="G248" t="s">
        <v>53</v>
      </c>
      <c r="H248" t="s">
        <v>21</v>
      </c>
      <c r="I248" t="s">
        <v>730</v>
      </c>
      <c r="J248" t="s">
        <v>731</v>
      </c>
      <c r="K248" t="s">
        <v>732</v>
      </c>
      <c r="L248" t="s">
        <v>5167</v>
      </c>
      <c r="M248" t="s">
        <v>5168</v>
      </c>
      <c r="N248" t="s">
        <v>5223</v>
      </c>
      <c r="O248" t="s">
        <v>5224</v>
      </c>
      <c r="P248">
        <v>1.5609999999999999</v>
      </c>
      <c r="Q248" t="s">
        <v>29</v>
      </c>
      <c r="R248" t="s">
        <v>30</v>
      </c>
    </row>
    <row r="249" spans="1:18" x14ac:dyDescent="0.25">
      <c r="A249">
        <v>2020</v>
      </c>
      <c r="B249">
        <v>26403</v>
      </c>
      <c r="C249" t="s">
        <v>1168</v>
      </c>
      <c r="D249" t="s">
        <v>1169</v>
      </c>
      <c r="E249">
        <v>211142</v>
      </c>
      <c r="F249" t="s">
        <v>357</v>
      </c>
      <c r="G249" t="s">
        <v>358</v>
      </c>
      <c r="H249" t="s">
        <v>85</v>
      </c>
      <c r="I249" t="s">
        <v>847</v>
      </c>
      <c r="J249" t="s">
        <v>848</v>
      </c>
      <c r="K249" t="s">
        <v>849</v>
      </c>
      <c r="L249" t="s">
        <v>5183</v>
      </c>
      <c r="M249" t="s">
        <v>5184</v>
      </c>
      <c r="N249" t="s">
        <v>5185</v>
      </c>
      <c r="O249" t="s">
        <v>5186</v>
      </c>
      <c r="P249">
        <v>11.802270999999999</v>
      </c>
      <c r="Q249" t="s">
        <v>40</v>
      </c>
      <c r="R249" t="s">
        <v>124</v>
      </c>
    </row>
    <row r="250" spans="1:18" x14ac:dyDescent="0.25">
      <c r="A250">
        <v>2020</v>
      </c>
      <c r="B250">
        <v>267</v>
      </c>
      <c r="C250" t="s">
        <v>5519</v>
      </c>
      <c r="D250" t="s">
        <v>5520</v>
      </c>
      <c r="E250">
        <v>221112</v>
      </c>
      <c r="F250" t="s">
        <v>499</v>
      </c>
      <c r="G250" t="s">
        <v>135</v>
      </c>
      <c r="H250" t="s">
        <v>85</v>
      </c>
      <c r="I250" t="s">
        <v>1295</v>
      </c>
      <c r="J250" t="s">
        <v>1296</v>
      </c>
      <c r="K250" t="s">
        <v>1297</v>
      </c>
      <c r="L250" t="s">
        <v>5167</v>
      </c>
      <c r="M250" t="s">
        <v>5168</v>
      </c>
      <c r="N250" t="s">
        <v>5223</v>
      </c>
      <c r="O250" t="s">
        <v>5224</v>
      </c>
      <c r="P250">
        <v>55.292999999999999</v>
      </c>
      <c r="Q250" t="s">
        <v>29</v>
      </c>
      <c r="R250" t="s">
        <v>50</v>
      </c>
    </row>
    <row r="251" spans="1:18" x14ac:dyDescent="0.25">
      <c r="A251">
        <v>2002</v>
      </c>
      <c r="B251">
        <v>1785</v>
      </c>
      <c r="C251" t="s">
        <v>413</v>
      </c>
      <c r="D251" t="s">
        <v>2052</v>
      </c>
      <c r="E251">
        <v>325110</v>
      </c>
      <c r="F251" t="s">
        <v>1194</v>
      </c>
      <c r="G251" t="s">
        <v>445</v>
      </c>
      <c r="H251" t="s">
        <v>21</v>
      </c>
      <c r="I251" t="s">
        <v>348</v>
      </c>
      <c r="J251" t="s">
        <v>349</v>
      </c>
      <c r="K251" t="s">
        <v>350</v>
      </c>
      <c r="L251" t="s">
        <v>5167</v>
      </c>
      <c r="M251" t="s">
        <v>5168</v>
      </c>
      <c r="N251" t="s">
        <v>5169</v>
      </c>
      <c r="O251" t="s">
        <v>5170</v>
      </c>
      <c r="P251">
        <v>2.9809999999999999</v>
      </c>
      <c r="Q251" t="s">
        <v>29</v>
      </c>
      <c r="R251" t="s">
        <v>30</v>
      </c>
    </row>
    <row r="252" spans="1:18" x14ac:dyDescent="0.25">
      <c r="A252">
        <v>2000</v>
      </c>
      <c r="B252">
        <v>4407</v>
      </c>
      <c r="C252" t="s">
        <v>925</v>
      </c>
      <c r="D252" t="s">
        <v>163</v>
      </c>
      <c r="E252">
        <v>325999</v>
      </c>
      <c r="F252" t="s">
        <v>396</v>
      </c>
      <c r="G252" t="s">
        <v>397</v>
      </c>
      <c r="H252" t="s">
        <v>79</v>
      </c>
      <c r="I252" t="s">
        <v>191</v>
      </c>
      <c r="J252" t="s">
        <v>192</v>
      </c>
      <c r="K252" t="s">
        <v>193</v>
      </c>
      <c r="L252" t="s">
        <v>5167</v>
      </c>
      <c r="M252" t="s">
        <v>5168</v>
      </c>
      <c r="N252" t="s">
        <v>5169</v>
      </c>
      <c r="O252" t="s">
        <v>5170</v>
      </c>
      <c r="P252">
        <v>3.29</v>
      </c>
      <c r="Q252" t="s">
        <v>29</v>
      </c>
      <c r="R252" t="s">
        <v>30</v>
      </c>
    </row>
    <row r="253" spans="1:18" x14ac:dyDescent="0.25">
      <c r="A253">
        <v>2005</v>
      </c>
      <c r="B253">
        <v>10068</v>
      </c>
      <c r="C253" t="s">
        <v>5521</v>
      </c>
      <c r="D253" t="s">
        <v>5521</v>
      </c>
      <c r="E253">
        <v>336390</v>
      </c>
      <c r="F253" t="s">
        <v>60</v>
      </c>
      <c r="G253" t="s">
        <v>61</v>
      </c>
      <c r="H253" t="s">
        <v>21</v>
      </c>
      <c r="I253" t="s">
        <v>209</v>
      </c>
      <c r="J253" t="s">
        <v>210</v>
      </c>
      <c r="K253" t="s">
        <v>211</v>
      </c>
      <c r="L253" t="s">
        <v>5167</v>
      </c>
      <c r="M253" t="s">
        <v>5168</v>
      </c>
      <c r="N253" t="s">
        <v>5175</v>
      </c>
      <c r="O253" t="s">
        <v>5176</v>
      </c>
      <c r="P253">
        <v>0</v>
      </c>
      <c r="Q253" t="s">
        <v>29</v>
      </c>
      <c r="R253" t="s">
        <v>30</v>
      </c>
    </row>
    <row r="254" spans="1:18" x14ac:dyDescent="0.25">
      <c r="A254">
        <v>2008</v>
      </c>
      <c r="B254">
        <v>3698</v>
      </c>
      <c r="C254" t="s">
        <v>125</v>
      </c>
      <c r="D254" t="s">
        <v>1066</v>
      </c>
      <c r="E254">
        <v>324110</v>
      </c>
      <c r="F254" t="s">
        <v>95</v>
      </c>
      <c r="G254" t="s">
        <v>96</v>
      </c>
      <c r="H254" t="s">
        <v>483</v>
      </c>
      <c r="I254" t="s">
        <v>70</v>
      </c>
      <c r="J254" t="s">
        <v>71</v>
      </c>
      <c r="K254" t="s">
        <v>72</v>
      </c>
      <c r="L254" t="s">
        <v>5167</v>
      </c>
      <c r="M254" t="s">
        <v>5168</v>
      </c>
      <c r="N254" t="s">
        <v>5169</v>
      </c>
      <c r="O254" t="s">
        <v>5170</v>
      </c>
      <c r="P254">
        <v>3.5000000000000003E-2</v>
      </c>
      <c r="Q254" t="s">
        <v>29</v>
      </c>
      <c r="R254" t="s">
        <v>30</v>
      </c>
    </row>
    <row r="255" spans="1:18" x14ac:dyDescent="0.25">
      <c r="A255">
        <v>2014</v>
      </c>
      <c r="B255">
        <v>2794</v>
      </c>
      <c r="C255" t="s">
        <v>5522</v>
      </c>
      <c r="D255" t="s">
        <v>1433</v>
      </c>
      <c r="E255">
        <v>212299</v>
      </c>
      <c r="F255" t="s">
        <v>1434</v>
      </c>
      <c r="G255" t="s">
        <v>1435</v>
      </c>
      <c r="H255" t="s">
        <v>69</v>
      </c>
      <c r="I255" t="s">
        <v>525</v>
      </c>
      <c r="J255" t="s">
        <v>526</v>
      </c>
      <c r="K255" t="s">
        <v>527</v>
      </c>
      <c r="L255" t="s">
        <v>5183</v>
      </c>
      <c r="M255" t="s">
        <v>5184</v>
      </c>
      <c r="N255" t="s">
        <v>5185</v>
      </c>
      <c r="O255" t="s">
        <v>5186</v>
      </c>
      <c r="P255">
        <v>431.6</v>
      </c>
      <c r="Q255" t="s">
        <v>29</v>
      </c>
      <c r="R255" t="s">
        <v>124</v>
      </c>
    </row>
    <row r="256" spans="1:18" x14ac:dyDescent="0.25">
      <c r="A256">
        <v>2017</v>
      </c>
      <c r="B256">
        <v>6674</v>
      </c>
      <c r="C256" t="s">
        <v>2057</v>
      </c>
      <c r="D256" t="s">
        <v>5523</v>
      </c>
      <c r="E256">
        <v>212114</v>
      </c>
      <c r="F256" t="s">
        <v>2059</v>
      </c>
      <c r="G256" t="s">
        <v>2060</v>
      </c>
      <c r="H256" t="s">
        <v>69</v>
      </c>
      <c r="I256" t="s">
        <v>97</v>
      </c>
      <c r="J256" t="s">
        <v>98</v>
      </c>
      <c r="K256" t="s">
        <v>99</v>
      </c>
      <c r="L256" t="s">
        <v>5183</v>
      </c>
      <c r="M256" t="s">
        <v>5184</v>
      </c>
      <c r="N256" t="s">
        <v>5185</v>
      </c>
      <c r="O256" t="s">
        <v>5186</v>
      </c>
      <c r="P256">
        <v>234.64</v>
      </c>
      <c r="Q256" t="s">
        <v>29</v>
      </c>
      <c r="R256" t="s">
        <v>124</v>
      </c>
    </row>
    <row r="257" spans="1:18" x14ac:dyDescent="0.25">
      <c r="A257">
        <v>1993</v>
      </c>
      <c r="B257">
        <v>3124</v>
      </c>
      <c r="C257" t="s">
        <v>5524</v>
      </c>
      <c r="D257" t="s">
        <v>5524</v>
      </c>
      <c r="E257">
        <v>334410</v>
      </c>
      <c r="F257" t="s">
        <v>604</v>
      </c>
      <c r="G257" t="s">
        <v>605</v>
      </c>
      <c r="H257" t="s">
        <v>79</v>
      </c>
      <c r="I257" t="s">
        <v>35</v>
      </c>
      <c r="J257" t="s">
        <v>36</v>
      </c>
      <c r="K257" t="s">
        <v>37</v>
      </c>
      <c r="L257" t="s">
        <v>5167</v>
      </c>
      <c r="M257" t="s">
        <v>5168</v>
      </c>
      <c r="N257" t="s">
        <v>5169</v>
      </c>
      <c r="O257" t="s">
        <v>5170</v>
      </c>
      <c r="P257">
        <v>5.4</v>
      </c>
      <c r="Q257" t="s">
        <v>29</v>
      </c>
    </row>
    <row r="258" spans="1:18" x14ac:dyDescent="0.25">
      <c r="A258">
        <v>2020</v>
      </c>
      <c r="B258">
        <v>6051</v>
      </c>
      <c r="C258" t="s">
        <v>5525</v>
      </c>
      <c r="D258" t="s">
        <v>5526</v>
      </c>
      <c r="E258">
        <v>221320</v>
      </c>
      <c r="F258" t="s">
        <v>146</v>
      </c>
      <c r="G258" t="s">
        <v>147</v>
      </c>
      <c r="H258" t="s">
        <v>483</v>
      </c>
      <c r="I258" t="s">
        <v>177</v>
      </c>
      <c r="J258" t="s">
        <v>178</v>
      </c>
      <c r="K258" t="s">
        <v>179</v>
      </c>
      <c r="L258" t="s">
        <v>5167</v>
      </c>
      <c r="M258" t="s">
        <v>5168</v>
      </c>
      <c r="N258" t="s">
        <v>5175</v>
      </c>
      <c r="O258" t="s">
        <v>5176</v>
      </c>
      <c r="P258">
        <v>1.0429999999999999</v>
      </c>
      <c r="Q258" t="s">
        <v>29</v>
      </c>
      <c r="R258" t="s">
        <v>124</v>
      </c>
    </row>
    <row r="259" spans="1:18" x14ac:dyDescent="0.25">
      <c r="A259">
        <v>2021</v>
      </c>
      <c r="B259">
        <v>4980</v>
      </c>
      <c r="C259" t="s">
        <v>5527</v>
      </c>
      <c r="D259" t="s">
        <v>5528</v>
      </c>
      <c r="E259">
        <v>339990</v>
      </c>
      <c r="F259" t="s">
        <v>1179</v>
      </c>
      <c r="G259" t="s">
        <v>872</v>
      </c>
      <c r="H259" t="s">
        <v>21</v>
      </c>
      <c r="I259" t="s">
        <v>136</v>
      </c>
      <c r="J259" t="s">
        <v>137</v>
      </c>
      <c r="K259" t="s">
        <v>138</v>
      </c>
      <c r="L259" t="s">
        <v>5167</v>
      </c>
      <c r="M259" t="s">
        <v>5168</v>
      </c>
      <c r="N259" t="s">
        <v>5169</v>
      </c>
      <c r="O259" t="s">
        <v>5170</v>
      </c>
      <c r="P259">
        <v>20.352805</v>
      </c>
      <c r="Q259" t="s">
        <v>29</v>
      </c>
      <c r="R259" t="s">
        <v>30</v>
      </c>
    </row>
    <row r="260" spans="1:18" x14ac:dyDescent="0.25">
      <c r="A260">
        <v>2001</v>
      </c>
      <c r="B260">
        <v>1417</v>
      </c>
      <c r="C260" t="s">
        <v>5529</v>
      </c>
      <c r="D260" t="s">
        <v>5530</v>
      </c>
      <c r="E260">
        <v>115210</v>
      </c>
      <c r="F260" t="s">
        <v>5531</v>
      </c>
      <c r="G260" t="s">
        <v>5532</v>
      </c>
      <c r="H260" t="s">
        <v>21</v>
      </c>
      <c r="I260" t="s">
        <v>136</v>
      </c>
      <c r="J260" t="s">
        <v>137</v>
      </c>
      <c r="K260" t="s">
        <v>138</v>
      </c>
      <c r="L260" t="s">
        <v>5183</v>
      </c>
      <c r="M260" t="s">
        <v>5184</v>
      </c>
      <c r="N260" t="s">
        <v>5169</v>
      </c>
      <c r="O260" t="s">
        <v>5170</v>
      </c>
      <c r="P260">
        <v>1E-3</v>
      </c>
      <c r="Q260" t="s">
        <v>29</v>
      </c>
      <c r="R260" t="s">
        <v>30</v>
      </c>
    </row>
    <row r="261" spans="1:18" x14ac:dyDescent="0.25">
      <c r="A261">
        <v>2006</v>
      </c>
      <c r="B261">
        <v>5893</v>
      </c>
      <c r="C261" t="s">
        <v>5533</v>
      </c>
      <c r="D261" t="s">
        <v>5534</v>
      </c>
      <c r="E261">
        <v>332810</v>
      </c>
      <c r="F261" t="s">
        <v>237</v>
      </c>
      <c r="G261" t="s">
        <v>238</v>
      </c>
      <c r="H261" t="s">
        <v>21</v>
      </c>
      <c r="I261" t="s">
        <v>152</v>
      </c>
      <c r="J261" t="s">
        <v>153</v>
      </c>
      <c r="K261" t="s">
        <v>154</v>
      </c>
      <c r="L261" t="s">
        <v>5167</v>
      </c>
      <c r="M261" t="s">
        <v>5168</v>
      </c>
      <c r="N261" t="s">
        <v>5169</v>
      </c>
      <c r="O261" t="s">
        <v>5170</v>
      </c>
      <c r="P261">
        <v>0.36199999999999999</v>
      </c>
      <c r="Q261" t="s">
        <v>29</v>
      </c>
      <c r="R261" t="s">
        <v>50</v>
      </c>
    </row>
    <row r="262" spans="1:18" x14ac:dyDescent="0.25">
      <c r="A262">
        <v>2004</v>
      </c>
      <c r="B262">
        <v>6123</v>
      </c>
      <c r="C262" t="s">
        <v>5535</v>
      </c>
      <c r="D262" t="s">
        <v>2799</v>
      </c>
      <c r="E262">
        <v>221320</v>
      </c>
      <c r="F262" t="s">
        <v>390</v>
      </c>
      <c r="G262" t="s">
        <v>147</v>
      </c>
      <c r="H262" t="s">
        <v>79</v>
      </c>
      <c r="I262" t="s">
        <v>97</v>
      </c>
      <c r="J262" t="s">
        <v>98</v>
      </c>
      <c r="K262" t="s">
        <v>99</v>
      </c>
      <c r="L262" t="s">
        <v>5167</v>
      </c>
      <c r="M262" t="s">
        <v>5168</v>
      </c>
      <c r="N262" t="s">
        <v>5169</v>
      </c>
      <c r="O262" t="s">
        <v>5170</v>
      </c>
      <c r="P262">
        <v>10.4</v>
      </c>
      <c r="Q262" t="s">
        <v>29</v>
      </c>
      <c r="R262" t="s">
        <v>124</v>
      </c>
    </row>
    <row r="263" spans="1:18" x14ac:dyDescent="0.25">
      <c r="A263">
        <v>2019</v>
      </c>
      <c r="B263">
        <v>442</v>
      </c>
      <c r="C263" t="s">
        <v>1323</v>
      </c>
      <c r="D263" t="s">
        <v>5417</v>
      </c>
      <c r="E263">
        <v>211141</v>
      </c>
      <c r="F263" t="s">
        <v>1189</v>
      </c>
      <c r="G263" t="s">
        <v>1190</v>
      </c>
      <c r="H263" t="s">
        <v>85</v>
      </c>
      <c r="I263" t="s">
        <v>70</v>
      </c>
      <c r="J263" t="s">
        <v>71</v>
      </c>
      <c r="K263" t="s">
        <v>72</v>
      </c>
      <c r="L263" t="s">
        <v>5183</v>
      </c>
      <c r="M263" t="s">
        <v>5184</v>
      </c>
      <c r="N263" t="s">
        <v>5169</v>
      </c>
      <c r="O263" t="s">
        <v>5170</v>
      </c>
      <c r="P263">
        <v>13.885</v>
      </c>
      <c r="Q263" t="s">
        <v>29</v>
      </c>
      <c r="R263" t="s">
        <v>30</v>
      </c>
    </row>
    <row r="264" spans="1:18" x14ac:dyDescent="0.25">
      <c r="A264">
        <v>2019</v>
      </c>
      <c r="B264">
        <v>27978</v>
      </c>
      <c r="C264" t="s">
        <v>5536</v>
      </c>
      <c r="D264" t="s">
        <v>1560</v>
      </c>
      <c r="E264">
        <v>211110</v>
      </c>
      <c r="F264" t="s">
        <v>233</v>
      </c>
      <c r="G264" t="s">
        <v>234</v>
      </c>
      <c r="H264" t="s">
        <v>85</v>
      </c>
      <c r="I264" t="s">
        <v>923</v>
      </c>
      <c r="J264" t="s">
        <v>924</v>
      </c>
      <c r="K264" t="s">
        <v>924</v>
      </c>
      <c r="L264" t="s">
        <v>5167</v>
      </c>
      <c r="M264" t="s">
        <v>5168</v>
      </c>
      <c r="N264" t="s">
        <v>5175</v>
      </c>
      <c r="O264" t="s">
        <v>5176</v>
      </c>
      <c r="P264">
        <v>0</v>
      </c>
      <c r="Q264" t="s">
        <v>29</v>
      </c>
      <c r="R264" t="s">
        <v>30</v>
      </c>
    </row>
    <row r="265" spans="1:18" x14ac:dyDescent="0.25">
      <c r="A265">
        <v>2003</v>
      </c>
      <c r="B265">
        <v>1083</v>
      </c>
      <c r="C265" t="s">
        <v>5537</v>
      </c>
      <c r="E265">
        <v>326290</v>
      </c>
      <c r="F265" t="s">
        <v>451</v>
      </c>
      <c r="G265" t="s">
        <v>452</v>
      </c>
      <c r="H265" t="s">
        <v>79</v>
      </c>
      <c r="I265" t="s">
        <v>5538</v>
      </c>
      <c r="J265" t="s">
        <v>5539</v>
      </c>
      <c r="K265" t="s">
        <v>5540</v>
      </c>
      <c r="L265" t="s">
        <v>5167</v>
      </c>
      <c r="M265" t="s">
        <v>5168</v>
      </c>
      <c r="N265" t="s">
        <v>5169</v>
      </c>
      <c r="O265" t="s">
        <v>5170</v>
      </c>
      <c r="P265">
        <v>0.6</v>
      </c>
      <c r="Q265" t="s">
        <v>29</v>
      </c>
      <c r="R265" t="s">
        <v>50</v>
      </c>
    </row>
    <row r="266" spans="1:18" x14ac:dyDescent="0.25">
      <c r="A266">
        <v>2022</v>
      </c>
      <c r="B266">
        <v>5307</v>
      </c>
      <c r="C266" t="s">
        <v>144</v>
      </c>
      <c r="D266" t="s">
        <v>5541</v>
      </c>
      <c r="E266">
        <v>221320</v>
      </c>
      <c r="F266" t="s">
        <v>146</v>
      </c>
      <c r="G266" t="s">
        <v>147</v>
      </c>
      <c r="H266" t="s">
        <v>85</v>
      </c>
      <c r="I266" t="s">
        <v>244</v>
      </c>
      <c r="J266" t="s">
        <v>245</v>
      </c>
      <c r="K266" t="s">
        <v>246</v>
      </c>
      <c r="L266" t="s">
        <v>5167</v>
      </c>
      <c r="M266" t="s">
        <v>5168</v>
      </c>
      <c r="N266" t="s">
        <v>5175</v>
      </c>
      <c r="O266" t="s">
        <v>5176</v>
      </c>
      <c r="P266">
        <v>24.018000000000001</v>
      </c>
      <c r="Q266" t="s">
        <v>40</v>
      </c>
      <c r="R266" t="s">
        <v>124</v>
      </c>
    </row>
    <row r="267" spans="1:18" x14ac:dyDescent="0.25">
      <c r="A267">
        <v>2015</v>
      </c>
      <c r="B267">
        <v>2256</v>
      </c>
      <c r="C267" t="s">
        <v>5542</v>
      </c>
      <c r="D267" t="s">
        <v>5543</v>
      </c>
      <c r="E267">
        <v>331490</v>
      </c>
      <c r="F267" t="s">
        <v>253</v>
      </c>
      <c r="G267" t="s">
        <v>254</v>
      </c>
      <c r="H267" t="s">
        <v>21</v>
      </c>
      <c r="I267" t="s">
        <v>35</v>
      </c>
      <c r="J267" t="s">
        <v>36</v>
      </c>
      <c r="K267" t="s">
        <v>37</v>
      </c>
      <c r="L267" t="s">
        <v>5167</v>
      </c>
      <c r="M267" t="s">
        <v>5168</v>
      </c>
      <c r="N267" t="s">
        <v>5169</v>
      </c>
      <c r="O267" t="s">
        <v>5170</v>
      </c>
      <c r="P267">
        <v>700490.60030000005</v>
      </c>
      <c r="Q267" t="s">
        <v>40</v>
      </c>
      <c r="R267" t="s">
        <v>50</v>
      </c>
    </row>
    <row r="268" spans="1:18" x14ac:dyDescent="0.25">
      <c r="A268">
        <v>2016</v>
      </c>
      <c r="B268">
        <v>5146</v>
      </c>
      <c r="C268" t="s">
        <v>5544</v>
      </c>
      <c r="D268" t="s">
        <v>5544</v>
      </c>
      <c r="E268">
        <v>212233</v>
      </c>
      <c r="F268" t="s">
        <v>1111</v>
      </c>
      <c r="G268" t="s">
        <v>441</v>
      </c>
      <c r="H268" t="s">
        <v>69</v>
      </c>
      <c r="I268" t="s">
        <v>184</v>
      </c>
      <c r="J268" t="s">
        <v>185</v>
      </c>
      <c r="K268" t="s">
        <v>186</v>
      </c>
      <c r="L268" t="s">
        <v>5183</v>
      </c>
      <c r="M268" t="s">
        <v>5184</v>
      </c>
      <c r="N268" t="s">
        <v>5185</v>
      </c>
      <c r="O268" t="s">
        <v>5186</v>
      </c>
      <c r="P268">
        <v>24954</v>
      </c>
      <c r="Q268" t="s">
        <v>40</v>
      </c>
      <c r="R268" t="s">
        <v>725</v>
      </c>
    </row>
    <row r="269" spans="1:18" x14ac:dyDescent="0.25">
      <c r="A269">
        <v>2002</v>
      </c>
      <c r="B269">
        <v>4940</v>
      </c>
      <c r="C269" t="s">
        <v>5545</v>
      </c>
      <c r="D269" t="s">
        <v>5546</v>
      </c>
      <c r="E269">
        <v>326193</v>
      </c>
      <c r="F269" t="s">
        <v>19</v>
      </c>
      <c r="G269" t="s">
        <v>20</v>
      </c>
      <c r="H269" t="s">
        <v>21</v>
      </c>
      <c r="I269" t="s">
        <v>5547</v>
      </c>
      <c r="J269" t="s">
        <v>5548</v>
      </c>
      <c r="K269" t="s">
        <v>5549</v>
      </c>
      <c r="L269" t="s">
        <v>5167</v>
      </c>
      <c r="M269" t="s">
        <v>5168</v>
      </c>
      <c r="N269" t="s">
        <v>5169</v>
      </c>
      <c r="O269" t="s">
        <v>5170</v>
      </c>
      <c r="P269">
        <v>0.17</v>
      </c>
      <c r="Q269" t="s">
        <v>29</v>
      </c>
      <c r="R269" t="s">
        <v>30</v>
      </c>
    </row>
    <row r="270" spans="1:18" x14ac:dyDescent="0.25">
      <c r="A270">
        <v>2013</v>
      </c>
      <c r="B270">
        <v>3903</v>
      </c>
      <c r="C270" t="s">
        <v>1250</v>
      </c>
      <c r="D270" t="s">
        <v>5550</v>
      </c>
      <c r="E270">
        <v>324110</v>
      </c>
      <c r="F270" t="s">
        <v>196</v>
      </c>
      <c r="G270" t="s">
        <v>96</v>
      </c>
      <c r="H270" t="s">
        <v>85</v>
      </c>
      <c r="I270" t="s">
        <v>1050</v>
      </c>
      <c r="J270" t="s">
        <v>1051</v>
      </c>
      <c r="K270" t="s">
        <v>1052</v>
      </c>
      <c r="L270" t="s">
        <v>5167</v>
      </c>
      <c r="M270" t="s">
        <v>5168</v>
      </c>
      <c r="N270" t="s">
        <v>5169</v>
      </c>
      <c r="O270" t="s">
        <v>5170</v>
      </c>
      <c r="P270">
        <v>21.966799999999999</v>
      </c>
      <c r="Q270" t="s">
        <v>40</v>
      </c>
      <c r="R270" t="s">
        <v>30</v>
      </c>
    </row>
    <row r="271" spans="1:18" x14ac:dyDescent="0.25">
      <c r="A271">
        <v>2016</v>
      </c>
      <c r="B271">
        <v>1338</v>
      </c>
      <c r="C271" t="s">
        <v>212</v>
      </c>
      <c r="D271" t="s">
        <v>597</v>
      </c>
      <c r="E271">
        <v>221320</v>
      </c>
      <c r="F271" t="s">
        <v>146</v>
      </c>
      <c r="G271" t="s">
        <v>147</v>
      </c>
      <c r="H271" t="s">
        <v>69</v>
      </c>
      <c r="I271" t="s">
        <v>35</v>
      </c>
      <c r="J271" t="s">
        <v>36</v>
      </c>
      <c r="K271" t="s">
        <v>37</v>
      </c>
      <c r="L271" t="s">
        <v>5167</v>
      </c>
      <c r="M271" t="s">
        <v>5168</v>
      </c>
      <c r="N271" t="s">
        <v>5175</v>
      </c>
      <c r="O271" t="s">
        <v>5176</v>
      </c>
      <c r="P271">
        <v>202.96090000000001</v>
      </c>
      <c r="Q271" t="s">
        <v>40</v>
      </c>
      <c r="R271" t="s">
        <v>124</v>
      </c>
    </row>
    <row r="272" spans="1:18" x14ac:dyDescent="0.25">
      <c r="A272">
        <v>2006</v>
      </c>
      <c r="B272">
        <v>21587</v>
      </c>
      <c r="C272" t="s">
        <v>122</v>
      </c>
      <c r="D272" t="s">
        <v>5551</v>
      </c>
      <c r="E272">
        <v>562920</v>
      </c>
      <c r="F272" t="s">
        <v>735</v>
      </c>
      <c r="G272" t="s">
        <v>330</v>
      </c>
      <c r="H272" t="s">
        <v>69</v>
      </c>
      <c r="I272" t="s">
        <v>271</v>
      </c>
      <c r="J272" t="s">
        <v>272</v>
      </c>
      <c r="K272" t="s">
        <v>273</v>
      </c>
      <c r="L272" t="s">
        <v>5167</v>
      </c>
      <c r="M272" t="s">
        <v>5168</v>
      </c>
      <c r="N272" t="s">
        <v>5169</v>
      </c>
      <c r="O272" t="s">
        <v>5170</v>
      </c>
      <c r="P272">
        <v>3.0000000000000001E-3</v>
      </c>
      <c r="Q272" t="s">
        <v>29</v>
      </c>
      <c r="R272" t="s">
        <v>30</v>
      </c>
    </row>
    <row r="273" spans="1:18" x14ac:dyDescent="0.25">
      <c r="A273">
        <v>2006</v>
      </c>
      <c r="B273">
        <v>1555</v>
      </c>
      <c r="C273" t="s">
        <v>5552</v>
      </c>
      <c r="D273" t="s">
        <v>5552</v>
      </c>
      <c r="E273">
        <v>332999</v>
      </c>
      <c r="F273" t="s">
        <v>309</v>
      </c>
      <c r="G273" t="s">
        <v>304</v>
      </c>
      <c r="H273" t="s">
        <v>21</v>
      </c>
      <c r="I273" t="s">
        <v>136</v>
      </c>
      <c r="J273" t="s">
        <v>137</v>
      </c>
      <c r="K273" t="s">
        <v>138</v>
      </c>
      <c r="L273" t="s">
        <v>5167</v>
      </c>
      <c r="M273" t="s">
        <v>5168</v>
      </c>
      <c r="N273" t="s">
        <v>5169</v>
      </c>
      <c r="O273" t="s">
        <v>5170</v>
      </c>
      <c r="P273">
        <v>7.0000000000000007E-2</v>
      </c>
      <c r="Q273" t="s">
        <v>29</v>
      </c>
      <c r="R273" t="s">
        <v>30</v>
      </c>
    </row>
    <row r="274" spans="1:18" x14ac:dyDescent="0.25">
      <c r="A274">
        <v>2005</v>
      </c>
      <c r="B274">
        <v>271</v>
      </c>
      <c r="C274" t="s">
        <v>5516</v>
      </c>
      <c r="D274" t="s">
        <v>5517</v>
      </c>
      <c r="E274">
        <v>322112</v>
      </c>
      <c r="F274" t="s">
        <v>620</v>
      </c>
      <c r="G274" t="s">
        <v>621</v>
      </c>
      <c r="H274" t="s">
        <v>79</v>
      </c>
      <c r="I274" t="s">
        <v>55</v>
      </c>
      <c r="J274" t="s">
        <v>56</v>
      </c>
      <c r="K274" t="s">
        <v>57</v>
      </c>
      <c r="L274" t="s">
        <v>5183</v>
      </c>
      <c r="M274" t="s">
        <v>5184</v>
      </c>
      <c r="N274" t="s">
        <v>5169</v>
      </c>
      <c r="O274" t="s">
        <v>5170</v>
      </c>
      <c r="P274">
        <v>1.214</v>
      </c>
      <c r="Q274" t="s">
        <v>29</v>
      </c>
      <c r="R274" t="s">
        <v>430</v>
      </c>
    </row>
    <row r="275" spans="1:18" x14ac:dyDescent="0.25">
      <c r="A275">
        <v>2009</v>
      </c>
      <c r="B275">
        <v>5020</v>
      </c>
      <c r="C275" t="s">
        <v>1552</v>
      </c>
      <c r="D275" t="s">
        <v>5553</v>
      </c>
      <c r="E275">
        <v>311410</v>
      </c>
      <c r="F275" t="s">
        <v>5554</v>
      </c>
      <c r="G275" t="s">
        <v>5555</v>
      </c>
      <c r="H275" t="s">
        <v>85</v>
      </c>
      <c r="I275" t="s">
        <v>402</v>
      </c>
      <c r="J275" t="s">
        <v>403</v>
      </c>
      <c r="K275" t="s">
        <v>404</v>
      </c>
      <c r="L275" t="s">
        <v>5183</v>
      </c>
      <c r="M275" t="s">
        <v>5184</v>
      </c>
      <c r="N275" t="s">
        <v>5175</v>
      </c>
      <c r="O275" t="s">
        <v>5176</v>
      </c>
      <c r="P275">
        <v>53.368000000000002</v>
      </c>
      <c r="Q275" t="s">
        <v>29</v>
      </c>
      <c r="R275" t="s">
        <v>124</v>
      </c>
    </row>
    <row r="276" spans="1:18" x14ac:dyDescent="0.25">
      <c r="A276">
        <v>2019</v>
      </c>
      <c r="B276">
        <v>10237</v>
      </c>
      <c r="C276" t="s">
        <v>125</v>
      </c>
      <c r="D276" t="s">
        <v>542</v>
      </c>
      <c r="E276">
        <v>412110</v>
      </c>
      <c r="F276" t="s">
        <v>127</v>
      </c>
      <c r="G276" t="s">
        <v>128</v>
      </c>
      <c r="H276" t="s">
        <v>54</v>
      </c>
      <c r="I276" t="s">
        <v>367</v>
      </c>
      <c r="J276" t="s">
        <v>368</v>
      </c>
      <c r="K276" t="s">
        <v>369</v>
      </c>
      <c r="L276" t="s">
        <v>5167</v>
      </c>
      <c r="M276" t="s">
        <v>5168</v>
      </c>
      <c r="N276" t="s">
        <v>5223</v>
      </c>
      <c r="O276" t="s">
        <v>5224</v>
      </c>
      <c r="P276">
        <v>3.6799999999999999E-2</v>
      </c>
      <c r="Q276" t="s">
        <v>40</v>
      </c>
      <c r="R276" t="s">
        <v>30</v>
      </c>
    </row>
    <row r="277" spans="1:18" x14ac:dyDescent="0.25">
      <c r="A277">
        <v>2023</v>
      </c>
      <c r="B277">
        <v>6652</v>
      </c>
      <c r="C277" t="s">
        <v>806</v>
      </c>
      <c r="D277" t="s">
        <v>5556</v>
      </c>
      <c r="E277">
        <v>412110</v>
      </c>
      <c r="F277" t="s">
        <v>589</v>
      </c>
      <c r="G277" t="s">
        <v>590</v>
      </c>
      <c r="H277" t="s">
        <v>69</v>
      </c>
      <c r="I277" t="s">
        <v>427</v>
      </c>
      <c r="J277" t="s">
        <v>428</v>
      </c>
      <c r="K277" t="s">
        <v>429</v>
      </c>
      <c r="L277" t="s">
        <v>5167</v>
      </c>
      <c r="M277" t="s">
        <v>5168</v>
      </c>
      <c r="N277" t="s">
        <v>5169</v>
      </c>
      <c r="O277" t="s">
        <v>5170</v>
      </c>
      <c r="P277">
        <v>3.8400000000000001E-3</v>
      </c>
      <c r="Q277" t="s">
        <v>29</v>
      </c>
      <c r="R277" t="s">
        <v>30</v>
      </c>
    </row>
    <row r="278" spans="1:18" x14ac:dyDescent="0.25">
      <c r="A278">
        <v>2022</v>
      </c>
      <c r="B278">
        <v>5808</v>
      </c>
      <c r="C278" t="s">
        <v>5557</v>
      </c>
      <c r="D278" t="s">
        <v>5557</v>
      </c>
      <c r="E278">
        <v>325189</v>
      </c>
      <c r="F278" t="s">
        <v>1660</v>
      </c>
      <c r="G278" t="s">
        <v>1291</v>
      </c>
      <c r="H278" t="s">
        <v>21</v>
      </c>
      <c r="I278" t="s">
        <v>1878</v>
      </c>
      <c r="J278" t="s">
        <v>1879</v>
      </c>
      <c r="K278" t="s">
        <v>1880</v>
      </c>
      <c r="L278" t="s">
        <v>5167</v>
      </c>
      <c r="M278" t="s">
        <v>5168</v>
      </c>
      <c r="N278" t="s">
        <v>5169</v>
      </c>
      <c r="O278" t="s">
        <v>5170</v>
      </c>
      <c r="P278">
        <v>6.0350000000000001</v>
      </c>
      <c r="Q278" t="s">
        <v>40</v>
      </c>
      <c r="R278" t="s">
        <v>30</v>
      </c>
    </row>
    <row r="279" spans="1:18" x14ac:dyDescent="0.25">
      <c r="A279">
        <v>2013</v>
      </c>
      <c r="B279">
        <v>24145</v>
      </c>
      <c r="C279" t="s">
        <v>2335</v>
      </c>
      <c r="D279" t="s">
        <v>2336</v>
      </c>
      <c r="E279">
        <v>211114</v>
      </c>
      <c r="F279" t="s">
        <v>956</v>
      </c>
      <c r="G279" t="s">
        <v>836</v>
      </c>
      <c r="H279" t="s">
        <v>85</v>
      </c>
      <c r="I279" t="s">
        <v>348</v>
      </c>
      <c r="J279" t="s">
        <v>349</v>
      </c>
      <c r="K279" t="s">
        <v>350</v>
      </c>
      <c r="L279" t="s">
        <v>5183</v>
      </c>
      <c r="M279" t="s">
        <v>5184</v>
      </c>
      <c r="N279" t="s">
        <v>5195</v>
      </c>
      <c r="O279" t="s">
        <v>5196</v>
      </c>
      <c r="P279">
        <v>1E-3</v>
      </c>
      <c r="Q279" t="s">
        <v>29</v>
      </c>
      <c r="R279" t="s">
        <v>30</v>
      </c>
    </row>
    <row r="280" spans="1:18" x14ac:dyDescent="0.25">
      <c r="A280">
        <v>2014</v>
      </c>
      <c r="B280">
        <v>10217</v>
      </c>
      <c r="C280" t="s">
        <v>125</v>
      </c>
      <c r="D280" t="s">
        <v>5558</v>
      </c>
      <c r="E280">
        <v>412110</v>
      </c>
      <c r="F280" t="s">
        <v>127</v>
      </c>
      <c r="G280" t="s">
        <v>128</v>
      </c>
      <c r="H280" t="s">
        <v>483</v>
      </c>
      <c r="I280" t="s">
        <v>491</v>
      </c>
      <c r="J280" t="s">
        <v>492</v>
      </c>
      <c r="K280" t="s">
        <v>492</v>
      </c>
      <c r="L280" t="s">
        <v>5167</v>
      </c>
      <c r="M280" t="s">
        <v>5168</v>
      </c>
      <c r="N280" t="s">
        <v>5223</v>
      </c>
      <c r="O280" t="s">
        <v>5224</v>
      </c>
      <c r="P280">
        <v>8.9999999999999998E-4</v>
      </c>
      <c r="Q280" t="s">
        <v>29</v>
      </c>
      <c r="R280" t="s">
        <v>30</v>
      </c>
    </row>
    <row r="281" spans="1:18" x14ac:dyDescent="0.25">
      <c r="A281">
        <v>2009</v>
      </c>
      <c r="B281">
        <v>5737</v>
      </c>
      <c r="C281" t="s">
        <v>5559</v>
      </c>
      <c r="D281" t="s">
        <v>5560</v>
      </c>
      <c r="E281">
        <v>332810</v>
      </c>
      <c r="F281" t="s">
        <v>237</v>
      </c>
      <c r="G281" t="s">
        <v>238</v>
      </c>
      <c r="H281" t="s">
        <v>21</v>
      </c>
      <c r="I281" t="s">
        <v>337</v>
      </c>
      <c r="J281" t="s">
        <v>338</v>
      </c>
      <c r="K281" t="s">
        <v>339</v>
      </c>
      <c r="L281" t="s">
        <v>5167</v>
      </c>
      <c r="M281" t="s">
        <v>5168</v>
      </c>
      <c r="N281" t="s">
        <v>5175</v>
      </c>
      <c r="O281" t="s">
        <v>5176</v>
      </c>
      <c r="P281">
        <v>0</v>
      </c>
      <c r="Q281" t="s">
        <v>29</v>
      </c>
      <c r="R281" t="s">
        <v>258</v>
      </c>
    </row>
    <row r="282" spans="1:18" x14ac:dyDescent="0.25">
      <c r="A282">
        <v>2005</v>
      </c>
      <c r="B282">
        <v>3707</v>
      </c>
      <c r="C282" t="s">
        <v>125</v>
      </c>
      <c r="D282" t="s">
        <v>2090</v>
      </c>
      <c r="E282">
        <v>324110</v>
      </c>
      <c r="F282" t="s">
        <v>95</v>
      </c>
      <c r="G282" t="s">
        <v>96</v>
      </c>
      <c r="H282" t="s">
        <v>85</v>
      </c>
      <c r="I282" t="s">
        <v>197</v>
      </c>
      <c r="J282" t="s">
        <v>198</v>
      </c>
      <c r="K282" t="s">
        <v>199</v>
      </c>
      <c r="L282" t="s">
        <v>5183</v>
      </c>
      <c r="M282" t="s">
        <v>5184</v>
      </c>
      <c r="N282" t="s">
        <v>5195</v>
      </c>
      <c r="O282" t="s">
        <v>5196</v>
      </c>
      <c r="P282">
        <v>7.62</v>
      </c>
      <c r="Q282" t="s">
        <v>40</v>
      </c>
      <c r="R282" t="s">
        <v>124</v>
      </c>
    </row>
    <row r="283" spans="1:18" x14ac:dyDescent="0.25">
      <c r="A283">
        <v>2004</v>
      </c>
      <c r="B283">
        <v>5239</v>
      </c>
      <c r="C283" t="s">
        <v>1439</v>
      </c>
      <c r="D283" t="s">
        <v>5561</v>
      </c>
      <c r="E283">
        <v>211113</v>
      </c>
      <c r="F283" t="s">
        <v>425</v>
      </c>
      <c r="G283" t="s">
        <v>426</v>
      </c>
      <c r="H283" t="s">
        <v>85</v>
      </c>
      <c r="I283" t="s">
        <v>491</v>
      </c>
      <c r="J283" t="s">
        <v>492</v>
      </c>
      <c r="K283" t="s">
        <v>492</v>
      </c>
      <c r="L283" t="s">
        <v>5167</v>
      </c>
      <c r="M283" t="s">
        <v>5168</v>
      </c>
      <c r="N283" t="s">
        <v>5195</v>
      </c>
      <c r="O283" t="s">
        <v>5196</v>
      </c>
      <c r="P283">
        <v>2.3849999999999998</v>
      </c>
      <c r="Q283" t="s">
        <v>29</v>
      </c>
      <c r="R283" t="s">
        <v>124</v>
      </c>
    </row>
    <row r="284" spans="1:18" x14ac:dyDescent="0.25">
      <c r="A284">
        <v>2019</v>
      </c>
      <c r="B284">
        <v>1471</v>
      </c>
      <c r="C284" t="s">
        <v>2096</v>
      </c>
      <c r="D284" t="s">
        <v>5427</v>
      </c>
      <c r="E284">
        <v>331410</v>
      </c>
      <c r="F284" t="s">
        <v>1234</v>
      </c>
      <c r="G284" t="s">
        <v>1235</v>
      </c>
      <c r="H284" t="s">
        <v>21</v>
      </c>
      <c r="I284" t="s">
        <v>500</v>
      </c>
      <c r="J284" t="s">
        <v>501</v>
      </c>
      <c r="K284" t="s">
        <v>502</v>
      </c>
      <c r="L284" t="s">
        <v>5183</v>
      </c>
      <c r="M284" t="s">
        <v>5184</v>
      </c>
      <c r="N284" t="s">
        <v>5169</v>
      </c>
      <c r="O284" t="s">
        <v>5170</v>
      </c>
      <c r="P284">
        <v>14.9</v>
      </c>
      <c r="Q284" t="s">
        <v>40</v>
      </c>
      <c r="R284" t="s">
        <v>157</v>
      </c>
    </row>
    <row r="285" spans="1:18" x14ac:dyDescent="0.25">
      <c r="A285">
        <v>2003</v>
      </c>
      <c r="B285">
        <v>1753</v>
      </c>
      <c r="C285" t="s">
        <v>5562</v>
      </c>
      <c r="D285" t="s">
        <v>5563</v>
      </c>
      <c r="E285">
        <v>213118</v>
      </c>
      <c r="F285" t="s">
        <v>1336</v>
      </c>
      <c r="G285" t="s">
        <v>1337</v>
      </c>
      <c r="H285" t="s">
        <v>85</v>
      </c>
      <c r="I285" t="s">
        <v>55</v>
      </c>
      <c r="J285" t="s">
        <v>56</v>
      </c>
      <c r="K285" t="s">
        <v>57</v>
      </c>
      <c r="L285" t="s">
        <v>5167</v>
      </c>
      <c r="M285" t="s">
        <v>5168</v>
      </c>
      <c r="N285" t="s">
        <v>5195</v>
      </c>
      <c r="O285" t="s">
        <v>5196</v>
      </c>
      <c r="P285">
        <v>28.776</v>
      </c>
      <c r="Q285" t="s">
        <v>29</v>
      </c>
      <c r="R285" t="s">
        <v>50</v>
      </c>
    </row>
    <row r="286" spans="1:18" x14ac:dyDescent="0.25">
      <c r="A286">
        <v>2007</v>
      </c>
      <c r="B286">
        <v>4045</v>
      </c>
      <c r="C286" t="s">
        <v>1836</v>
      </c>
      <c r="D286" t="s">
        <v>1837</v>
      </c>
      <c r="E286">
        <v>331222</v>
      </c>
      <c r="F286" t="s">
        <v>946</v>
      </c>
      <c r="G286" t="s">
        <v>287</v>
      </c>
      <c r="H286" t="s">
        <v>21</v>
      </c>
      <c r="I286" t="s">
        <v>86</v>
      </c>
      <c r="J286" t="s">
        <v>87</v>
      </c>
      <c r="K286" t="s">
        <v>88</v>
      </c>
      <c r="L286" t="s">
        <v>5183</v>
      </c>
      <c r="M286" t="s">
        <v>5184</v>
      </c>
      <c r="N286" t="s">
        <v>5169</v>
      </c>
      <c r="O286" t="s">
        <v>5170</v>
      </c>
      <c r="P286">
        <v>0</v>
      </c>
      <c r="Q286" t="s">
        <v>29</v>
      </c>
      <c r="R286" t="s">
        <v>124</v>
      </c>
    </row>
    <row r="287" spans="1:18" x14ac:dyDescent="0.25">
      <c r="A287">
        <v>2013</v>
      </c>
      <c r="B287">
        <v>5390</v>
      </c>
      <c r="C287" t="s">
        <v>5310</v>
      </c>
      <c r="D287" t="s">
        <v>5311</v>
      </c>
      <c r="E287">
        <v>221320</v>
      </c>
      <c r="F287" t="s">
        <v>146</v>
      </c>
      <c r="G287" t="s">
        <v>147</v>
      </c>
      <c r="H287" t="s">
        <v>85</v>
      </c>
      <c r="I287" t="s">
        <v>106</v>
      </c>
      <c r="J287" t="s">
        <v>107</v>
      </c>
      <c r="K287" t="s">
        <v>108</v>
      </c>
      <c r="L287" t="s">
        <v>5167</v>
      </c>
      <c r="M287" t="s">
        <v>5168</v>
      </c>
      <c r="N287" t="s">
        <v>5175</v>
      </c>
      <c r="O287" t="s">
        <v>5176</v>
      </c>
      <c r="P287">
        <v>26.946999999999999</v>
      </c>
      <c r="Q287" t="s">
        <v>40</v>
      </c>
      <c r="R287" t="s">
        <v>124</v>
      </c>
    </row>
    <row r="288" spans="1:18" x14ac:dyDescent="0.25">
      <c r="A288">
        <v>2002</v>
      </c>
      <c r="B288">
        <v>3701</v>
      </c>
      <c r="C288" t="s">
        <v>344</v>
      </c>
      <c r="D288" t="s">
        <v>681</v>
      </c>
      <c r="E288">
        <v>324110</v>
      </c>
      <c r="F288" t="s">
        <v>95</v>
      </c>
      <c r="G288" t="s">
        <v>96</v>
      </c>
      <c r="H288" t="s">
        <v>21</v>
      </c>
      <c r="I288" t="s">
        <v>535</v>
      </c>
      <c r="J288" t="s">
        <v>536</v>
      </c>
      <c r="K288" t="s">
        <v>537</v>
      </c>
      <c r="L288" t="s">
        <v>5183</v>
      </c>
      <c r="M288" t="s">
        <v>5184</v>
      </c>
      <c r="N288" t="s">
        <v>5175</v>
      </c>
      <c r="O288" t="s">
        <v>5176</v>
      </c>
      <c r="P288">
        <v>7.0000000000000001E-3</v>
      </c>
      <c r="Q288" t="s">
        <v>40</v>
      </c>
      <c r="R288" t="s">
        <v>204</v>
      </c>
    </row>
    <row r="289" spans="1:18" x14ac:dyDescent="0.25">
      <c r="A289">
        <v>2004</v>
      </c>
      <c r="B289">
        <v>5471</v>
      </c>
      <c r="C289" t="s">
        <v>5564</v>
      </c>
      <c r="D289" t="s">
        <v>5565</v>
      </c>
      <c r="E289">
        <v>322122</v>
      </c>
      <c r="F289" t="s">
        <v>1556</v>
      </c>
      <c r="G289" t="s">
        <v>1062</v>
      </c>
      <c r="H289" t="s">
        <v>79</v>
      </c>
      <c r="I289" t="s">
        <v>461</v>
      </c>
      <c r="J289" t="s">
        <v>462</v>
      </c>
      <c r="K289" t="s">
        <v>463</v>
      </c>
      <c r="L289" t="s">
        <v>5183</v>
      </c>
      <c r="M289" t="s">
        <v>5184</v>
      </c>
      <c r="N289" t="s">
        <v>5169</v>
      </c>
      <c r="O289" t="s">
        <v>5170</v>
      </c>
      <c r="P289">
        <v>3.859</v>
      </c>
      <c r="Q289" t="s">
        <v>40</v>
      </c>
      <c r="R289" t="s">
        <v>430</v>
      </c>
    </row>
    <row r="290" spans="1:18" x14ac:dyDescent="0.25">
      <c r="A290">
        <v>2007</v>
      </c>
      <c r="B290">
        <v>2100</v>
      </c>
      <c r="C290" t="s">
        <v>5566</v>
      </c>
      <c r="D290" t="s">
        <v>5298</v>
      </c>
      <c r="E290">
        <v>212299</v>
      </c>
      <c r="F290" t="s">
        <v>5299</v>
      </c>
      <c r="G290" t="s">
        <v>1435</v>
      </c>
      <c r="H290" t="s">
        <v>79</v>
      </c>
      <c r="I290" t="s">
        <v>209</v>
      </c>
      <c r="J290" t="s">
        <v>210</v>
      </c>
      <c r="K290" t="s">
        <v>211</v>
      </c>
      <c r="L290" t="s">
        <v>5183</v>
      </c>
      <c r="M290" t="s">
        <v>5184</v>
      </c>
      <c r="N290" t="s">
        <v>5185</v>
      </c>
      <c r="O290" t="s">
        <v>5186</v>
      </c>
      <c r="P290">
        <v>10.255599999999999</v>
      </c>
      <c r="Q290" t="s">
        <v>29</v>
      </c>
      <c r="R290" t="s">
        <v>50</v>
      </c>
    </row>
    <row r="291" spans="1:18" x14ac:dyDescent="0.25">
      <c r="A291">
        <v>2021</v>
      </c>
      <c r="B291">
        <v>32394</v>
      </c>
      <c r="C291" t="s">
        <v>1043</v>
      </c>
      <c r="D291" t="s">
        <v>5567</v>
      </c>
      <c r="E291">
        <v>211110</v>
      </c>
      <c r="F291" t="s">
        <v>233</v>
      </c>
      <c r="G291" t="s">
        <v>234</v>
      </c>
      <c r="H291" t="s">
        <v>243</v>
      </c>
      <c r="I291" t="s">
        <v>271</v>
      </c>
      <c r="J291" t="s">
        <v>272</v>
      </c>
      <c r="K291" t="s">
        <v>273</v>
      </c>
      <c r="L291" t="s">
        <v>5167</v>
      </c>
      <c r="M291" t="s">
        <v>5168</v>
      </c>
      <c r="N291" t="s">
        <v>5195</v>
      </c>
      <c r="O291" t="s">
        <v>5196</v>
      </c>
      <c r="P291">
        <v>2.0999999999999999E-3</v>
      </c>
      <c r="Q291" t="s">
        <v>29</v>
      </c>
      <c r="R291" t="s">
        <v>30</v>
      </c>
    </row>
    <row r="292" spans="1:18" x14ac:dyDescent="0.25">
      <c r="A292">
        <v>2020</v>
      </c>
      <c r="B292">
        <v>29381</v>
      </c>
      <c r="C292" t="s">
        <v>5568</v>
      </c>
      <c r="D292" t="s">
        <v>5569</v>
      </c>
      <c r="E292">
        <v>212231</v>
      </c>
      <c r="F292" t="s">
        <v>5570</v>
      </c>
      <c r="G292" t="s">
        <v>1917</v>
      </c>
      <c r="H292" t="s">
        <v>69</v>
      </c>
      <c r="I292" t="s">
        <v>35</v>
      </c>
      <c r="J292" t="s">
        <v>36</v>
      </c>
      <c r="K292" t="s">
        <v>37</v>
      </c>
      <c r="L292" t="s">
        <v>5183</v>
      </c>
      <c r="M292" t="s">
        <v>5184</v>
      </c>
      <c r="N292" t="s">
        <v>5260</v>
      </c>
      <c r="O292" t="s">
        <v>5261</v>
      </c>
      <c r="P292">
        <v>2922.6480000000001</v>
      </c>
      <c r="Q292" t="s">
        <v>40</v>
      </c>
      <c r="R292" t="s">
        <v>124</v>
      </c>
    </row>
    <row r="293" spans="1:18" x14ac:dyDescent="0.25">
      <c r="A293">
        <v>2019</v>
      </c>
      <c r="B293">
        <v>6647</v>
      </c>
      <c r="C293" t="s">
        <v>2240</v>
      </c>
      <c r="D293" t="s">
        <v>2241</v>
      </c>
      <c r="E293">
        <v>211142</v>
      </c>
      <c r="F293" t="s">
        <v>357</v>
      </c>
      <c r="G293" t="s">
        <v>358</v>
      </c>
      <c r="H293" t="s">
        <v>85</v>
      </c>
      <c r="I293" t="s">
        <v>500</v>
      </c>
      <c r="J293" t="s">
        <v>501</v>
      </c>
      <c r="K293" t="s">
        <v>502</v>
      </c>
      <c r="L293" t="s">
        <v>5183</v>
      </c>
      <c r="M293" t="s">
        <v>5184</v>
      </c>
      <c r="N293" t="s">
        <v>5185</v>
      </c>
      <c r="O293" t="s">
        <v>5186</v>
      </c>
      <c r="P293">
        <v>5182.1559999999999</v>
      </c>
      <c r="Q293" t="s">
        <v>40</v>
      </c>
      <c r="R293" t="s">
        <v>124</v>
      </c>
    </row>
    <row r="294" spans="1:18" x14ac:dyDescent="0.25">
      <c r="A294">
        <v>2012</v>
      </c>
      <c r="B294">
        <v>5370</v>
      </c>
      <c r="C294" t="s">
        <v>5571</v>
      </c>
      <c r="D294" t="s">
        <v>5572</v>
      </c>
      <c r="E294">
        <v>211113</v>
      </c>
      <c r="F294" t="s">
        <v>786</v>
      </c>
      <c r="G294" t="s">
        <v>426</v>
      </c>
      <c r="H294" t="s">
        <v>85</v>
      </c>
      <c r="I294" t="s">
        <v>486</v>
      </c>
      <c r="J294" t="s">
        <v>487</v>
      </c>
      <c r="K294" t="s">
        <v>488</v>
      </c>
      <c r="L294" t="s">
        <v>5183</v>
      </c>
      <c r="M294" t="s">
        <v>5184</v>
      </c>
      <c r="N294" t="s">
        <v>5195</v>
      </c>
      <c r="O294" t="s">
        <v>5196</v>
      </c>
      <c r="P294">
        <v>12.599</v>
      </c>
      <c r="Q294" t="s">
        <v>29</v>
      </c>
      <c r="R294" t="s">
        <v>50</v>
      </c>
    </row>
    <row r="295" spans="1:18" x14ac:dyDescent="0.25">
      <c r="A295">
        <v>2011</v>
      </c>
      <c r="B295">
        <v>21544</v>
      </c>
      <c r="C295" t="s">
        <v>5573</v>
      </c>
      <c r="D295" t="s">
        <v>5574</v>
      </c>
      <c r="E295">
        <v>212233</v>
      </c>
      <c r="F295" t="s">
        <v>440</v>
      </c>
      <c r="G295" t="s">
        <v>441</v>
      </c>
      <c r="H295" t="s">
        <v>54</v>
      </c>
      <c r="I295" t="s">
        <v>152</v>
      </c>
      <c r="J295" t="s">
        <v>153</v>
      </c>
      <c r="K295" t="s">
        <v>154</v>
      </c>
      <c r="L295" t="s">
        <v>5183</v>
      </c>
      <c r="M295" t="s">
        <v>5184</v>
      </c>
      <c r="N295" t="s">
        <v>5185</v>
      </c>
      <c r="O295" t="s">
        <v>5186</v>
      </c>
      <c r="P295">
        <v>0</v>
      </c>
      <c r="Q295" t="s">
        <v>29</v>
      </c>
      <c r="R295" t="s">
        <v>124</v>
      </c>
    </row>
    <row r="296" spans="1:18" x14ac:dyDescent="0.25">
      <c r="A296">
        <v>2021</v>
      </c>
      <c r="B296">
        <v>1776</v>
      </c>
      <c r="C296" t="s">
        <v>5575</v>
      </c>
      <c r="D296" t="s">
        <v>5576</v>
      </c>
      <c r="E296">
        <v>325110</v>
      </c>
      <c r="F296" t="s">
        <v>444</v>
      </c>
      <c r="G296" t="s">
        <v>445</v>
      </c>
      <c r="H296" t="s">
        <v>21</v>
      </c>
      <c r="I296" t="s">
        <v>129</v>
      </c>
      <c r="J296" t="s">
        <v>130</v>
      </c>
      <c r="K296" t="s">
        <v>131</v>
      </c>
      <c r="L296" t="s">
        <v>5167</v>
      </c>
      <c r="M296" t="s">
        <v>5168</v>
      </c>
      <c r="N296" t="s">
        <v>5169</v>
      </c>
      <c r="O296" t="s">
        <v>5170</v>
      </c>
      <c r="P296">
        <v>0.14899999999999999</v>
      </c>
      <c r="Q296" t="s">
        <v>29</v>
      </c>
      <c r="R296" t="s">
        <v>30</v>
      </c>
    </row>
    <row r="297" spans="1:18" x14ac:dyDescent="0.25">
      <c r="A297">
        <v>2006</v>
      </c>
      <c r="B297">
        <v>3751</v>
      </c>
      <c r="C297" t="s">
        <v>1557</v>
      </c>
      <c r="D297" t="s">
        <v>5577</v>
      </c>
      <c r="E297">
        <v>211113</v>
      </c>
      <c r="F297" t="s">
        <v>425</v>
      </c>
      <c r="G297" t="s">
        <v>426</v>
      </c>
      <c r="H297" t="s">
        <v>85</v>
      </c>
      <c r="I297" t="s">
        <v>1549</v>
      </c>
      <c r="J297" t="s">
        <v>1550</v>
      </c>
      <c r="K297" t="s">
        <v>1551</v>
      </c>
      <c r="L297" t="s">
        <v>5183</v>
      </c>
      <c r="M297" t="s">
        <v>5184</v>
      </c>
      <c r="N297" t="s">
        <v>5195</v>
      </c>
      <c r="O297" t="s">
        <v>5196</v>
      </c>
      <c r="P297">
        <v>3.21</v>
      </c>
      <c r="Q297" t="s">
        <v>29</v>
      </c>
      <c r="R297" t="s">
        <v>30</v>
      </c>
    </row>
    <row r="298" spans="1:18" x14ac:dyDescent="0.25">
      <c r="A298">
        <v>1994</v>
      </c>
      <c r="B298">
        <v>3161</v>
      </c>
      <c r="C298" t="s">
        <v>5578</v>
      </c>
      <c r="D298" t="s">
        <v>5578</v>
      </c>
      <c r="E298">
        <v>221113</v>
      </c>
      <c r="F298" t="s">
        <v>911</v>
      </c>
      <c r="G298" t="s">
        <v>912</v>
      </c>
      <c r="H298" t="s">
        <v>21</v>
      </c>
      <c r="I298" t="s">
        <v>177</v>
      </c>
      <c r="J298" t="s">
        <v>178</v>
      </c>
      <c r="K298" t="s">
        <v>179</v>
      </c>
      <c r="L298" t="s">
        <v>5167</v>
      </c>
      <c r="M298" t="s">
        <v>5168</v>
      </c>
      <c r="N298" t="s">
        <v>5223</v>
      </c>
      <c r="O298" t="s">
        <v>5224</v>
      </c>
      <c r="P298">
        <v>0.12</v>
      </c>
      <c r="Q298" t="s">
        <v>29</v>
      </c>
      <c r="R298" t="s">
        <v>30</v>
      </c>
    </row>
    <row r="299" spans="1:18" x14ac:dyDescent="0.25">
      <c r="A299">
        <v>2021</v>
      </c>
      <c r="B299">
        <v>4948</v>
      </c>
      <c r="C299" t="s">
        <v>370</v>
      </c>
      <c r="D299" t="s">
        <v>5579</v>
      </c>
      <c r="E299">
        <v>562210</v>
      </c>
      <c r="F299" t="s">
        <v>84</v>
      </c>
      <c r="G299" t="s">
        <v>53</v>
      </c>
      <c r="H299" t="s">
        <v>21</v>
      </c>
      <c r="I299" t="s">
        <v>648</v>
      </c>
      <c r="J299" t="s">
        <v>649</v>
      </c>
      <c r="K299" t="s">
        <v>650</v>
      </c>
      <c r="L299" t="s">
        <v>5167</v>
      </c>
      <c r="M299" t="s">
        <v>5168</v>
      </c>
      <c r="N299" t="s">
        <v>5169</v>
      </c>
      <c r="O299" t="s">
        <v>5170</v>
      </c>
      <c r="P299">
        <v>14.73</v>
      </c>
      <c r="Q299" t="s">
        <v>29</v>
      </c>
      <c r="R299" t="s">
        <v>50</v>
      </c>
    </row>
    <row r="300" spans="1:18" x14ac:dyDescent="0.25">
      <c r="A300">
        <v>2021</v>
      </c>
      <c r="B300">
        <v>442</v>
      </c>
      <c r="C300" t="s">
        <v>1323</v>
      </c>
      <c r="D300" t="s">
        <v>5417</v>
      </c>
      <c r="E300">
        <v>211141</v>
      </c>
      <c r="F300" t="s">
        <v>1189</v>
      </c>
      <c r="G300" t="s">
        <v>1190</v>
      </c>
      <c r="H300" t="s">
        <v>85</v>
      </c>
      <c r="I300" t="s">
        <v>337</v>
      </c>
      <c r="J300" t="s">
        <v>338</v>
      </c>
      <c r="K300" t="s">
        <v>339</v>
      </c>
      <c r="L300" t="s">
        <v>5167</v>
      </c>
      <c r="M300" t="s">
        <v>5168</v>
      </c>
      <c r="N300" t="s">
        <v>5169</v>
      </c>
      <c r="O300" t="s">
        <v>5170</v>
      </c>
      <c r="P300">
        <v>0.5</v>
      </c>
      <c r="Q300" t="s">
        <v>29</v>
      </c>
      <c r="R300" t="s">
        <v>124</v>
      </c>
    </row>
    <row r="301" spans="1:18" x14ac:dyDescent="0.25">
      <c r="A301">
        <v>2020</v>
      </c>
      <c r="B301">
        <v>3775</v>
      </c>
      <c r="C301" t="s">
        <v>5580</v>
      </c>
      <c r="D301" t="s">
        <v>3744</v>
      </c>
      <c r="E301">
        <v>339990</v>
      </c>
      <c r="F301" t="s">
        <v>1179</v>
      </c>
      <c r="G301" t="s">
        <v>872</v>
      </c>
      <c r="H301" t="s">
        <v>85</v>
      </c>
      <c r="I301" t="s">
        <v>244</v>
      </c>
      <c r="J301" t="s">
        <v>245</v>
      </c>
      <c r="K301" t="s">
        <v>246</v>
      </c>
      <c r="L301" t="s">
        <v>5167</v>
      </c>
      <c r="M301" t="s">
        <v>5168</v>
      </c>
      <c r="N301" t="s">
        <v>5169</v>
      </c>
      <c r="O301" t="s">
        <v>5170</v>
      </c>
      <c r="P301">
        <v>337.04</v>
      </c>
      <c r="Q301" t="s">
        <v>40</v>
      </c>
      <c r="R301" t="s">
        <v>124</v>
      </c>
    </row>
    <row r="302" spans="1:18" x14ac:dyDescent="0.25">
      <c r="A302">
        <v>2005</v>
      </c>
      <c r="B302">
        <v>4048</v>
      </c>
      <c r="C302" t="s">
        <v>1298</v>
      </c>
      <c r="D302" t="s">
        <v>1299</v>
      </c>
      <c r="E302">
        <v>324110</v>
      </c>
      <c r="F302" t="s">
        <v>95</v>
      </c>
      <c r="G302" t="s">
        <v>96</v>
      </c>
      <c r="H302" t="s">
        <v>243</v>
      </c>
      <c r="I302" t="s">
        <v>844</v>
      </c>
      <c r="J302" t="s">
        <v>845</v>
      </c>
      <c r="K302" t="s">
        <v>846</v>
      </c>
      <c r="L302" t="s">
        <v>5167</v>
      </c>
      <c r="M302" t="s">
        <v>5168</v>
      </c>
      <c r="N302" t="s">
        <v>5169</v>
      </c>
      <c r="O302" t="s">
        <v>5170</v>
      </c>
      <c r="P302">
        <v>0.13200000000000001</v>
      </c>
      <c r="Q302" t="s">
        <v>29</v>
      </c>
      <c r="R302" t="s">
        <v>124</v>
      </c>
    </row>
    <row r="303" spans="1:18" x14ac:dyDescent="0.25">
      <c r="A303">
        <v>2018</v>
      </c>
      <c r="B303">
        <v>2230</v>
      </c>
      <c r="C303" t="s">
        <v>1548</v>
      </c>
      <c r="D303" t="s">
        <v>1514</v>
      </c>
      <c r="E303">
        <v>211142</v>
      </c>
      <c r="F303" t="s">
        <v>357</v>
      </c>
      <c r="G303" t="s">
        <v>358</v>
      </c>
      <c r="H303" t="s">
        <v>85</v>
      </c>
      <c r="I303" t="s">
        <v>500</v>
      </c>
      <c r="J303" t="s">
        <v>501</v>
      </c>
      <c r="K303" t="s">
        <v>502</v>
      </c>
      <c r="L303" t="s">
        <v>5183</v>
      </c>
      <c r="M303" t="s">
        <v>5184</v>
      </c>
      <c r="N303" t="s">
        <v>5185</v>
      </c>
      <c r="O303" t="s">
        <v>5186</v>
      </c>
      <c r="P303">
        <v>121976.15</v>
      </c>
      <c r="Q303" t="s">
        <v>40</v>
      </c>
      <c r="R303" t="s">
        <v>124</v>
      </c>
    </row>
    <row r="304" spans="1:18" x14ac:dyDescent="0.25">
      <c r="A304">
        <v>1997</v>
      </c>
      <c r="B304">
        <v>4409</v>
      </c>
      <c r="C304" t="s">
        <v>5581</v>
      </c>
      <c r="D304" t="s">
        <v>5582</v>
      </c>
      <c r="E304">
        <v>326290</v>
      </c>
      <c r="F304" t="s">
        <v>451</v>
      </c>
      <c r="G304" t="s">
        <v>452</v>
      </c>
      <c r="H304" t="s">
        <v>21</v>
      </c>
      <c r="I304" t="s">
        <v>152</v>
      </c>
      <c r="J304" t="s">
        <v>153</v>
      </c>
      <c r="K304" t="s">
        <v>154</v>
      </c>
      <c r="L304" t="s">
        <v>5167</v>
      </c>
      <c r="M304" t="s">
        <v>5168</v>
      </c>
      <c r="N304" t="s">
        <v>5169</v>
      </c>
      <c r="O304" t="s">
        <v>5170</v>
      </c>
      <c r="P304">
        <v>39.9</v>
      </c>
      <c r="Q304" t="s">
        <v>29</v>
      </c>
      <c r="R304" t="s">
        <v>30</v>
      </c>
    </row>
    <row r="305" spans="1:18" x14ac:dyDescent="0.25">
      <c r="A305">
        <v>2004</v>
      </c>
      <c r="B305">
        <v>2855</v>
      </c>
      <c r="C305" t="s">
        <v>5583</v>
      </c>
      <c r="D305" t="s">
        <v>5584</v>
      </c>
      <c r="E305">
        <v>325181</v>
      </c>
      <c r="F305" t="s">
        <v>1947</v>
      </c>
      <c r="G305" t="s">
        <v>729</v>
      </c>
      <c r="H305" t="s">
        <v>79</v>
      </c>
      <c r="I305" t="s">
        <v>913</v>
      </c>
      <c r="J305" t="s">
        <v>914</v>
      </c>
      <c r="K305" t="s">
        <v>915</v>
      </c>
      <c r="L305" t="s">
        <v>5167</v>
      </c>
      <c r="M305" t="s">
        <v>5168</v>
      </c>
      <c r="N305" t="s">
        <v>5169</v>
      </c>
      <c r="O305" t="s">
        <v>5170</v>
      </c>
      <c r="P305">
        <v>31.5</v>
      </c>
      <c r="Q305" t="s">
        <v>29</v>
      </c>
      <c r="R305" t="s">
        <v>30</v>
      </c>
    </row>
    <row r="306" spans="1:18" x14ac:dyDescent="0.25">
      <c r="A306">
        <v>1994</v>
      </c>
      <c r="B306">
        <v>4578</v>
      </c>
      <c r="C306" t="s">
        <v>5585</v>
      </c>
      <c r="E306">
        <v>331514</v>
      </c>
      <c r="F306" t="s">
        <v>1756</v>
      </c>
      <c r="G306" t="s">
        <v>293</v>
      </c>
      <c r="H306" t="s">
        <v>85</v>
      </c>
      <c r="I306" t="s">
        <v>136</v>
      </c>
      <c r="J306" t="s">
        <v>137</v>
      </c>
      <c r="K306" t="s">
        <v>138</v>
      </c>
      <c r="L306" t="s">
        <v>5183</v>
      </c>
      <c r="M306" t="s">
        <v>5184</v>
      </c>
      <c r="N306" t="s">
        <v>5169</v>
      </c>
      <c r="O306" t="s">
        <v>5170</v>
      </c>
      <c r="P306">
        <v>11.8</v>
      </c>
      <c r="Q306" t="s">
        <v>29</v>
      </c>
      <c r="R306" t="s">
        <v>442</v>
      </c>
    </row>
    <row r="307" spans="1:18" x14ac:dyDescent="0.25">
      <c r="A307">
        <v>2005</v>
      </c>
      <c r="B307">
        <v>1797</v>
      </c>
      <c r="C307" t="s">
        <v>2018</v>
      </c>
      <c r="D307" t="s">
        <v>1377</v>
      </c>
      <c r="E307">
        <v>322112</v>
      </c>
      <c r="F307" t="s">
        <v>620</v>
      </c>
      <c r="G307" t="s">
        <v>621</v>
      </c>
      <c r="H307" t="s">
        <v>69</v>
      </c>
      <c r="I307" t="s">
        <v>35</v>
      </c>
      <c r="J307" t="s">
        <v>36</v>
      </c>
      <c r="K307" t="s">
        <v>37</v>
      </c>
      <c r="L307" t="s">
        <v>5183</v>
      </c>
      <c r="M307" t="s">
        <v>5184</v>
      </c>
      <c r="N307" t="s">
        <v>5169</v>
      </c>
      <c r="O307" t="s">
        <v>5170</v>
      </c>
      <c r="P307">
        <v>132.42599999999999</v>
      </c>
      <c r="Q307" t="s">
        <v>40</v>
      </c>
      <c r="R307" t="s">
        <v>430</v>
      </c>
    </row>
    <row r="308" spans="1:18" x14ac:dyDescent="0.25">
      <c r="A308">
        <v>2022</v>
      </c>
      <c r="B308">
        <v>5307</v>
      </c>
      <c r="C308" t="s">
        <v>144</v>
      </c>
      <c r="D308" t="s">
        <v>5541</v>
      </c>
      <c r="E308">
        <v>221320</v>
      </c>
      <c r="F308" t="s">
        <v>146</v>
      </c>
      <c r="G308" t="s">
        <v>147</v>
      </c>
      <c r="H308" t="s">
        <v>85</v>
      </c>
      <c r="I308" t="s">
        <v>184</v>
      </c>
      <c r="J308" t="s">
        <v>185</v>
      </c>
      <c r="K308" t="s">
        <v>186</v>
      </c>
      <c r="L308" t="s">
        <v>5167</v>
      </c>
      <c r="M308" t="s">
        <v>5168</v>
      </c>
      <c r="N308" t="s">
        <v>5175</v>
      </c>
      <c r="O308" t="s">
        <v>5176</v>
      </c>
      <c r="P308">
        <v>26.53</v>
      </c>
      <c r="Q308" t="s">
        <v>40</v>
      </c>
      <c r="R308" t="s">
        <v>124</v>
      </c>
    </row>
    <row r="309" spans="1:18" x14ac:dyDescent="0.25">
      <c r="A309">
        <v>2006</v>
      </c>
      <c r="B309">
        <v>1</v>
      </c>
      <c r="C309" t="s">
        <v>5294</v>
      </c>
      <c r="D309" t="s">
        <v>5294</v>
      </c>
      <c r="E309">
        <v>322112</v>
      </c>
      <c r="F309" t="s">
        <v>620</v>
      </c>
      <c r="G309" t="s">
        <v>621</v>
      </c>
      <c r="H309" t="s">
        <v>85</v>
      </c>
      <c r="I309" t="s">
        <v>97</v>
      </c>
      <c r="J309" t="s">
        <v>98</v>
      </c>
      <c r="K309" t="s">
        <v>99</v>
      </c>
      <c r="L309" t="s">
        <v>5183</v>
      </c>
      <c r="M309" t="s">
        <v>5184</v>
      </c>
      <c r="N309" t="s">
        <v>5169</v>
      </c>
      <c r="O309" t="s">
        <v>5170</v>
      </c>
      <c r="P309">
        <v>29.92</v>
      </c>
      <c r="Q309" t="s">
        <v>29</v>
      </c>
      <c r="R309" t="s">
        <v>124</v>
      </c>
    </row>
    <row r="310" spans="1:18" x14ac:dyDescent="0.25">
      <c r="A310">
        <v>2013</v>
      </c>
      <c r="B310">
        <v>21587</v>
      </c>
      <c r="C310" t="s">
        <v>65</v>
      </c>
      <c r="D310" t="s">
        <v>5586</v>
      </c>
      <c r="E310">
        <v>562210</v>
      </c>
      <c r="F310" t="s">
        <v>84</v>
      </c>
      <c r="G310" t="s">
        <v>53</v>
      </c>
      <c r="H310" t="s">
        <v>69</v>
      </c>
      <c r="I310" t="s">
        <v>70</v>
      </c>
      <c r="J310" t="s">
        <v>71</v>
      </c>
      <c r="K310" t="s">
        <v>72</v>
      </c>
      <c r="L310" t="s">
        <v>5167</v>
      </c>
      <c r="M310" t="s">
        <v>5168</v>
      </c>
      <c r="N310" t="s">
        <v>5223</v>
      </c>
      <c r="O310" t="s">
        <v>5224</v>
      </c>
      <c r="P310">
        <v>0.432</v>
      </c>
      <c r="Q310" t="s">
        <v>29</v>
      </c>
      <c r="R310" t="s">
        <v>50</v>
      </c>
    </row>
    <row r="311" spans="1:18" x14ac:dyDescent="0.25">
      <c r="A311">
        <v>2004</v>
      </c>
      <c r="B311">
        <v>279</v>
      </c>
      <c r="C311" t="s">
        <v>5587</v>
      </c>
      <c r="D311" t="s">
        <v>5588</v>
      </c>
      <c r="E311">
        <v>322112</v>
      </c>
      <c r="F311" t="s">
        <v>620</v>
      </c>
      <c r="G311" t="s">
        <v>621</v>
      </c>
      <c r="H311" t="s">
        <v>79</v>
      </c>
      <c r="I311" t="s">
        <v>324</v>
      </c>
      <c r="J311" t="s">
        <v>325</v>
      </c>
      <c r="K311" t="s">
        <v>326</v>
      </c>
      <c r="L311" t="s">
        <v>5167</v>
      </c>
      <c r="M311" t="s">
        <v>5168</v>
      </c>
      <c r="N311" t="s">
        <v>5175</v>
      </c>
      <c r="O311" t="s">
        <v>5176</v>
      </c>
      <c r="P311">
        <v>9.94</v>
      </c>
      <c r="Q311" t="s">
        <v>40</v>
      </c>
      <c r="R311" t="s">
        <v>124</v>
      </c>
    </row>
    <row r="312" spans="1:18" x14ac:dyDescent="0.25">
      <c r="A312">
        <v>2023</v>
      </c>
      <c r="B312">
        <v>25188</v>
      </c>
      <c r="C312" t="s">
        <v>5589</v>
      </c>
      <c r="D312" t="s">
        <v>5590</v>
      </c>
      <c r="E312">
        <v>212220</v>
      </c>
      <c r="F312" t="s">
        <v>1619</v>
      </c>
      <c r="G312" t="s">
        <v>1620</v>
      </c>
      <c r="H312" t="s">
        <v>79</v>
      </c>
      <c r="I312" t="s">
        <v>152</v>
      </c>
      <c r="J312" t="s">
        <v>153</v>
      </c>
      <c r="K312" t="s">
        <v>154</v>
      </c>
      <c r="L312" t="s">
        <v>5183</v>
      </c>
      <c r="M312" t="s">
        <v>5184</v>
      </c>
      <c r="N312" t="s">
        <v>5185</v>
      </c>
      <c r="O312" t="s">
        <v>5186</v>
      </c>
      <c r="P312">
        <v>1245</v>
      </c>
      <c r="Q312" t="s">
        <v>29</v>
      </c>
      <c r="R312" t="s">
        <v>124</v>
      </c>
    </row>
    <row r="313" spans="1:18" x14ac:dyDescent="0.25">
      <c r="A313">
        <v>1993</v>
      </c>
      <c r="B313">
        <v>3279</v>
      </c>
      <c r="C313" t="s">
        <v>5591</v>
      </c>
      <c r="D313" t="s">
        <v>5592</v>
      </c>
      <c r="E313">
        <v>334410</v>
      </c>
      <c r="F313" t="s">
        <v>604</v>
      </c>
      <c r="G313" t="s">
        <v>605</v>
      </c>
      <c r="H313" t="s">
        <v>21</v>
      </c>
      <c r="I313" t="s">
        <v>80</v>
      </c>
      <c r="J313" t="s">
        <v>81</v>
      </c>
      <c r="K313" t="s">
        <v>82</v>
      </c>
      <c r="L313" t="s">
        <v>5167</v>
      </c>
      <c r="M313" t="s">
        <v>5168</v>
      </c>
      <c r="N313" t="s">
        <v>5169</v>
      </c>
      <c r="O313" t="s">
        <v>5170</v>
      </c>
      <c r="P313">
        <v>7.0000000000000007E-2</v>
      </c>
      <c r="Q313" t="s">
        <v>29</v>
      </c>
    </row>
    <row r="314" spans="1:18" x14ac:dyDescent="0.25">
      <c r="A314">
        <v>1995</v>
      </c>
      <c r="B314">
        <v>680</v>
      </c>
      <c r="C314" t="s">
        <v>5593</v>
      </c>
      <c r="D314" t="s">
        <v>5594</v>
      </c>
      <c r="E314">
        <v>211113</v>
      </c>
      <c r="F314" t="s">
        <v>425</v>
      </c>
      <c r="G314" t="s">
        <v>426</v>
      </c>
      <c r="H314" t="s">
        <v>85</v>
      </c>
      <c r="I314" t="s">
        <v>70</v>
      </c>
      <c r="J314" t="s">
        <v>71</v>
      </c>
      <c r="K314" t="s">
        <v>72</v>
      </c>
      <c r="L314" t="s">
        <v>5183</v>
      </c>
      <c r="M314" t="s">
        <v>5184</v>
      </c>
      <c r="N314" t="s">
        <v>5195</v>
      </c>
      <c r="O314" t="s">
        <v>5196</v>
      </c>
      <c r="P314">
        <v>2.4</v>
      </c>
      <c r="Q314" t="s">
        <v>29</v>
      </c>
      <c r="R314" t="s">
        <v>30</v>
      </c>
    </row>
    <row r="315" spans="1:18" x14ac:dyDescent="0.25">
      <c r="A315">
        <v>2006</v>
      </c>
      <c r="B315">
        <v>3411</v>
      </c>
      <c r="C315" t="s">
        <v>5595</v>
      </c>
      <c r="D315" t="s">
        <v>5596</v>
      </c>
      <c r="E315">
        <v>212233</v>
      </c>
      <c r="F315" t="s">
        <v>440</v>
      </c>
      <c r="G315" t="s">
        <v>441</v>
      </c>
      <c r="H315" t="s">
        <v>54</v>
      </c>
      <c r="I315" t="s">
        <v>324</v>
      </c>
      <c r="J315" t="s">
        <v>325</v>
      </c>
      <c r="K315" t="s">
        <v>326</v>
      </c>
      <c r="L315" t="s">
        <v>5183</v>
      </c>
      <c r="M315" t="s">
        <v>5184</v>
      </c>
      <c r="N315" t="s">
        <v>5185</v>
      </c>
      <c r="O315" t="s">
        <v>5186</v>
      </c>
      <c r="P315">
        <v>2963</v>
      </c>
      <c r="Q315" t="s">
        <v>40</v>
      </c>
      <c r="R315" t="s">
        <v>124</v>
      </c>
    </row>
    <row r="316" spans="1:18" x14ac:dyDescent="0.25">
      <c r="A316">
        <v>2019</v>
      </c>
      <c r="B316">
        <v>27964</v>
      </c>
      <c r="C316" t="s">
        <v>1614</v>
      </c>
      <c r="D316" t="s">
        <v>5597</v>
      </c>
      <c r="E316">
        <v>211110</v>
      </c>
      <c r="F316" t="s">
        <v>233</v>
      </c>
      <c r="G316" t="s">
        <v>234</v>
      </c>
      <c r="H316" t="s">
        <v>85</v>
      </c>
      <c r="I316" t="s">
        <v>491</v>
      </c>
      <c r="J316" t="s">
        <v>492</v>
      </c>
      <c r="K316" t="s">
        <v>492</v>
      </c>
      <c r="L316" t="s">
        <v>5167</v>
      </c>
      <c r="M316" t="s">
        <v>5168</v>
      </c>
      <c r="N316" t="s">
        <v>5169</v>
      </c>
      <c r="O316" t="s">
        <v>5170</v>
      </c>
      <c r="P316">
        <v>2.3E-3</v>
      </c>
      <c r="Q316" t="s">
        <v>29</v>
      </c>
      <c r="R316" t="s">
        <v>50</v>
      </c>
    </row>
    <row r="317" spans="1:18" x14ac:dyDescent="0.25">
      <c r="A317">
        <v>2004</v>
      </c>
      <c r="B317">
        <v>4771</v>
      </c>
      <c r="C317" t="s">
        <v>5598</v>
      </c>
      <c r="D317" t="s">
        <v>5599</v>
      </c>
      <c r="E317">
        <v>221320</v>
      </c>
      <c r="F317" t="s">
        <v>390</v>
      </c>
      <c r="G317" t="s">
        <v>147</v>
      </c>
      <c r="H317" t="s">
        <v>21</v>
      </c>
      <c r="I317" t="s">
        <v>504</v>
      </c>
      <c r="J317" t="s">
        <v>505</v>
      </c>
      <c r="K317" t="s">
        <v>506</v>
      </c>
      <c r="L317" t="s">
        <v>5167</v>
      </c>
      <c r="M317" t="s">
        <v>5168</v>
      </c>
      <c r="N317" t="s">
        <v>5169</v>
      </c>
      <c r="O317" t="s">
        <v>5170</v>
      </c>
      <c r="P317">
        <v>154.124</v>
      </c>
      <c r="Q317" t="s">
        <v>29</v>
      </c>
      <c r="R317" t="s">
        <v>258</v>
      </c>
    </row>
    <row r="318" spans="1:18" x14ac:dyDescent="0.25">
      <c r="A318">
        <v>2021</v>
      </c>
      <c r="B318">
        <v>1329</v>
      </c>
      <c r="C318" t="s">
        <v>5600</v>
      </c>
      <c r="D318" t="s">
        <v>5601</v>
      </c>
      <c r="E318">
        <v>326220</v>
      </c>
      <c r="F318" t="s">
        <v>5602</v>
      </c>
      <c r="G318" t="s">
        <v>803</v>
      </c>
      <c r="H318" t="s">
        <v>79</v>
      </c>
      <c r="I318" t="s">
        <v>5603</v>
      </c>
      <c r="J318" t="s">
        <v>5604</v>
      </c>
      <c r="K318" t="s">
        <v>5605</v>
      </c>
      <c r="L318" t="s">
        <v>5167</v>
      </c>
      <c r="M318" t="s">
        <v>5168</v>
      </c>
      <c r="N318" t="s">
        <v>5169</v>
      </c>
      <c r="O318" t="s">
        <v>5170</v>
      </c>
      <c r="P318">
        <v>2.0299999999999998</v>
      </c>
      <c r="Q318" t="s">
        <v>29</v>
      </c>
      <c r="R318" t="s">
        <v>30</v>
      </c>
    </row>
    <row r="319" spans="1:18" x14ac:dyDescent="0.25">
      <c r="A319">
        <v>2002</v>
      </c>
      <c r="B319">
        <v>3903</v>
      </c>
      <c r="C319" t="s">
        <v>634</v>
      </c>
      <c r="D319" t="s">
        <v>5509</v>
      </c>
      <c r="E319">
        <v>324110</v>
      </c>
      <c r="F319" t="s">
        <v>95</v>
      </c>
      <c r="G319" t="s">
        <v>96</v>
      </c>
      <c r="H319" t="s">
        <v>85</v>
      </c>
      <c r="I319" t="s">
        <v>324</v>
      </c>
      <c r="J319" t="s">
        <v>325</v>
      </c>
      <c r="K319" t="s">
        <v>326</v>
      </c>
      <c r="L319" t="s">
        <v>5167</v>
      </c>
      <c r="M319" t="s">
        <v>5168</v>
      </c>
      <c r="N319" t="s">
        <v>5169</v>
      </c>
      <c r="O319" t="s">
        <v>5170</v>
      </c>
      <c r="P319">
        <v>0.155</v>
      </c>
      <c r="Q319" t="s">
        <v>40</v>
      </c>
      <c r="R319" t="s">
        <v>30</v>
      </c>
    </row>
    <row r="320" spans="1:18" x14ac:dyDescent="0.25">
      <c r="A320">
        <v>1998</v>
      </c>
      <c r="B320">
        <v>4639</v>
      </c>
      <c r="C320" t="s">
        <v>5606</v>
      </c>
      <c r="D320" t="s">
        <v>1476</v>
      </c>
      <c r="E320">
        <v>332810</v>
      </c>
      <c r="F320" t="s">
        <v>237</v>
      </c>
      <c r="G320" t="s">
        <v>238</v>
      </c>
      <c r="H320" t="s">
        <v>21</v>
      </c>
      <c r="I320" t="s">
        <v>177</v>
      </c>
      <c r="J320" t="s">
        <v>178</v>
      </c>
      <c r="K320" t="s">
        <v>179</v>
      </c>
      <c r="L320" t="s">
        <v>5167</v>
      </c>
      <c r="M320" t="s">
        <v>5168</v>
      </c>
      <c r="N320" t="s">
        <v>5169</v>
      </c>
      <c r="O320" t="s">
        <v>5170</v>
      </c>
      <c r="P320">
        <v>0.24</v>
      </c>
      <c r="Q320" t="s">
        <v>29</v>
      </c>
      <c r="R320" t="s">
        <v>50</v>
      </c>
    </row>
    <row r="321" spans="1:18" x14ac:dyDescent="0.25">
      <c r="A321">
        <v>2012</v>
      </c>
      <c r="B321">
        <v>10215</v>
      </c>
      <c r="C321" t="s">
        <v>125</v>
      </c>
      <c r="D321" t="s">
        <v>1161</v>
      </c>
      <c r="E321">
        <v>412110</v>
      </c>
      <c r="F321" t="s">
        <v>127</v>
      </c>
      <c r="G321" t="s">
        <v>128</v>
      </c>
      <c r="H321" t="s">
        <v>85</v>
      </c>
      <c r="I321" t="s">
        <v>197</v>
      </c>
      <c r="J321" t="s">
        <v>198</v>
      </c>
      <c r="K321" t="s">
        <v>199</v>
      </c>
      <c r="L321" t="s">
        <v>5167</v>
      </c>
      <c r="M321" t="s">
        <v>5168</v>
      </c>
      <c r="N321" t="s">
        <v>5223</v>
      </c>
      <c r="O321" t="s">
        <v>5224</v>
      </c>
      <c r="P321">
        <v>2.93E-2</v>
      </c>
      <c r="Q321" t="s">
        <v>40</v>
      </c>
      <c r="R321" t="s">
        <v>30</v>
      </c>
    </row>
    <row r="322" spans="1:18" x14ac:dyDescent="0.25">
      <c r="A322">
        <v>2019</v>
      </c>
      <c r="B322">
        <v>1236</v>
      </c>
      <c r="C322" t="s">
        <v>1109</v>
      </c>
      <c r="D322" t="s">
        <v>2157</v>
      </c>
      <c r="E322">
        <v>331410</v>
      </c>
      <c r="F322" t="s">
        <v>1234</v>
      </c>
      <c r="G322" t="s">
        <v>1235</v>
      </c>
      <c r="H322" t="s">
        <v>21</v>
      </c>
      <c r="I322" t="s">
        <v>177</v>
      </c>
      <c r="J322" t="s">
        <v>178</v>
      </c>
      <c r="K322" t="s">
        <v>179</v>
      </c>
      <c r="L322" t="s">
        <v>5183</v>
      </c>
      <c r="M322" t="s">
        <v>5184</v>
      </c>
      <c r="N322" t="s">
        <v>5169</v>
      </c>
      <c r="O322" t="s">
        <v>5170</v>
      </c>
      <c r="P322">
        <v>7.4999999999999997E-3</v>
      </c>
      <c r="Q322" t="s">
        <v>29</v>
      </c>
      <c r="R322" t="s">
        <v>157</v>
      </c>
    </row>
    <row r="323" spans="1:18" x14ac:dyDescent="0.25">
      <c r="A323">
        <v>2020</v>
      </c>
      <c r="B323">
        <v>6647</v>
      </c>
      <c r="C323" t="s">
        <v>2240</v>
      </c>
      <c r="D323" t="s">
        <v>2241</v>
      </c>
      <c r="E323">
        <v>211142</v>
      </c>
      <c r="F323" t="s">
        <v>357</v>
      </c>
      <c r="G323" t="s">
        <v>358</v>
      </c>
      <c r="H323" t="s">
        <v>85</v>
      </c>
      <c r="I323" t="s">
        <v>1050</v>
      </c>
      <c r="J323" t="s">
        <v>1051</v>
      </c>
      <c r="K323" t="s">
        <v>1052</v>
      </c>
      <c r="L323" t="s">
        <v>5183</v>
      </c>
      <c r="M323" t="s">
        <v>5184</v>
      </c>
      <c r="N323" t="s">
        <v>5185</v>
      </c>
      <c r="O323" t="s">
        <v>5186</v>
      </c>
      <c r="P323">
        <v>4900.1719999999996</v>
      </c>
      <c r="Q323" t="s">
        <v>40</v>
      </c>
      <c r="R323" t="s">
        <v>124</v>
      </c>
    </row>
    <row r="324" spans="1:18" x14ac:dyDescent="0.25">
      <c r="A324">
        <v>2012</v>
      </c>
      <c r="B324">
        <v>16152</v>
      </c>
      <c r="C324" t="s">
        <v>1649</v>
      </c>
      <c r="D324" t="s">
        <v>5607</v>
      </c>
      <c r="E324">
        <v>211113</v>
      </c>
      <c r="F324" t="s">
        <v>786</v>
      </c>
      <c r="G324" t="s">
        <v>426</v>
      </c>
      <c r="H324" t="s">
        <v>85</v>
      </c>
      <c r="I324" t="s">
        <v>55</v>
      </c>
      <c r="J324" t="s">
        <v>56</v>
      </c>
      <c r="K324" t="s">
        <v>57</v>
      </c>
      <c r="L324" t="s">
        <v>5183</v>
      </c>
      <c r="M324" t="s">
        <v>5184</v>
      </c>
      <c r="N324" t="s">
        <v>5195</v>
      </c>
      <c r="O324" t="s">
        <v>5196</v>
      </c>
      <c r="P324">
        <v>21.472000000000001</v>
      </c>
      <c r="Q324" t="s">
        <v>29</v>
      </c>
      <c r="R324" t="s">
        <v>50</v>
      </c>
    </row>
    <row r="325" spans="1:18" x14ac:dyDescent="0.25">
      <c r="A325">
        <v>2018</v>
      </c>
      <c r="B325">
        <v>29431</v>
      </c>
      <c r="C325" t="s">
        <v>1043</v>
      </c>
      <c r="D325" t="s">
        <v>5608</v>
      </c>
      <c r="E325">
        <v>493190</v>
      </c>
      <c r="F325" t="s">
        <v>5423</v>
      </c>
      <c r="G325" t="s">
        <v>5424</v>
      </c>
      <c r="H325" t="s">
        <v>243</v>
      </c>
      <c r="I325" t="s">
        <v>70</v>
      </c>
      <c r="J325" t="s">
        <v>71</v>
      </c>
      <c r="K325" t="s">
        <v>72</v>
      </c>
      <c r="L325" t="s">
        <v>5167</v>
      </c>
      <c r="M325" t="s">
        <v>5168</v>
      </c>
      <c r="N325" t="s">
        <v>5169</v>
      </c>
      <c r="O325" t="s">
        <v>5170</v>
      </c>
      <c r="P325">
        <v>5.04E-2</v>
      </c>
      <c r="Q325" t="s">
        <v>29</v>
      </c>
      <c r="R325" t="s">
        <v>30</v>
      </c>
    </row>
    <row r="326" spans="1:18" x14ac:dyDescent="0.25">
      <c r="A326">
        <v>2015</v>
      </c>
      <c r="B326">
        <v>11118</v>
      </c>
      <c r="C326" t="s">
        <v>5609</v>
      </c>
      <c r="D326" t="s">
        <v>5609</v>
      </c>
      <c r="E326">
        <v>327910</v>
      </c>
      <c r="F326" t="s">
        <v>5610</v>
      </c>
      <c r="G326" t="s">
        <v>794</v>
      </c>
      <c r="H326" t="s">
        <v>21</v>
      </c>
      <c r="I326" t="s">
        <v>136</v>
      </c>
      <c r="J326" t="s">
        <v>137</v>
      </c>
      <c r="K326" t="s">
        <v>138</v>
      </c>
      <c r="L326" t="s">
        <v>5167</v>
      </c>
      <c r="M326" t="s">
        <v>5168</v>
      </c>
      <c r="N326" t="s">
        <v>5169</v>
      </c>
      <c r="O326" t="s">
        <v>5170</v>
      </c>
      <c r="P326">
        <v>122.31</v>
      </c>
      <c r="Q326" t="s">
        <v>29</v>
      </c>
      <c r="R326" t="s">
        <v>50</v>
      </c>
    </row>
    <row r="327" spans="1:18" x14ac:dyDescent="0.25">
      <c r="A327">
        <v>2018</v>
      </c>
      <c r="B327">
        <v>24216</v>
      </c>
      <c r="C327" t="s">
        <v>5611</v>
      </c>
      <c r="D327" t="s">
        <v>5612</v>
      </c>
      <c r="E327">
        <v>212220</v>
      </c>
      <c r="F327" t="s">
        <v>1619</v>
      </c>
      <c r="G327" t="s">
        <v>1620</v>
      </c>
      <c r="H327" t="s">
        <v>2102</v>
      </c>
      <c r="I327" t="s">
        <v>877</v>
      </c>
      <c r="J327" t="s">
        <v>878</v>
      </c>
      <c r="K327" t="s">
        <v>879</v>
      </c>
      <c r="L327" t="s">
        <v>5183</v>
      </c>
      <c r="M327" t="s">
        <v>5184</v>
      </c>
      <c r="N327" t="s">
        <v>5185</v>
      </c>
      <c r="O327" t="s">
        <v>5186</v>
      </c>
      <c r="P327">
        <v>0</v>
      </c>
      <c r="Q327" t="s">
        <v>880</v>
      </c>
      <c r="R327" t="s">
        <v>50</v>
      </c>
    </row>
    <row r="328" spans="1:18" x14ac:dyDescent="0.25">
      <c r="A328">
        <v>2007</v>
      </c>
      <c r="B328">
        <v>10301</v>
      </c>
      <c r="C328" t="s">
        <v>5613</v>
      </c>
      <c r="D328" t="s">
        <v>5614</v>
      </c>
      <c r="E328">
        <v>336340</v>
      </c>
      <c r="F328" t="s">
        <v>5615</v>
      </c>
      <c r="G328" t="s">
        <v>5616</v>
      </c>
      <c r="H328" t="s">
        <v>21</v>
      </c>
      <c r="I328" t="s">
        <v>648</v>
      </c>
      <c r="J328" t="s">
        <v>649</v>
      </c>
      <c r="K328" t="s">
        <v>650</v>
      </c>
      <c r="L328" t="s">
        <v>5167</v>
      </c>
      <c r="M328" t="s">
        <v>5168</v>
      </c>
      <c r="N328" t="s">
        <v>5169</v>
      </c>
      <c r="O328" t="s">
        <v>5170</v>
      </c>
      <c r="P328">
        <v>5.8689999999999998</v>
      </c>
      <c r="Q328" t="s">
        <v>29</v>
      </c>
      <c r="R328" t="s">
        <v>50</v>
      </c>
    </row>
    <row r="329" spans="1:18" x14ac:dyDescent="0.25">
      <c r="A329">
        <v>2011</v>
      </c>
      <c r="B329">
        <v>199</v>
      </c>
      <c r="C329" t="s">
        <v>262</v>
      </c>
      <c r="D329" t="s">
        <v>969</v>
      </c>
      <c r="E329">
        <v>331523</v>
      </c>
      <c r="F329" t="s">
        <v>5617</v>
      </c>
      <c r="G329" t="s">
        <v>34</v>
      </c>
      <c r="H329" t="s">
        <v>21</v>
      </c>
      <c r="I329" t="s">
        <v>152</v>
      </c>
      <c r="J329" t="s">
        <v>153</v>
      </c>
      <c r="K329" t="s">
        <v>154</v>
      </c>
      <c r="L329" t="s">
        <v>5167</v>
      </c>
      <c r="M329" t="s">
        <v>5168</v>
      </c>
      <c r="N329" t="s">
        <v>5169</v>
      </c>
      <c r="O329" t="s">
        <v>5170</v>
      </c>
      <c r="P329">
        <v>1.0999999999999999E-2</v>
      </c>
      <c r="Q329" t="s">
        <v>29</v>
      </c>
      <c r="R329" t="s">
        <v>30</v>
      </c>
    </row>
    <row r="330" spans="1:18" x14ac:dyDescent="0.25">
      <c r="A330">
        <v>2013</v>
      </c>
      <c r="B330">
        <v>3048</v>
      </c>
      <c r="C330" t="s">
        <v>5288</v>
      </c>
      <c r="D330" t="s">
        <v>208</v>
      </c>
      <c r="E330">
        <v>221112</v>
      </c>
      <c r="F330" t="s">
        <v>499</v>
      </c>
      <c r="G330" t="s">
        <v>135</v>
      </c>
      <c r="H330" t="s">
        <v>21</v>
      </c>
      <c r="I330" t="s">
        <v>877</v>
      </c>
      <c r="J330" t="s">
        <v>878</v>
      </c>
      <c r="K330" t="s">
        <v>879</v>
      </c>
      <c r="L330" t="s">
        <v>5183</v>
      </c>
      <c r="M330" t="s">
        <v>5184</v>
      </c>
      <c r="N330" t="s">
        <v>5169</v>
      </c>
      <c r="O330" t="s">
        <v>5170</v>
      </c>
      <c r="P330">
        <v>1E-3</v>
      </c>
      <c r="Q330" t="s">
        <v>880</v>
      </c>
      <c r="R330" t="s">
        <v>50</v>
      </c>
    </row>
    <row r="331" spans="1:18" x14ac:dyDescent="0.25">
      <c r="A331">
        <v>2020</v>
      </c>
      <c r="B331">
        <v>2240</v>
      </c>
      <c r="C331" t="s">
        <v>2292</v>
      </c>
      <c r="D331" t="s">
        <v>5618</v>
      </c>
      <c r="E331">
        <v>221320</v>
      </c>
      <c r="F331" t="s">
        <v>146</v>
      </c>
      <c r="G331" t="s">
        <v>147</v>
      </c>
      <c r="H331" t="s">
        <v>21</v>
      </c>
      <c r="I331" t="s">
        <v>543</v>
      </c>
      <c r="J331" t="s">
        <v>544</v>
      </c>
      <c r="K331" t="s">
        <v>545</v>
      </c>
      <c r="L331" t="s">
        <v>5167</v>
      </c>
      <c r="M331" t="s">
        <v>5168</v>
      </c>
      <c r="N331" t="s">
        <v>5175</v>
      </c>
      <c r="O331" t="s">
        <v>5176</v>
      </c>
      <c r="P331">
        <v>30.7</v>
      </c>
      <c r="Q331" t="s">
        <v>40</v>
      </c>
      <c r="R331" t="s">
        <v>124</v>
      </c>
    </row>
    <row r="332" spans="1:18" x14ac:dyDescent="0.25">
      <c r="A332">
        <v>2006</v>
      </c>
      <c r="B332">
        <v>1</v>
      </c>
      <c r="C332" t="s">
        <v>5294</v>
      </c>
      <c r="D332" t="s">
        <v>5294</v>
      </c>
      <c r="E332">
        <v>322112</v>
      </c>
      <c r="F332" t="s">
        <v>620</v>
      </c>
      <c r="G332" t="s">
        <v>621</v>
      </c>
      <c r="H332" t="s">
        <v>85</v>
      </c>
      <c r="I332" t="s">
        <v>391</v>
      </c>
      <c r="J332" t="s">
        <v>392</v>
      </c>
      <c r="K332" t="s">
        <v>393</v>
      </c>
      <c r="L332" t="s">
        <v>5183</v>
      </c>
      <c r="M332" t="s">
        <v>5184</v>
      </c>
      <c r="N332" t="s">
        <v>5175</v>
      </c>
      <c r="O332" t="s">
        <v>5176</v>
      </c>
      <c r="P332">
        <v>0</v>
      </c>
      <c r="Q332" t="s">
        <v>40</v>
      </c>
      <c r="R332" t="s">
        <v>124</v>
      </c>
    </row>
    <row r="333" spans="1:18" x14ac:dyDescent="0.25">
      <c r="A333">
        <v>2020</v>
      </c>
      <c r="B333">
        <v>25421</v>
      </c>
      <c r="C333" t="s">
        <v>5619</v>
      </c>
      <c r="D333" t="s">
        <v>5620</v>
      </c>
      <c r="E333">
        <v>221320</v>
      </c>
      <c r="F333" t="s">
        <v>146</v>
      </c>
      <c r="G333" t="s">
        <v>147</v>
      </c>
      <c r="H333" t="s">
        <v>54</v>
      </c>
      <c r="I333" t="s">
        <v>97</v>
      </c>
      <c r="J333" t="s">
        <v>98</v>
      </c>
      <c r="K333" t="s">
        <v>99</v>
      </c>
      <c r="L333" t="s">
        <v>5167</v>
      </c>
      <c r="M333" t="s">
        <v>5168</v>
      </c>
      <c r="N333" t="s">
        <v>5195</v>
      </c>
      <c r="O333" t="s">
        <v>5196</v>
      </c>
      <c r="P333">
        <v>7.87</v>
      </c>
      <c r="Q333" t="s">
        <v>29</v>
      </c>
      <c r="R333" t="s">
        <v>124</v>
      </c>
    </row>
    <row r="334" spans="1:18" x14ac:dyDescent="0.25">
      <c r="A334">
        <v>1999</v>
      </c>
      <c r="B334">
        <v>2909</v>
      </c>
      <c r="C334" t="s">
        <v>5621</v>
      </c>
      <c r="D334" t="s">
        <v>5622</v>
      </c>
      <c r="E334">
        <v>321114</v>
      </c>
      <c r="F334" t="s">
        <v>365</v>
      </c>
      <c r="G334" t="s">
        <v>366</v>
      </c>
      <c r="H334" t="s">
        <v>79</v>
      </c>
      <c r="I334" t="s">
        <v>244</v>
      </c>
      <c r="J334" t="s">
        <v>245</v>
      </c>
      <c r="K334" t="s">
        <v>246</v>
      </c>
      <c r="L334" t="s">
        <v>5167</v>
      </c>
      <c r="M334" t="s">
        <v>5168</v>
      </c>
      <c r="N334" t="s">
        <v>5169</v>
      </c>
      <c r="O334" t="s">
        <v>5170</v>
      </c>
      <c r="P334">
        <v>9.1999999999999998E-2</v>
      </c>
      <c r="Q334" t="s">
        <v>29</v>
      </c>
      <c r="R334" t="s">
        <v>30</v>
      </c>
    </row>
    <row r="335" spans="1:18" x14ac:dyDescent="0.25">
      <c r="A335">
        <v>2022</v>
      </c>
      <c r="B335">
        <v>28667</v>
      </c>
      <c r="C335" t="s">
        <v>5623</v>
      </c>
      <c r="D335" t="s">
        <v>5624</v>
      </c>
      <c r="E335">
        <v>412110</v>
      </c>
      <c r="F335" t="s">
        <v>589</v>
      </c>
      <c r="G335" t="s">
        <v>590</v>
      </c>
      <c r="H335" t="s">
        <v>85</v>
      </c>
      <c r="I335" t="s">
        <v>348</v>
      </c>
      <c r="J335" t="s">
        <v>349</v>
      </c>
      <c r="K335" t="s">
        <v>350</v>
      </c>
      <c r="L335" t="s">
        <v>5167</v>
      </c>
      <c r="M335" t="s">
        <v>5168</v>
      </c>
      <c r="N335" t="s">
        <v>5195</v>
      </c>
      <c r="O335" t="s">
        <v>5196</v>
      </c>
      <c r="P335">
        <v>0.433</v>
      </c>
      <c r="Q335" t="s">
        <v>29</v>
      </c>
      <c r="R335" t="s">
        <v>430</v>
      </c>
    </row>
    <row r="336" spans="1:18" x14ac:dyDescent="0.25">
      <c r="A336">
        <v>2010</v>
      </c>
      <c r="B336">
        <v>4771</v>
      </c>
      <c r="C336" t="s">
        <v>5345</v>
      </c>
      <c r="D336" t="s">
        <v>5625</v>
      </c>
      <c r="E336">
        <v>221320</v>
      </c>
      <c r="F336" t="s">
        <v>390</v>
      </c>
      <c r="G336" t="s">
        <v>147</v>
      </c>
      <c r="H336" t="s">
        <v>21</v>
      </c>
      <c r="I336" t="s">
        <v>1549</v>
      </c>
      <c r="J336" t="s">
        <v>1550</v>
      </c>
      <c r="K336" t="s">
        <v>1551</v>
      </c>
      <c r="L336" t="s">
        <v>5167</v>
      </c>
      <c r="M336" t="s">
        <v>5168</v>
      </c>
      <c r="N336" t="s">
        <v>5223</v>
      </c>
      <c r="O336" t="s">
        <v>5224</v>
      </c>
      <c r="P336">
        <v>0.81</v>
      </c>
      <c r="Q336" t="s">
        <v>29</v>
      </c>
      <c r="R336" t="s">
        <v>258</v>
      </c>
    </row>
    <row r="337" spans="1:18" x14ac:dyDescent="0.25">
      <c r="A337">
        <v>2023</v>
      </c>
      <c r="B337">
        <v>2935</v>
      </c>
      <c r="C337" t="s">
        <v>5626</v>
      </c>
      <c r="D337" t="s">
        <v>5627</v>
      </c>
      <c r="E337">
        <v>212220</v>
      </c>
      <c r="F337" t="s">
        <v>1619</v>
      </c>
      <c r="G337" t="s">
        <v>1620</v>
      </c>
      <c r="H337" t="s">
        <v>79</v>
      </c>
      <c r="I337" t="s">
        <v>106</v>
      </c>
      <c r="J337" t="s">
        <v>107</v>
      </c>
      <c r="K337" t="s">
        <v>108</v>
      </c>
      <c r="L337" t="s">
        <v>5183</v>
      </c>
      <c r="M337" t="s">
        <v>5184</v>
      </c>
      <c r="N337" t="s">
        <v>5260</v>
      </c>
      <c r="O337" t="s">
        <v>5261</v>
      </c>
      <c r="P337">
        <v>0.81079999999999997</v>
      </c>
      <c r="Q337" t="s">
        <v>40</v>
      </c>
      <c r="R337" t="s">
        <v>124</v>
      </c>
    </row>
    <row r="338" spans="1:18" x14ac:dyDescent="0.25">
      <c r="A338">
        <v>2002</v>
      </c>
      <c r="B338">
        <v>1648</v>
      </c>
      <c r="C338" t="s">
        <v>5628</v>
      </c>
      <c r="D338" t="s">
        <v>5629</v>
      </c>
      <c r="E338">
        <v>325999</v>
      </c>
      <c r="F338" t="s">
        <v>396</v>
      </c>
      <c r="G338" t="s">
        <v>397</v>
      </c>
      <c r="H338" t="s">
        <v>79</v>
      </c>
      <c r="I338" t="s">
        <v>5603</v>
      </c>
      <c r="J338" t="s">
        <v>5604</v>
      </c>
      <c r="K338" t="s">
        <v>5605</v>
      </c>
      <c r="L338" t="s">
        <v>5167</v>
      </c>
      <c r="M338" t="s">
        <v>5168</v>
      </c>
      <c r="N338" t="s">
        <v>5169</v>
      </c>
      <c r="O338" t="s">
        <v>5170</v>
      </c>
      <c r="P338">
        <v>0.22900000000000001</v>
      </c>
      <c r="Q338" t="s">
        <v>29</v>
      </c>
      <c r="R338" t="s">
        <v>30</v>
      </c>
    </row>
    <row r="339" spans="1:18" x14ac:dyDescent="0.25">
      <c r="A339">
        <v>2007</v>
      </c>
      <c r="B339">
        <v>6227</v>
      </c>
      <c r="C339" t="s">
        <v>5630</v>
      </c>
      <c r="D339" t="s">
        <v>5631</v>
      </c>
      <c r="E339">
        <v>332999</v>
      </c>
      <c r="F339" t="s">
        <v>309</v>
      </c>
      <c r="G339" t="s">
        <v>304</v>
      </c>
      <c r="H339" t="s">
        <v>79</v>
      </c>
      <c r="I339" t="s">
        <v>35</v>
      </c>
      <c r="J339" t="s">
        <v>36</v>
      </c>
      <c r="K339" t="s">
        <v>37</v>
      </c>
      <c r="L339" t="s">
        <v>5183</v>
      </c>
      <c r="M339" t="s">
        <v>5184</v>
      </c>
      <c r="N339" t="s">
        <v>5169</v>
      </c>
      <c r="O339" t="s">
        <v>5170</v>
      </c>
      <c r="P339">
        <v>0</v>
      </c>
      <c r="Q339" t="s">
        <v>40</v>
      </c>
      <c r="R339" t="s">
        <v>30</v>
      </c>
    </row>
    <row r="340" spans="1:18" x14ac:dyDescent="0.25">
      <c r="A340">
        <v>2019</v>
      </c>
      <c r="B340">
        <v>11867</v>
      </c>
      <c r="C340" t="s">
        <v>5632</v>
      </c>
      <c r="D340" t="s">
        <v>5633</v>
      </c>
      <c r="E340">
        <v>212220</v>
      </c>
      <c r="F340" t="s">
        <v>1619</v>
      </c>
      <c r="G340" t="s">
        <v>1620</v>
      </c>
      <c r="H340" t="s">
        <v>21</v>
      </c>
      <c r="I340" t="s">
        <v>106</v>
      </c>
      <c r="J340" t="s">
        <v>107</v>
      </c>
      <c r="K340" t="s">
        <v>108</v>
      </c>
      <c r="L340" t="s">
        <v>5183</v>
      </c>
      <c r="M340" t="s">
        <v>5184</v>
      </c>
      <c r="N340" t="s">
        <v>5185</v>
      </c>
      <c r="O340" t="s">
        <v>5186</v>
      </c>
      <c r="P340">
        <v>947.51</v>
      </c>
      <c r="Q340" t="s">
        <v>40</v>
      </c>
      <c r="R340" t="s">
        <v>157</v>
      </c>
    </row>
    <row r="341" spans="1:18" x14ac:dyDescent="0.25">
      <c r="A341">
        <v>2009</v>
      </c>
      <c r="B341">
        <v>3769</v>
      </c>
      <c r="C341" t="s">
        <v>5634</v>
      </c>
      <c r="D341" t="s">
        <v>5634</v>
      </c>
      <c r="E341">
        <v>339990</v>
      </c>
      <c r="F341" t="s">
        <v>871</v>
      </c>
      <c r="G341" t="s">
        <v>872</v>
      </c>
      <c r="H341" t="s">
        <v>21</v>
      </c>
      <c r="I341" t="s">
        <v>209</v>
      </c>
      <c r="J341" t="s">
        <v>210</v>
      </c>
      <c r="K341" t="s">
        <v>211</v>
      </c>
      <c r="L341" t="s">
        <v>5167</v>
      </c>
      <c r="M341" t="s">
        <v>5168</v>
      </c>
      <c r="N341" t="s">
        <v>5169</v>
      </c>
      <c r="O341" t="s">
        <v>5170</v>
      </c>
      <c r="P341">
        <v>1</v>
      </c>
      <c r="Q341" t="s">
        <v>29</v>
      </c>
      <c r="R341" t="s">
        <v>124</v>
      </c>
    </row>
    <row r="342" spans="1:18" x14ac:dyDescent="0.25">
      <c r="A342">
        <v>1994</v>
      </c>
      <c r="B342">
        <v>3123</v>
      </c>
      <c r="C342" t="s">
        <v>5635</v>
      </c>
      <c r="D342" t="s">
        <v>5636</v>
      </c>
      <c r="E342">
        <v>334410</v>
      </c>
      <c r="F342" t="s">
        <v>604</v>
      </c>
      <c r="G342" t="s">
        <v>605</v>
      </c>
      <c r="H342" t="s">
        <v>79</v>
      </c>
      <c r="I342" t="s">
        <v>177</v>
      </c>
      <c r="J342" t="s">
        <v>178</v>
      </c>
      <c r="K342" t="s">
        <v>179</v>
      </c>
      <c r="L342" t="s">
        <v>5167</v>
      </c>
      <c r="M342" t="s">
        <v>5168</v>
      </c>
      <c r="N342" t="s">
        <v>5169</v>
      </c>
      <c r="O342" t="s">
        <v>5170</v>
      </c>
      <c r="P342">
        <v>14.67</v>
      </c>
      <c r="Q342" t="s">
        <v>29</v>
      </c>
      <c r="R342" t="s">
        <v>30</v>
      </c>
    </row>
    <row r="343" spans="1:18" x14ac:dyDescent="0.25">
      <c r="A343">
        <v>2003</v>
      </c>
      <c r="B343">
        <v>1797</v>
      </c>
      <c r="C343" t="s">
        <v>2018</v>
      </c>
      <c r="D343" t="s">
        <v>1377</v>
      </c>
      <c r="E343">
        <v>322112</v>
      </c>
      <c r="F343" t="s">
        <v>620</v>
      </c>
      <c r="G343" t="s">
        <v>621</v>
      </c>
      <c r="H343" t="s">
        <v>69</v>
      </c>
      <c r="I343" t="s">
        <v>5302</v>
      </c>
      <c r="J343" t="s">
        <v>5303</v>
      </c>
      <c r="K343" t="s">
        <v>5304</v>
      </c>
      <c r="L343" t="s">
        <v>5183</v>
      </c>
      <c r="M343" t="s">
        <v>5184</v>
      </c>
      <c r="N343" t="s">
        <v>5169</v>
      </c>
      <c r="O343" t="s">
        <v>5170</v>
      </c>
      <c r="P343">
        <v>0.38500000000000001</v>
      </c>
      <c r="Q343" t="s">
        <v>40</v>
      </c>
      <c r="R343" t="s">
        <v>430</v>
      </c>
    </row>
    <row r="344" spans="1:18" x14ac:dyDescent="0.25">
      <c r="A344">
        <v>2016</v>
      </c>
      <c r="B344">
        <v>442</v>
      </c>
      <c r="C344" t="s">
        <v>1323</v>
      </c>
      <c r="D344" t="s">
        <v>5417</v>
      </c>
      <c r="E344">
        <v>211114</v>
      </c>
      <c r="F344" t="s">
        <v>956</v>
      </c>
      <c r="G344" t="s">
        <v>836</v>
      </c>
      <c r="H344" t="s">
        <v>85</v>
      </c>
      <c r="I344" t="s">
        <v>348</v>
      </c>
      <c r="J344" t="s">
        <v>349</v>
      </c>
      <c r="K344" t="s">
        <v>350</v>
      </c>
      <c r="L344" t="s">
        <v>5183</v>
      </c>
      <c r="M344" t="s">
        <v>5184</v>
      </c>
      <c r="N344" t="s">
        <v>5169</v>
      </c>
      <c r="O344" t="s">
        <v>5170</v>
      </c>
      <c r="P344">
        <v>3.05</v>
      </c>
      <c r="Q344" t="s">
        <v>29</v>
      </c>
      <c r="R344" t="s">
        <v>30</v>
      </c>
    </row>
    <row r="345" spans="1:18" x14ac:dyDescent="0.25">
      <c r="A345">
        <v>2008</v>
      </c>
      <c r="B345">
        <v>6426</v>
      </c>
      <c r="C345" t="s">
        <v>5637</v>
      </c>
      <c r="D345" t="s">
        <v>5638</v>
      </c>
      <c r="E345">
        <v>221119</v>
      </c>
      <c r="F345" t="s">
        <v>1851</v>
      </c>
      <c r="G345" t="s">
        <v>323</v>
      </c>
      <c r="H345" t="s">
        <v>79</v>
      </c>
      <c r="I345" t="s">
        <v>324</v>
      </c>
      <c r="J345" t="s">
        <v>325</v>
      </c>
      <c r="K345" t="s">
        <v>326</v>
      </c>
      <c r="L345" t="s">
        <v>5167</v>
      </c>
      <c r="M345" t="s">
        <v>5168</v>
      </c>
      <c r="N345" t="s">
        <v>5175</v>
      </c>
      <c r="O345" t="s">
        <v>5176</v>
      </c>
      <c r="P345">
        <v>3.46</v>
      </c>
      <c r="Q345" t="s">
        <v>40</v>
      </c>
      <c r="R345" t="s">
        <v>124</v>
      </c>
    </row>
    <row r="346" spans="1:18" x14ac:dyDescent="0.25">
      <c r="A346">
        <v>1999</v>
      </c>
      <c r="B346">
        <v>3254</v>
      </c>
      <c r="C346" t="s">
        <v>1248</v>
      </c>
      <c r="D346" t="s">
        <v>1249</v>
      </c>
      <c r="E346">
        <v>336410</v>
      </c>
      <c r="F346" t="s">
        <v>260</v>
      </c>
      <c r="G346" t="s">
        <v>261</v>
      </c>
      <c r="H346" t="s">
        <v>79</v>
      </c>
      <c r="I346" t="s">
        <v>209</v>
      </c>
      <c r="J346" t="s">
        <v>210</v>
      </c>
      <c r="K346" t="s">
        <v>211</v>
      </c>
      <c r="L346" t="s">
        <v>5167</v>
      </c>
      <c r="M346" t="s">
        <v>5168</v>
      </c>
      <c r="N346" t="s">
        <v>5169</v>
      </c>
      <c r="O346" t="s">
        <v>5170</v>
      </c>
      <c r="P346">
        <v>7.9</v>
      </c>
      <c r="Q346" t="s">
        <v>29</v>
      </c>
      <c r="R346" t="s">
        <v>30</v>
      </c>
    </row>
    <row r="347" spans="1:18" x14ac:dyDescent="0.25">
      <c r="A347">
        <v>2015</v>
      </c>
      <c r="B347">
        <v>4823</v>
      </c>
      <c r="C347" t="s">
        <v>3178</v>
      </c>
      <c r="D347" t="s">
        <v>5639</v>
      </c>
      <c r="E347">
        <v>211113</v>
      </c>
      <c r="F347" t="s">
        <v>786</v>
      </c>
      <c r="G347" t="s">
        <v>426</v>
      </c>
      <c r="H347" t="s">
        <v>85</v>
      </c>
      <c r="I347" t="s">
        <v>427</v>
      </c>
      <c r="J347" t="s">
        <v>428</v>
      </c>
      <c r="K347" t="s">
        <v>429</v>
      </c>
      <c r="L347" t="s">
        <v>5167</v>
      </c>
      <c r="M347" t="s">
        <v>5168</v>
      </c>
      <c r="N347" t="s">
        <v>5169</v>
      </c>
      <c r="O347" t="s">
        <v>5170</v>
      </c>
      <c r="P347">
        <v>1.0999999999999999E-2</v>
      </c>
      <c r="Q347" t="s">
        <v>29</v>
      </c>
      <c r="R347" t="s">
        <v>30</v>
      </c>
    </row>
    <row r="348" spans="1:18" x14ac:dyDescent="0.25">
      <c r="A348">
        <v>2019</v>
      </c>
      <c r="B348">
        <v>3140</v>
      </c>
      <c r="C348" t="s">
        <v>5640</v>
      </c>
      <c r="D348" t="s">
        <v>5641</v>
      </c>
      <c r="E348">
        <v>322130</v>
      </c>
      <c r="F348" t="s">
        <v>5230</v>
      </c>
      <c r="G348" t="s">
        <v>1646</v>
      </c>
      <c r="H348" t="s">
        <v>79</v>
      </c>
      <c r="I348" t="s">
        <v>35</v>
      </c>
      <c r="J348" t="s">
        <v>36</v>
      </c>
      <c r="K348" t="s">
        <v>37</v>
      </c>
      <c r="L348" t="s">
        <v>5167</v>
      </c>
      <c r="M348" t="s">
        <v>5168</v>
      </c>
      <c r="N348" t="s">
        <v>5169</v>
      </c>
      <c r="O348" t="s">
        <v>5170</v>
      </c>
      <c r="P348">
        <v>20.5</v>
      </c>
      <c r="Q348" t="s">
        <v>40</v>
      </c>
      <c r="R348" t="s">
        <v>50</v>
      </c>
    </row>
    <row r="349" spans="1:18" x14ac:dyDescent="0.25">
      <c r="A349">
        <v>2017</v>
      </c>
      <c r="B349">
        <v>5286</v>
      </c>
      <c r="C349" t="s">
        <v>1027</v>
      </c>
      <c r="D349" t="s">
        <v>5642</v>
      </c>
      <c r="E349">
        <v>211110</v>
      </c>
      <c r="F349" t="s">
        <v>233</v>
      </c>
      <c r="G349" t="s">
        <v>234</v>
      </c>
      <c r="H349" t="s">
        <v>69</v>
      </c>
      <c r="I349" t="s">
        <v>348</v>
      </c>
      <c r="J349" t="s">
        <v>349</v>
      </c>
      <c r="K349" t="s">
        <v>350</v>
      </c>
      <c r="L349" t="s">
        <v>5167</v>
      </c>
      <c r="M349" t="s">
        <v>5168</v>
      </c>
      <c r="N349" t="s">
        <v>5195</v>
      </c>
      <c r="O349" t="s">
        <v>5196</v>
      </c>
      <c r="P349">
        <v>0.49780000000000002</v>
      </c>
      <c r="Q349" t="s">
        <v>29</v>
      </c>
      <c r="R349" t="s">
        <v>30</v>
      </c>
    </row>
    <row r="350" spans="1:18" x14ac:dyDescent="0.25">
      <c r="A350">
        <v>1994</v>
      </c>
      <c r="B350">
        <v>1080</v>
      </c>
      <c r="C350" t="s">
        <v>5643</v>
      </c>
      <c r="D350" t="s">
        <v>5644</v>
      </c>
      <c r="E350">
        <v>211113</v>
      </c>
      <c r="F350" t="s">
        <v>425</v>
      </c>
      <c r="G350" t="s">
        <v>426</v>
      </c>
      <c r="H350" t="s">
        <v>69</v>
      </c>
      <c r="I350" t="s">
        <v>70</v>
      </c>
      <c r="J350" t="s">
        <v>71</v>
      </c>
      <c r="K350" t="s">
        <v>72</v>
      </c>
      <c r="L350" t="s">
        <v>5167</v>
      </c>
      <c r="M350" t="s">
        <v>5168</v>
      </c>
      <c r="N350" t="s">
        <v>5169</v>
      </c>
      <c r="O350" t="s">
        <v>5170</v>
      </c>
      <c r="P350">
        <v>0.01</v>
      </c>
      <c r="Q350" t="s">
        <v>29</v>
      </c>
      <c r="R350" t="s">
        <v>30</v>
      </c>
    </row>
    <row r="351" spans="1:18" x14ac:dyDescent="0.25">
      <c r="A351">
        <v>2004</v>
      </c>
      <c r="B351">
        <v>3903</v>
      </c>
      <c r="C351" t="s">
        <v>5645</v>
      </c>
      <c r="D351" t="s">
        <v>5509</v>
      </c>
      <c r="E351">
        <v>324110</v>
      </c>
      <c r="F351" t="s">
        <v>95</v>
      </c>
      <c r="G351" t="s">
        <v>96</v>
      </c>
      <c r="H351" t="s">
        <v>85</v>
      </c>
      <c r="I351" t="s">
        <v>622</v>
      </c>
      <c r="J351" t="s">
        <v>623</v>
      </c>
      <c r="K351" t="s">
        <v>624</v>
      </c>
      <c r="L351" t="s">
        <v>5183</v>
      </c>
      <c r="M351" t="s">
        <v>5184</v>
      </c>
      <c r="N351" t="s">
        <v>5195</v>
      </c>
      <c r="O351" t="s">
        <v>5196</v>
      </c>
      <c r="P351">
        <v>100.02500000000001</v>
      </c>
      <c r="Q351" t="s">
        <v>40</v>
      </c>
      <c r="R351" t="s">
        <v>30</v>
      </c>
    </row>
    <row r="352" spans="1:18" x14ac:dyDescent="0.25">
      <c r="A352">
        <v>2022</v>
      </c>
      <c r="B352">
        <v>4566</v>
      </c>
      <c r="C352" t="s">
        <v>5646</v>
      </c>
      <c r="D352" t="s">
        <v>2298</v>
      </c>
      <c r="E352">
        <v>211110</v>
      </c>
      <c r="F352" t="s">
        <v>233</v>
      </c>
      <c r="G352" t="s">
        <v>234</v>
      </c>
      <c r="H352" t="s">
        <v>85</v>
      </c>
      <c r="I352" t="s">
        <v>70</v>
      </c>
      <c r="J352" t="s">
        <v>71</v>
      </c>
      <c r="K352" t="s">
        <v>72</v>
      </c>
      <c r="L352" t="s">
        <v>5167</v>
      </c>
      <c r="M352" t="s">
        <v>5168</v>
      </c>
      <c r="N352" t="s">
        <v>5169</v>
      </c>
      <c r="O352" t="s">
        <v>5170</v>
      </c>
      <c r="P352">
        <v>7.8838000000000005E-2</v>
      </c>
      <c r="Q352" t="s">
        <v>29</v>
      </c>
      <c r="R352" t="s">
        <v>30</v>
      </c>
    </row>
    <row r="353" spans="1:18" x14ac:dyDescent="0.25">
      <c r="A353">
        <v>2000</v>
      </c>
      <c r="B353">
        <v>3266</v>
      </c>
      <c r="C353" t="s">
        <v>5647</v>
      </c>
      <c r="D353" t="s">
        <v>5648</v>
      </c>
      <c r="E353">
        <v>327120</v>
      </c>
      <c r="F353" t="s">
        <v>5649</v>
      </c>
      <c r="G353" t="s">
        <v>5650</v>
      </c>
      <c r="H353" t="s">
        <v>21</v>
      </c>
      <c r="I353" t="s">
        <v>209</v>
      </c>
      <c r="J353" t="s">
        <v>210</v>
      </c>
      <c r="K353" t="s">
        <v>211</v>
      </c>
      <c r="L353" t="s">
        <v>5167</v>
      </c>
      <c r="M353" t="s">
        <v>5168</v>
      </c>
      <c r="N353" t="s">
        <v>5169</v>
      </c>
      <c r="O353" t="s">
        <v>5170</v>
      </c>
      <c r="P353">
        <v>0.71899999999999997</v>
      </c>
      <c r="Q353" t="s">
        <v>29</v>
      </c>
      <c r="R353" t="s">
        <v>442</v>
      </c>
    </row>
    <row r="354" spans="1:18" x14ac:dyDescent="0.25">
      <c r="A354">
        <v>2021</v>
      </c>
      <c r="B354">
        <v>22100</v>
      </c>
      <c r="C354" t="s">
        <v>4250</v>
      </c>
      <c r="D354" t="s">
        <v>5651</v>
      </c>
      <c r="E354">
        <v>562210</v>
      </c>
      <c r="F354" t="s">
        <v>84</v>
      </c>
      <c r="G354" t="s">
        <v>53</v>
      </c>
      <c r="H354" t="s">
        <v>85</v>
      </c>
      <c r="I354" t="s">
        <v>55</v>
      </c>
      <c r="J354" t="s">
        <v>56</v>
      </c>
      <c r="K354" t="s">
        <v>57</v>
      </c>
      <c r="L354" t="s">
        <v>5183</v>
      </c>
      <c r="M354" t="s">
        <v>5184</v>
      </c>
      <c r="N354" t="s">
        <v>5195</v>
      </c>
      <c r="O354" t="s">
        <v>5196</v>
      </c>
      <c r="P354">
        <v>117.93322000000001</v>
      </c>
      <c r="Q354" t="s">
        <v>29</v>
      </c>
      <c r="R354" t="s">
        <v>50</v>
      </c>
    </row>
    <row r="355" spans="1:18" x14ac:dyDescent="0.25">
      <c r="A355">
        <v>2012</v>
      </c>
      <c r="B355">
        <v>6093</v>
      </c>
      <c r="C355" t="s">
        <v>5471</v>
      </c>
      <c r="D355" t="s">
        <v>5652</v>
      </c>
      <c r="E355">
        <v>212232</v>
      </c>
      <c r="F355" t="s">
        <v>2003</v>
      </c>
      <c r="G355" t="s">
        <v>2004</v>
      </c>
      <c r="H355" t="s">
        <v>1625</v>
      </c>
      <c r="I355" t="s">
        <v>136</v>
      </c>
      <c r="J355" t="s">
        <v>137</v>
      </c>
      <c r="K355" t="s">
        <v>138</v>
      </c>
      <c r="L355" t="s">
        <v>5183</v>
      </c>
      <c r="M355" t="s">
        <v>5184</v>
      </c>
      <c r="N355" t="s">
        <v>5185</v>
      </c>
      <c r="O355" t="s">
        <v>5186</v>
      </c>
      <c r="P355">
        <v>1352.2449999999999</v>
      </c>
      <c r="Q355" t="s">
        <v>29</v>
      </c>
      <c r="R355" t="s">
        <v>124</v>
      </c>
    </row>
    <row r="356" spans="1:18" x14ac:dyDescent="0.25">
      <c r="A356">
        <v>2010</v>
      </c>
      <c r="B356">
        <v>10237</v>
      </c>
      <c r="C356" t="s">
        <v>125</v>
      </c>
      <c r="D356" t="s">
        <v>542</v>
      </c>
      <c r="E356">
        <v>412110</v>
      </c>
      <c r="F356" t="s">
        <v>346</v>
      </c>
      <c r="G356" t="s">
        <v>347</v>
      </c>
      <c r="H356" t="s">
        <v>54</v>
      </c>
      <c r="I356" t="s">
        <v>70</v>
      </c>
      <c r="J356" t="s">
        <v>71</v>
      </c>
      <c r="K356" t="s">
        <v>72</v>
      </c>
      <c r="L356" t="s">
        <v>5167</v>
      </c>
      <c r="M356" t="s">
        <v>5168</v>
      </c>
      <c r="N356" t="s">
        <v>5169</v>
      </c>
      <c r="O356" t="s">
        <v>5170</v>
      </c>
      <c r="P356">
        <v>6.88E-2</v>
      </c>
      <c r="Q356" t="s">
        <v>29</v>
      </c>
      <c r="R356" t="s">
        <v>30</v>
      </c>
    </row>
    <row r="357" spans="1:18" x14ac:dyDescent="0.25">
      <c r="A357">
        <v>2002</v>
      </c>
      <c r="B357">
        <v>2512</v>
      </c>
      <c r="C357" t="s">
        <v>5653</v>
      </c>
      <c r="D357" t="s">
        <v>5654</v>
      </c>
      <c r="E357">
        <v>326220</v>
      </c>
      <c r="F357" t="s">
        <v>802</v>
      </c>
      <c r="G357" t="s">
        <v>803</v>
      </c>
      <c r="H357" t="s">
        <v>21</v>
      </c>
      <c r="I357" t="s">
        <v>152</v>
      </c>
      <c r="J357" t="s">
        <v>153</v>
      </c>
      <c r="K357" t="s">
        <v>154</v>
      </c>
      <c r="L357" t="s">
        <v>5167</v>
      </c>
      <c r="M357" t="s">
        <v>5168</v>
      </c>
      <c r="N357" t="s">
        <v>5169</v>
      </c>
      <c r="O357" t="s">
        <v>5170</v>
      </c>
      <c r="P357">
        <v>0.23300000000000001</v>
      </c>
      <c r="Q357" t="s">
        <v>29</v>
      </c>
      <c r="R357" t="s">
        <v>30</v>
      </c>
    </row>
    <row r="358" spans="1:18" x14ac:dyDescent="0.25">
      <c r="A358">
        <v>2019</v>
      </c>
      <c r="B358">
        <v>29805</v>
      </c>
      <c r="C358" t="s">
        <v>5655</v>
      </c>
      <c r="D358" t="s">
        <v>5656</v>
      </c>
      <c r="E358">
        <v>486110</v>
      </c>
      <c r="F358" t="s">
        <v>1616</v>
      </c>
      <c r="G358" t="s">
        <v>541</v>
      </c>
      <c r="H358" t="s">
        <v>54</v>
      </c>
      <c r="I358" t="s">
        <v>491</v>
      </c>
      <c r="J358" t="s">
        <v>492</v>
      </c>
      <c r="K358" t="s">
        <v>492</v>
      </c>
      <c r="L358" t="s">
        <v>5167</v>
      </c>
      <c r="M358" t="s">
        <v>5168</v>
      </c>
      <c r="N358" t="s">
        <v>5169</v>
      </c>
      <c r="O358" t="s">
        <v>5170</v>
      </c>
      <c r="P358">
        <v>7.0000000000000001E-3</v>
      </c>
      <c r="Q358" t="s">
        <v>29</v>
      </c>
      <c r="R358" t="s">
        <v>30</v>
      </c>
    </row>
    <row r="359" spans="1:18" x14ac:dyDescent="0.25">
      <c r="A359">
        <v>2013</v>
      </c>
      <c r="B359">
        <v>2587</v>
      </c>
      <c r="C359" t="s">
        <v>936</v>
      </c>
      <c r="D359" t="s">
        <v>937</v>
      </c>
      <c r="E359">
        <v>322121</v>
      </c>
      <c r="F359" t="s">
        <v>938</v>
      </c>
      <c r="G359" t="s">
        <v>765</v>
      </c>
      <c r="H359" t="s">
        <v>79</v>
      </c>
      <c r="I359" t="s">
        <v>35</v>
      </c>
      <c r="J359" t="s">
        <v>36</v>
      </c>
      <c r="K359" t="s">
        <v>37</v>
      </c>
      <c r="L359" t="s">
        <v>5167</v>
      </c>
      <c r="M359" t="s">
        <v>5168</v>
      </c>
      <c r="N359" t="s">
        <v>5175</v>
      </c>
      <c r="O359" t="s">
        <v>5176</v>
      </c>
      <c r="P359">
        <v>43.003999999999998</v>
      </c>
      <c r="Q359" t="s">
        <v>40</v>
      </c>
      <c r="R359" t="s">
        <v>124</v>
      </c>
    </row>
    <row r="360" spans="1:18" x14ac:dyDescent="0.25">
      <c r="A360">
        <v>2004</v>
      </c>
      <c r="B360">
        <v>1861</v>
      </c>
      <c r="C360" t="s">
        <v>909</v>
      </c>
      <c r="D360" t="s">
        <v>825</v>
      </c>
      <c r="E360">
        <v>221112</v>
      </c>
      <c r="F360" t="s">
        <v>134</v>
      </c>
      <c r="G360" t="s">
        <v>135</v>
      </c>
      <c r="H360" t="s">
        <v>21</v>
      </c>
      <c r="I360" t="s">
        <v>106</v>
      </c>
      <c r="J360" t="s">
        <v>107</v>
      </c>
      <c r="K360" t="s">
        <v>108</v>
      </c>
      <c r="L360" t="s">
        <v>5183</v>
      </c>
      <c r="M360" t="s">
        <v>5184</v>
      </c>
      <c r="N360" t="s">
        <v>5169</v>
      </c>
      <c r="O360" t="s">
        <v>5170</v>
      </c>
      <c r="P360">
        <v>91</v>
      </c>
      <c r="Q360" t="s">
        <v>40</v>
      </c>
      <c r="R360" t="s">
        <v>50</v>
      </c>
    </row>
    <row r="361" spans="1:18" x14ac:dyDescent="0.25">
      <c r="A361">
        <v>2002</v>
      </c>
      <c r="B361">
        <v>4138</v>
      </c>
      <c r="C361" t="s">
        <v>5657</v>
      </c>
      <c r="D361" t="s">
        <v>5658</v>
      </c>
      <c r="E361">
        <v>211113</v>
      </c>
      <c r="F361" t="s">
        <v>425</v>
      </c>
      <c r="G361" t="s">
        <v>426</v>
      </c>
      <c r="H361" t="s">
        <v>85</v>
      </c>
      <c r="I361" t="s">
        <v>331</v>
      </c>
      <c r="J361" t="s">
        <v>332</v>
      </c>
      <c r="K361" t="s">
        <v>333</v>
      </c>
      <c r="L361" t="s">
        <v>5183</v>
      </c>
      <c r="M361" t="s">
        <v>5184</v>
      </c>
      <c r="N361" t="s">
        <v>5195</v>
      </c>
      <c r="O361" t="s">
        <v>5196</v>
      </c>
      <c r="P361">
        <v>19.2</v>
      </c>
      <c r="Q361" t="s">
        <v>29</v>
      </c>
      <c r="R361" t="s">
        <v>30</v>
      </c>
    </row>
    <row r="362" spans="1:18" x14ac:dyDescent="0.25">
      <c r="A362">
        <v>1993</v>
      </c>
      <c r="B362">
        <v>2129</v>
      </c>
      <c r="C362" t="s">
        <v>5659</v>
      </c>
      <c r="E362">
        <v>321114</v>
      </c>
      <c r="F362" t="s">
        <v>365</v>
      </c>
      <c r="G362" t="s">
        <v>366</v>
      </c>
      <c r="H362" t="s">
        <v>21</v>
      </c>
      <c r="I362" t="s">
        <v>177</v>
      </c>
      <c r="J362" t="s">
        <v>178</v>
      </c>
      <c r="K362" t="s">
        <v>179</v>
      </c>
      <c r="L362" t="s">
        <v>5167</v>
      </c>
      <c r="M362" t="s">
        <v>5168</v>
      </c>
      <c r="N362" t="s">
        <v>5169</v>
      </c>
      <c r="O362" t="s">
        <v>5170</v>
      </c>
      <c r="P362">
        <v>0.50700000000000001</v>
      </c>
      <c r="Q362" t="s">
        <v>29</v>
      </c>
    </row>
    <row r="363" spans="1:18" x14ac:dyDescent="0.25">
      <c r="A363">
        <v>2008</v>
      </c>
      <c r="B363">
        <v>3897</v>
      </c>
      <c r="C363" t="s">
        <v>5645</v>
      </c>
      <c r="D363" t="s">
        <v>5660</v>
      </c>
      <c r="E363">
        <v>324110</v>
      </c>
      <c r="F363" t="s">
        <v>95</v>
      </c>
      <c r="G363" t="s">
        <v>96</v>
      </c>
      <c r="H363" t="s">
        <v>79</v>
      </c>
      <c r="I363" t="s">
        <v>152</v>
      </c>
      <c r="J363" t="s">
        <v>153</v>
      </c>
      <c r="K363" t="s">
        <v>154</v>
      </c>
      <c r="L363" t="s">
        <v>5167</v>
      </c>
      <c r="M363" t="s">
        <v>5168</v>
      </c>
      <c r="N363" t="s">
        <v>5223</v>
      </c>
      <c r="O363" t="s">
        <v>5224</v>
      </c>
      <c r="P363">
        <v>1.4999999999999999E-2</v>
      </c>
      <c r="Q363" t="s">
        <v>29</v>
      </c>
      <c r="R363" t="s">
        <v>30</v>
      </c>
    </row>
    <row r="364" spans="1:18" x14ac:dyDescent="0.25">
      <c r="A364">
        <v>2012</v>
      </c>
      <c r="B364">
        <v>6907</v>
      </c>
      <c r="C364" t="s">
        <v>2064</v>
      </c>
      <c r="D364" t="s">
        <v>534</v>
      </c>
      <c r="E364">
        <v>486110</v>
      </c>
      <c r="F364" t="s">
        <v>1616</v>
      </c>
      <c r="G364" t="s">
        <v>541</v>
      </c>
      <c r="H364" t="s">
        <v>85</v>
      </c>
      <c r="I364" t="s">
        <v>70</v>
      </c>
      <c r="J364" t="s">
        <v>71</v>
      </c>
      <c r="K364" t="s">
        <v>72</v>
      </c>
      <c r="L364" t="s">
        <v>5167</v>
      </c>
      <c r="M364" t="s">
        <v>5168</v>
      </c>
      <c r="N364" t="s">
        <v>5169</v>
      </c>
      <c r="O364" t="s">
        <v>5170</v>
      </c>
      <c r="P364">
        <v>1.1619999999999999</v>
      </c>
      <c r="Q364" t="s">
        <v>29</v>
      </c>
      <c r="R364" t="s">
        <v>30</v>
      </c>
    </row>
    <row r="365" spans="1:18" x14ac:dyDescent="0.25">
      <c r="A365">
        <v>2014</v>
      </c>
      <c r="B365">
        <v>20030</v>
      </c>
      <c r="C365" t="s">
        <v>5661</v>
      </c>
      <c r="D365" t="s">
        <v>5662</v>
      </c>
      <c r="E365">
        <v>336410</v>
      </c>
      <c r="F365" t="s">
        <v>280</v>
      </c>
      <c r="G365" t="s">
        <v>261</v>
      </c>
      <c r="H365" t="s">
        <v>69</v>
      </c>
      <c r="I365" t="s">
        <v>324</v>
      </c>
      <c r="J365" t="s">
        <v>325</v>
      </c>
      <c r="K365" t="s">
        <v>326</v>
      </c>
      <c r="L365" t="s">
        <v>5167</v>
      </c>
      <c r="M365" t="s">
        <v>5168</v>
      </c>
      <c r="N365" t="s">
        <v>5175</v>
      </c>
      <c r="O365" t="s">
        <v>5176</v>
      </c>
      <c r="P365">
        <v>8.0934000000000008</v>
      </c>
      <c r="Q365" t="s">
        <v>40</v>
      </c>
      <c r="R365" t="s">
        <v>124</v>
      </c>
    </row>
    <row r="366" spans="1:18" x14ac:dyDescent="0.25">
      <c r="A366">
        <v>1993</v>
      </c>
      <c r="B366">
        <v>3877</v>
      </c>
      <c r="C366" t="s">
        <v>5663</v>
      </c>
      <c r="D366" t="s">
        <v>5664</v>
      </c>
      <c r="E366">
        <v>326220</v>
      </c>
      <c r="F366" t="s">
        <v>802</v>
      </c>
      <c r="G366" t="s">
        <v>803</v>
      </c>
      <c r="H366" t="s">
        <v>21</v>
      </c>
      <c r="I366" t="s">
        <v>5665</v>
      </c>
      <c r="J366" t="s">
        <v>5666</v>
      </c>
      <c r="K366" t="s">
        <v>5667</v>
      </c>
      <c r="L366" t="s">
        <v>5167</v>
      </c>
      <c r="M366" t="s">
        <v>5168</v>
      </c>
      <c r="N366" t="s">
        <v>5169</v>
      </c>
      <c r="O366" t="s">
        <v>5170</v>
      </c>
      <c r="P366">
        <v>1.9E-2</v>
      </c>
      <c r="Q366" t="s">
        <v>29</v>
      </c>
    </row>
    <row r="367" spans="1:18" x14ac:dyDescent="0.25">
      <c r="A367">
        <v>2005</v>
      </c>
      <c r="B367">
        <v>2924</v>
      </c>
      <c r="C367" t="s">
        <v>5468</v>
      </c>
      <c r="D367" t="s">
        <v>5668</v>
      </c>
      <c r="E367">
        <v>322112</v>
      </c>
      <c r="F367" t="s">
        <v>620</v>
      </c>
      <c r="G367" t="s">
        <v>621</v>
      </c>
      <c r="H367" t="s">
        <v>69</v>
      </c>
      <c r="I367" t="s">
        <v>469</v>
      </c>
      <c r="J367" t="s">
        <v>470</v>
      </c>
      <c r="K367" t="s">
        <v>471</v>
      </c>
      <c r="L367" t="s">
        <v>5167</v>
      </c>
      <c r="M367" t="s">
        <v>5168</v>
      </c>
      <c r="N367" t="s">
        <v>5169</v>
      </c>
      <c r="O367" t="s">
        <v>5170</v>
      </c>
      <c r="P367">
        <v>2.74</v>
      </c>
      <c r="Q367" t="s">
        <v>40</v>
      </c>
      <c r="R367" t="s">
        <v>430</v>
      </c>
    </row>
    <row r="368" spans="1:18" x14ac:dyDescent="0.25">
      <c r="A368">
        <v>2009</v>
      </c>
      <c r="B368">
        <v>3710</v>
      </c>
      <c r="C368" t="s">
        <v>125</v>
      </c>
      <c r="D368" t="s">
        <v>5669</v>
      </c>
      <c r="E368">
        <v>412110</v>
      </c>
      <c r="F368" t="s">
        <v>346</v>
      </c>
      <c r="G368" t="s">
        <v>347</v>
      </c>
      <c r="H368" t="s">
        <v>69</v>
      </c>
      <c r="I368" t="s">
        <v>491</v>
      </c>
      <c r="J368" t="s">
        <v>492</v>
      </c>
      <c r="K368" t="s">
        <v>492</v>
      </c>
      <c r="L368" t="s">
        <v>5167</v>
      </c>
      <c r="M368" t="s">
        <v>5168</v>
      </c>
      <c r="N368" t="s">
        <v>5223</v>
      </c>
      <c r="O368" t="s">
        <v>5224</v>
      </c>
      <c r="P368">
        <v>0.13700000000000001</v>
      </c>
      <c r="Q368" t="s">
        <v>29</v>
      </c>
      <c r="R368" t="s">
        <v>30</v>
      </c>
    </row>
    <row r="369" spans="1:18" x14ac:dyDescent="0.25">
      <c r="A369">
        <v>2001</v>
      </c>
      <c r="B369">
        <v>5647</v>
      </c>
      <c r="C369" t="s">
        <v>1166</v>
      </c>
      <c r="D369" t="s">
        <v>1313</v>
      </c>
      <c r="E369">
        <v>562210</v>
      </c>
      <c r="F369" t="s">
        <v>52</v>
      </c>
      <c r="G369" t="s">
        <v>53</v>
      </c>
      <c r="H369" t="s">
        <v>21</v>
      </c>
      <c r="I369" t="s">
        <v>22</v>
      </c>
      <c r="J369" t="s">
        <v>23</v>
      </c>
      <c r="K369" t="s">
        <v>24</v>
      </c>
      <c r="L369" t="s">
        <v>5167</v>
      </c>
      <c r="M369" t="s">
        <v>5168</v>
      </c>
      <c r="N369" t="s">
        <v>5223</v>
      </c>
      <c r="O369" t="s">
        <v>5224</v>
      </c>
      <c r="P369">
        <v>0.67</v>
      </c>
      <c r="Q369" t="s">
        <v>29</v>
      </c>
      <c r="R369" t="s">
        <v>442</v>
      </c>
    </row>
    <row r="370" spans="1:18" x14ac:dyDescent="0.25">
      <c r="A370">
        <v>2004</v>
      </c>
      <c r="B370">
        <v>2134</v>
      </c>
      <c r="C370" t="s">
        <v>1697</v>
      </c>
      <c r="D370" t="s">
        <v>5670</v>
      </c>
      <c r="E370">
        <v>325313</v>
      </c>
      <c r="F370" t="s">
        <v>1585</v>
      </c>
      <c r="G370" t="s">
        <v>1055</v>
      </c>
      <c r="H370" t="s">
        <v>85</v>
      </c>
      <c r="I370" t="s">
        <v>331</v>
      </c>
      <c r="J370" t="s">
        <v>332</v>
      </c>
      <c r="K370" t="s">
        <v>333</v>
      </c>
      <c r="L370" t="s">
        <v>5183</v>
      </c>
      <c r="M370" t="s">
        <v>5184</v>
      </c>
      <c r="N370" t="s">
        <v>5195</v>
      </c>
      <c r="O370" t="s">
        <v>5196</v>
      </c>
      <c r="P370">
        <v>0</v>
      </c>
      <c r="Q370" t="s">
        <v>29</v>
      </c>
      <c r="R370" t="s">
        <v>50</v>
      </c>
    </row>
    <row r="371" spans="1:18" x14ac:dyDescent="0.25">
      <c r="A371">
        <v>2005</v>
      </c>
      <c r="B371">
        <v>1195</v>
      </c>
      <c r="C371" t="s">
        <v>5587</v>
      </c>
      <c r="D371" t="s">
        <v>5671</v>
      </c>
      <c r="E371">
        <v>322112</v>
      </c>
      <c r="F371" t="s">
        <v>620</v>
      </c>
      <c r="G371" t="s">
        <v>621</v>
      </c>
      <c r="H371" t="s">
        <v>79</v>
      </c>
      <c r="I371" t="s">
        <v>469</v>
      </c>
      <c r="J371" t="s">
        <v>470</v>
      </c>
      <c r="K371" t="s">
        <v>471</v>
      </c>
      <c r="L371" t="s">
        <v>5183</v>
      </c>
      <c r="M371" t="s">
        <v>5184</v>
      </c>
      <c r="N371" t="s">
        <v>5175</v>
      </c>
      <c r="O371" t="s">
        <v>5176</v>
      </c>
      <c r="P371">
        <v>0.09</v>
      </c>
      <c r="Q371" t="s">
        <v>40</v>
      </c>
      <c r="R371" t="s">
        <v>430</v>
      </c>
    </row>
    <row r="372" spans="1:18" x14ac:dyDescent="0.25">
      <c r="A372">
        <v>1999</v>
      </c>
      <c r="B372">
        <v>2984</v>
      </c>
      <c r="C372" t="s">
        <v>2299</v>
      </c>
      <c r="D372" t="s">
        <v>2300</v>
      </c>
      <c r="E372">
        <v>331110</v>
      </c>
      <c r="F372" t="s">
        <v>335</v>
      </c>
      <c r="G372" t="s">
        <v>336</v>
      </c>
      <c r="H372" t="s">
        <v>21</v>
      </c>
      <c r="I372" t="s">
        <v>5672</v>
      </c>
      <c r="J372" t="s">
        <v>5673</v>
      </c>
      <c r="K372" t="s">
        <v>5674</v>
      </c>
      <c r="L372" t="s">
        <v>5167</v>
      </c>
      <c r="M372" t="s">
        <v>5168</v>
      </c>
      <c r="N372" t="s">
        <v>5169</v>
      </c>
      <c r="O372" t="s">
        <v>5170</v>
      </c>
      <c r="P372">
        <v>0.8</v>
      </c>
      <c r="Q372" t="s">
        <v>29</v>
      </c>
      <c r="R372" t="s">
        <v>204</v>
      </c>
    </row>
    <row r="373" spans="1:18" x14ac:dyDescent="0.25">
      <c r="A373">
        <v>2015</v>
      </c>
      <c r="B373">
        <v>15778</v>
      </c>
      <c r="C373" t="s">
        <v>1027</v>
      </c>
      <c r="D373" t="s">
        <v>5675</v>
      </c>
      <c r="E373">
        <v>211114</v>
      </c>
      <c r="F373" t="s">
        <v>956</v>
      </c>
      <c r="G373" t="s">
        <v>836</v>
      </c>
      <c r="H373" t="s">
        <v>243</v>
      </c>
      <c r="I373" t="s">
        <v>1549</v>
      </c>
      <c r="J373" t="s">
        <v>1550</v>
      </c>
      <c r="K373" t="s">
        <v>1551</v>
      </c>
      <c r="L373" t="s">
        <v>5183</v>
      </c>
      <c r="M373" t="s">
        <v>5184</v>
      </c>
      <c r="N373" t="s">
        <v>5195</v>
      </c>
      <c r="O373" t="s">
        <v>5196</v>
      </c>
      <c r="P373">
        <v>29.279</v>
      </c>
      <c r="Q373" t="s">
        <v>29</v>
      </c>
      <c r="R373" t="s">
        <v>157</v>
      </c>
    </row>
    <row r="374" spans="1:18" x14ac:dyDescent="0.25">
      <c r="A374">
        <v>2014</v>
      </c>
      <c r="B374">
        <v>1340</v>
      </c>
      <c r="C374" t="s">
        <v>212</v>
      </c>
      <c r="D374" t="s">
        <v>213</v>
      </c>
      <c r="E374">
        <v>221320</v>
      </c>
      <c r="F374" t="s">
        <v>146</v>
      </c>
      <c r="G374" t="s">
        <v>147</v>
      </c>
      <c r="H374" t="s">
        <v>69</v>
      </c>
      <c r="I374" t="s">
        <v>35</v>
      </c>
      <c r="J374" t="s">
        <v>36</v>
      </c>
      <c r="K374" t="s">
        <v>37</v>
      </c>
      <c r="L374" t="s">
        <v>5167</v>
      </c>
      <c r="M374" t="s">
        <v>5168</v>
      </c>
      <c r="N374" t="s">
        <v>5169</v>
      </c>
      <c r="O374" t="s">
        <v>5170</v>
      </c>
      <c r="P374">
        <v>25.971800000000002</v>
      </c>
      <c r="Q374" t="s">
        <v>40</v>
      </c>
      <c r="R374" t="s">
        <v>124</v>
      </c>
    </row>
    <row r="375" spans="1:18" x14ac:dyDescent="0.25">
      <c r="A375">
        <v>2022</v>
      </c>
      <c r="B375">
        <v>683</v>
      </c>
      <c r="C375" t="s">
        <v>1937</v>
      </c>
      <c r="D375" t="s">
        <v>1632</v>
      </c>
      <c r="E375">
        <v>211110</v>
      </c>
      <c r="F375" t="s">
        <v>233</v>
      </c>
      <c r="G375" t="s">
        <v>234</v>
      </c>
      <c r="H375" t="s">
        <v>85</v>
      </c>
      <c r="I375" t="s">
        <v>271</v>
      </c>
      <c r="J375" t="s">
        <v>272</v>
      </c>
      <c r="K375" t="s">
        <v>273</v>
      </c>
      <c r="L375" t="s">
        <v>5183</v>
      </c>
      <c r="M375" t="s">
        <v>5184</v>
      </c>
      <c r="N375" t="s">
        <v>5195</v>
      </c>
      <c r="O375" t="s">
        <v>5196</v>
      </c>
      <c r="P375">
        <v>3.4209999999999998</v>
      </c>
      <c r="Q375" t="s">
        <v>29</v>
      </c>
      <c r="R375" t="s">
        <v>50</v>
      </c>
    </row>
    <row r="376" spans="1:18" x14ac:dyDescent="0.25">
      <c r="A376">
        <v>2004</v>
      </c>
      <c r="B376">
        <v>6370</v>
      </c>
      <c r="C376" t="s">
        <v>5676</v>
      </c>
      <c r="D376" t="s">
        <v>5677</v>
      </c>
      <c r="E376">
        <v>562990</v>
      </c>
      <c r="F376" t="s">
        <v>104</v>
      </c>
      <c r="G376" t="s">
        <v>105</v>
      </c>
      <c r="H376" t="s">
        <v>79</v>
      </c>
      <c r="I376" t="s">
        <v>913</v>
      </c>
      <c r="J376" t="s">
        <v>914</v>
      </c>
      <c r="K376" t="s">
        <v>915</v>
      </c>
      <c r="L376" t="s">
        <v>5183</v>
      </c>
      <c r="M376" t="s">
        <v>5184</v>
      </c>
      <c r="N376" t="s">
        <v>5169</v>
      </c>
      <c r="O376" t="s">
        <v>5170</v>
      </c>
      <c r="P376">
        <v>4167.43</v>
      </c>
      <c r="Q376" t="s">
        <v>29</v>
      </c>
      <c r="R376" t="s">
        <v>50</v>
      </c>
    </row>
    <row r="377" spans="1:18" x14ac:dyDescent="0.25">
      <c r="A377">
        <v>2008</v>
      </c>
      <c r="B377">
        <v>7858</v>
      </c>
      <c r="C377" t="s">
        <v>5352</v>
      </c>
      <c r="D377" t="s">
        <v>5353</v>
      </c>
      <c r="E377">
        <v>221320</v>
      </c>
      <c r="F377" t="s">
        <v>390</v>
      </c>
      <c r="G377" t="s">
        <v>147</v>
      </c>
      <c r="H377" t="s">
        <v>69</v>
      </c>
      <c r="I377" t="s">
        <v>97</v>
      </c>
      <c r="J377" t="s">
        <v>98</v>
      </c>
      <c r="K377" t="s">
        <v>99</v>
      </c>
      <c r="L377" t="s">
        <v>5167</v>
      </c>
      <c r="M377" t="s">
        <v>5168</v>
      </c>
      <c r="N377" t="s">
        <v>5175</v>
      </c>
      <c r="O377" t="s">
        <v>5176</v>
      </c>
      <c r="P377">
        <v>0.91700000000000004</v>
      </c>
      <c r="Q377" t="s">
        <v>29</v>
      </c>
      <c r="R377" t="s">
        <v>124</v>
      </c>
    </row>
    <row r="378" spans="1:18" x14ac:dyDescent="0.25">
      <c r="A378">
        <v>2021</v>
      </c>
      <c r="B378">
        <v>23273</v>
      </c>
      <c r="C378" t="s">
        <v>5678</v>
      </c>
      <c r="D378" t="s">
        <v>5679</v>
      </c>
      <c r="E378">
        <v>212220</v>
      </c>
      <c r="F378" t="s">
        <v>1619</v>
      </c>
      <c r="G378" t="s">
        <v>1620</v>
      </c>
      <c r="H378" t="s">
        <v>243</v>
      </c>
      <c r="I378" t="s">
        <v>97</v>
      </c>
      <c r="J378" t="s">
        <v>98</v>
      </c>
      <c r="K378" t="s">
        <v>99</v>
      </c>
      <c r="L378" t="s">
        <v>5183</v>
      </c>
      <c r="M378" t="s">
        <v>5184</v>
      </c>
      <c r="N378" t="s">
        <v>5185</v>
      </c>
      <c r="O378" t="s">
        <v>5186</v>
      </c>
      <c r="P378">
        <v>237.13</v>
      </c>
      <c r="Q378" t="s">
        <v>29</v>
      </c>
      <c r="R378" t="s">
        <v>124</v>
      </c>
    </row>
    <row r="379" spans="1:18" x14ac:dyDescent="0.25">
      <c r="A379">
        <v>2019</v>
      </c>
      <c r="B379">
        <v>29897</v>
      </c>
      <c r="C379" t="s">
        <v>1773</v>
      </c>
      <c r="D379" t="s">
        <v>1774</v>
      </c>
      <c r="E379">
        <v>212220</v>
      </c>
      <c r="F379" t="s">
        <v>1619</v>
      </c>
      <c r="G379" t="s">
        <v>1620</v>
      </c>
      <c r="H379" t="s">
        <v>21</v>
      </c>
      <c r="I379" t="s">
        <v>62</v>
      </c>
      <c r="J379" t="s">
        <v>63</v>
      </c>
      <c r="K379" t="s">
        <v>64</v>
      </c>
      <c r="L379" t="s">
        <v>5183</v>
      </c>
      <c r="M379" t="s">
        <v>5184</v>
      </c>
      <c r="N379" t="s">
        <v>5260</v>
      </c>
      <c r="O379" t="s">
        <v>5261</v>
      </c>
      <c r="P379">
        <v>3.91</v>
      </c>
      <c r="Q379" t="s">
        <v>29</v>
      </c>
      <c r="R379" t="s">
        <v>30</v>
      </c>
    </row>
    <row r="380" spans="1:18" x14ac:dyDescent="0.25">
      <c r="A380">
        <v>2001</v>
      </c>
      <c r="B380">
        <v>3701</v>
      </c>
      <c r="C380" t="s">
        <v>344</v>
      </c>
      <c r="D380" t="s">
        <v>681</v>
      </c>
      <c r="E380">
        <v>324110</v>
      </c>
      <c r="F380" t="s">
        <v>95</v>
      </c>
      <c r="G380" t="s">
        <v>96</v>
      </c>
      <c r="H380" t="s">
        <v>21</v>
      </c>
      <c r="I380" t="s">
        <v>70</v>
      </c>
      <c r="J380" t="s">
        <v>71</v>
      </c>
      <c r="K380" t="s">
        <v>72</v>
      </c>
      <c r="L380" t="s">
        <v>5167</v>
      </c>
      <c r="M380" t="s">
        <v>5168</v>
      </c>
      <c r="N380" t="s">
        <v>5169</v>
      </c>
      <c r="O380" t="s">
        <v>5170</v>
      </c>
      <c r="P380">
        <v>6.0000000000000001E-3</v>
      </c>
      <c r="Q380" t="s">
        <v>29</v>
      </c>
      <c r="R380" t="s">
        <v>442</v>
      </c>
    </row>
    <row r="381" spans="1:18" x14ac:dyDescent="0.25">
      <c r="A381">
        <v>2009</v>
      </c>
      <c r="B381">
        <v>1812</v>
      </c>
      <c r="C381" t="s">
        <v>909</v>
      </c>
      <c r="D381" t="s">
        <v>5680</v>
      </c>
      <c r="E381">
        <v>221112</v>
      </c>
      <c r="F381" t="s">
        <v>134</v>
      </c>
      <c r="G381" t="s">
        <v>135</v>
      </c>
      <c r="H381" t="s">
        <v>21</v>
      </c>
      <c r="I381" t="s">
        <v>324</v>
      </c>
      <c r="J381" t="s">
        <v>325</v>
      </c>
      <c r="K381" t="s">
        <v>326</v>
      </c>
      <c r="L381" t="s">
        <v>5183</v>
      </c>
      <c r="M381" t="s">
        <v>5184</v>
      </c>
      <c r="N381" t="s">
        <v>5169</v>
      </c>
      <c r="O381" t="s">
        <v>5170</v>
      </c>
      <c r="P381">
        <v>0.49</v>
      </c>
      <c r="Q381" t="s">
        <v>40</v>
      </c>
      <c r="R381" t="s">
        <v>50</v>
      </c>
    </row>
    <row r="382" spans="1:18" x14ac:dyDescent="0.25">
      <c r="A382">
        <v>2005</v>
      </c>
      <c r="B382">
        <v>2282</v>
      </c>
      <c r="C382" t="s">
        <v>1057</v>
      </c>
      <c r="D382" t="s">
        <v>5681</v>
      </c>
      <c r="E382">
        <v>221112</v>
      </c>
      <c r="F382" t="s">
        <v>134</v>
      </c>
      <c r="G382" t="s">
        <v>135</v>
      </c>
      <c r="H382" t="s">
        <v>85</v>
      </c>
      <c r="I382" t="s">
        <v>35</v>
      </c>
      <c r="J382" t="s">
        <v>36</v>
      </c>
      <c r="K382" t="s">
        <v>37</v>
      </c>
      <c r="L382" t="s">
        <v>5183</v>
      </c>
      <c r="M382" t="s">
        <v>5184</v>
      </c>
      <c r="N382" t="s">
        <v>5169</v>
      </c>
      <c r="O382" t="s">
        <v>5170</v>
      </c>
      <c r="P382">
        <v>426.52800000000002</v>
      </c>
      <c r="Q382" t="s">
        <v>40</v>
      </c>
      <c r="R382" t="s">
        <v>30</v>
      </c>
    </row>
    <row r="383" spans="1:18" x14ac:dyDescent="0.25">
      <c r="A383">
        <v>1994</v>
      </c>
      <c r="B383">
        <v>1990</v>
      </c>
      <c r="C383" t="s">
        <v>5682</v>
      </c>
      <c r="D383" t="s">
        <v>4723</v>
      </c>
      <c r="E383">
        <v>325190</v>
      </c>
      <c r="F383" t="s">
        <v>832</v>
      </c>
      <c r="G383" t="s">
        <v>601</v>
      </c>
      <c r="H383" t="s">
        <v>85</v>
      </c>
      <c r="I383" t="s">
        <v>264</v>
      </c>
      <c r="J383" t="s">
        <v>265</v>
      </c>
      <c r="K383" t="s">
        <v>266</v>
      </c>
      <c r="L383" t="s">
        <v>5167</v>
      </c>
      <c r="M383" t="s">
        <v>5168</v>
      </c>
      <c r="N383" t="s">
        <v>5195</v>
      </c>
      <c r="O383" t="s">
        <v>5196</v>
      </c>
      <c r="P383">
        <v>0.05</v>
      </c>
      <c r="Q383" t="s">
        <v>29</v>
      </c>
      <c r="R383" t="s">
        <v>30</v>
      </c>
    </row>
    <row r="384" spans="1:18" x14ac:dyDescent="0.25">
      <c r="A384">
        <v>2009</v>
      </c>
      <c r="B384">
        <v>1779</v>
      </c>
      <c r="C384" t="s">
        <v>247</v>
      </c>
      <c r="D384" t="s">
        <v>2332</v>
      </c>
      <c r="E384">
        <v>325110</v>
      </c>
      <c r="F384" t="s">
        <v>1194</v>
      </c>
      <c r="G384" t="s">
        <v>445</v>
      </c>
      <c r="H384" t="s">
        <v>85</v>
      </c>
      <c r="I384" t="s">
        <v>331</v>
      </c>
      <c r="J384" t="s">
        <v>332</v>
      </c>
      <c r="K384" t="s">
        <v>333</v>
      </c>
      <c r="L384" t="s">
        <v>5167</v>
      </c>
      <c r="M384" t="s">
        <v>5168</v>
      </c>
      <c r="N384" t="s">
        <v>5169</v>
      </c>
      <c r="O384" t="s">
        <v>5170</v>
      </c>
      <c r="P384">
        <v>0.128</v>
      </c>
      <c r="Q384" t="s">
        <v>29</v>
      </c>
      <c r="R384" t="s">
        <v>30</v>
      </c>
    </row>
    <row r="385" spans="1:18" x14ac:dyDescent="0.25">
      <c r="A385">
        <v>2015</v>
      </c>
      <c r="B385">
        <v>6664</v>
      </c>
      <c r="C385" t="s">
        <v>806</v>
      </c>
      <c r="D385" t="s">
        <v>5465</v>
      </c>
      <c r="E385">
        <v>412110</v>
      </c>
      <c r="F385" t="s">
        <v>127</v>
      </c>
      <c r="G385" t="s">
        <v>128</v>
      </c>
      <c r="H385" t="s">
        <v>21</v>
      </c>
      <c r="I385" t="s">
        <v>129</v>
      </c>
      <c r="J385" t="s">
        <v>130</v>
      </c>
      <c r="K385" t="s">
        <v>131</v>
      </c>
      <c r="L385" t="s">
        <v>5167</v>
      </c>
      <c r="M385" t="s">
        <v>5168</v>
      </c>
      <c r="N385" t="s">
        <v>5169</v>
      </c>
      <c r="O385" t="s">
        <v>5170</v>
      </c>
      <c r="P385">
        <v>1.5800000000000002E-2</v>
      </c>
      <c r="Q385" t="s">
        <v>29</v>
      </c>
      <c r="R385" t="s">
        <v>30</v>
      </c>
    </row>
    <row r="386" spans="1:18" x14ac:dyDescent="0.25">
      <c r="A386">
        <v>2022</v>
      </c>
      <c r="B386">
        <v>29011</v>
      </c>
      <c r="C386" t="s">
        <v>2064</v>
      </c>
      <c r="D386" t="s">
        <v>5683</v>
      </c>
      <c r="E386">
        <v>486110</v>
      </c>
      <c r="F386" t="s">
        <v>1616</v>
      </c>
      <c r="G386" t="s">
        <v>541</v>
      </c>
      <c r="H386" t="s">
        <v>85</v>
      </c>
      <c r="I386" t="s">
        <v>271</v>
      </c>
      <c r="J386" t="s">
        <v>272</v>
      </c>
      <c r="K386" t="s">
        <v>273</v>
      </c>
      <c r="L386" t="s">
        <v>5167</v>
      </c>
      <c r="M386" t="s">
        <v>5168</v>
      </c>
      <c r="N386" t="s">
        <v>5169</v>
      </c>
      <c r="O386" t="s">
        <v>5170</v>
      </c>
      <c r="P386">
        <v>6.6000000000000005E-5</v>
      </c>
      <c r="Q386" t="s">
        <v>29</v>
      </c>
      <c r="R386" t="s">
        <v>30</v>
      </c>
    </row>
    <row r="387" spans="1:18" x14ac:dyDescent="0.25">
      <c r="A387">
        <v>2010</v>
      </c>
      <c r="B387">
        <v>31</v>
      </c>
      <c r="C387" t="s">
        <v>5684</v>
      </c>
      <c r="D387" t="s">
        <v>215</v>
      </c>
      <c r="E387">
        <v>325510</v>
      </c>
      <c r="F387" t="s">
        <v>143</v>
      </c>
      <c r="G387" t="s">
        <v>112</v>
      </c>
      <c r="H387" t="s">
        <v>21</v>
      </c>
      <c r="I387" t="s">
        <v>271</v>
      </c>
      <c r="J387" t="s">
        <v>272</v>
      </c>
      <c r="K387" t="s">
        <v>273</v>
      </c>
      <c r="L387" t="s">
        <v>5167</v>
      </c>
      <c r="M387" t="s">
        <v>5168</v>
      </c>
      <c r="N387" t="s">
        <v>5169</v>
      </c>
      <c r="O387" t="s">
        <v>5170</v>
      </c>
      <c r="P387">
        <v>0.11</v>
      </c>
      <c r="Q387" t="s">
        <v>29</v>
      </c>
      <c r="R387" t="s">
        <v>30</v>
      </c>
    </row>
    <row r="388" spans="1:18" x14ac:dyDescent="0.25">
      <c r="A388">
        <v>2016</v>
      </c>
      <c r="B388">
        <v>27767</v>
      </c>
      <c r="C388" t="s">
        <v>4250</v>
      </c>
      <c r="D388" t="s">
        <v>5685</v>
      </c>
      <c r="E388">
        <v>562210</v>
      </c>
      <c r="F388" t="s">
        <v>84</v>
      </c>
      <c r="G388" t="s">
        <v>53</v>
      </c>
      <c r="H388" t="s">
        <v>85</v>
      </c>
      <c r="I388" t="s">
        <v>129</v>
      </c>
      <c r="J388" t="s">
        <v>130</v>
      </c>
      <c r="K388" t="s">
        <v>131</v>
      </c>
      <c r="L388" t="s">
        <v>5183</v>
      </c>
      <c r="M388" t="s">
        <v>5184</v>
      </c>
      <c r="N388" t="s">
        <v>5169</v>
      </c>
      <c r="O388" t="s">
        <v>5170</v>
      </c>
      <c r="P388">
        <v>2.0000000000000001E-4</v>
      </c>
      <c r="Q388" t="s">
        <v>29</v>
      </c>
      <c r="R388" t="s">
        <v>430</v>
      </c>
    </row>
    <row r="389" spans="1:18" x14ac:dyDescent="0.25">
      <c r="A389">
        <v>2018</v>
      </c>
      <c r="B389">
        <v>3701</v>
      </c>
      <c r="C389" t="s">
        <v>194</v>
      </c>
      <c r="D389" t="s">
        <v>681</v>
      </c>
      <c r="E389">
        <v>324110</v>
      </c>
      <c r="F389" t="s">
        <v>196</v>
      </c>
      <c r="G389" t="s">
        <v>96</v>
      </c>
      <c r="H389" t="s">
        <v>21</v>
      </c>
      <c r="I389" t="s">
        <v>703</v>
      </c>
      <c r="J389" t="s">
        <v>1127</v>
      </c>
      <c r="K389" t="s">
        <v>1128</v>
      </c>
      <c r="L389" t="s">
        <v>5167</v>
      </c>
      <c r="M389" t="s">
        <v>5168</v>
      </c>
      <c r="N389" t="s">
        <v>5169</v>
      </c>
      <c r="O389" t="s">
        <v>5170</v>
      </c>
      <c r="P389">
        <v>0.01</v>
      </c>
      <c r="Q389" t="s">
        <v>29</v>
      </c>
      <c r="R389" t="s">
        <v>30</v>
      </c>
    </row>
    <row r="390" spans="1:18" x14ac:dyDescent="0.25">
      <c r="A390">
        <v>2023</v>
      </c>
      <c r="B390">
        <v>4197</v>
      </c>
      <c r="C390" t="s">
        <v>5686</v>
      </c>
      <c r="D390" t="s">
        <v>5687</v>
      </c>
      <c r="E390">
        <v>331317</v>
      </c>
      <c r="F390" t="s">
        <v>768</v>
      </c>
      <c r="G390" t="s">
        <v>769</v>
      </c>
      <c r="H390" t="s">
        <v>21</v>
      </c>
      <c r="I390" t="s">
        <v>136</v>
      </c>
      <c r="J390" t="s">
        <v>137</v>
      </c>
      <c r="K390" t="s">
        <v>138</v>
      </c>
      <c r="L390" t="s">
        <v>5167</v>
      </c>
      <c r="M390" t="s">
        <v>5168</v>
      </c>
      <c r="N390" t="s">
        <v>5169</v>
      </c>
      <c r="O390" t="s">
        <v>5170</v>
      </c>
      <c r="P390">
        <v>2.41E-2</v>
      </c>
      <c r="Q390" t="s">
        <v>29</v>
      </c>
      <c r="R390" t="s">
        <v>50</v>
      </c>
    </row>
    <row r="391" spans="1:18" x14ac:dyDescent="0.25">
      <c r="A391">
        <v>2011</v>
      </c>
      <c r="B391">
        <v>22544</v>
      </c>
      <c r="C391" t="s">
        <v>5688</v>
      </c>
      <c r="D391" t="s">
        <v>5689</v>
      </c>
      <c r="E391">
        <v>211114</v>
      </c>
      <c r="F391" t="s">
        <v>835</v>
      </c>
      <c r="G391" t="s">
        <v>836</v>
      </c>
      <c r="H391" t="s">
        <v>85</v>
      </c>
      <c r="I391" t="s">
        <v>1549</v>
      </c>
      <c r="J391" t="s">
        <v>1550</v>
      </c>
      <c r="K391" t="s">
        <v>1551</v>
      </c>
      <c r="L391" t="s">
        <v>5167</v>
      </c>
      <c r="M391" t="s">
        <v>5168</v>
      </c>
      <c r="N391" t="s">
        <v>5169</v>
      </c>
      <c r="O391" t="s">
        <v>5170</v>
      </c>
      <c r="P391">
        <v>8.6E-3</v>
      </c>
      <c r="Q391" t="s">
        <v>29</v>
      </c>
      <c r="R391" t="s">
        <v>30</v>
      </c>
    </row>
    <row r="392" spans="1:18" x14ac:dyDescent="0.25">
      <c r="A392">
        <v>2007</v>
      </c>
      <c r="B392">
        <v>1042</v>
      </c>
      <c r="C392" t="s">
        <v>1468</v>
      </c>
      <c r="D392" t="s">
        <v>1469</v>
      </c>
      <c r="E392">
        <v>562210</v>
      </c>
      <c r="F392" t="s">
        <v>52</v>
      </c>
      <c r="G392" t="s">
        <v>53</v>
      </c>
      <c r="H392" t="s">
        <v>85</v>
      </c>
      <c r="I392" t="s">
        <v>35</v>
      </c>
      <c r="J392" t="s">
        <v>36</v>
      </c>
      <c r="K392" t="s">
        <v>37</v>
      </c>
      <c r="L392" t="s">
        <v>5183</v>
      </c>
      <c r="M392" t="s">
        <v>5184</v>
      </c>
      <c r="N392" t="s">
        <v>5195</v>
      </c>
      <c r="O392" t="s">
        <v>5196</v>
      </c>
      <c r="P392">
        <v>0.42199999999999999</v>
      </c>
      <c r="Q392" t="s">
        <v>40</v>
      </c>
      <c r="R392" t="s">
        <v>157</v>
      </c>
    </row>
    <row r="393" spans="1:18" x14ac:dyDescent="0.25">
      <c r="A393">
        <v>2005</v>
      </c>
      <c r="B393">
        <v>3498</v>
      </c>
      <c r="C393" t="s">
        <v>5690</v>
      </c>
      <c r="D393" t="s">
        <v>5691</v>
      </c>
      <c r="E393">
        <v>335223</v>
      </c>
      <c r="F393" t="s">
        <v>5692</v>
      </c>
      <c r="G393" t="s">
        <v>5693</v>
      </c>
      <c r="H393" t="s">
        <v>79</v>
      </c>
      <c r="I393" t="s">
        <v>97</v>
      </c>
      <c r="J393" t="s">
        <v>98</v>
      </c>
      <c r="K393" t="s">
        <v>99</v>
      </c>
      <c r="L393" t="s">
        <v>5167</v>
      </c>
      <c r="M393" t="s">
        <v>5168</v>
      </c>
      <c r="N393" t="s">
        <v>5169</v>
      </c>
      <c r="O393" t="s">
        <v>5170</v>
      </c>
      <c r="P393">
        <v>30.02</v>
      </c>
      <c r="Q393" t="s">
        <v>29</v>
      </c>
      <c r="R393" t="s">
        <v>50</v>
      </c>
    </row>
    <row r="394" spans="1:18" x14ac:dyDescent="0.25">
      <c r="A394">
        <v>2014</v>
      </c>
      <c r="B394">
        <v>4781</v>
      </c>
      <c r="C394" t="s">
        <v>856</v>
      </c>
      <c r="D394" t="s">
        <v>774</v>
      </c>
      <c r="E394">
        <v>336310</v>
      </c>
      <c r="F394" t="s">
        <v>857</v>
      </c>
      <c r="G394" t="s">
        <v>776</v>
      </c>
      <c r="H394" t="s">
        <v>21</v>
      </c>
      <c r="I394" t="s">
        <v>35</v>
      </c>
      <c r="J394" t="s">
        <v>36</v>
      </c>
      <c r="K394" t="s">
        <v>37</v>
      </c>
      <c r="L394" t="s">
        <v>5167</v>
      </c>
      <c r="M394" t="s">
        <v>5168</v>
      </c>
      <c r="N394" t="s">
        <v>5169</v>
      </c>
      <c r="O394" t="s">
        <v>5170</v>
      </c>
      <c r="P394">
        <v>1.5</v>
      </c>
      <c r="Q394" t="s">
        <v>40</v>
      </c>
      <c r="R394" t="s">
        <v>30</v>
      </c>
    </row>
    <row r="395" spans="1:18" x14ac:dyDescent="0.25">
      <c r="A395">
        <v>2009</v>
      </c>
      <c r="B395">
        <v>3707</v>
      </c>
      <c r="C395" t="s">
        <v>125</v>
      </c>
      <c r="D395" t="s">
        <v>2090</v>
      </c>
      <c r="E395">
        <v>324110</v>
      </c>
      <c r="F395" t="s">
        <v>95</v>
      </c>
      <c r="G395" t="s">
        <v>96</v>
      </c>
      <c r="H395" t="s">
        <v>85</v>
      </c>
      <c r="I395" t="s">
        <v>504</v>
      </c>
      <c r="J395" t="s">
        <v>505</v>
      </c>
      <c r="K395" t="s">
        <v>506</v>
      </c>
      <c r="L395" t="s">
        <v>5183</v>
      </c>
      <c r="M395" t="s">
        <v>5184</v>
      </c>
      <c r="N395" t="s">
        <v>5195</v>
      </c>
      <c r="O395" t="s">
        <v>5196</v>
      </c>
      <c r="P395">
        <v>1099.519</v>
      </c>
      <c r="Q395" t="s">
        <v>29</v>
      </c>
      <c r="R395" t="s">
        <v>124</v>
      </c>
    </row>
    <row r="396" spans="1:18" x14ac:dyDescent="0.25">
      <c r="A396">
        <v>2005</v>
      </c>
      <c r="B396">
        <v>5229</v>
      </c>
      <c r="C396" t="s">
        <v>5694</v>
      </c>
      <c r="D396" t="s">
        <v>5695</v>
      </c>
      <c r="E396">
        <v>331221</v>
      </c>
      <c r="F396" t="s">
        <v>418</v>
      </c>
      <c r="G396" t="s">
        <v>419</v>
      </c>
      <c r="H396" t="s">
        <v>85</v>
      </c>
      <c r="I396" t="s">
        <v>209</v>
      </c>
      <c r="J396" t="s">
        <v>210</v>
      </c>
      <c r="K396" t="s">
        <v>211</v>
      </c>
      <c r="L396" t="s">
        <v>5183</v>
      </c>
      <c r="M396" t="s">
        <v>5184</v>
      </c>
      <c r="N396" t="s">
        <v>5195</v>
      </c>
      <c r="O396" t="s">
        <v>5196</v>
      </c>
      <c r="P396">
        <v>0</v>
      </c>
      <c r="Q396" t="s">
        <v>29</v>
      </c>
      <c r="R396" t="s">
        <v>50</v>
      </c>
    </row>
    <row r="397" spans="1:18" x14ac:dyDescent="0.25">
      <c r="A397">
        <v>2010</v>
      </c>
      <c r="B397">
        <v>7746</v>
      </c>
      <c r="C397" t="s">
        <v>5696</v>
      </c>
      <c r="D397" t="s">
        <v>5697</v>
      </c>
      <c r="E397">
        <v>327215</v>
      </c>
      <c r="F397" t="s">
        <v>5698</v>
      </c>
      <c r="G397" t="s">
        <v>5699</v>
      </c>
      <c r="H397" t="s">
        <v>69</v>
      </c>
      <c r="I397" t="s">
        <v>35</v>
      </c>
      <c r="J397" t="s">
        <v>36</v>
      </c>
      <c r="K397" t="s">
        <v>37</v>
      </c>
      <c r="L397" t="s">
        <v>5167</v>
      </c>
      <c r="M397" t="s">
        <v>5168</v>
      </c>
      <c r="N397" t="s">
        <v>5169</v>
      </c>
      <c r="O397" t="s">
        <v>5170</v>
      </c>
      <c r="P397">
        <v>19.3</v>
      </c>
      <c r="Q397" t="s">
        <v>40</v>
      </c>
      <c r="R397" t="s">
        <v>50</v>
      </c>
    </row>
    <row r="398" spans="1:18" x14ac:dyDescent="0.25">
      <c r="A398">
        <v>2013</v>
      </c>
      <c r="B398">
        <v>2537</v>
      </c>
      <c r="C398" t="s">
        <v>5700</v>
      </c>
      <c r="D398" t="s">
        <v>5701</v>
      </c>
      <c r="E398">
        <v>562210</v>
      </c>
      <c r="F398" t="s">
        <v>84</v>
      </c>
      <c r="G398" t="s">
        <v>53</v>
      </c>
      <c r="H398" t="s">
        <v>21</v>
      </c>
      <c r="I398" t="s">
        <v>62</v>
      </c>
      <c r="J398" t="s">
        <v>63</v>
      </c>
      <c r="K398" t="s">
        <v>64</v>
      </c>
      <c r="L398" t="s">
        <v>5183</v>
      </c>
      <c r="M398" t="s">
        <v>5184</v>
      </c>
      <c r="N398" t="s">
        <v>5169</v>
      </c>
      <c r="O398" t="s">
        <v>5170</v>
      </c>
      <c r="P398">
        <v>53.835000000000001</v>
      </c>
      <c r="Q398" t="s">
        <v>29</v>
      </c>
      <c r="R398" t="s">
        <v>50</v>
      </c>
    </row>
    <row r="399" spans="1:18" x14ac:dyDescent="0.25">
      <c r="A399">
        <v>2018</v>
      </c>
      <c r="B399">
        <v>442</v>
      </c>
      <c r="C399" t="s">
        <v>1323</v>
      </c>
      <c r="D399" t="s">
        <v>5417</v>
      </c>
      <c r="E399">
        <v>211141</v>
      </c>
      <c r="F399" t="s">
        <v>1189</v>
      </c>
      <c r="G399" t="s">
        <v>1190</v>
      </c>
      <c r="H399" t="s">
        <v>85</v>
      </c>
      <c r="I399" t="s">
        <v>55</v>
      </c>
      <c r="J399" t="s">
        <v>56</v>
      </c>
      <c r="K399" t="s">
        <v>57</v>
      </c>
      <c r="L399" t="s">
        <v>5183</v>
      </c>
      <c r="M399" t="s">
        <v>5184</v>
      </c>
      <c r="N399" t="s">
        <v>5169</v>
      </c>
      <c r="O399" t="s">
        <v>5170</v>
      </c>
      <c r="P399">
        <v>1.8E-3</v>
      </c>
      <c r="Q399" t="s">
        <v>29</v>
      </c>
      <c r="R399" t="s">
        <v>30</v>
      </c>
    </row>
    <row r="400" spans="1:18" x14ac:dyDescent="0.25">
      <c r="A400">
        <v>2016</v>
      </c>
      <c r="B400">
        <v>407</v>
      </c>
      <c r="C400" t="s">
        <v>1043</v>
      </c>
      <c r="D400" t="s">
        <v>5459</v>
      </c>
      <c r="E400">
        <v>211113</v>
      </c>
      <c r="F400" t="s">
        <v>786</v>
      </c>
      <c r="G400" t="s">
        <v>426</v>
      </c>
      <c r="H400" t="s">
        <v>85</v>
      </c>
      <c r="I400" t="s">
        <v>70</v>
      </c>
      <c r="J400" t="s">
        <v>71</v>
      </c>
      <c r="K400" t="s">
        <v>72</v>
      </c>
      <c r="L400" t="s">
        <v>5167</v>
      </c>
      <c r="M400" t="s">
        <v>5168</v>
      </c>
      <c r="N400" t="s">
        <v>5195</v>
      </c>
      <c r="O400" t="s">
        <v>5196</v>
      </c>
      <c r="P400">
        <v>8.1245999999999992</v>
      </c>
      <c r="Q400" t="s">
        <v>29</v>
      </c>
      <c r="R400" t="s">
        <v>30</v>
      </c>
    </row>
    <row r="401" spans="1:18" x14ac:dyDescent="0.25">
      <c r="A401">
        <v>2020</v>
      </c>
      <c r="B401">
        <v>10215</v>
      </c>
      <c r="C401" t="s">
        <v>125</v>
      </c>
      <c r="D401" t="s">
        <v>1161</v>
      </c>
      <c r="E401">
        <v>412110</v>
      </c>
      <c r="F401" t="s">
        <v>127</v>
      </c>
      <c r="G401" t="s">
        <v>128</v>
      </c>
      <c r="H401" t="s">
        <v>85</v>
      </c>
      <c r="I401" t="s">
        <v>348</v>
      </c>
      <c r="J401" t="s">
        <v>349</v>
      </c>
      <c r="K401" t="s">
        <v>350</v>
      </c>
      <c r="L401" t="s">
        <v>5167</v>
      </c>
      <c r="M401" t="s">
        <v>5168</v>
      </c>
      <c r="N401" t="s">
        <v>5223</v>
      </c>
      <c r="O401" t="s">
        <v>5224</v>
      </c>
      <c r="P401">
        <v>0.14835999999999999</v>
      </c>
      <c r="Q401" t="s">
        <v>29</v>
      </c>
      <c r="R401" t="s">
        <v>30</v>
      </c>
    </row>
    <row r="402" spans="1:18" x14ac:dyDescent="0.25">
      <c r="A402">
        <v>2009</v>
      </c>
      <c r="B402">
        <v>7170</v>
      </c>
      <c r="C402" t="s">
        <v>5702</v>
      </c>
      <c r="D402" t="s">
        <v>5702</v>
      </c>
      <c r="E402">
        <v>321217</v>
      </c>
      <c r="F402" t="s">
        <v>1702</v>
      </c>
      <c r="G402" t="s">
        <v>151</v>
      </c>
      <c r="H402" t="s">
        <v>21</v>
      </c>
      <c r="I402" t="s">
        <v>35</v>
      </c>
      <c r="J402" t="s">
        <v>36</v>
      </c>
      <c r="K402" t="s">
        <v>37</v>
      </c>
      <c r="L402" t="s">
        <v>5167</v>
      </c>
      <c r="M402" t="s">
        <v>5168</v>
      </c>
      <c r="N402" t="s">
        <v>5169</v>
      </c>
      <c r="O402" t="s">
        <v>5170</v>
      </c>
      <c r="P402">
        <v>156.1</v>
      </c>
      <c r="Q402" t="s">
        <v>40</v>
      </c>
      <c r="R402" t="s">
        <v>430</v>
      </c>
    </row>
    <row r="403" spans="1:18" x14ac:dyDescent="0.25">
      <c r="A403">
        <v>2005</v>
      </c>
      <c r="B403">
        <v>6097</v>
      </c>
      <c r="C403" t="s">
        <v>5703</v>
      </c>
      <c r="D403" t="s">
        <v>1011</v>
      </c>
      <c r="E403">
        <v>325410</v>
      </c>
      <c r="F403" t="s">
        <v>218</v>
      </c>
      <c r="G403" t="s">
        <v>219</v>
      </c>
      <c r="H403" t="s">
        <v>1012</v>
      </c>
      <c r="I403" t="s">
        <v>520</v>
      </c>
      <c r="J403" t="s">
        <v>521</v>
      </c>
      <c r="K403" t="s">
        <v>522</v>
      </c>
      <c r="L403" t="s">
        <v>5183</v>
      </c>
      <c r="M403" t="s">
        <v>5184</v>
      </c>
      <c r="N403" t="s">
        <v>5175</v>
      </c>
      <c r="O403" t="s">
        <v>5176</v>
      </c>
      <c r="P403">
        <v>0</v>
      </c>
      <c r="Q403" t="s">
        <v>29</v>
      </c>
      <c r="R403" t="s">
        <v>30</v>
      </c>
    </row>
    <row r="404" spans="1:18" x14ac:dyDescent="0.25">
      <c r="A404">
        <v>2022</v>
      </c>
      <c r="B404">
        <v>4771</v>
      </c>
      <c r="C404" t="s">
        <v>5704</v>
      </c>
      <c r="D404" t="s">
        <v>5705</v>
      </c>
      <c r="E404">
        <v>221320</v>
      </c>
      <c r="F404" t="s">
        <v>146</v>
      </c>
      <c r="G404" t="s">
        <v>147</v>
      </c>
      <c r="H404" t="s">
        <v>21</v>
      </c>
      <c r="I404" t="s">
        <v>97</v>
      </c>
      <c r="J404" t="s">
        <v>98</v>
      </c>
      <c r="K404" t="s">
        <v>99</v>
      </c>
      <c r="L404" t="s">
        <v>5167</v>
      </c>
      <c r="M404" t="s">
        <v>5168</v>
      </c>
      <c r="N404" t="s">
        <v>5175</v>
      </c>
      <c r="O404" t="s">
        <v>5176</v>
      </c>
      <c r="P404">
        <v>38.604999999999997</v>
      </c>
      <c r="Q404" t="s">
        <v>29</v>
      </c>
      <c r="R404" t="s">
        <v>124</v>
      </c>
    </row>
    <row r="405" spans="1:18" x14ac:dyDescent="0.25">
      <c r="A405">
        <v>2004</v>
      </c>
      <c r="B405">
        <v>2286</v>
      </c>
      <c r="C405" t="s">
        <v>1057</v>
      </c>
      <c r="D405" t="s">
        <v>5706</v>
      </c>
      <c r="E405">
        <v>221112</v>
      </c>
      <c r="F405" t="s">
        <v>134</v>
      </c>
      <c r="G405" t="s">
        <v>135</v>
      </c>
      <c r="H405" t="s">
        <v>85</v>
      </c>
      <c r="I405" t="s">
        <v>136</v>
      </c>
      <c r="J405" t="s">
        <v>137</v>
      </c>
      <c r="K405" t="s">
        <v>138</v>
      </c>
      <c r="L405" t="s">
        <v>5183</v>
      </c>
      <c r="M405" t="s">
        <v>5184</v>
      </c>
      <c r="N405" t="s">
        <v>5169</v>
      </c>
      <c r="O405" t="s">
        <v>5170</v>
      </c>
      <c r="P405">
        <v>39.494</v>
      </c>
      <c r="Q405" t="s">
        <v>29</v>
      </c>
      <c r="R405" t="s">
        <v>30</v>
      </c>
    </row>
    <row r="406" spans="1:18" x14ac:dyDescent="0.25">
      <c r="A406">
        <v>2014</v>
      </c>
      <c r="B406">
        <v>1287</v>
      </c>
      <c r="C406" t="s">
        <v>5707</v>
      </c>
      <c r="D406" t="s">
        <v>5708</v>
      </c>
      <c r="E406">
        <v>339990</v>
      </c>
      <c r="F406" t="s">
        <v>1179</v>
      </c>
      <c r="G406" t="s">
        <v>872</v>
      </c>
      <c r="H406" t="s">
        <v>21</v>
      </c>
      <c r="I406" t="s">
        <v>136</v>
      </c>
      <c r="J406" t="s">
        <v>137</v>
      </c>
      <c r="K406" t="s">
        <v>138</v>
      </c>
      <c r="L406" t="s">
        <v>5183</v>
      </c>
      <c r="M406" t="s">
        <v>5184</v>
      </c>
      <c r="N406" t="s">
        <v>5169</v>
      </c>
      <c r="O406" t="s">
        <v>5170</v>
      </c>
      <c r="P406">
        <v>4.7600000000000003E-2</v>
      </c>
      <c r="Q406" t="s">
        <v>29</v>
      </c>
      <c r="R406" t="s">
        <v>50</v>
      </c>
    </row>
    <row r="407" spans="1:18" x14ac:dyDescent="0.25">
      <c r="A407">
        <v>2010</v>
      </c>
      <c r="B407">
        <v>1338</v>
      </c>
      <c r="C407" t="s">
        <v>212</v>
      </c>
      <c r="D407" t="s">
        <v>389</v>
      </c>
      <c r="E407">
        <v>221320</v>
      </c>
      <c r="F407" t="s">
        <v>390</v>
      </c>
      <c r="G407" t="s">
        <v>147</v>
      </c>
      <c r="H407" t="s">
        <v>69</v>
      </c>
      <c r="I407" t="s">
        <v>97</v>
      </c>
      <c r="J407" t="s">
        <v>98</v>
      </c>
      <c r="K407" t="s">
        <v>99</v>
      </c>
      <c r="L407" t="s">
        <v>5167</v>
      </c>
      <c r="M407" t="s">
        <v>5168</v>
      </c>
      <c r="N407" t="s">
        <v>5175</v>
      </c>
      <c r="O407" t="s">
        <v>5176</v>
      </c>
      <c r="P407">
        <v>164.512</v>
      </c>
      <c r="Q407" t="s">
        <v>29</v>
      </c>
      <c r="R407" t="s">
        <v>124</v>
      </c>
    </row>
    <row r="408" spans="1:18" x14ac:dyDescent="0.25">
      <c r="A408">
        <v>1997</v>
      </c>
      <c r="B408">
        <v>931</v>
      </c>
      <c r="C408" t="s">
        <v>5709</v>
      </c>
      <c r="D408" t="s">
        <v>5710</v>
      </c>
      <c r="E408">
        <v>326198</v>
      </c>
      <c r="F408" t="s">
        <v>249</v>
      </c>
      <c r="G408" t="s">
        <v>250</v>
      </c>
      <c r="H408" t="s">
        <v>21</v>
      </c>
      <c r="I408" t="s">
        <v>35</v>
      </c>
      <c r="J408" t="s">
        <v>36</v>
      </c>
      <c r="K408" t="s">
        <v>37</v>
      </c>
      <c r="L408" t="s">
        <v>5167</v>
      </c>
      <c r="M408" t="s">
        <v>5168</v>
      </c>
      <c r="N408" t="s">
        <v>5169</v>
      </c>
      <c r="O408" t="s">
        <v>5170</v>
      </c>
      <c r="P408">
        <v>0.09</v>
      </c>
      <c r="Q408" t="s">
        <v>29</v>
      </c>
      <c r="R408" t="s">
        <v>30</v>
      </c>
    </row>
    <row r="409" spans="1:18" x14ac:dyDescent="0.25">
      <c r="A409">
        <v>2006</v>
      </c>
      <c r="B409">
        <v>928</v>
      </c>
      <c r="C409" t="s">
        <v>5711</v>
      </c>
      <c r="D409" t="s">
        <v>5712</v>
      </c>
      <c r="E409">
        <v>322112</v>
      </c>
      <c r="F409" t="s">
        <v>620</v>
      </c>
      <c r="G409" t="s">
        <v>621</v>
      </c>
      <c r="H409" t="s">
        <v>21</v>
      </c>
      <c r="I409" t="s">
        <v>55</v>
      </c>
      <c r="J409" t="s">
        <v>56</v>
      </c>
      <c r="K409" t="s">
        <v>57</v>
      </c>
      <c r="L409" t="s">
        <v>5183</v>
      </c>
      <c r="M409" t="s">
        <v>5184</v>
      </c>
      <c r="N409" t="s">
        <v>5169</v>
      </c>
      <c r="O409" t="s">
        <v>5170</v>
      </c>
      <c r="P409">
        <v>1.7769999999999999</v>
      </c>
      <c r="Q409" t="s">
        <v>29</v>
      </c>
      <c r="R409" t="s">
        <v>430</v>
      </c>
    </row>
    <row r="410" spans="1:18" x14ac:dyDescent="0.25">
      <c r="A410">
        <v>2023</v>
      </c>
      <c r="B410">
        <v>1303</v>
      </c>
      <c r="C410" t="s">
        <v>1745</v>
      </c>
      <c r="D410" t="s">
        <v>1746</v>
      </c>
      <c r="E410">
        <v>212233</v>
      </c>
      <c r="F410" t="s">
        <v>1111</v>
      </c>
      <c r="G410" t="s">
        <v>441</v>
      </c>
      <c r="H410" t="s">
        <v>69</v>
      </c>
      <c r="I410" t="s">
        <v>152</v>
      </c>
      <c r="J410" t="s">
        <v>153</v>
      </c>
      <c r="K410" t="s">
        <v>154</v>
      </c>
      <c r="L410" t="s">
        <v>5183</v>
      </c>
      <c r="M410" t="s">
        <v>5184</v>
      </c>
      <c r="N410" t="s">
        <v>5260</v>
      </c>
      <c r="O410" t="s">
        <v>5261</v>
      </c>
      <c r="P410">
        <v>1455.5197370000001</v>
      </c>
      <c r="Q410" t="s">
        <v>29</v>
      </c>
      <c r="R410" t="s">
        <v>124</v>
      </c>
    </row>
    <row r="411" spans="1:18" x14ac:dyDescent="0.25">
      <c r="A411">
        <v>2017</v>
      </c>
      <c r="B411">
        <v>6532</v>
      </c>
      <c r="C411" t="s">
        <v>65</v>
      </c>
      <c r="D411" t="s">
        <v>5713</v>
      </c>
      <c r="E411">
        <v>213118</v>
      </c>
      <c r="F411" t="s">
        <v>5179</v>
      </c>
      <c r="G411" t="s">
        <v>1337</v>
      </c>
      <c r="H411" t="s">
        <v>85</v>
      </c>
      <c r="I411" t="s">
        <v>70</v>
      </c>
      <c r="J411" t="s">
        <v>71</v>
      </c>
      <c r="K411" t="s">
        <v>72</v>
      </c>
      <c r="L411" t="s">
        <v>5183</v>
      </c>
      <c r="M411" t="s">
        <v>5184</v>
      </c>
      <c r="N411" t="s">
        <v>5195</v>
      </c>
      <c r="O411" t="s">
        <v>5196</v>
      </c>
      <c r="P411">
        <v>0.32269999999999999</v>
      </c>
      <c r="Q411" t="s">
        <v>29</v>
      </c>
      <c r="R411" t="s">
        <v>50</v>
      </c>
    </row>
    <row r="412" spans="1:18" x14ac:dyDescent="0.25">
      <c r="A412">
        <v>2006</v>
      </c>
      <c r="B412">
        <v>818</v>
      </c>
      <c r="C412" t="s">
        <v>5714</v>
      </c>
      <c r="D412" t="s">
        <v>5715</v>
      </c>
      <c r="E412">
        <v>326114</v>
      </c>
      <c r="F412" t="s">
        <v>5239</v>
      </c>
      <c r="G412" t="s">
        <v>982</v>
      </c>
      <c r="H412" t="s">
        <v>21</v>
      </c>
      <c r="I412" t="s">
        <v>461</v>
      </c>
      <c r="J412" t="s">
        <v>462</v>
      </c>
      <c r="K412" t="s">
        <v>463</v>
      </c>
      <c r="L412" t="s">
        <v>5167</v>
      </c>
      <c r="M412" t="s">
        <v>5168</v>
      </c>
      <c r="N412" t="s">
        <v>5169</v>
      </c>
      <c r="O412" t="s">
        <v>5170</v>
      </c>
      <c r="P412">
        <v>3.3</v>
      </c>
      <c r="Q412" t="s">
        <v>40</v>
      </c>
      <c r="R412" t="s">
        <v>50</v>
      </c>
    </row>
    <row r="413" spans="1:18" x14ac:dyDescent="0.25">
      <c r="A413">
        <v>2016</v>
      </c>
      <c r="B413">
        <v>1221</v>
      </c>
      <c r="C413" t="s">
        <v>5321</v>
      </c>
      <c r="D413" t="s">
        <v>5322</v>
      </c>
      <c r="E413">
        <v>322112</v>
      </c>
      <c r="F413" t="s">
        <v>660</v>
      </c>
      <c r="G413" t="s">
        <v>621</v>
      </c>
      <c r="H413" t="s">
        <v>661</v>
      </c>
      <c r="I413" t="s">
        <v>106</v>
      </c>
      <c r="J413" t="s">
        <v>107</v>
      </c>
      <c r="K413" t="s">
        <v>108</v>
      </c>
      <c r="L413" t="s">
        <v>5183</v>
      </c>
      <c r="M413" t="s">
        <v>5184</v>
      </c>
      <c r="N413" t="s">
        <v>5175</v>
      </c>
      <c r="O413" t="s">
        <v>5176</v>
      </c>
      <c r="P413">
        <v>0.05</v>
      </c>
      <c r="Q413" t="s">
        <v>40</v>
      </c>
      <c r="R413" t="s">
        <v>124</v>
      </c>
    </row>
    <row r="414" spans="1:18" x14ac:dyDescent="0.25">
      <c r="A414">
        <v>2007</v>
      </c>
      <c r="B414">
        <v>6118</v>
      </c>
      <c r="C414" t="s">
        <v>5716</v>
      </c>
      <c r="D414" t="s">
        <v>5717</v>
      </c>
      <c r="E414">
        <v>221320</v>
      </c>
      <c r="F414" t="s">
        <v>390</v>
      </c>
      <c r="G414" t="s">
        <v>147</v>
      </c>
      <c r="H414" t="s">
        <v>79</v>
      </c>
      <c r="I414" t="s">
        <v>504</v>
      </c>
      <c r="J414" t="s">
        <v>505</v>
      </c>
      <c r="K414" t="s">
        <v>506</v>
      </c>
      <c r="L414" t="s">
        <v>5167</v>
      </c>
      <c r="M414" t="s">
        <v>5168</v>
      </c>
      <c r="N414" t="s">
        <v>5175</v>
      </c>
      <c r="O414" t="s">
        <v>5176</v>
      </c>
      <c r="P414">
        <v>2.9710000000000001</v>
      </c>
      <c r="Q414" t="s">
        <v>29</v>
      </c>
      <c r="R414" t="s">
        <v>124</v>
      </c>
    </row>
    <row r="415" spans="1:18" x14ac:dyDescent="0.25">
      <c r="A415">
        <v>2004</v>
      </c>
      <c r="B415">
        <v>4980</v>
      </c>
      <c r="C415" t="s">
        <v>5718</v>
      </c>
      <c r="E415">
        <v>339990</v>
      </c>
      <c r="F415" t="s">
        <v>871</v>
      </c>
      <c r="G415" t="s">
        <v>872</v>
      </c>
      <c r="H415" t="s">
        <v>21</v>
      </c>
      <c r="I415" t="s">
        <v>152</v>
      </c>
      <c r="J415" t="s">
        <v>153</v>
      </c>
      <c r="K415" t="s">
        <v>154</v>
      </c>
      <c r="L415" t="s">
        <v>5167</v>
      </c>
      <c r="M415" t="s">
        <v>5168</v>
      </c>
      <c r="N415" t="s">
        <v>5169</v>
      </c>
      <c r="O415" t="s">
        <v>5170</v>
      </c>
      <c r="P415">
        <v>3.883</v>
      </c>
      <c r="Q415" t="s">
        <v>29</v>
      </c>
      <c r="R415" t="s">
        <v>258</v>
      </c>
    </row>
    <row r="416" spans="1:18" x14ac:dyDescent="0.25">
      <c r="A416">
        <v>2008</v>
      </c>
      <c r="B416">
        <v>1071</v>
      </c>
      <c r="C416" t="s">
        <v>1523</v>
      </c>
      <c r="D416" t="s">
        <v>1523</v>
      </c>
      <c r="E416">
        <v>331313</v>
      </c>
      <c r="F416" t="s">
        <v>1131</v>
      </c>
      <c r="G416" t="s">
        <v>1132</v>
      </c>
      <c r="H416" t="s">
        <v>79</v>
      </c>
      <c r="I416" t="s">
        <v>209</v>
      </c>
      <c r="J416" t="s">
        <v>210</v>
      </c>
      <c r="K416" t="s">
        <v>211</v>
      </c>
      <c r="L416" t="s">
        <v>5167</v>
      </c>
      <c r="M416" t="s">
        <v>5168</v>
      </c>
      <c r="N416" t="s">
        <v>5169</v>
      </c>
      <c r="O416" t="s">
        <v>5170</v>
      </c>
      <c r="P416">
        <v>5.6</v>
      </c>
      <c r="Q416" t="s">
        <v>29</v>
      </c>
      <c r="R416" t="s">
        <v>50</v>
      </c>
    </row>
    <row r="417" spans="1:18" x14ac:dyDescent="0.25">
      <c r="A417">
        <v>2006</v>
      </c>
      <c r="B417">
        <v>2587</v>
      </c>
      <c r="C417" t="s">
        <v>5719</v>
      </c>
      <c r="D417" t="s">
        <v>5720</v>
      </c>
      <c r="E417">
        <v>322121</v>
      </c>
      <c r="F417" t="s">
        <v>764</v>
      </c>
      <c r="G417" t="s">
        <v>765</v>
      </c>
      <c r="H417" t="s">
        <v>79</v>
      </c>
      <c r="I417" t="s">
        <v>106</v>
      </c>
      <c r="J417" t="s">
        <v>107</v>
      </c>
      <c r="K417" t="s">
        <v>108</v>
      </c>
      <c r="L417" t="s">
        <v>5167</v>
      </c>
      <c r="M417" t="s">
        <v>5168</v>
      </c>
      <c r="N417" t="s">
        <v>5175</v>
      </c>
      <c r="O417" t="s">
        <v>5176</v>
      </c>
      <c r="P417">
        <v>1.702</v>
      </c>
      <c r="Q417" t="s">
        <v>40</v>
      </c>
      <c r="R417" t="s">
        <v>430</v>
      </c>
    </row>
    <row r="418" spans="1:18" x14ac:dyDescent="0.25">
      <c r="A418">
        <v>2018</v>
      </c>
      <c r="B418">
        <v>442</v>
      </c>
      <c r="C418" t="s">
        <v>1323</v>
      </c>
      <c r="D418" t="s">
        <v>5417</v>
      </c>
      <c r="E418">
        <v>211141</v>
      </c>
      <c r="F418" t="s">
        <v>1189</v>
      </c>
      <c r="G418" t="s">
        <v>1190</v>
      </c>
      <c r="H418" t="s">
        <v>85</v>
      </c>
      <c r="I418" t="s">
        <v>331</v>
      </c>
      <c r="J418" t="s">
        <v>332</v>
      </c>
      <c r="K418" t="s">
        <v>333</v>
      </c>
      <c r="L418" t="s">
        <v>5183</v>
      </c>
      <c r="M418" t="s">
        <v>5184</v>
      </c>
      <c r="N418" t="s">
        <v>5169</v>
      </c>
      <c r="O418" t="s">
        <v>5170</v>
      </c>
      <c r="P418">
        <v>1E-4</v>
      </c>
      <c r="Q418" t="s">
        <v>29</v>
      </c>
      <c r="R418" t="s">
        <v>30</v>
      </c>
    </row>
    <row r="419" spans="1:18" x14ac:dyDescent="0.25">
      <c r="A419">
        <v>2009</v>
      </c>
      <c r="B419">
        <v>6157</v>
      </c>
      <c r="C419" t="s">
        <v>1444</v>
      </c>
      <c r="D419" t="s">
        <v>5721</v>
      </c>
      <c r="E419">
        <v>412110</v>
      </c>
      <c r="F419" t="s">
        <v>346</v>
      </c>
      <c r="G419" t="s">
        <v>347</v>
      </c>
      <c r="H419" t="s">
        <v>661</v>
      </c>
      <c r="I419" t="s">
        <v>70</v>
      </c>
      <c r="J419" t="s">
        <v>71</v>
      </c>
      <c r="K419" t="s">
        <v>72</v>
      </c>
      <c r="L419" t="s">
        <v>5167</v>
      </c>
      <c r="M419" t="s">
        <v>5168</v>
      </c>
      <c r="N419" t="s">
        <v>5169</v>
      </c>
      <c r="O419" t="s">
        <v>5170</v>
      </c>
      <c r="P419">
        <v>7.0000000000000001E-3</v>
      </c>
      <c r="Q419" t="s">
        <v>29</v>
      </c>
      <c r="R419" t="s">
        <v>30</v>
      </c>
    </row>
    <row r="420" spans="1:18" x14ac:dyDescent="0.25">
      <c r="A420">
        <v>2002</v>
      </c>
      <c r="B420">
        <v>2948</v>
      </c>
      <c r="C420" t="s">
        <v>5722</v>
      </c>
      <c r="D420" t="s">
        <v>5723</v>
      </c>
      <c r="E420">
        <v>322112</v>
      </c>
      <c r="F420" t="s">
        <v>620</v>
      </c>
      <c r="G420" t="s">
        <v>621</v>
      </c>
      <c r="H420" t="s">
        <v>79</v>
      </c>
      <c r="I420" t="s">
        <v>35</v>
      </c>
      <c r="J420" t="s">
        <v>36</v>
      </c>
      <c r="K420" t="s">
        <v>37</v>
      </c>
      <c r="L420" t="s">
        <v>5183</v>
      </c>
      <c r="M420" t="s">
        <v>5184</v>
      </c>
      <c r="N420" t="s">
        <v>5169</v>
      </c>
      <c r="O420" t="s">
        <v>5170</v>
      </c>
      <c r="P420">
        <v>327.25</v>
      </c>
      <c r="Q420" t="s">
        <v>40</v>
      </c>
      <c r="R420" t="s">
        <v>204</v>
      </c>
    </row>
    <row r="421" spans="1:18" x14ac:dyDescent="0.25">
      <c r="A421">
        <v>2005</v>
      </c>
      <c r="B421">
        <v>17141</v>
      </c>
      <c r="C421" t="s">
        <v>5724</v>
      </c>
      <c r="D421" t="s">
        <v>5725</v>
      </c>
      <c r="E421">
        <v>562210</v>
      </c>
      <c r="F421" t="s">
        <v>52</v>
      </c>
      <c r="G421" t="s">
        <v>53</v>
      </c>
      <c r="H421" t="s">
        <v>85</v>
      </c>
      <c r="I421" t="s">
        <v>913</v>
      </c>
      <c r="J421" t="s">
        <v>914</v>
      </c>
      <c r="K421" t="s">
        <v>915</v>
      </c>
      <c r="L421" t="s">
        <v>5183</v>
      </c>
      <c r="M421" t="s">
        <v>5184</v>
      </c>
      <c r="N421" t="s">
        <v>5169</v>
      </c>
      <c r="O421" t="s">
        <v>5170</v>
      </c>
      <c r="P421">
        <v>106.15</v>
      </c>
      <c r="Q421" t="s">
        <v>29</v>
      </c>
      <c r="R421" t="s">
        <v>50</v>
      </c>
    </row>
    <row r="422" spans="1:18" x14ac:dyDescent="0.25">
      <c r="A422">
        <v>2012</v>
      </c>
      <c r="B422">
        <v>3430</v>
      </c>
      <c r="C422" t="s">
        <v>5726</v>
      </c>
      <c r="D422" t="s">
        <v>5727</v>
      </c>
      <c r="E422">
        <v>325510</v>
      </c>
      <c r="F422" t="s">
        <v>111</v>
      </c>
      <c r="G422" t="s">
        <v>112</v>
      </c>
      <c r="H422" t="s">
        <v>21</v>
      </c>
      <c r="I422" t="s">
        <v>461</v>
      </c>
      <c r="J422" t="s">
        <v>462</v>
      </c>
      <c r="K422" t="s">
        <v>463</v>
      </c>
      <c r="L422" t="s">
        <v>5167</v>
      </c>
      <c r="M422" t="s">
        <v>5168</v>
      </c>
      <c r="N422" t="s">
        <v>5169</v>
      </c>
      <c r="O422" t="s">
        <v>5170</v>
      </c>
      <c r="P422">
        <v>8.9812999999999992</v>
      </c>
      <c r="Q422" t="s">
        <v>40</v>
      </c>
      <c r="R422" t="s">
        <v>50</v>
      </c>
    </row>
    <row r="423" spans="1:18" x14ac:dyDescent="0.25">
      <c r="A423">
        <v>2023</v>
      </c>
      <c r="B423">
        <v>31595</v>
      </c>
      <c r="C423" t="s">
        <v>1649</v>
      </c>
      <c r="D423" t="s">
        <v>5728</v>
      </c>
      <c r="E423">
        <v>211110</v>
      </c>
      <c r="F423" t="s">
        <v>233</v>
      </c>
      <c r="G423" t="s">
        <v>234</v>
      </c>
      <c r="H423" t="s">
        <v>85</v>
      </c>
      <c r="I423" t="s">
        <v>923</v>
      </c>
      <c r="J423" t="s">
        <v>924</v>
      </c>
      <c r="K423" t="s">
        <v>924</v>
      </c>
      <c r="L423" t="s">
        <v>5167</v>
      </c>
      <c r="M423" t="s">
        <v>5168</v>
      </c>
      <c r="N423" t="s">
        <v>5169</v>
      </c>
      <c r="O423" t="s">
        <v>5170</v>
      </c>
      <c r="P423">
        <v>7.0590000000000002E-3</v>
      </c>
      <c r="Q423" t="s">
        <v>29</v>
      </c>
      <c r="R423" t="s">
        <v>30</v>
      </c>
    </row>
    <row r="424" spans="1:18" x14ac:dyDescent="0.25">
      <c r="A424">
        <v>2022</v>
      </c>
      <c r="B424">
        <v>7838</v>
      </c>
      <c r="C424" t="s">
        <v>2057</v>
      </c>
      <c r="D424" t="s">
        <v>2252</v>
      </c>
      <c r="E424">
        <v>212114</v>
      </c>
      <c r="F424" t="s">
        <v>2059</v>
      </c>
      <c r="G424" t="s">
        <v>2060</v>
      </c>
      <c r="H424" t="s">
        <v>69</v>
      </c>
      <c r="I424" t="s">
        <v>209</v>
      </c>
      <c r="J424" t="s">
        <v>210</v>
      </c>
      <c r="K424" t="s">
        <v>211</v>
      </c>
      <c r="L424" t="s">
        <v>5183</v>
      </c>
      <c r="M424" t="s">
        <v>5184</v>
      </c>
      <c r="N424" t="s">
        <v>5185</v>
      </c>
      <c r="O424" t="s">
        <v>5186</v>
      </c>
      <c r="P424">
        <v>118.32599999999999</v>
      </c>
      <c r="Q424" t="s">
        <v>29</v>
      </c>
      <c r="R424" t="s">
        <v>124</v>
      </c>
    </row>
    <row r="425" spans="1:18" x14ac:dyDescent="0.25">
      <c r="A425">
        <v>2017</v>
      </c>
      <c r="B425">
        <v>27123</v>
      </c>
      <c r="C425" t="s">
        <v>4937</v>
      </c>
      <c r="D425" t="s">
        <v>5729</v>
      </c>
      <c r="E425">
        <v>418410</v>
      </c>
      <c r="F425" t="s">
        <v>433</v>
      </c>
      <c r="G425" t="s">
        <v>434</v>
      </c>
      <c r="H425" t="s">
        <v>243</v>
      </c>
      <c r="I425" t="s">
        <v>55</v>
      </c>
      <c r="J425" t="s">
        <v>56</v>
      </c>
      <c r="K425" t="s">
        <v>57</v>
      </c>
      <c r="L425" t="s">
        <v>5167</v>
      </c>
      <c r="M425" t="s">
        <v>5168</v>
      </c>
      <c r="N425" t="s">
        <v>5195</v>
      </c>
      <c r="O425" t="s">
        <v>5196</v>
      </c>
      <c r="P425">
        <v>10.203900000000001</v>
      </c>
      <c r="Q425" t="s">
        <v>29</v>
      </c>
      <c r="R425" t="s">
        <v>50</v>
      </c>
    </row>
    <row r="426" spans="1:18" x14ac:dyDescent="0.25">
      <c r="A426">
        <v>2013</v>
      </c>
      <c r="B426">
        <v>10219</v>
      </c>
      <c r="C426" t="s">
        <v>125</v>
      </c>
      <c r="D426" t="s">
        <v>746</v>
      </c>
      <c r="E426">
        <v>412110</v>
      </c>
      <c r="F426" t="s">
        <v>127</v>
      </c>
      <c r="G426" t="s">
        <v>128</v>
      </c>
      <c r="H426" t="s">
        <v>21</v>
      </c>
      <c r="I426" t="s">
        <v>1251</v>
      </c>
      <c r="J426" t="s">
        <v>1252</v>
      </c>
      <c r="K426" t="s">
        <v>1253</v>
      </c>
      <c r="L426" t="s">
        <v>5167</v>
      </c>
      <c r="M426" t="s">
        <v>5168</v>
      </c>
      <c r="N426" t="s">
        <v>5223</v>
      </c>
      <c r="O426" t="s">
        <v>5224</v>
      </c>
      <c r="P426">
        <v>0.01</v>
      </c>
      <c r="Q426" t="s">
        <v>40</v>
      </c>
      <c r="R426" t="s">
        <v>30</v>
      </c>
    </row>
    <row r="427" spans="1:18" x14ac:dyDescent="0.25">
      <c r="A427">
        <v>2006</v>
      </c>
      <c r="B427">
        <v>267</v>
      </c>
      <c r="C427" t="s">
        <v>5730</v>
      </c>
      <c r="D427" t="s">
        <v>5731</v>
      </c>
      <c r="E427">
        <v>221112</v>
      </c>
      <c r="F427" t="s">
        <v>134</v>
      </c>
      <c r="G427" t="s">
        <v>135</v>
      </c>
      <c r="H427" t="s">
        <v>85</v>
      </c>
      <c r="I427" t="s">
        <v>152</v>
      </c>
      <c r="J427" t="s">
        <v>153</v>
      </c>
      <c r="K427" t="s">
        <v>154</v>
      </c>
      <c r="L427" t="s">
        <v>5167</v>
      </c>
      <c r="M427" t="s">
        <v>5168</v>
      </c>
      <c r="N427" t="s">
        <v>5223</v>
      </c>
      <c r="O427" t="s">
        <v>5224</v>
      </c>
      <c r="P427">
        <v>87</v>
      </c>
      <c r="Q427" t="s">
        <v>29</v>
      </c>
      <c r="R427" t="s">
        <v>30</v>
      </c>
    </row>
    <row r="428" spans="1:18" x14ac:dyDescent="0.25">
      <c r="A428">
        <v>2006</v>
      </c>
      <c r="B428">
        <v>3127</v>
      </c>
      <c r="C428" t="s">
        <v>5732</v>
      </c>
      <c r="D428" t="s">
        <v>5733</v>
      </c>
      <c r="E428">
        <v>324110</v>
      </c>
      <c r="F428" t="s">
        <v>95</v>
      </c>
      <c r="G428" t="s">
        <v>96</v>
      </c>
      <c r="H428" t="s">
        <v>79</v>
      </c>
      <c r="I428" t="s">
        <v>1050</v>
      </c>
      <c r="J428" t="s">
        <v>1051</v>
      </c>
      <c r="K428" t="s">
        <v>1052</v>
      </c>
      <c r="L428" t="s">
        <v>5167</v>
      </c>
      <c r="M428" t="s">
        <v>5168</v>
      </c>
      <c r="N428" t="s">
        <v>5169</v>
      </c>
      <c r="O428" t="s">
        <v>5170</v>
      </c>
      <c r="P428">
        <v>0.7</v>
      </c>
      <c r="Q428" t="s">
        <v>40</v>
      </c>
      <c r="R428" t="s">
        <v>30</v>
      </c>
    </row>
    <row r="429" spans="1:18" x14ac:dyDescent="0.25">
      <c r="A429">
        <v>2009</v>
      </c>
      <c r="B429">
        <v>799</v>
      </c>
      <c r="C429" t="s">
        <v>5734</v>
      </c>
      <c r="D429" t="s">
        <v>5734</v>
      </c>
      <c r="E429">
        <v>325520</v>
      </c>
      <c r="F429" t="s">
        <v>1147</v>
      </c>
      <c r="G429" t="s">
        <v>1122</v>
      </c>
      <c r="H429" t="s">
        <v>21</v>
      </c>
      <c r="I429" t="s">
        <v>35</v>
      </c>
      <c r="J429" t="s">
        <v>36</v>
      </c>
      <c r="K429" t="s">
        <v>37</v>
      </c>
      <c r="L429" t="s">
        <v>5167</v>
      </c>
      <c r="M429" t="s">
        <v>5168</v>
      </c>
      <c r="N429" t="s">
        <v>5169</v>
      </c>
      <c r="O429" t="s">
        <v>5170</v>
      </c>
      <c r="P429">
        <v>485</v>
      </c>
      <c r="Q429" t="s">
        <v>40</v>
      </c>
      <c r="R429" t="s">
        <v>50</v>
      </c>
    </row>
    <row r="430" spans="1:18" x14ac:dyDescent="0.25">
      <c r="A430">
        <v>2003</v>
      </c>
      <c r="B430">
        <v>3775</v>
      </c>
      <c r="C430" t="s">
        <v>5735</v>
      </c>
      <c r="E430">
        <v>339990</v>
      </c>
      <c r="F430" t="s">
        <v>871</v>
      </c>
      <c r="G430" t="s">
        <v>872</v>
      </c>
      <c r="H430" t="s">
        <v>85</v>
      </c>
      <c r="I430" t="s">
        <v>244</v>
      </c>
      <c r="J430" t="s">
        <v>245</v>
      </c>
      <c r="K430" t="s">
        <v>246</v>
      </c>
      <c r="L430" t="s">
        <v>5167</v>
      </c>
      <c r="M430" t="s">
        <v>5168</v>
      </c>
      <c r="N430" t="s">
        <v>5169</v>
      </c>
      <c r="O430" t="s">
        <v>5170</v>
      </c>
      <c r="P430">
        <v>160.30000000000001</v>
      </c>
      <c r="Q430" t="s">
        <v>40</v>
      </c>
      <c r="R430" t="s">
        <v>124</v>
      </c>
    </row>
    <row r="431" spans="1:18" x14ac:dyDescent="0.25">
      <c r="A431">
        <v>2022</v>
      </c>
      <c r="B431">
        <v>24183</v>
      </c>
      <c r="C431" t="s">
        <v>4250</v>
      </c>
      <c r="D431" t="s">
        <v>5736</v>
      </c>
      <c r="E431">
        <v>562210</v>
      </c>
      <c r="F431" t="s">
        <v>84</v>
      </c>
      <c r="G431" t="s">
        <v>53</v>
      </c>
      <c r="H431" t="s">
        <v>85</v>
      </c>
      <c r="I431" t="s">
        <v>55</v>
      </c>
      <c r="J431" t="s">
        <v>56</v>
      </c>
      <c r="K431" t="s">
        <v>57</v>
      </c>
      <c r="L431" t="s">
        <v>5183</v>
      </c>
      <c r="M431" t="s">
        <v>5184</v>
      </c>
      <c r="N431" t="s">
        <v>5195</v>
      </c>
      <c r="O431" t="s">
        <v>5196</v>
      </c>
      <c r="P431">
        <v>93.703999999999994</v>
      </c>
      <c r="Q431" t="s">
        <v>29</v>
      </c>
      <c r="R431" t="s">
        <v>50</v>
      </c>
    </row>
    <row r="432" spans="1:18" x14ac:dyDescent="0.25">
      <c r="A432">
        <v>2000</v>
      </c>
      <c r="B432">
        <v>3939</v>
      </c>
      <c r="C432" t="s">
        <v>5737</v>
      </c>
      <c r="D432" t="s">
        <v>5738</v>
      </c>
      <c r="E432">
        <v>211113</v>
      </c>
      <c r="F432" t="s">
        <v>425</v>
      </c>
      <c r="G432" t="s">
        <v>426</v>
      </c>
      <c r="H432" t="s">
        <v>85</v>
      </c>
      <c r="I432" t="s">
        <v>331</v>
      </c>
      <c r="J432" t="s">
        <v>332</v>
      </c>
      <c r="K432" t="s">
        <v>333</v>
      </c>
      <c r="L432" t="s">
        <v>5167</v>
      </c>
      <c r="M432" t="s">
        <v>5168</v>
      </c>
      <c r="N432" t="s">
        <v>5195</v>
      </c>
      <c r="O432" t="s">
        <v>5196</v>
      </c>
      <c r="P432">
        <v>6.2E-2</v>
      </c>
      <c r="Q432" t="s">
        <v>29</v>
      </c>
      <c r="R432" t="s">
        <v>442</v>
      </c>
    </row>
    <row r="433" spans="1:18" x14ac:dyDescent="0.25">
      <c r="A433">
        <v>2007</v>
      </c>
      <c r="B433">
        <v>6895</v>
      </c>
      <c r="C433" t="s">
        <v>5739</v>
      </c>
      <c r="D433" t="s">
        <v>5740</v>
      </c>
      <c r="E433">
        <v>212114</v>
      </c>
      <c r="F433" t="s">
        <v>5276</v>
      </c>
      <c r="G433" t="s">
        <v>2060</v>
      </c>
      <c r="H433" t="s">
        <v>85</v>
      </c>
      <c r="I433" t="s">
        <v>152</v>
      </c>
      <c r="J433" t="s">
        <v>153</v>
      </c>
      <c r="K433" t="s">
        <v>154</v>
      </c>
      <c r="L433" t="s">
        <v>5183</v>
      </c>
      <c r="M433" t="s">
        <v>5184</v>
      </c>
      <c r="N433" t="s">
        <v>5185</v>
      </c>
      <c r="O433" t="s">
        <v>5186</v>
      </c>
      <c r="P433">
        <v>31.773</v>
      </c>
      <c r="Q433" t="s">
        <v>29</v>
      </c>
      <c r="R433" t="s">
        <v>30</v>
      </c>
    </row>
    <row r="434" spans="1:18" x14ac:dyDescent="0.25">
      <c r="A434">
        <v>2020</v>
      </c>
      <c r="B434">
        <v>4978</v>
      </c>
      <c r="C434" t="s">
        <v>5741</v>
      </c>
      <c r="D434" t="s">
        <v>5742</v>
      </c>
      <c r="E434">
        <v>331529</v>
      </c>
      <c r="F434" t="s">
        <v>5743</v>
      </c>
      <c r="G434" t="s">
        <v>761</v>
      </c>
      <c r="H434" t="s">
        <v>21</v>
      </c>
      <c r="I434" t="s">
        <v>62</v>
      </c>
      <c r="J434" t="s">
        <v>63</v>
      </c>
      <c r="K434" t="s">
        <v>64</v>
      </c>
      <c r="L434" t="s">
        <v>5167</v>
      </c>
      <c r="M434" t="s">
        <v>5168</v>
      </c>
      <c r="N434" t="s">
        <v>5169</v>
      </c>
      <c r="O434" t="s">
        <v>5170</v>
      </c>
      <c r="P434">
        <v>0</v>
      </c>
      <c r="Q434" t="s">
        <v>29</v>
      </c>
      <c r="R434" t="s">
        <v>30</v>
      </c>
    </row>
    <row r="435" spans="1:18" x14ac:dyDescent="0.25">
      <c r="A435">
        <v>2012</v>
      </c>
      <c r="B435">
        <v>1251</v>
      </c>
      <c r="C435" t="s">
        <v>5744</v>
      </c>
      <c r="D435" t="s">
        <v>5745</v>
      </c>
      <c r="E435">
        <v>327990</v>
      </c>
      <c r="F435" t="s">
        <v>5746</v>
      </c>
      <c r="G435" t="s">
        <v>2171</v>
      </c>
      <c r="H435" t="s">
        <v>85</v>
      </c>
      <c r="I435" t="s">
        <v>209</v>
      </c>
      <c r="J435" t="s">
        <v>210</v>
      </c>
      <c r="K435" t="s">
        <v>211</v>
      </c>
      <c r="L435" t="s">
        <v>5167</v>
      </c>
      <c r="M435" t="s">
        <v>5168</v>
      </c>
      <c r="N435" t="s">
        <v>5169</v>
      </c>
      <c r="O435" t="s">
        <v>5170</v>
      </c>
      <c r="P435">
        <v>5.8299999999999998E-2</v>
      </c>
      <c r="Q435" t="s">
        <v>29</v>
      </c>
      <c r="R435" t="s">
        <v>50</v>
      </c>
    </row>
    <row r="436" spans="1:18" x14ac:dyDescent="0.25">
      <c r="A436">
        <v>2011</v>
      </c>
      <c r="B436">
        <v>21533</v>
      </c>
      <c r="C436" t="s">
        <v>5747</v>
      </c>
      <c r="D436" t="s">
        <v>5748</v>
      </c>
      <c r="E436">
        <v>486110</v>
      </c>
      <c r="F436" t="s">
        <v>540</v>
      </c>
      <c r="G436" t="s">
        <v>541</v>
      </c>
      <c r="H436" t="s">
        <v>85</v>
      </c>
      <c r="I436" t="s">
        <v>70</v>
      </c>
      <c r="J436" t="s">
        <v>71</v>
      </c>
      <c r="K436" t="s">
        <v>72</v>
      </c>
      <c r="L436" t="s">
        <v>5167</v>
      </c>
      <c r="M436" t="s">
        <v>5168</v>
      </c>
      <c r="N436" t="s">
        <v>5169</v>
      </c>
      <c r="O436" t="s">
        <v>5170</v>
      </c>
      <c r="P436">
        <v>2.7E-2</v>
      </c>
      <c r="Q436" t="s">
        <v>29</v>
      </c>
      <c r="R436" t="s">
        <v>30</v>
      </c>
    </row>
    <row r="437" spans="1:18" x14ac:dyDescent="0.25">
      <c r="A437">
        <v>2016</v>
      </c>
      <c r="B437">
        <v>3754</v>
      </c>
      <c r="C437" t="s">
        <v>818</v>
      </c>
      <c r="D437" t="s">
        <v>635</v>
      </c>
      <c r="E437">
        <v>211113</v>
      </c>
      <c r="F437" t="s">
        <v>786</v>
      </c>
      <c r="G437" t="s">
        <v>426</v>
      </c>
      <c r="H437" t="s">
        <v>85</v>
      </c>
      <c r="I437" t="s">
        <v>427</v>
      </c>
      <c r="J437" t="s">
        <v>428</v>
      </c>
      <c r="K437" t="s">
        <v>429</v>
      </c>
      <c r="L437" t="s">
        <v>5167</v>
      </c>
      <c r="M437" t="s">
        <v>5168</v>
      </c>
      <c r="N437" t="s">
        <v>5169</v>
      </c>
      <c r="O437" t="s">
        <v>5170</v>
      </c>
      <c r="P437">
        <v>3.9100000000000003E-2</v>
      </c>
      <c r="Q437" t="s">
        <v>29</v>
      </c>
      <c r="R437" t="s">
        <v>30</v>
      </c>
    </row>
    <row r="438" spans="1:18" x14ac:dyDescent="0.25">
      <c r="A438">
        <v>2007</v>
      </c>
      <c r="B438">
        <v>2815</v>
      </c>
      <c r="C438" t="s">
        <v>2255</v>
      </c>
      <c r="D438" t="s">
        <v>5749</v>
      </c>
      <c r="E438">
        <v>331410</v>
      </c>
      <c r="F438" t="s">
        <v>1453</v>
      </c>
      <c r="G438" t="s">
        <v>1235</v>
      </c>
      <c r="H438" t="s">
        <v>21</v>
      </c>
      <c r="I438" t="s">
        <v>255</v>
      </c>
      <c r="J438" t="s">
        <v>256</v>
      </c>
      <c r="K438" t="s">
        <v>257</v>
      </c>
      <c r="L438" t="s">
        <v>5183</v>
      </c>
      <c r="M438" t="s">
        <v>5184</v>
      </c>
      <c r="N438" t="s">
        <v>5185</v>
      </c>
      <c r="O438" t="s">
        <v>5186</v>
      </c>
      <c r="P438">
        <v>34.97</v>
      </c>
      <c r="Q438" t="s">
        <v>29</v>
      </c>
      <c r="R438" t="s">
        <v>50</v>
      </c>
    </row>
    <row r="439" spans="1:18" x14ac:dyDescent="0.25">
      <c r="A439">
        <v>2002</v>
      </c>
      <c r="B439">
        <v>3756</v>
      </c>
      <c r="C439" t="s">
        <v>5750</v>
      </c>
      <c r="D439" t="s">
        <v>5751</v>
      </c>
      <c r="E439">
        <v>211113</v>
      </c>
      <c r="F439" t="s">
        <v>425</v>
      </c>
      <c r="G439" t="s">
        <v>426</v>
      </c>
      <c r="H439" t="s">
        <v>85</v>
      </c>
      <c r="I439" t="s">
        <v>70</v>
      </c>
      <c r="J439" t="s">
        <v>71</v>
      </c>
      <c r="K439" t="s">
        <v>72</v>
      </c>
      <c r="L439" t="s">
        <v>5183</v>
      </c>
      <c r="M439" t="s">
        <v>5184</v>
      </c>
      <c r="N439" t="s">
        <v>5195</v>
      </c>
      <c r="O439" t="s">
        <v>5196</v>
      </c>
      <c r="P439">
        <v>1.18</v>
      </c>
      <c r="Q439" t="s">
        <v>29</v>
      </c>
      <c r="R439" t="s">
        <v>30</v>
      </c>
    </row>
    <row r="440" spans="1:18" x14ac:dyDescent="0.25">
      <c r="A440">
        <v>2014</v>
      </c>
      <c r="B440">
        <v>22267</v>
      </c>
      <c r="C440" t="s">
        <v>1995</v>
      </c>
      <c r="D440" t="s">
        <v>5295</v>
      </c>
      <c r="E440">
        <v>211114</v>
      </c>
      <c r="F440" t="s">
        <v>956</v>
      </c>
      <c r="G440" t="s">
        <v>836</v>
      </c>
      <c r="H440" t="s">
        <v>85</v>
      </c>
      <c r="I440" t="s">
        <v>70</v>
      </c>
      <c r="J440" t="s">
        <v>71</v>
      </c>
      <c r="K440" t="s">
        <v>72</v>
      </c>
      <c r="L440" t="s">
        <v>5167</v>
      </c>
      <c r="M440" t="s">
        <v>5168</v>
      </c>
      <c r="N440" t="s">
        <v>5169</v>
      </c>
      <c r="O440" t="s">
        <v>5170</v>
      </c>
      <c r="P440">
        <v>0.97050000000000003</v>
      </c>
      <c r="Q440" t="s">
        <v>29</v>
      </c>
      <c r="R440" t="s">
        <v>30</v>
      </c>
    </row>
    <row r="441" spans="1:18" x14ac:dyDescent="0.25">
      <c r="A441">
        <v>2015</v>
      </c>
      <c r="B441">
        <v>24145</v>
      </c>
      <c r="C441" t="s">
        <v>2335</v>
      </c>
      <c r="D441" t="s">
        <v>2336</v>
      </c>
      <c r="E441">
        <v>211114</v>
      </c>
      <c r="F441" t="s">
        <v>956</v>
      </c>
      <c r="G441" t="s">
        <v>836</v>
      </c>
      <c r="H441" t="s">
        <v>85</v>
      </c>
      <c r="I441" t="s">
        <v>129</v>
      </c>
      <c r="J441" t="s">
        <v>130</v>
      </c>
      <c r="K441" t="s">
        <v>131</v>
      </c>
      <c r="L441" t="s">
        <v>5167</v>
      </c>
      <c r="M441" t="s">
        <v>5168</v>
      </c>
      <c r="N441" t="s">
        <v>5195</v>
      </c>
      <c r="O441" t="s">
        <v>5196</v>
      </c>
      <c r="P441">
        <v>5.0000000000000001E-4</v>
      </c>
      <c r="Q441" t="s">
        <v>29</v>
      </c>
      <c r="R441" t="s">
        <v>30</v>
      </c>
    </row>
    <row r="442" spans="1:18" x14ac:dyDescent="0.25">
      <c r="A442">
        <v>2006</v>
      </c>
      <c r="B442">
        <v>2230</v>
      </c>
      <c r="C442" t="s">
        <v>5752</v>
      </c>
      <c r="D442" t="s">
        <v>5753</v>
      </c>
      <c r="E442">
        <v>211114</v>
      </c>
      <c r="F442" t="s">
        <v>835</v>
      </c>
      <c r="G442" t="s">
        <v>836</v>
      </c>
      <c r="H442" t="s">
        <v>85</v>
      </c>
      <c r="I442" t="s">
        <v>391</v>
      </c>
      <c r="J442" t="s">
        <v>392</v>
      </c>
      <c r="K442" t="s">
        <v>393</v>
      </c>
      <c r="L442" t="s">
        <v>5183</v>
      </c>
      <c r="M442" t="s">
        <v>5184</v>
      </c>
      <c r="N442" t="s">
        <v>5185</v>
      </c>
      <c r="O442" t="s">
        <v>5186</v>
      </c>
      <c r="P442">
        <v>2712.6570000000002</v>
      </c>
      <c r="Q442" t="s">
        <v>40</v>
      </c>
      <c r="R442" t="s">
        <v>157</v>
      </c>
    </row>
    <row r="443" spans="1:18" x14ac:dyDescent="0.25">
      <c r="A443">
        <v>1993</v>
      </c>
      <c r="B443">
        <v>1471</v>
      </c>
      <c r="C443" t="s">
        <v>5754</v>
      </c>
      <c r="D443" t="s">
        <v>5427</v>
      </c>
      <c r="E443">
        <v>331410</v>
      </c>
      <c r="F443" t="s">
        <v>1453</v>
      </c>
      <c r="G443" t="s">
        <v>5755</v>
      </c>
      <c r="H443" t="s">
        <v>21</v>
      </c>
      <c r="I443" t="s">
        <v>177</v>
      </c>
      <c r="J443" t="s">
        <v>178</v>
      </c>
      <c r="K443" t="s">
        <v>179</v>
      </c>
      <c r="L443" t="s">
        <v>5167</v>
      </c>
      <c r="M443" t="s">
        <v>5168</v>
      </c>
      <c r="N443" t="s">
        <v>5169</v>
      </c>
      <c r="O443" t="s">
        <v>5170</v>
      </c>
      <c r="P443">
        <v>1.0999999999999999E-2</v>
      </c>
      <c r="Q443" t="s">
        <v>29</v>
      </c>
    </row>
    <row r="444" spans="1:18" x14ac:dyDescent="0.25">
      <c r="A444">
        <v>2001</v>
      </c>
      <c r="B444">
        <v>689</v>
      </c>
      <c r="C444" t="s">
        <v>5756</v>
      </c>
      <c r="D444" t="s">
        <v>5757</v>
      </c>
      <c r="E444">
        <v>211113</v>
      </c>
      <c r="F444" t="s">
        <v>425</v>
      </c>
      <c r="G444" t="s">
        <v>426</v>
      </c>
      <c r="H444" t="s">
        <v>85</v>
      </c>
      <c r="I444" t="s">
        <v>55</v>
      </c>
      <c r="J444" t="s">
        <v>56</v>
      </c>
      <c r="K444" t="s">
        <v>57</v>
      </c>
      <c r="L444" t="s">
        <v>5183</v>
      </c>
      <c r="M444" t="s">
        <v>5184</v>
      </c>
      <c r="N444" t="s">
        <v>5195</v>
      </c>
      <c r="O444" t="s">
        <v>5196</v>
      </c>
      <c r="P444">
        <v>5.5E-2</v>
      </c>
      <c r="Q444" t="s">
        <v>29</v>
      </c>
      <c r="R444" t="s">
        <v>30</v>
      </c>
    </row>
    <row r="445" spans="1:18" x14ac:dyDescent="0.25">
      <c r="A445">
        <v>2018</v>
      </c>
      <c r="B445">
        <v>442</v>
      </c>
      <c r="C445" t="s">
        <v>1323</v>
      </c>
      <c r="D445" t="s">
        <v>5417</v>
      </c>
      <c r="E445">
        <v>211141</v>
      </c>
      <c r="F445" t="s">
        <v>1189</v>
      </c>
      <c r="G445" t="s">
        <v>1190</v>
      </c>
      <c r="H445" t="s">
        <v>85</v>
      </c>
      <c r="I445" t="s">
        <v>337</v>
      </c>
      <c r="J445" t="s">
        <v>338</v>
      </c>
      <c r="K445" t="s">
        <v>339</v>
      </c>
      <c r="L445" t="s">
        <v>5167</v>
      </c>
      <c r="M445" t="s">
        <v>5168</v>
      </c>
      <c r="N445" t="s">
        <v>5195</v>
      </c>
      <c r="O445" t="s">
        <v>5196</v>
      </c>
      <c r="P445">
        <v>46.38</v>
      </c>
      <c r="Q445" t="s">
        <v>29</v>
      </c>
      <c r="R445" t="s">
        <v>30</v>
      </c>
    </row>
    <row r="446" spans="1:18" x14ac:dyDescent="0.25">
      <c r="A446">
        <v>2015</v>
      </c>
      <c r="B446">
        <v>6279</v>
      </c>
      <c r="C446" t="s">
        <v>5758</v>
      </c>
      <c r="D446" t="s">
        <v>5759</v>
      </c>
      <c r="E446">
        <v>331317</v>
      </c>
      <c r="F446" t="s">
        <v>768</v>
      </c>
      <c r="G446" t="s">
        <v>769</v>
      </c>
      <c r="H446" t="s">
        <v>79</v>
      </c>
      <c r="I446" t="s">
        <v>35</v>
      </c>
      <c r="J446" t="s">
        <v>36</v>
      </c>
      <c r="K446" t="s">
        <v>37</v>
      </c>
      <c r="L446" t="s">
        <v>5167</v>
      </c>
      <c r="M446" t="s">
        <v>5168</v>
      </c>
      <c r="N446" t="s">
        <v>5169</v>
      </c>
      <c r="O446" t="s">
        <v>5170</v>
      </c>
      <c r="P446">
        <v>0.13</v>
      </c>
      <c r="Q446" t="s">
        <v>40</v>
      </c>
      <c r="R446" t="s">
        <v>50</v>
      </c>
    </row>
    <row r="447" spans="1:18" x14ac:dyDescent="0.25">
      <c r="A447">
        <v>2009</v>
      </c>
      <c r="B447">
        <v>5646</v>
      </c>
      <c r="C447" t="s">
        <v>5760</v>
      </c>
      <c r="D447" t="s">
        <v>65</v>
      </c>
      <c r="E447">
        <v>541990</v>
      </c>
      <c r="F447" t="s">
        <v>5351</v>
      </c>
      <c r="G447" t="s">
        <v>1786</v>
      </c>
      <c r="H447" t="s">
        <v>21</v>
      </c>
      <c r="I447" t="s">
        <v>97</v>
      </c>
      <c r="J447" t="s">
        <v>98</v>
      </c>
      <c r="K447" t="s">
        <v>99</v>
      </c>
      <c r="L447" t="s">
        <v>5167</v>
      </c>
      <c r="M447" t="s">
        <v>5168</v>
      </c>
      <c r="N447" t="s">
        <v>5195</v>
      </c>
      <c r="O447" t="s">
        <v>5196</v>
      </c>
      <c r="P447">
        <v>7.1130000000000004</v>
      </c>
      <c r="Q447" t="s">
        <v>29</v>
      </c>
      <c r="R447" t="s">
        <v>50</v>
      </c>
    </row>
    <row r="448" spans="1:18" x14ac:dyDescent="0.25">
      <c r="A448">
        <v>2017</v>
      </c>
      <c r="B448">
        <v>18972</v>
      </c>
      <c r="C448" t="s">
        <v>5761</v>
      </c>
      <c r="D448" t="s">
        <v>534</v>
      </c>
      <c r="E448">
        <v>211110</v>
      </c>
      <c r="F448" t="s">
        <v>233</v>
      </c>
      <c r="G448" t="s">
        <v>234</v>
      </c>
      <c r="H448" t="s">
        <v>85</v>
      </c>
      <c r="I448" t="s">
        <v>70</v>
      </c>
      <c r="J448" t="s">
        <v>71</v>
      </c>
      <c r="K448" t="s">
        <v>72</v>
      </c>
      <c r="L448" t="s">
        <v>5167</v>
      </c>
      <c r="M448" t="s">
        <v>5168</v>
      </c>
      <c r="N448" t="s">
        <v>5175</v>
      </c>
      <c r="O448" t="s">
        <v>5176</v>
      </c>
      <c r="P448">
        <v>1.6199999999999999E-2</v>
      </c>
      <c r="Q448" t="s">
        <v>29</v>
      </c>
      <c r="R448" t="s">
        <v>30</v>
      </c>
    </row>
    <row r="449" spans="1:18" x14ac:dyDescent="0.25">
      <c r="A449">
        <v>2001</v>
      </c>
      <c r="B449">
        <v>4157</v>
      </c>
      <c r="C449" t="s">
        <v>5657</v>
      </c>
      <c r="D449" t="s">
        <v>5762</v>
      </c>
      <c r="E449">
        <v>211113</v>
      </c>
      <c r="F449" t="s">
        <v>425</v>
      </c>
      <c r="G449" t="s">
        <v>426</v>
      </c>
      <c r="H449" t="s">
        <v>243</v>
      </c>
      <c r="I449" t="s">
        <v>486</v>
      </c>
      <c r="J449" t="s">
        <v>487</v>
      </c>
      <c r="K449" t="s">
        <v>488</v>
      </c>
      <c r="L449" t="s">
        <v>5167</v>
      </c>
      <c r="M449" t="s">
        <v>5168</v>
      </c>
      <c r="N449" t="s">
        <v>5195</v>
      </c>
      <c r="O449" t="s">
        <v>5196</v>
      </c>
      <c r="P449">
        <v>6.29</v>
      </c>
      <c r="Q449" t="s">
        <v>29</v>
      </c>
      <c r="R449" t="s">
        <v>30</v>
      </c>
    </row>
    <row r="450" spans="1:18" x14ac:dyDescent="0.25">
      <c r="A450">
        <v>2017</v>
      </c>
      <c r="B450">
        <v>3713</v>
      </c>
      <c r="C450" t="s">
        <v>685</v>
      </c>
      <c r="D450" t="s">
        <v>686</v>
      </c>
      <c r="E450">
        <v>331110</v>
      </c>
      <c r="F450" t="s">
        <v>627</v>
      </c>
      <c r="G450" t="s">
        <v>336</v>
      </c>
      <c r="H450" t="s">
        <v>21</v>
      </c>
      <c r="I450" t="s">
        <v>184</v>
      </c>
      <c r="J450" t="s">
        <v>185</v>
      </c>
      <c r="K450" t="s">
        <v>186</v>
      </c>
      <c r="L450" t="s">
        <v>5167</v>
      </c>
      <c r="M450" t="s">
        <v>5168</v>
      </c>
      <c r="N450" t="s">
        <v>5169</v>
      </c>
      <c r="O450" t="s">
        <v>5170</v>
      </c>
      <c r="P450">
        <v>715.58839999999998</v>
      </c>
      <c r="Q450" t="s">
        <v>40</v>
      </c>
      <c r="R450" t="s">
        <v>50</v>
      </c>
    </row>
    <row r="451" spans="1:18" x14ac:dyDescent="0.25">
      <c r="A451">
        <v>2022</v>
      </c>
      <c r="B451">
        <v>30798</v>
      </c>
      <c r="C451" t="s">
        <v>5763</v>
      </c>
      <c r="D451" t="s">
        <v>5764</v>
      </c>
      <c r="E451">
        <v>212233</v>
      </c>
      <c r="F451" t="s">
        <v>1111</v>
      </c>
      <c r="G451" t="s">
        <v>441</v>
      </c>
      <c r="H451" t="s">
        <v>69</v>
      </c>
      <c r="I451" t="s">
        <v>177</v>
      </c>
      <c r="J451" t="s">
        <v>178</v>
      </c>
      <c r="K451" t="s">
        <v>179</v>
      </c>
      <c r="L451" t="s">
        <v>5183</v>
      </c>
      <c r="M451" t="s">
        <v>5184</v>
      </c>
      <c r="N451" t="s">
        <v>5185</v>
      </c>
      <c r="O451" t="s">
        <v>5186</v>
      </c>
      <c r="P451">
        <v>6811.0102999999999</v>
      </c>
      <c r="Q451" t="s">
        <v>29</v>
      </c>
      <c r="R451" t="s">
        <v>124</v>
      </c>
    </row>
    <row r="452" spans="1:18" x14ac:dyDescent="0.25">
      <c r="A452">
        <v>2014</v>
      </c>
      <c r="B452">
        <v>3962</v>
      </c>
      <c r="C452" t="s">
        <v>507</v>
      </c>
      <c r="D452" t="s">
        <v>508</v>
      </c>
      <c r="E452">
        <v>324110</v>
      </c>
      <c r="F452" t="s">
        <v>196</v>
      </c>
      <c r="G452" t="s">
        <v>96</v>
      </c>
      <c r="H452" t="s">
        <v>21</v>
      </c>
      <c r="I452" t="s">
        <v>1050</v>
      </c>
      <c r="J452" t="s">
        <v>1051</v>
      </c>
      <c r="K452" t="s">
        <v>1052</v>
      </c>
      <c r="L452" t="s">
        <v>5167</v>
      </c>
      <c r="M452" t="s">
        <v>5168</v>
      </c>
      <c r="N452" t="s">
        <v>5169</v>
      </c>
      <c r="O452" t="s">
        <v>5170</v>
      </c>
      <c r="P452">
        <v>9.6557999999999993</v>
      </c>
      <c r="Q452" t="s">
        <v>40</v>
      </c>
      <c r="R452" t="s">
        <v>124</v>
      </c>
    </row>
    <row r="453" spans="1:18" x14ac:dyDescent="0.25">
      <c r="A453">
        <v>2023</v>
      </c>
      <c r="B453">
        <v>3269</v>
      </c>
      <c r="C453" t="s">
        <v>5515</v>
      </c>
      <c r="D453" t="s">
        <v>5765</v>
      </c>
      <c r="E453">
        <v>325313</v>
      </c>
      <c r="F453" t="s">
        <v>1054</v>
      </c>
      <c r="G453" t="s">
        <v>1055</v>
      </c>
      <c r="H453" t="s">
        <v>85</v>
      </c>
      <c r="I453" t="s">
        <v>331</v>
      </c>
      <c r="J453" t="s">
        <v>332</v>
      </c>
      <c r="K453" t="s">
        <v>333</v>
      </c>
      <c r="L453" t="s">
        <v>5167</v>
      </c>
      <c r="M453" t="s">
        <v>5168</v>
      </c>
      <c r="N453" t="s">
        <v>5195</v>
      </c>
      <c r="O453" t="s">
        <v>5196</v>
      </c>
      <c r="P453">
        <v>0.08</v>
      </c>
      <c r="Q453" t="s">
        <v>29</v>
      </c>
      <c r="R453" t="s">
        <v>50</v>
      </c>
    </row>
    <row r="454" spans="1:18" x14ac:dyDescent="0.25">
      <c r="A454">
        <v>2015</v>
      </c>
      <c r="B454">
        <v>5386</v>
      </c>
      <c r="C454" t="s">
        <v>5766</v>
      </c>
      <c r="D454" t="s">
        <v>5767</v>
      </c>
      <c r="E454">
        <v>221320</v>
      </c>
      <c r="F454" t="s">
        <v>146</v>
      </c>
      <c r="G454" t="s">
        <v>147</v>
      </c>
      <c r="H454" t="s">
        <v>54</v>
      </c>
      <c r="I454" t="s">
        <v>324</v>
      </c>
      <c r="J454" t="s">
        <v>325</v>
      </c>
      <c r="K454" t="s">
        <v>326</v>
      </c>
      <c r="L454" t="s">
        <v>5167</v>
      </c>
      <c r="M454" t="s">
        <v>5168</v>
      </c>
      <c r="N454" t="s">
        <v>5169</v>
      </c>
      <c r="O454" t="s">
        <v>5170</v>
      </c>
      <c r="P454">
        <v>23.994199999999999</v>
      </c>
      <c r="Q454" t="s">
        <v>40</v>
      </c>
      <c r="R454" t="s">
        <v>124</v>
      </c>
    </row>
    <row r="455" spans="1:18" x14ac:dyDescent="0.25">
      <c r="A455">
        <v>2002</v>
      </c>
      <c r="B455">
        <v>3698</v>
      </c>
      <c r="C455" t="s">
        <v>125</v>
      </c>
      <c r="D455" t="s">
        <v>1097</v>
      </c>
      <c r="E455">
        <v>324110</v>
      </c>
      <c r="F455" t="s">
        <v>95</v>
      </c>
      <c r="G455" t="s">
        <v>96</v>
      </c>
      <c r="H455" t="s">
        <v>483</v>
      </c>
      <c r="I455" t="s">
        <v>622</v>
      </c>
      <c r="J455" t="s">
        <v>623</v>
      </c>
      <c r="K455" t="s">
        <v>624</v>
      </c>
      <c r="L455" t="s">
        <v>5183</v>
      </c>
      <c r="M455" t="s">
        <v>5184</v>
      </c>
      <c r="N455" t="s">
        <v>5175</v>
      </c>
      <c r="O455" t="s">
        <v>5176</v>
      </c>
      <c r="P455">
        <v>9.109</v>
      </c>
      <c r="Q455" t="s">
        <v>40</v>
      </c>
      <c r="R455" t="s">
        <v>204</v>
      </c>
    </row>
    <row r="456" spans="1:18" x14ac:dyDescent="0.25">
      <c r="A456">
        <v>2020</v>
      </c>
      <c r="B456">
        <v>3754</v>
      </c>
      <c r="C456" t="s">
        <v>1529</v>
      </c>
      <c r="D456" t="s">
        <v>635</v>
      </c>
      <c r="E456">
        <v>211110</v>
      </c>
      <c r="F456" t="s">
        <v>233</v>
      </c>
      <c r="G456" t="s">
        <v>234</v>
      </c>
      <c r="H456" t="s">
        <v>85</v>
      </c>
      <c r="I456" t="s">
        <v>348</v>
      </c>
      <c r="J456" t="s">
        <v>349</v>
      </c>
      <c r="K456" t="s">
        <v>350</v>
      </c>
      <c r="L456" t="s">
        <v>5167</v>
      </c>
      <c r="M456" t="s">
        <v>5168</v>
      </c>
      <c r="N456" t="s">
        <v>5175</v>
      </c>
      <c r="O456" t="s">
        <v>5176</v>
      </c>
      <c r="P456">
        <v>0.1241</v>
      </c>
      <c r="Q456" t="s">
        <v>29</v>
      </c>
      <c r="R456" t="s">
        <v>30</v>
      </c>
    </row>
    <row r="457" spans="1:18" x14ac:dyDescent="0.25">
      <c r="A457">
        <v>2022</v>
      </c>
      <c r="B457">
        <v>10218</v>
      </c>
      <c r="C457" t="s">
        <v>125</v>
      </c>
      <c r="D457" t="s">
        <v>534</v>
      </c>
      <c r="E457">
        <v>412110</v>
      </c>
      <c r="F457" t="s">
        <v>589</v>
      </c>
      <c r="G457" t="s">
        <v>590</v>
      </c>
      <c r="H457" t="s">
        <v>85</v>
      </c>
      <c r="I457" t="s">
        <v>348</v>
      </c>
      <c r="J457" t="s">
        <v>349</v>
      </c>
      <c r="K457" t="s">
        <v>350</v>
      </c>
      <c r="L457" t="s">
        <v>5167</v>
      </c>
      <c r="M457" t="s">
        <v>5168</v>
      </c>
      <c r="N457" t="s">
        <v>5223</v>
      </c>
      <c r="O457" t="s">
        <v>5224</v>
      </c>
      <c r="P457">
        <v>1.2999999999999999E-3</v>
      </c>
      <c r="Q457" t="s">
        <v>29</v>
      </c>
      <c r="R457" t="s">
        <v>30</v>
      </c>
    </row>
    <row r="458" spans="1:18" x14ac:dyDescent="0.25">
      <c r="A458">
        <v>2014</v>
      </c>
      <c r="B458">
        <v>5647</v>
      </c>
      <c r="C458" t="s">
        <v>65</v>
      </c>
      <c r="D458" t="s">
        <v>691</v>
      </c>
      <c r="E458">
        <v>562210</v>
      </c>
      <c r="F458" t="s">
        <v>84</v>
      </c>
      <c r="G458" t="s">
        <v>53</v>
      </c>
      <c r="H458" t="s">
        <v>21</v>
      </c>
      <c r="I458" t="s">
        <v>244</v>
      </c>
      <c r="J458" t="s">
        <v>245</v>
      </c>
      <c r="K458" t="s">
        <v>246</v>
      </c>
      <c r="L458" t="s">
        <v>5167</v>
      </c>
      <c r="M458" t="s">
        <v>5168</v>
      </c>
      <c r="N458" t="s">
        <v>5169</v>
      </c>
      <c r="O458" t="s">
        <v>5170</v>
      </c>
      <c r="P458">
        <v>40</v>
      </c>
      <c r="Q458" t="s">
        <v>40</v>
      </c>
      <c r="R458" t="s">
        <v>50</v>
      </c>
    </row>
    <row r="459" spans="1:18" x14ac:dyDescent="0.25">
      <c r="A459">
        <v>2009</v>
      </c>
      <c r="B459">
        <v>8600</v>
      </c>
      <c r="C459" t="s">
        <v>5768</v>
      </c>
      <c r="D459" t="s">
        <v>5769</v>
      </c>
      <c r="E459">
        <v>212220</v>
      </c>
      <c r="F459" t="s">
        <v>1980</v>
      </c>
      <c r="G459" t="s">
        <v>1620</v>
      </c>
      <c r="H459" t="s">
        <v>79</v>
      </c>
      <c r="I459" t="s">
        <v>136</v>
      </c>
      <c r="J459" t="s">
        <v>137</v>
      </c>
      <c r="K459" t="s">
        <v>138</v>
      </c>
      <c r="L459" t="s">
        <v>5183</v>
      </c>
      <c r="M459" t="s">
        <v>5184</v>
      </c>
      <c r="N459" t="s">
        <v>5185</v>
      </c>
      <c r="O459" t="s">
        <v>5186</v>
      </c>
      <c r="P459">
        <v>470</v>
      </c>
      <c r="Q459" t="s">
        <v>29</v>
      </c>
      <c r="R459" t="s">
        <v>50</v>
      </c>
    </row>
    <row r="460" spans="1:18" x14ac:dyDescent="0.25">
      <c r="A460">
        <v>1997</v>
      </c>
      <c r="B460">
        <v>695</v>
      </c>
      <c r="C460" t="s">
        <v>5756</v>
      </c>
      <c r="D460" t="s">
        <v>5770</v>
      </c>
      <c r="E460">
        <v>211113</v>
      </c>
      <c r="F460" t="s">
        <v>425</v>
      </c>
      <c r="G460" t="s">
        <v>426</v>
      </c>
      <c r="H460" t="s">
        <v>85</v>
      </c>
      <c r="I460" t="s">
        <v>331</v>
      </c>
      <c r="J460" t="s">
        <v>332</v>
      </c>
      <c r="K460" t="s">
        <v>333</v>
      </c>
      <c r="L460" t="s">
        <v>5183</v>
      </c>
      <c r="M460" t="s">
        <v>5184</v>
      </c>
      <c r="N460" t="s">
        <v>5195</v>
      </c>
      <c r="O460" t="s">
        <v>5196</v>
      </c>
      <c r="P460">
        <v>0.48799999999999999</v>
      </c>
      <c r="Q460" t="s">
        <v>29</v>
      </c>
      <c r="R460" t="s">
        <v>30</v>
      </c>
    </row>
    <row r="461" spans="1:18" x14ac:dyDescent="0.25">
      <c r="A461">
        <v>2016</v>
      </c>
      <c r="B461">
        <v>6118</v>
      </c>
      <c r="C461" t="s">
        <v>5771</v>
      </c>
      <c r="D461" t="s">
        <v>5772</v>
      </c>
      <c r="E461">
        <v>221320</v>
      </c>
      <c r="F461" t="s">
        <v>146</v>
      </c>
      <c r="G461" t="s">
        <v>147</v>
      </c>
      <c r="H461" t="s">
        <v>79</v>
      </c>
      <c r="I461" t="s">
        <v>35</v>
      </c>
      <c r="J461" t="s">
        <v>36</v>
      </c>
      <c r="K461" t="s">
        <v>37</v>
      </c>
      <c r="L461" t="s">
        <v>5167</v>
      </c>
      <c r="M461" t="s">
        <v>5168</v>
      </c>
      <c r="N461" t="s">
        <v>5175</v>
      </c>
      <c r="O461" t="s">
        <v>5176</v>
      </c>
      <c r="P461">
        <v>24.4</v>
      </c>
      <c r="Q461" t="s">
        <v>40</v>
      </c>
      <c r="R461" t="s">
        <v>124</v>
      </c>
    </row>
    <row r="462" spans="1:18" x14ac:dyDescent="0.25">
      <c r="A462">
        <v>2013</v>
      </c>
      <c r="B462">
        <v>5339</v>
      </c>
      <c r="C462" t="s">
        <v>65</v>
      </c>
      <c r="D462" t="s">
        <v>5773</v>
      </c>
      <c r="E462">
        <v>562210</v>
      </c>
      <c r="F462" t="s">
        <v>84</v>
      </c>
      <c r="G462" t="s">
        <v>53</v>
      </c>
      <c r="H462" t="s">
        <v>85</v>
      </c>
      <c r="I462" t="s">
        <v>152</v>
      </c>
      <c r="J462" t="s">
        <v>153</v>
      </c>
      <c r="K462" t="s">
        <v>154</v>
      </c>
      <c r="L462" t="s">
        <v>5167</v>
      </c>
      <c r="M462" t="s">
        <v>5168</v>
      </c>
      <c r="N462" t="s">
        <v>5195</v>
      </c>
      <c r="O462" t="s">
        <v>5196</v>
      </c>
      <c r="P462">
        <v>36.44</v>
      </c>
      <c r="Q462" t="s">
        <v>29</v>
      </c>
      <c r="R462" t="s">
        <v>50</v>
      </c>
    </row>
    <row r="463" spans="1:18" x14ac:dyDescent="0.25">
      <c r="A463">
        <v>2014</v>
      </c>
      <c r="B463">
        <v>27894</v>
      </c>
      <c r="C463" t="s">
        <v>1027</v>
      </c>
      <c r="D463" t="s">
        <v>5774</v>
      </c>
      <c r="E463">
        <v>211113</v>
      </c>
      <c r="F463" t="s">
        <v>786</v>
      </c>
      <c r="G463" t="s">
        <v>426</v>
      </c>
      <c r="H463" t="s">
        <v>69</v>
      </c>
      <c r="I463" t="s">
        <v>271</v>
      </c>
      <c r="J463" t="s">
        <v>272</v>
      </c>
      <c r="K463" t="s">
        <v>273</v>
      </c>
      <c r="L463" t="s">
        <v>5167</v>
      </c>
      <c r="M463" t="s">
        <v>5168</v>
      </c>
      <c r="N463" t="s">
        <v>5169</v>
      </c>
      <c r="O463" t="s">
        <v>5170</v>
      </c>
      <c r="P463">
        <v>0</v>
      </c>
      <c r="Q463" t="s">
        <v>29</v>
      </c>
      <c r="R463" t="s">
        <v>30</v>
      </c>
    </row>
    <row r="464" spans="1:18" x14ac:dyDescent="0.25">
      <c r="A464">
        <v>2013</v>
      </c>
      <c r="B464">
        <v>6797</v>
      </c>
      <c r="C464" t="s">
        <v>65</v>
      </c>
      <c r="D464" t="s">
        <v>580</v>
      </c>
      <c r="E464">
        <v>562990</v>
      </c>
      <c r="F464" t="s">
        <v>581</v>
      </c>
      <c r="G464" t="s">
        <v>105</v>
      </c>
      <c r="H464" t="s">
        <v>85</v>
      </c>
      <c r="I464" t="s">
        <v>520</v>
      </c>
      <c r="J464" t="s">
        <v>521</v>
      </c>
      <c r="K464" t="s">
        <v>522</v>
      </c>
      <c r="L464" t="s">
        <v>5167</v>
      </c>
      <c r="M464" t="s">
        <v>5168</v>
      </c>
      <c r="N464" t="s">
        <v>5169</v>
      </c>
      <c r="O464" t="s">
        <v>5170</v>
      </c>
      <c r="P464">
        <v>0.4</v>
      </c>
      <c r="Q464" t="s">
        <v>29</v>
      </c>
      <c r="R464" t="s">
        <v>50</v>
      </c>
    </row>
    <row r="465" spans="1:18" x14ac:dyDescent="0.25">
      <c r="A465">
        <v>2016</v>
      </c>
      <c r="B465">
        <v>6530</v>
      </c>
      <c r="C465" t="s">
        <v>65</v>
      </c>
      <c r="D465" t="s">
        <v>5775</v>
      </c>
      <c r="E465">
        <v>213118</v>
      </c>
      <c r="F465" t="s">
        <v>5179</v>
      </c>
      <c r="G465" t="s">
        <v>1337</v>
      </c>
      <c r="H465" t="s">
        <v>85</v>
      </c>
      <c r="I465" t="s">
        <v>271</v>
      </c>
      <c r="J465" t="s">
        <v>272</v>
      </c>
      <c r="K465" t="s">
        <v>273</v>
      </c>
      <c r="L465" t="s">
        <v>5183</v>
      </c>
      <c r="M465" t="s">
        <v>5184</v>
      </c>
      <c r="N465" t="s">
        <v>5195</v>
      </c>
      <c r="O465" t="s">
        <v>5196</v>
      </c>
      <c r="P465">
        <v>1.1499999999999999</v>
      </c>
      <c r="Q465" t="s">
        <v>29</v>
      </c>
      <c r="R465" t="s">
        <v>50</v>
      </c>
    </row>
    <row r="466" spans="1:18" x14ac:dyDescent="0.25">
      <c r="A466">
        <v>2016</v>
      </c>
      <c r="B466">
        <v>1266</v>
      </c>
      <c r="C466" t="s">
        <v>5776</v>
      </c>
      <c r="D466" t="s">
        <v>5777</v>
      </c>
      <c r="E466">
        <v>322112</v>
      </c>
      <c r="F466" t="s">
        <v>660</v>
      </c>
      <c r="G466" t="s">
        <v>621</v>
      </c>
      <c r="H466" t="s">
        <v>69</v>
      </c>
      <c r="I466" t="s">
        <v>97</v>
      </c>
      <c r="J466" t="s">
        <v>98</v>
      </c>
      <c r="K466" t="s">
        <v>99</v>
      </c>
      <c r="L466" t="s">
        <v>5183</v>
      </c>
      <c r="M466" t="s">
        <v>5184</v>
      </c>
      <c r="N466" t="s">
        <v>5169</v>
      </c>
      <c r="O466" t="s">
        <v>5170</v>
      </c>
      <c r="P466">
        <v>134.84</v>
      </c>
      <c r="Q466" t="s">
        <v>29</v>
      </c>
      <c r="R466" t="s">
        <v>124</v>
      </c>
    </row>
    <row r="467" spans="1:18" x14ac:dyDescent="0.25">
      <c r="A467">
        <v>2016</v>
      </c>
      <c r="B467">
        <v>409</v>
      </c>
      <c r="C467" t="s">
        <v>1043</v>
      </c>
      <c r="D467" t="s">
        <v>5778</v>
      </c>
      <c r="E467">
        <v>211114</v>
      </c>
      <c r="F467" t="s">
        <v>956</v>
      </c>
      <c r="G467" t="s">
        <v>836</v>
      </c>
      <c r="H467" t="s">
        <v>243</v>
      </c>
      <c r="I467" t="s">
        <v>348</v>
      </c>
      <c r="J467" t="s">
        <v>349</v>
      </c>
      <c r="K467" t="s">
        <v>350</v>
      </c>
      <c r="L467" t="s">
        <v>5167</v>
      </c>
      <c r="M467" t="s">
        <v>5168</v>
      </c>
      <c r="N467" t="s">
        <v>5169</v>
      </c>
      <c r="O467" t="s">
        <v>5170</v>
      </c>
      <c r="P467">
        <v>61.350999999999999</v>
      </c>
      <c r="Q467" t="s">
        <v>29</v>
      </c>
      <c r="R467" t="s">
        <v>30</v>
      </c>
    </row>
    <row r="468" spans="1:18" x14ac:dyDescent="0.25">
      <c r="A468">
        <v>2000</v>
      </c>
      <c r="B468">
        <v>3013</v>
      </c>
      <c r="C468" t="s">
        <v>5779</v>
      </c>
      <c r="D468" t="s">
        <v>5780</v>
      </c>
      <c r="E468">
        <v>322130</v>
      </c>
      <c r="F468" t="s">
        <v>1645</v>
      </c>
      <c r="G468" t="s">
        <v>1646</v>
      </c>
      <c r="H468" t="s">
        <v>21</v>
      </c>
      <c r="I468" t="s">
        <v>55</v>
      </c>
      <c r="J468" t="s">
        <v>56</v>
      </c>
      <c r="K468" t="s">
        <v>57</v>
      </c>
      <c r="L468" t="s">
        <v>5183</v>
      </c>
      <c r="M468" t="s">
        <v>5184</v>
      </c>
      <c r="N468" t="s">
        <v>5169</v>
      </c>
      <c r="O468" t="s">
        <v>5170</v>
      </c>
      <c r="P468">
        <v>3.891</v>
      </c>
      <c r="Q468" t="s">
        <v>29</v>
      </c>
      <c r="R468" t="s">
        <v>204</v>
      </c>
    </row>
    <row r="469" spans="1:18" x14ac:dyDescent="0.25">
      <c r="A469">
        <v>2023</v>
      </c>
      <c r="B469">
        <v>23544</v>
      </c>
      <c r="C469" t="s">
        <v>370</v>
      </c>
      <c r="D469" t="s">
        <v>1340</v>
      </c>
      <c r="E469">
        <v>562990</v>
      </c>
      <c r="F469" t="s">
        <v>581</v>
      </c>
      <c r="G469" t="s">
        <v>105</v>
      </c>
      <c r="H469" t="s">
        <v>85</v>
      </c>
      <c r="I469" t="s">
        <v>778</v>
      </c>
      <c r="J469" t="s">
        <v>779</v>
      </c>
      <c r="K469" t="s">
        <v>780</v>
      </c>
      <c r="L469" t="s">
        <v>5167</v>
      </c>
      <c r="M469" t="s">
        <v>5168</v>
      </c>
      <c r="N469" t="s">
        <v>5223</v>
      </c>
      <c r="O469" t="s">
        <v>5224</v>
      </c>
      <c r="P469">
        <v>121.732</v>
      </c>
      <c r="Q469" t="s">
        <v>29</v>
      </c>
      <c r="R469" t="s">
        <v>30</v>
      </c>
    </row>
    <row r="470" spans="1:18" x14ac:dyDescent="0.25">
      <c r="A470">
        <v>2003</v>
      </c>
      <c r="B470">
        <v>4980</v>
      </c>
      <c r="C470" t="s">
        <v>5781</v>
      </c>
      <c r="D470" t="s">
        <v>5718</v>
      </c>
      <c r="E470">
        <v>339990</v>
      </c>
      <c r="F470" t="s">
        <v>871</v>
      </c>
      <c r="G470" t="s">
        <v>872</v>
      </c>
      <c r="H470" t="s">
        <v>21</v>
      </c>
      <c r="I470" t="s">
        <v>62</v>
      </c>
      <c r="J470" t="s">
        <v>63</v>
      </c>
      <c r="K470" t="s">
        <v>64</v>
      </c>
      <c r="L470" t="s">
        <v>5167</v>
      </c>
      <c r="M470" t="s">
        <v>5168</v>
      </c>
      <c r="N470" t="s">
        <v>5223</v>
      </c>
      <c r="O470" t="s">
        <v>5224</v>
      </c>
      <c r="P470">
        <v>1E-3</v>
      </c>
      <c r="Q470" t="s">
        <v>29</v>
      </c>
      <c r="R470" t="s">
        <v>258</v>
      </c>
    </row>
    <row r="471" spans="1:18" x14ac:dyDescent="0.25">
      <c r="A471">
        <v>2001</v>
      </c>
      <c r="B471">
        <v>3962</v>
      </c>
      <c r="C471" t="s">
        <v>806</v>
      </c>
      <c r="D471" t="s">
        <v>508</v>
      </c>
      <c r="E471">
        <v>324110</v>
      </c>
      <c r="F471" t="s">
        <v>95</v>
      </c>
      <c r="G471" t="s">
        <v>96</v>
      </c>
      <c r="H471" t="s">
        <v>21</v>
      </c>
      <c r="I471" t="s">
        <v>348</v>
      </c>
      <c r="J471" t="s">
        <v>349</v>
      </c>
      <c r="K471" t="s">
        <v>350</v>
      </c>
      <c r="L471" t="s">
        <v>5167</v>
      </c>
      <c r="M471" t="s">
        <v>5168</v>
      </c>
      <c r="N471" t="s">
        <v>5169</v>
      </c>
      <c r="O471" t="s">
        <v>5170</v>
      </c>
      <c r="P471">
        <v>1.2E-2</v>
      </c>
      <c r="Q471" t="s">
        <v>29</v>
      </c>
      <c r="R471" t="s">
        <v>30</v>
      </c>
    </row>
    <row r="472" spans="1:18" x14ac:dyDescent="0.25">
      <c r="A472">
        <v>2002</v>
      </c>
      <c r="B472">
        <v>1755</v>
      </c>
      <c r="C472" t="s">
        <v>5782</v>
      </c>
      <c r="D472" t="s">
        <v>2274</v>
      </c>
      <c r="E472">
        <v>211113</v>
      </c>
      <c r="F472" t="s">
        <v>425</v>
      </c>
      <c r="G472" t="s">
        <v>426</v>
      </c>
      <c r="H472" t="s">
        <v>85</v>
      </c>
      <c r="I472" t="s">
        <v>271</v>
      </c>
      <c r="J472" t="s">
        <v>272</v>
      </c>
      <c r="K472" t="s">
        <v>273</v>
      </c>
      <c r="L472" t="s">
        <v>5167</v>
      </c>
      <c r="M472" t="s">
        <v>5168</v>
      </c>
      <c r="N472" t="s">
        <v>5195</v>
      </c>
      <c r="O472" t="s">
        <v>5196</v>
      </c>
      <c r="P472">
        <v>1.1870000000000001</v>
      </c>
      <c r="Q472" t="s">
        <v>29</v>
      </c>
      <c r="R472" t="s">
        <v>30</v>
      </c>
    </row>
    <row r="473" spans="1:18" x14ac:dyDescent="0.25">
      <c r="A473">
        <v>2004</v>
      </c>
      <c r="B473">
        <v>106</v>
      </c>
      <c r="C473" t="s">
        <v>947</v>
      </c>
      <c r="D473" t="s">
        <v>5783</v>
      </c>
      <c r="E473">
        <v>211113</v>
      </c>
      <c r="F473" t="s">
        <v>425</v>
      </c>
      <c r="G473" t="s">
        <v>426</v>
      </c>
      <c r="H473" t="s">
        <v>85</v>
      </c>
      <c r="I473" t="s">
        <v>271</v>
      </c>
      <c r="J473" t="s">
        <v>272</v>
      </c>
      <c r="K473" t="s">
        <v>273</v>
      </c>
      <c r="L473" t="s">
        <v>5183</v>
      </c>
      <c r="M473" t="s">
        <v>5184</v>
      </c>
      <c r="N473" t="s">
        <v>5195</v>
      </c>
      <c r="O473" t="s">
        <v>5196</v>
      </c>
      <c r="P473">
        <v>0.441</v>
      </c>
      <c r="Q473" t="s">
        <v>29</v>
      </c>
      <c r="R473" t="s">
        <v>124</v>
      </c>
    </row>
    <row r="474" spans="1:18" x14ac:dyDescent="0.25">
      <c r="A474">
        <v>2023</v>
      </c>
      <c r="B474">
        <v>33049</v>
      </c>
      <c r="C474" t="s">
        <v>5784</v>
      </c>
      <c r="D474" t="s">
        <v>5785</v>
      </c>
      <c r="E474">
        <v>212220</v>
      </c>
      <c r="F474" t="s">
        <v>1619</v>
      </c>
      <c r="G474" t="s">
        <v>1620</v>
      </c>
      <c r="H474" t="s">
        <v>21</v>
      </c>
      <c r="I474" t="s">
        <v>35</v>
      </c>
      <c r="J474" t="s">
        <v>36</v>
      </c>
      <c r="K474" t="s">
        <v>37</v>
      </c>
      <c r="L474" t="s">
        <v>5183</v>
      </c>
      <c r="M474" t="s">
        <v>5184</v>
      </c>
      <c r="N474" t="s">
        <v>5185</v>
      </c>
      <c r="O474" t="s">
        <v>5186</v>
      </c>
      <c r="P474">
        <v>5119.0569999999998</v>
      </c>
      <c r="Q474" t="s">
        <v>40</v>
      </c>
      <c r="R474" t="s">
        <v>124</v>
      </c>
    </row>
    <row r="475" spans="1:18" x14ac:dyDescent="0.25">
      <c r="A475">
        <v>2005</v>
      </c>
      <c r="B475">
        <v>1383</v>
      </c>
      <c r="C475" t="s">
        <v>5786</v>
      </c>
      <c r="D475" t="s">
        <v>5787</v>
      </c>
      <c r="E475">
        <v>322112</v>
      </c>
      <c r="F475" t="s">
        <v>620</v>
      </c>
      <c r="G475" t="s">
        <v>621</v>
      </c>
      <c r="H475" t="s">
        <v>69</v>
      </c>
      <c r="I475" t="s">
        <v>1050</v>
      </c>
      <c r="J475" t="s">
        <v>1051</v>
      </c>
      <c r="K475" t="s">
        <v>1052</v>
      </c>
      <c r="L475" t="s">
        <v>5183</v>
      </c>
      <c r="M475" t="s">
        <v>5184</v>
      </c>
      <c r="N475" t="s">
        <v>5169</v>
      </c>
      <c r="O475" t="s">
        <v>5170</v>
      </c>
      <c r="P475">
        <v>1.036</v>
      </c>
      <c r="Q475" t="s">
        <v>40</v>
      </c>
      <c r="R475" t="s">
        <v>430</v>
      </c>
    </row>
    <row r="476" spans="1:18" x14ac:dyDescent="0.25">
      <c r="A476">
        <v>2015</v>
      </c>
      <c r="B476">
        <v>2230</v>
      </c>
      <c r="C476" t="s">
        <v>1548</v>
      </c>
      <c r="D476" t="s">
        <v>1514</v>
      </c>
      <c r="E476">
        <v>211114</v>
      </c>
      <c r="F476" t="s">
        <v>956</v>
      </c>
      <c r="G476" t="s">
        <v>836</v>
      </c>
      <c r="H476" t="s">
        <v>85</v>
      </c>
      <c r="I476" t="s">
        <v>391</v>
      </c>
      <c r="J476" t="s">
        <v>392</v>
      </c>
      <c r="K476" t="s">
        <v>393</v>
      </c>
      <c r="L476" t="s">
        <v>5183</v>
      </c>
      <c r="M476" t="s">
        <v>5184</v>
      </c>
      <c r="N476" t="s">
        <v>5185</v>
      </c>
      <c r="O476" t="s">
        <v>5186</v>
      </c>
      <c r="P476">
        <v>570.14599999999996</v>
      </c>
      <c r="Q476" t="s">
        <v>40</v>
      </c>
      <c r="R476" t="s">
        <v>124</v>
      </c>
    </row>
    <row r="477" spans="1:18" x14ac:dyDescent="0.25">
      <c r="A477">
        <v>2000</v>
      </c>
      <c r="B477">
        <v>4307</v>
      </c>
      <c r="C477" t="s">
        <v>5788</v>
      </c>
      <c r="E477">
        <v>331222</v>
      </c>
      <c r="F477" t="s">
        <v>946</v>
      </c>
      <c r="G477" t="s">
        <v>287</v>
      </c>
      <c r="H477" t="s">
        <v>69</v>
      </c>
      <c r="I477" t="s">
        <v>152</v>
      </c>
      <c r="J477" t="s">
        <v>153</v>
      </c>
      <c r="K477" t="s">
        <v>154</v>
      </c>
      <c r="L477" t="s">
        <v>5167</v>
      </c>
      <c r="M477" t="s">
        <v>5168</v>
      </c>
      <c r="N477" t="s">
        <v>5169</v>
      </c>
      <c r="O477" t="s">
        <v>5170</v>
      </c>
      <c r="P477">
        <v>7.3</v>
      </c>
      <c r="Q477" t="s">
        <v>29</v>
      </c>
      <c r="R477" t="s">
        <v>30</v>
      </c>
    </row>
    <row r="478" spans="1:18" x14ac:dyDescent="0.25">
      <c r="A478">
        <v>2012</v>
      </c>
      <c r="B478">
        <v>3769</v>
      </c>
      <c r="C478" t="s">
        <v>5580</v>
      </c>
      <c r="D478" t="s">
        <v>5789</v>
      </c>
      <c r="E478">
        <v>339990</v>
      </c>
      <c r="F478" t="s">
        <v>1179</v>
      </c>
      <c r="G478" t="s">
        <v>872</v>
      </c>
      <c r="H478" t="s">
        <v>21</v>
      </c>
      <c r="I478" t="s">
        <v>152</v>
      </c>
      <c r="J478" t="s">
        <v>153</v>
      </c>
      <c r="K478" t="s">
        <v>154</v>
      </c>
      <c r="L478" t="s">
        <v>5167</v>
      </c>
      <c r="M478" t="s">
        <v>5168</v>
      </c>
      <c r="N478" t="s">
        <v>5169</v>
      </c>
      <c r="O478" t="s">
        <v>5170</v>
      </c>
      <c r="P478">
        <v>109</v>
      </c>
      <c r="Q478" t="s">
        <v>29</v>
      </c>
      <c r="R478" t="s">
        <v>124</v>
      </c>
    </row>
    <row r="479" spans="1:18" x14ac:dyDescent="0.25">
      <c r="A479">
        <v>2010</v>
      </c>
      <c r="B479">
        <v>3229</v>
      </c>
      <c r="C479" t="s">
        <v>5790</v>
      </c>
      <c r="D479" t="s">
        <v>5791</v>
      </c>
      <c r="E479">
        <v>336390</v>
      </c>
      <c r="F479" t="s">
        <v>60</v>
      </c>
      <c r="G479" t="s">
        <v>61</v>
      </c>
      <c r="H479" t="s">
        <v>21</v>
      </c>
      <c r="I479" t="s">
        <v>177</v>
      </c>
      <c r="J479" t="s">
        <v>178</v>
      </c>
      <c r="K479" t="s">
        <v>179</v>
      </c>
      <c r="L479" t="s">
        <v>5167</v>
      </c>
      <c r="M479" t="s">
        <v>5168</v>
      </c>
      <c r="N479" t="s">
        <v>5169</v>
      </c>
      <c r="O479" t="s">
        <v>5170</v>
      </c>
      <c r="P479">
        <v>2.5999999999999999E-2</v>
      </c>
      <c r="Q479" t="s">
        <v>29</v>
      </c>
      <c r="R479" t="s">
        <v>50</v>
      </c>
    </row>
    <row r="480" spans="1:18" x14ac:dyDescent="0.25">
      <c r="A480">
        <v>2014</v>
      </c>
      <c r="B480">
        <v>4068</v>
      </c>
      <c r="C480" t="s">
        <v>5792</v>
      </c>
      <c r="D480" t="s">
        <v>5793</v>
      </c>
      <c r="E480">
        <v>322122</v>
      </c>
      <c r="F480" t="s">
        <v>1061</v>
      </c>
      <c r="G480" t="s">
        <v>1062</v>
      </c>
      <c r="H480" t="s">
        <v>79</v>
      </c>
      <c r="I480" t="s">
        <v>152</v>
      </c>
      <c r="J480" t="s">
        <v>153</v>
      </c>
      <c r="K480" t="s">
        <v>154</v>
      </c>
      <c r="L480" t="s">
        <v>5167</v>
      </c>
      <c r="M480" t="s">
        <v>5168</v>
      </c>
      <c r="N480" t="s">
        <v>5175</v>
      </c>
      <c r="O480" t="s">
        <v>5176</v>
      </c>
      <c r="P480">
        <v>1.573</v>
      </c>
      <c r="Q480" t="s">
        <v>29</v>
      </c>
      <c r="R480" t="s">
        <v>124</v>
      </c>
    </row>
    <row r="481" spans="1:18" x14ac:dyDescent="0.25">
      <c r="A481">
        <v>2007</v>
      </c>
      <c r="B481">
        <v>10256</v>
      </c>
      <c r="C481" t="s">
        <v>5598</v>
      </c>
      <c r="D481" t="s">
        <v>5794</v>
      </c>
      <c r="E481">
        <v>221320</v>
      </c>
      <c r="F481" t="s">
        <v>390</v>
      </c>
      <c r="G481" t="s">
        <v>147</v>
      </c>
      <c r="H481" t="s">
        <v>21</v>
      </c>
      <c r="I481" t="s">
        <v>504</v>
      </c>
      <c r="J481" t="s">
        <v>505</v>
      </c>
      <c r="K481" t="s">
        <v>506</v>
      </c>
      <c r="L481" t="s">
        <v>5167</v>
      </c>
      <c r="M481" t="s">
        <v>5168</v>
      </c>
      <c r="N481" t="s">
        <v>5175</v>
      </c>
      <c r="O481" t="s">
        <v>5176</v>
      </c>
      <c r="P481">
        <v>1.177</v>
      </c>
      <c r="Q481" t="s">
        <v>29</v>
      </c>
      <c r="R481" t="s">
        <v>258</v>
      </c>
    </row>
    <row r="482" spans="1:18" x14ac:dyDescent="0.25">
      <c r="A482">
        <v>2009</v>
      </c>
      <c r="B482">
        <v>5351</v>
      </c>
      <c r="C482" t="s">
        <v>5795</v>
      </c>
      <c r="D482" t="s">
        <v>5796</v>
      </c>
      <c r="E482">
        <v>213118</v>
      </c>
      <c r="F482" t="s">
        <v>1336</v>
      </c>
      <c r="G482" t="s">
        <v>1337</v>
      </c>
      <c r="H482" t="s">
        <v>85</v>
      </c>
      <c r="I482" t="s">
        <v>5797</v>
      </c>
      <c r="J482" t="s">
        <v>5798</v>
      </c>
      <c r="K482" t="s">
        <v>5799</v>
      </c>
      <c r="L482" t="s">
        <v>5167</v>
      </c>
      <c r="M482" t="s">
        <v>5168</v>
      </c>
      <c r="N482" t="s">
        <v>5195</v>
      </c>
      <c r="O482" t="s">
        <v>5196</v>
      </c>
      <c r="P482">
        <v>0.57499999999999996</v>
      </c>
      <c r="Q482" t="s">
        <v>29</v>
      </c>
      <c r="R482" t="s">
        <v>30</v>
      </c>
    </row>
    <row r="483" spans="1:18" x14ac:dyDescent="0.25">
      <c r="A483">
        <v>2022</v>
      </c>
      <c r="B483">
        <v>4333</v>
      </c>
      <c r="C483" t="s">
        <v>5800</v>
      </c>
      <c r="D483" t="s">
        <v>5801</v>
      </c>
      <c r="E483">
        <v>325910</v>
      </c>
      <c r="F483" t="s">
        <v>5802</v>
      </c>
      <c r="G483" t="s">
        <v>2234</v>
      </c>
      <c r="H483" t="s">
        <v>79</v>
      </c>
      <c r="I483" t="s">
        <v>80</v>
      </c>
      <c r="J483" t="s">
        <v>81</v>
      </c>
      <c r="K483" t="s">
        <v>82</v>
      </c>
      <c r="L483" t="s">
        <v>5167</v>
      </c>
      <c r="M483" t="s">
        <v>5168</v>
      </c>
      <c r="N483" t="s">
        <v>5223</v>
      </c>
      <c r="O483" t="s">
        <v>5224</v>
      </c>
      <c r="P483">
        <v>1.3859999999999999</v>
      </c>
      <c r="Q483" t="s">
        <v>29</v>
      </c>
      <c r="R483" t="s">
        <v>50</v>
      </c>
    </row>
    <row r="484" spans="1:18" x14ac:dyDescent="0.25">
      <c r="A484">
        <v>2005</v>
      </c>
      <c r="B484">
        <v>2776</v>
      </c>
      <c r="C484" t="s">
        <v>93</v>
      </c>
      <c r="D484" t="s">
        <v>1199</v>
      </c>
      <c r="E484">
        <v>324110</v>
      </c>
      <c r="F484" t="s">
        <v>95</v>
      </c>
      <c r="G484" t="s">
        <v>96</v>
      </c>
      <c r="H484" t="s">
        <v>69</v>
      </c>
      <c r="I484" t="s">
        <v>1878</v>
      </c>
      <c r="J484" t="s">
        <v>1879</v>
      </c>
      <c r="K484" t="s">
        <v>1880</v>
      </c>
      <c r="L484" t="s">
        <v>5167</v>
      </c>
      <c r="M484" t="s">
        <v>5168</v>
      </c>
      <c r="N484" t="s">
        <v>5169</v>
      </c>
      <c r="O484" t="s">
        <v>5170</v>
      </c>
      <c r="P484">
        <v>8.9999999999999993E-3</v>
      </c>
      <c r="Q484" t="s">
        <v>40</v>
      </c>
      <c r="R484" t="s">
        <v>30</v>
      </c>
    </row>
    <row r="485" spans="1:18" x14ac:dyDescent="0.25">
      <c r="A485">
        <v>2010</v>
      </c>
      <c r="B485">
        <v>5236</v>
      </c>
      <c r="C485" t="s">
        <v>2082</v>
      </c>
      <c r="D485" t="s">
        <v>2083</v>
      </c>
      <c r="E485">
        <v>212392</v>
      </c>
      <c r="F485" t="s">
        <v>2084</v>
      </c>
      <c r="G485" t="s">
        <v>2085</v>
      </c>
      <c r="H485" t="s">
        <v>379</v>
      </c>
      <c r="I485" t="s">
        <v>177</v>
      </c>
      <c r="J485" t="s">
        <v>178</v>
      </c>
      <c r="K485" t="s">
        <v>179</v>
      </c>
      <c r="L485" t="s">
        <v>5183</v>
      </c>
      <c r="M485" t="s">
        <v>5184</v>
      </c>
      <c r="N485" t="s">
        <v>5185</v>
      </c>
      <c r="O485" t="s">
        <v>5186</v>
      </c>
      <c r="P485">
        <v>128.09129999999999</v>
      </c>
      <c r="Q485" t="s">
        <v>29</v>
      </c>
      <c r="R485" t="s">
        <v>124</v>
      </c>
    </row>
    <row r="486" spans="1:18" x14ac:dyDescent="0.25">
      <c r="A486">
        <v>2010</v>
      </c>
      <c r="B486">
        <v>6669</v>
      </c>
      <c r="C486" t="s">
        <v>2057</v>
      </c>
      <c r="D486" t="s">
        <v>5275</v>
      </c>
      <c r="E486">
        <v>212114</v>
      </c>
      <c r="F486" t="s">
        <v>5276</v>
      </c>
      <c r="G486" t="s">
        <v>2060</v>
      </c>
      <c r="H486" t="s">
        <v>69</v>
      </c>
      <c r="I486" t="s">
        <v>97</v>
      </c>
      <c r="J486" t="s">
        <v>98</v>
      </c>
      <c r="K486" t="s">
        <v>99</v>
      </c>
      <c r="L486" t="s">
        <v>5183</v>
      </c>
      <c r="M486" t="s">
        <v>5184</v>
      </c>
      <c r="N486" t="s">
        <v>5185</v>
      </c>
      <c r="O486" t="s">
        <v>5186</v>
      </c>
      <c r="P486">
        <v>6171.25</v>
      </c>
      <c r="Q486" t="s">
        <v>29</v>
      </c>
      <c r="R486" t="s">
        <v>30</v>
      </c>
    </row>
    <row r="487" spans="1:18" x14ac:dyDescent="0.25">
      <c r="A487">
        <v>1997</v>
      </c>
      <c r="B487">
        <v>656</v>
      </c>
      <c r="C487" t="s">
        <v>5803</v>
      </c>
      <c r="D487" t="s">
        <v>5804</v>
      </c>
      <c r="E487">
        <v>325210</v>
      </c>
      <c r="F487" t="s">
        <v>1752</v>
      </c>
      <c r="G487" t="s">
        <v>415</v>
      </c>
      <c r="H487" t="s">
        <v>21</v>
      </c>
      <c r="I487" t="s">
        <v>648</v>
      </c>
      <c r="J487" t="s">
        <v>649</v>
      </c>
      <c r="K487" t="s">
        <v>650</v>
      </c>
      <c r="L487" t="s">
        <v>5167</v>
      </c>
      <c r="M487" t="s">
        <v>5168</v>
      </c>
      <c r="N487" t="s">
        <v>5169</v>
      </c>
      <c r="O487" t="s">
        <v>5170</v>
      </c>
      <c r="P487">
        <v>0.98499999999999999</v>
      </c>
      <c r="Q487" t="s">
        <v>29</v>
      </c>
      <c r="R487" t="s">
        <v>30</v>
      </c>
    </row>
    <row r="488" spans="1:18" x14ac:dyDescent="0.25">
      <c r="A488">
        <v>2004</v>
      </c>
      <c r="B488">
        <v>1812</v>
      </c>
      <c r="C488" t="s">
        <v>909</v>
      </c>
      <c r="D488" t="s">
        <v>5680</v>
      </c>
      <c r="E488">
        <v>221112</v>
      </c>
      <c r="F488" t="s">
        <v>134</v>
      </c>
      <c r="G488" t="s">
        <v>135</v>
      </c>
      <c r="H488" t="s">
        <v>21</v>
      </c>
      <c r="I488" t="s">
        <v>35</v>
      </c>
      <c r="J488" t="s">
        <v>36</v>
      </c>
      <c r="K488" t="s">
        <v>37</v>
      </c>
      <c r="L488" t="s">
        <v>5167</v>
      </c>
      <c r="M488" t="s">
        <v>5168</v>
      </c>
      <c r="N488" t="s">
        <v>5169</v>
      </c>
      <c r="O488" t="s">
        <v>5170</v>
      </c>
      <c r="P488">
        <v>45.7</v>
      </c>
      <c r="Q488" t="s">
        <v>40</v>
      </c>
      <c r="R488" t="s">
        <v>50</v>
      </c>
    </row>
    <row r="489" spans="1:18" x14ac:dyDescent="0.25">
      <c r="A489">
        <v>2005</v>
      </c>
      <c r="B489">
        <v>1411</v>
      </c>
      <c r="C489" t="s">
        <v>1777</v>
      </c>
      <c r="D489" t="s">
        <v>5805</v>
      </c>
      <c r="E489">
        <v>211113</v>
      </c>
      <c r="F489" t="s">
        <v>425</v>
      </c>
      <c r="G489" t="s">
        <v>426</v>
      </c>
      <c r="H489" t="s">
        <v>85</v>
      </c>
      <c r="I489" t="s">
        <v>348</v>
      </c>
      <c r="J489" t="s">
        <v>349</v>
      </c>
      <c r="K489" t="s">
        <v>350</v>
      </c>
      <c r="L489" t="s">
        <v>5183</v>
      </c>
      <c r="M489" t="s">
        <v>5184</v>
      </c>
      <c r="N489" t="s">
        <v>5195</v>
      </c>
      <c r="O489" t="s">
        <v>5196</v>
      </c>
      <c r="P489">
        <v>5.8410000000000002</v>
      </c>
      <c r="Q489" t="s">
        <v>29</v>
      </c>
      <c r="R489" t="s">
        <v>30</v>
      </c>
    </row>
    <row r="490" spans="1:18" x14ac:dyDescent="0.25">
      <c r="A490">
        <v>2007</v>
      </c>
      <c r="B490">
        <v>54</v>
      </c>
      <c r="C490" t="s">
        <v>2255</v>
      </c>
      <c r="D490" t="s">
        <v>5806</v>
      </c>
      <c r="E490">
        <v>212231</v>
      </c>
      <c r="F490" t="s">
        <v>1916</v>
      </c>
      <c r="G490" t="s">
        <v>1917</v>
      </c>
      <c r="H490" t="s">
        <v>661</v>
      </c>
      <c r="I490" t="s">
        <v>152</v>
      </c>
      <c r="J490" t="s">
        <v>153</v>
      </c>
      <c r="K490" t="s">
        <v>154</v>
      </c>
      <c r="L490" t="s">
        <v>5183</v>
      </c>
      <c r="M490" t="s">
        <v>5184</v>
      </c>
      <c r="N490" t="s">
        <v>5185</v>
      </c>
      <c r="O490" t="s">
        <v>5186</v>
      </c>
      <c r="P490">
        <v>16610.099999999999</v>
      </c>
      <c r="Q490" t="s">
        <v>29</v>
      </c>
      <c r="R490" t="s">
        <v>258</v>
      </c>
    </row>
    <row r="491" spans="1:18" x14ac:dyDescent="0.25">
      <c r="A491">
        <v>2008</v>
      </c>
      <c r="B491">
        <v>1408</v>
      </c>
      <c r="C491" t="s">
        <v>5807</v>
      </c>
      <c r="D491" t="s">
        <v>5808</v>
      </c>
      <c r="E491">
        <v>111190</v>
      </c>
      <c r="F491" t="s">
        <v>5809</v>
      </c>
      <c r="G491" t="s">
        <v>5810</v>
      </c>
      <c r="H491" t="s">
        <v>243</v>
      </c>
      <c r="I491" t="s">
        <v>264</v>
      </c>
      <c r="J491" t="s">
        <v>265</v>
      </c>
      <c r="K491" t="s">
        <v>266</v>
      </c>
      <c r="L491" t="s">
        <v>5183</v>
      </c>
      <c r="M491" t="s">
        <v>5184</v>
      </c>
      <c r="N491" t="s">
        <v>5175</v>
      </c>
      <c r="O491" t="s">
        <v>5176</v>
      </c>
      <c r="P491">
        <v>0</v>
      </c>
      <c r="Q491" t="s">
        <v>29</v>
      </c>
      <c r="R491" t="s">
        <v>50</v>
      </c>
    </row>
    <row r="492" spans="1:18" x14ac:dyDescent="0.25">
      <c r="A492">
        <v>2020</v>
      </c>
      <c r="B492">
        <v>30937</v>
      </c>
      <c r="C492" t="s">
        <v>5811</v>
      </c>
      <c r="D492" t="s">
        <v>5812</v>
      </c>
      <c r="E492">
        <v>486110</v>
      </c>
      <c r="F492" t="s">
        <v>1616</v>
      </c>
      <c r="G492" t="s">
        <v>541</v>
      </c>
      <c r="H492" t="s">
        <v>85</v>
      </c>
      <c r="I492" t="s">
        <v>197</v>
      </c>
      <c r="J492" t="s">
        <v>198</v>
      </c>
      <c r="K492" t="s">
        <v>199</v>
      </c>
      <c r="L492" t="s">
        <v>5167</v>
      </c>
      <c r="M492" t="s">
        <v>5168</v>
      </c>
      <c r="N492" t="s">
        <v>5169</v>
      </c>
      <c r="O492" t="s">
        <v>5170</v>
      </c>
      <c r="P492">
        <v>0.3</v>
      </c>
      <c r="Q492" t="s">
        <v>40</v>
      </c>
      <c r="R492" t="s">
        <v>30</v>
      </c>
    </row>
    <row r="493" spans="1:18" x14ac:dyDescent="0.25">
      <c r="A493">
        <v>2016</v>
      </c>
      <c r="B493">
        <v>8645</v>
      </c>
      <c r="C493" t="s">
        <v>642</v>
      </c>
      <c r="D493" t="s">
        <v>712</v>
      </c>
      <c r="E493">
        <v>562110</v>
      </c>
      <c r="F493" t="s">
        <v>644</v>
      </c>
      <c r="G493" t="s">
        <v>645</v>
      </c>
      <c r="H493" t="s">
        <v>79</v>
      </c>
      <c r="I493" t="s">
        <v>5813</v>
      </c>
      <c r="J493" t="s">
        <v>5814</v>
      </c>
      <c r="K493" t="s">
        <v>5815</v>
      </c>
      <c r="L493" t="s">
        <v>5167</v>
      </c>
      <c r="M493" t="s">
        <v>5168</v>
      </c>
      <c r="N493" t="s">
        <v>5169</v>
      </c>
      <c r="O493" t="s">
        <v>5170</v>
      </c>
      <c r="P493">
        <v>30.8691</v>
      </c>
      <c r="Q493" t="s">
        <v>29</v>
      </c>
      <c r="R493" t="s">
        <v>50</v>
      </c>
    </row>
    <row r="494" spans="1:18" x14ac:dyDescent="0.25">
      <c r="A494">
        <v>2021</v>
      </c>
      <c r="B494">
        <v>27915</v>
      </c>
      <c r="C494" t="s">
        <v>5406</v>
      </c>
      <c r="D494" t="s">
        <v>5816</v>
      </c>
      <c r="E494">
        <v>562210</v>
      </c>
      <c r="F494" t="s">
        <v>84</v>
      </c>
      <c r="G494" t="s">
        <v>53</v>
      </c>
      <c r="H494" t="s">
        <v>79</v>
      </c>
      <c r="I494" t="s">
        <v>543</v>
      </c>
      <c r="J494" t="s">
        <v>544</v>
      </c>
      <c r="K494" t="s">
        <v>545</v>
      </c>
      <c r="L494" t="s">
        <v>5183</v>
      </c>
      <c r="M494" t="s">
        <v>5184</v>
      </c>
      <c r="N494" t="s">
        <v>5175</v>
      </c>
      <c r="O494" t="s">
        <v>5176</v>
      </c>
      <c r="P494">
        <v>250.75</v>
      </c>
      <c r="Q494" t="s">
        <v>40</v>
      </c>
      <c r="R494" t="s">
        <v>124</v>
      </c>
    </row>
    <row r="495" spans="1:18" x14ac:dyDescent="0.25">
      <c r="A495">
        <v>2010</v>
      </c>
      <c r="B495">
        <v>3838</v>
      </c>
      <c r="C495" t="s">
        <v>5817</v>
      </c>
      <c r="D495" t="s">
        <v>5818</v>
      </c>
      <c r="E495">
        <v>488190</v>
      </c>
      <c r="F495" t="s">
        <v>1302</v>
      </c>
      <c r="G495" t="s">
        <v>1303</v>
      </c>
      <c r="H495" t="s">
        <v>1625</v>
      </c>
      <c r="I495" t="s">
        <v>331</v>
      </c>
      <c r="J495" t="s">
        <v>332</v>
      </c>
      <c r="K495" t="s">
        <v>333</v>
      </c>
      <c r="L495" t="s">
        <v>5183</v>
      </c>
      <c r="M495" t="s">
        <v>5184</v>
      </c>
      <c r="N495" t="s">
        <v>5175</v>
      </c>
      <c r="O495" t="s">
        <v>5176</v>
      </c>
      <c r="P495">
        <v>25.486799999999999</v>
      </c>
      <c r="Q495" t="s">
        <v>29</v>
      </c>
      <c r="R495" t="s">
        <v>258</v>
      </c>
    </row>
    <row r="496" spans="1:18" x14ac:dyDescent="0.25">
      <c r="A496">
        <v>2017</v>
      </c>
      <c r="B496">
        <v>11796</v>
      </c>
      <c r="C496" t="s">
        <v>5819</v>
      </c>
      <c r="D496" t="s">
        <v>5820</v>
      </c>
      <c r="E496">
        <v>212220</v>
      </c>
      <c r="F496" t="s">
        <v>1619</v>
      </c>
      <c r="G496" t="s">
        <v>1620</v>
      </c>
      <c r="H496" t="s">
        <v>21</v>
      </c>
      <c r="I496" t="s">
        <v>184</v>
      </c>
      <c r="J496" t="s">
        <v>185</v>
      </c>
      <c r="K496" t="s">
        <v>186</v>
      </c>
      <c r="L496" t="s">
        <v>5183</v>
      </c>
      <c r="M496" t="s">
        <v>5184</v>
      </c>
      <c r="N496" t="s">
        <v>5185</v>
      </c>
      <c r="O496" t="s">
        <v>5186</v>
      </c>
      <c r="P496">
        <v>39676.461000000003</v>
      </c>
      <c r="Q496" t="s">
        <v>40</v>
      </c>
      <c r="R496" t="s">
        <v>124</v>
      </c>
    </row>
    <row r="497" spans="1:18" x14ac:dyDescent="0.25">
      <c r="A497">
        <v>2006</v>
      </c>
      <c r="B497">
        <v>2539</v>
      </c>
      <c r="C497" t="s">
        <v>5821</v>
      </c>
      <c r="D497" t="s">
        <v>5822</v>
      </c>
      <c r="E497">
        <v>321114</v>
      </c>
      <c r="F497" t="s">
        <v>365</v>
      </c>
      <c r="G497" t="s">
        <v>366</v>
      </c>
      <c r="H497" t="s">
        <v>21</v>
      </c>
      <c r="I497" t="s">
        <v>177</v>
      </c>
      <c r="J497" t="s">
        <v>178</v>
      </c>
      <c r="K497" t="s">
        <v>179</v>
      </c>
      <c r="L497" t="s">
        <v>5167</v>
      </c>
      <c r="M497" t="s">
        <v>5168</v>
      </c>
      <c r="N497" t="s">
        <v>5169</v>
      </c>
      <c r="O497" t="s">
        <v>5170</v>
      </c>
      <c r="P497">
        <v>1.4999999999999999E-2</v>
      </c>
      <c r="Q497" t="s">
        <v>29</v>
      </c>
      <c r="R497" t="s">
        <v>50</v>
      </c>
    </row>
    <row r="498" spans="1:18" x14ac:dyDescent="0.25">
      <c r="A498">
        <v>2018</v>
      </c>
      <c r="B498">
        <v>5351</v>
      </c>
      <c r="C498" t="s">
        <v>5177</v>
      </c>
      <c r="D498" t="s">
        <v>1335</v>
      </c>
      <c r="E498">
        <v>213118</v>
      </c>
      <c r="F498" t="s">
        <v>5179</v>
      </c>
      <c r="G498" t="s">
        <v>1337</v>
      </c>
      <c r="H498" t="s">
        <v>85</v>
      </c>
      <c r="I498" t="s">
        <v>129</v>
      </c>
      <c r="J498" t="s">
        <v>130</v>
      </c>
      <c r="K498" t="s">
        <v>131</v>
      </c>
      <c r="L498" t="s">
        <v>5167</v>
      </c>
      <c r="M498" t="s">
        <v>5168</v>
      </c>
      <c r="N498" t="s">
        <v>5169</v>
      </c>
      <c r="O498" t="s">
        <v>5170</v>
      </c>
      <c r="P498">
        <v>1.2E-2</v>
      </c>
      <c r="Q498" t="s">
        <v>29</v>
      </c>
      <c r="R498" t="s">
        <v>30</v>
      </c>
    </row>
    <row r="499" spans="1:18" x14ac:dyDescent="0.25">
      <c r="A499">
        <v>2023</v>
      </c>
      <c r="B499">
        <v>11454</v>
      </c>
      <c r="C499" t="s">
        <v>1741</v>
      </c>
      <c r="D499" t="s">
        <v>1742</v>
      </c>
      <c r="E499">
        <v>212220</v>
      </c>
      <c r="F499" t="s">
        <v>1619</v>
      </c>
      <c r="G499" t="s">
        <v>1620</v>
      </c>
      <c r="H499" t="s">
        <v>21</v>
      </c>
      <c r="I499" t="s">
        <v>152</v>
      </c>
      <c r="J499" t="s">
        <v>153</v>
      </c>
      <c r="K499" t="s">
        <v>154</v>
      </c>
      <c r="L499" t="s">
        <v>5183</v>
      </c>
      <c r="M499" t="s">
        <v>5184</v>
      </c>
      <c r="N499" t="s">
        <v>5185</v>
      </c>
      <c r="O499" t="s">
        <v>5186</v>
      </c>
      <c r="P499">
        <v>22.027000000000001</v>
      </c>
      <c r="Q499" t="s">
        <v>29</v>
      </c>
      <c r="R499" t="s">
        <v>124</v>
      </c>
    </row>
    <row r="500" spans="1:18" x14ac:dyDescent="0.25">
      <c r="A500">
        <v>2018</v>
      </c>
      <c r="B500">
        <v>26259</v>
      </c>
      <c r="C500" t="s">
        <v>5466</v>
      </c>
      <c r="D500" t="s">
        <v>5823</v>
      </c>
      <c r="E500">
        <v>212396</v>
      </c>
      <c r="F500" t="s">
        <v>1419</v>
      </c>
      <c r="G500" t="s">
        <v>1420</v>
      </c>
      <c r="H500" t="s">
        <v>243</v>
      </c>
      <c r="I500" t="s">
        <v>106</v>
      </c>
      <c r="J500" t="s">
        <v>107</v>
      </c>
      <c r="K500" t="s">
        <v>108</v>
      </c>
      <c r="L500" t="s">
        <v>5183</v>
      </c>
      <c r="M500" t="s">
        <v>5184</v>
      </c>
      <c r="N500" t="s">
        <v>5260</v>
      </c>
      <c r="O500" t="s">
        <v>5261</v>
      </c>
      <c r="P500">
        <v>0.20200000000000001</v>
      </c>
      <c r="Q500" t="s">
        <v>40</v>
      </c>
      <c r="R500" t="s">
        <v>30</v>
      </c>
    </row>
    <row r="501" spans="1:18" x14ac:dyDescent="0.25">
      <c r="A501">
        <v>2008</v>
      </c>
      <c r="B501">
        <v>333</v>
      </c>
      <c r="C501" t="s">
        <v>5246</v>
      </c>
      <c r="D501" t="s">
        <v>5247</v>
      </c>
      <c r="E501">
        <v>322122</v>
      </c>
      <c r="F501" t="s">
        <v>1556</v>
      </c>
      <c r="G501" t="s">
        <v>1062</v>
      </c>
      <c r="H501" t="s">
        <v>69</v>
      </c>
      <c r="I501" t="s">
        <v>837</v>
      </c>
      <c r="J501" t="s">
        <v>838</v>
      </c>
      <c r="K501" t="s">
        <v>839</v>
      </c>
      <c r="L501" t="s">
        <v>5167</v>
      </c>
      <c r="M501" t="s">
        <v>5168</v>
      </c>
      <c r="N501" t="s">
        <v>5169</v>
      </c>
      <c r="O501" t="s">
        <v>5170</v>
      </c>
      <c r="P501">
        <v>0.108</v>
      </c>
      <c r="Q501" t="s">
        <v>40</v>
      </c>
      <c r="R501" t="s">
        <v>124</v>
      </c>
    </row>
  </sheetData>
  <sheetProtection algorithmName="SHA-512" hashValue="aVZRZYYfIdaSDS2Fv5ocuq1O74FgbnQLM82JDX0kDZBWQ/zTx0AR2+XPIuMplWWANsF8+COzH81IVciMcrb6Dw==" saltValue="aI72u1T3asjwLTVbrbbIgg=="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E02F8-CDA1-4F4E-9BDD-822AD8BD699A}">
  <sheetPr>
    <tabColor theme="2"/>
  </sheetPr>
  <dimension ref="A1:AK501"/>
  <sheetViews>
    <sheetView workbookViewId="0"/>
  </sheetViews>
  <sheetFormatPr defaultRowHeight="15" x14ac:dyDescent="0.25"/>
  <sheetData>
    <row r="1" spans="1:37" x14ac:dyDescent="0.25">
      <c r="A1" s="1" t="s">
        <v>2356</v>
      </c>
      <c r="B1" s="1" t="s">
        <v>2357</v>
      </c>
      <c r="C1" s="1" t="s">
        <v>2358</v>
      </c>
      <c r="D1" s="1" t="s">
        <v>2359</v>
      </c>
      <c r="E1" s="1" t="s">
        <v>2360</v>
      </c>
      <c r="F1" s="1" t="s">
        <v>2361</v>
      </c>
      <c r="G1" s="1" t="s">
        <v>2362</v>
      </c>
      <c r="H1" s="1" t="s">
        <v>2363</v>
      </c>
      <c r="I1" s="1" t="s">
        <v>2364</v>
      </c>
      <c r="J1" s="1" t="s">
        <v>2365</v>
      </c>
      <c r="K1" s="1" t="s">
        <v>2366</v>
      </c>
      <c r="L1" s="1" t="s">
        <v>2367</v>
      </c>
      <c r="M1" s="1" t="s">
        <v>2368</v>
      </c>
      <c r="N1" s="1" t="s">
        <v>2369</v>
      </c>
      <c r="O1" s="1" t="s">
        <v>2370</v>
      </c>
      <c r="P1" s="1" t="s">
        <v>2371</v>
      </c>
      <c r="Q1" s="1" t="s">
        <v>2372</v>
      </c>
      <c r="R1" s="1" t="s">
        <v>2373</v>
      </c>
      <c r="S1" s="1" t="s">
        <v>2374</v>
      </c>
      <c r="T1" s="1" t="s">
        <v>2375</v>
      </c>
      <c r="U1" s="1" t="s">
        <v>2376</v>
      </c>
      <c r="V1" s="1" t="s">
        <v>2377</v>
      </c>
      <c r="W1" s="1" t="s">
        <v>2378</v>
      </c>
      <c r="X1" s="1" t="s">
        <v>2379</v>
      </c>
      <c r="Y1" s="1" t="s">
        <v>2380</v>
      </c>
      <c r="Z1" s="1" t="s">
        <v>2381</v>
      </c>
      <c r="AA1" s="1" t="s">
        <v>2382</v>
      </c>
      <c r="AB1" s="1" t="s">
        <v>2383</v>
      </c>
      <c r="AC1" s="1" t="s">
        <v>2384</v>
      </c>
      <c r="AD1" s="1" t="s">
        <v>2385</v>
      </c>
      <c r="AE1" s="1" t="s">
        <v>2386</v>
      </c>
      <c r="AF1" s="1" t="s">
        <v>2387</v>
      </c>
      <c r="AG1" s="1" t="s">
        <v>2388</v>
      </c>
      <c r="AH1" s="1" t="s">
        <v>2389</v>
      </c>
      <c r="AI1" s="1" t="s">
        <v>2390</v>
      </c>
      <c r="AJ1" s="1" t="s">
        <v>2391</v>
      </c>
      <c r="AK1" s="1" t="s">
        <v>2392</v>
      </c>
    </row>
    <row r="2" spans="1:37" x14ac:dyDescent="0.25">
      <c r="A2">
        <v>2007</v>
      </c>
      <c r="B2">
        <v>17050</v>
      </c>
      <c r="C2" t="s">
        <v>2296</v>
      </c>
      <c r="D2" t="s">
        <v>2393</v>
      </c>
      <c r="E2" t="s">
        <v>2394</v>
      </c>
      <c r="G2" t="s">
        <v>2395</v>
      </c>
      <c r="H2" t="s">
        <v>243</v>
      </c>
      <c r="J2" t="s">
        <v>2396</v>
      </c>
      <c r="K2" t="s">
        <v>2397</v>
      </c>
      <c r="L2">
        <v>50.133000000000003</v>
      </c>
      <c r="M2">
        <v>-108.5063</v>
      </c>
      <c r="N2">
        <v>1983</v>
      </c>
      <c r="O2">
        <v>211113</v>
      </c>
      <c r="P2">
        <v>4</v>
      </c>
      <c r="Q2" t="s">
        <v>2398</v>
      </c>
      <c r="R2" t="s">
        <v>2399</v>
      </c>
      <c r="S2">
        <v>4708</v>
      </c>
      <c r="T2" t="s">
        <v>2400</v>
      </c>
      <c r="U2">
        <v>4708009</v>
      </c>
      <c r="V2" t="s">
        <v>2401</v>
      </c>
      <c r="X2" t="s">
        <v>2402</v>
      </c>
      <c r="Y2">
        <v>4720</v>
      </c>
      <c r="Z2" t="s">
        <v>2403</v>
      </c>
      <c r="AA2" t="s">
        <v>2404</v>
      </c>
      <c r="AB2">
        <v>10</v>
      </c>
      <c r="AC2" t="s">
        <v>2405</v>
      </c>
      <c r="AD2" t="s">
        <v>2406</v>
      </c>
      <c r="AE2">
        <v>5</v>
      </c>
      <c r="AF2" t="s">
        <v>2407</v>
      </c>
      <c r="AG2" t="s">
        <v>2408</v>
      </c>
      <c r="AH2">
        <v>0</v>
      </c>
      <c r="AI2">
        <v>0</v>
      </c>
      <c r="AJ2">
        <v>0</v>
      </c>
      <c r="AK2">
        <v>0</v>
      </c>
    </row>
    <row r="3" spans="1:37" x14ac:dyDescent="0.25">
      <c r="A3">
        <v>2023</v>
      </c>
      <c r="B3">
        <v>11004</v>
      </c>
      <c r="C3" t="s">
        <v>2409</v>
      </c>
      <c r="D3" t="s">
        <v>2410</v>
      </c>
      <c r="E3" t="s">
        <v>2411</v>
      </c>
      <c r="G3" t="s">
        <v>2412</v>
      </c>
      <c r="H3" t="s">
        <v>21</v>
      </c>
      <c r="I3" t="s">
        <v>2413</v>
      </c>
      <c r="K3" t="s">
        <v>2414</v>
      </c>
      <c r="L3">
        <v>42.041200000000003</v>
      </c>
      <c r="M3">
        <v>-82.923599999999993</v>
      </c>
      <c r="N3">
        <v>1983</v>
      </c>
      <c r="O3">
        <v>331210</v>
      </c>
      <c r="P3">
        <v>6</v>
      </c>
      <c r="Q3" t="s">
        <v>2415</v>
      </c>
      <c r="R3" t="s">
        <v>2416</v>
      </c>
      <c r="S3">
        <v>3537</v>
      </c>
      <c r="T3" t="s">
        <v>2417</v>
      </c>
      <c r="U3">
        <v>3537016</v>
      </c>
      <c r="V3" t="s">
        <v>2417</v>
      </c>
      <c r="X3" t="s">
        <v>2402</v>
      </c>
      <c r="Y3">
        <v>3570</v>
      </c>
      <c r="Z3" t="s">
        <v>2418</v>
      </c>
      <c r="AA3" t="s">
        <v>2419</v>
      </c>
      <c r="AB3">
        <v>8</v>
      </c>
      <c r="AC3" t="s">
        <v>2420</v>
      </c>
      <c r="AD3" t="s">
        <v>2421</v>
      </c>
      <c r="AE3">
        <v>2</v>
      </c>
      <c r="AF3" t="s">
        <v>2422</v>
      </c>
      <c r="AG3" t="s">
        <v>2423</v>
      </c>
      <c r="AH3">
        <v>1</v>
      </c>
      <c r="AI3">
        <v>1</v>
      </c>
      <c r="AJ3">
        <v>0</v>
      </c>
      <c r="AK3">
        <v>1</v>
      </c>
    </row>
    <row r="4" spans="1:37" x14ac:dyDescent="0.25">
      <c r="A4">
        <v>2023</v>
      </c>
      <c r="B4">
        <v>28494</v>
      </c>
      <c r="C4" t="s">
        <v>1928</v>
      </c>
      <c r="D4" t="s">
        <v>2424</v>
      </c>
      <c r="G4" t="s">
        <v>2425</v>
      </c>
      <c r="H4" t="s">
        <v>243</v>
      </c>
      <c r="J4" t="s">
        <v>2426</v>
      </c>
      <c r="K4" t="s">
        <v>2427</v>
      </c>
      <c r="L4">
        <v>51.797879999999999</v>
      </c>
      <c r="M4">
        <v>-109.26718</v>
      </c>
      <c r="N4">
        <v>1983</v>
      </c>
      <c r="O4">
        <v>211110</v>
      </c>
      <c r="P4">
        <v>4</v>
      </c>
      <c r="Q4" t="s">
        <v>2398</v>
      </c>
      <c r="R4" t="s">
        <v>2399</v>
      </c>
      <c r="S4">
        <v>4713</v>
      </c>
      <c r="T4" t="s">
        <v>2428</v>
      </c>
      <c r="U4">
        <v>4713024</v>
      </c>
      <c r="V4" t="s">
        <v>2429</v>
      </c>
      <c r="X4" t="s">
        <v>2402</v>
      </c>
      <c r="Y4">
        <v>4730</v>
      </c>
      <c r="Z4" t="s">
        <v>2430</v>
      </c>
      <c r="AA4" t="s">
        <v>2431</v>
      </c>
      <c r="AB4">
        <v>10</v>
      </c>
      <c r="AC4" t="s">
        <v>2405</v>
      </c>
      <c r="AD4" t="s">
        <v>2406</v>
      </c>
      <c r="AE4">
        <v>5</v>
      </c>
      <c r="AF4" t="s">
        <v>2407</v>
      </c>
      <c r="AG4" t="s">
        <v>2408</v>
      </c>
      <c r="AH4">
        <v>0</v>
      </c>
      <c r="AI4">
        <v>0</v>
      </c>
      <c r="AJ4">
        <v>0</v>
      </c>
      <c r="AK4">
        <v>0</v>
      </c>
    </row>
    <row r="5" spans="1:37" x14ac:dyDescent="0.25">
      <c r="A5">
        <v>2010</v>
      </c>
      <c r="B5">
        <v>10293</v>
      </c>
      <c r="C5" t="s">
        <v>2432</v>
      </c>
      <c r="D5" t="s">
        <v>2433</v>
      </c>
      <c r="E5" t="s">
        <v>2434</v>
      </c>
      <c r="G5" t="s">
        <v>2435</v>
      </c>
      <c r="H5" t="s">
        <v>21</v>
      </c>
      <c r="I5" t="s">
        <v>2436</v>
      </c>
      <c r="K5" t="s">
        <v>2437</v>
      </c>
      <c r="L5">
        <v>43.728400000000001</v>
      </c>
      <c r="M5">
        <v>-79.681700000000006</v>
      </c>
      <c r="N5">
        <v>1983</v>
      </c>
      <c r="O5">
        <v>331221</v>
      </c>
      <c r="P5">
        <v>6</v>
      </c>
      <c r="Q5" t="s">
        <v>2415</v>
      </c>
      <c r="R5" t="s">
        <v>2416</v>
      </c>
      <c r="S5">
        <v>3521</v>
      </c>
      <c r="T5" t="s">
        <v>2438</v>
      </c>
      <c r="U5">
        <v>3521010</v>
      </c>
      <c r="V5" t="s">
        <v>352</v>
      </c>
      <c r="W5">
        <v>535</v>
      </c>
      <c r="X5" t="s">
        <v>2439</v>
      </c>
      <c r="Y5">
        <v>3530</v>
      </c>
      <c r="Z5" t="s">
        <v>2439</v>
      </c>
      <c r="AA5" t="s">
        <v>2440</v>
      </c>
      <c r="AB5">
        <v>8</v>
      </c>
      <c r="AC5" t="s">
        <v>2420</v>
      </c>
      <c r="AD5" t="s">
        <v>2421</v>
      </c>
      <c r="AE5">
        <v>2</v>
      </c>
      <c r="AF5" t="s">
        <v>2422</v>
      </c>
      <c r="AG5" t="s">
        <v>2423</v>
      </c>
      <c r="AH5">
        <v>1</v>
      </c>
      <c r="AI5">
        <v>1</v>
      </c>
      <c r="AJ5">
        <v>0</v>
      </c>
      <c r="AK5">
        <v>1</v>
      </c>
    </row>
    <row r="6" spans="1:37" x14ac:dyDescent="0.25">
      <c r="A6">
        <v>2023</v>
      </c>
      <c r="B6">
        <v>281</v>
      </c>
      <c r="C6" t="s">
        <v>2441</v>
      </c>
      <c r="D6" t="s">
        <v>2442</v>
      </c>
      <c r="E6" t="s">
        <v>2443</v>
      </c>
      <c r="G6" t="s">
        <v>2444</v>
      </c>
      <c r="H6" t="s">
        <v>79</v>
      </c>
      <c r="I6" t="s">
        <v>2445</v>
      </c>
      <c r="K6" t="s">
        <v>2446</v>
      </c>
      <c r="L6">
        <v>45.731699999999996</v>
      </c>
      <c r="M6">
        <v>-73.403300000000002</v>
      </c>
      <c r="N6">
        <v>1983</v>
      </c>
      <c r="O6">
        <v>326140</v>
      </c>
      <c r="P6">
        <v>13</v>
      </c>
      <c r="Q6" t="s">
        <v>2447</v>
      </c>
      <c r="R6" t="s">
        <v>2448</v>
      </c>
      <c r="S6">
        <v>2459</v>
      </c>
      <c r="T6" t="s">
        <v>2449</v>
      </c>
      <c r="U6">
        <v>2459020</v>
      </c>
      <c r="V6" t="s">
        <v>2444</v>
      </c>
      <c r="W6">
        <v>462</v>
      </c>
      <c r="X6" t="s">
        <v>2450</v>
      </c>
      <c r="Y6">
        <v>2435</v>
      </c>
      <c r="Z6" t="s">
        <v>2451</v>
      </c>
      <c r="AA6" t="s">
        <v>2452</v>
      </c>
      <c r="AB6">
        <v>8</v>
      </c>
      <c r="AC6" t="s">
        <v>2420</v>
      </c>
      <c r="AD6" t="s">
        <v>2421</v>
      </c>
      <c r="AE6">
        <v>2</v>
      </c>
      <c r="AF6" t="s">
        <v>2422</v>
      </c>
      <c r="AG6" t="s">
        <v>2423</v>
      </c>
      <c r="AH6">
        <v>1</v>
      </c>
      <c r="AI6">
        <v>0</v>
      </c>
      <c r="AJ6">
        <v>1</v>
      </c>
      <c r="AK6">
        <v>1</v>
      </c>
    </row>
    <row r="7" spans="1:37" x14ac:dyDescent="0.25">
      <c r="A7">
        <v>2006</v>
      </c>
      <c r="B7">
        <v>5516</v>
      </c>
      <c r="C7" t="s">
        <v>2453</v>
      </c>
      <c r="D7" t="s">
        <v>2454</v>
      </c>
      <c r="E7" t="s">
        <v>2455</v>
      </c>
      <c r="G7" t="s">
        <v>2456</v>
      </c>
      <c r="H7" t="s">
        <v>79</v>
      </c>
      <c r="I7" t="s">
        <v>2457</v>
      </c>
      <c r="K7" t="s">
        <v>2458</v>
      </c>
      <c r="L7">
        <v>46.680399999999999</v>
      </c>
      <c r="M7">
        <v>-73.921700000000001</v>
      </c>
      <c r="N7">
        <v>1983</v>
      </c>
      <c r="O7">
        <v>321217</v>
      </c>
      <c r="P7">
        <v>18</v>
      </c>
      <c r="Q7" t="s">
        <v>2459</v>
      </c>
      <c r="R7" t="s">
        <v>2460</v>
      </c>
      <c r="S7">
        <v>2462</v>
      </c>
      <c r="T7" t="s">
        <v>2461</v>
      </c>
      <c r="U7">
        <v>2462085</v>
      </c>
      <c r="V7" t="s">
        <v>2462</v>
      </c>
      <c r="X7" t="s">
        <v>2402</v>
      </c>
      <c r="Y7">
        <v>2450</v>
      </c>
      <c r="Z7" t="s">
        <v>2463</v>
      </c>
      <c r="AA7" t="s">
        <v>2464</v>
      </c>
      <c r="AB7">
        <v>6</v>
      </c>
      <c r="AC7" t="s">
        <v>2465</v>
      </c>
      <c r="AD7" t="s">
        <v>2466</v>
      </c>
      <c r="AE7">
        <v>2</v>
      </c>
      <c r="AF7" t="s">
        <v>2422</v>
      </c>
      <c r="AG7" t="s">
        <v>2423</v>
      </c>
      <c r="AH7">
        <v>1</v>
      </c>
      <c r="AI7">
        <v>0</v>
      </c>
      <c r="AJ7">
        <v>0</v>
      </c>
      <c r="AK7">
        <v>1</v>
      </c>
    </row>
    <row r="8" spans="1:37" x14ac:dyDescent="0.25">
      <c r="A8">
        <v>2005</v>
      </c>
      <c r="B8">
        <v>15807</v>
      </c>
      <c r="C8" t="s">
        <v>2118</v>
      </c>
      <c r="D8" t="s">
        <v>2467</v>
      </c>
      <c r="E8" t="s">
        <v>2468</v>
      </c>
      <c r="H8" t="s">
        <v>85</v>
      </c>
      <c r="J8" t="s">
        <v>2469</v>
      </c>
      <c r="K8" t="s">
        <v>2470</v>
      </c>
      <c r="L8">
        <v>57.7029</v>
      </c>
      <c r="M8">
        <v>-114.06610000000001</v>
      </c>
      <c r="N8">
        <v>1983</v>
      </c>
      <c r="O8">
        <v>211113</v>
      </c>
      <c r="P8">
        <v>4</v>
      </c>
      <c r="Q8" t="s">
        <v>2398</v>
      </c>
      <c r="R8" t="s">
        <v>2399</v>
      </c>
      <c r="S8">
        <v>4817</v>
      </c>
      <c r="T8" t="s">
        <v>2471</v>
      </c>
      <c r="U8">
        <v>4817095</v>
      </c>
      <c r="V8" t="s">
        <v>2472</v>
      </c>
      <c r="X8" t="s">
        <v>2402</v>
      </c>
      <c r="Y8">
        <v>4870</v>
      </c>
      <c r="Z8" t="s">
        <v>2473</v>
      </c>
      <c r="AA8" t="s">
        <v>2474</v>
      </c>
      <c r="AB8">
        <v>9</v>
      </c>
      <c r="AC8" t="s">
        <v>2475</v>
      </c>
      <c r="AD8" t="s">
        <v>2476</v>
      </c>
      <c r="AE8">
        <v>7</v>
      </c>
      <c r="AF8" t="s">
        <v>2477</v>
      </c>
      <c r="AG8" t="s">
        <v>2478</v>
      </c>
      <c r="AH8">
        <v>0</v>
      </c>
      <c r="AI8">
        <v>0</v>
      </c>
      <c r="AJ8">
        <v>0</v>
      </c>
      <c r="AK8">
        <v>0</v>
      </c>
    </row>
    <row r="9" spans="1:37" x14ac:dyDescent="0.25">
      <c r="A9">
        <v>2005</v>
      </c>
      <c r="B9">
        <v>4396</v>
      </c>
      <c r="C9" t="s">
        <v>2479</v>
      </c>
      <c r="D9" t="s">
        <v>2479</v>
      </c>
      <c r="E9" t="s">
        <v>2480</v>
      </c>
      <c r="G9" t="s">
        <v>2481</v>
      </c>
      <c r="H9" t="s">
        <v>79</v>
      </c>
      <c r="I9" t="s">
        <v>2482</v>
      </c>
      <c r="K9" t="s">
        <v>2483</v>
      </c>
      <c r="L9">
        <v>45.344000000000001</v>
      </c>
      <c r="M9">
        <v>-73.678299999999993</v>
      </c>
      <c r="N9">
        <v>1983</v>
      </c>
      <c r="O9">
        <v>322112</v>
      </c>
      <c r="P9">
        <v>14</v>
      </c>
      <c r="Q9" t="s">
        <v>2484</v>
      </c>
      <c r="R9" t="s">
        <v>2485</v>
      </c>
      <c r="S9">
        <v>2467</v>
      </c>
      <c r="T9" t="s">
        <v>2486</v>
      </c>
      <c r="U9">
        <v>2467050</v>
      </c>
      <c r="V9" t="s">
        <v>2487</v>
      </c>
      <c r="W9">
        <v>462</v>
      </c>
      <c r="X9" t="s">
        <v>2450</v>
      </c>
      <c r="Y9">
        <v>2435</v>
      </c>
      <c r="Z9" t="s">
        <v>2451</v>
      </c>
      <c r="AA9" t="s">
        <v>2488</v>
      </c>
      <c r="AB9">
        <v>8</v>
      </c>
      <c r="AC9" t="s">
        <v>2420</v>
      </c>
      <c r="AD9" t="s">
        <v>2421</v>
      </c>
      <c r="AE9">
        <v>2</v>
      </c>
      <c r="AF9" t="s">
        <v>2422</v>
      </c>
      <c r="AG9" t="s">
        <v>2423</v>
      </c>
      <c r="AH9">
        <v>1</v>
      </c>
      <c r="AI9">
        <v>0</v>
      </c>
      <c r="AJ9">
        <v>1</v>
      </c>
      <c r="AK9">
        <v>1</v>
      </c>
    </row>
    <row r="10" spans="1:37" x14ac:dyDescent="0.25">
      <c r="A10">
        <v>2023</v>
      </c>
      <c r="B10">
        <v>29644</v>
      </c>
      <c r="C10" t="s">
        <v>1027</v>
      </c>
      <c r="D10" t="s">
        <v>2489</v>
      </c>
      <c r="H10" t="s">
        <v>69</v>
      </c>
      <c r="J10" t="s">
        <v>2490</v>
      </c>
      <c r="K10" t="s">
        <v>2491</v>
      </c>
      <c r="L10">
        <v>57.059229999999999</v>
      </c>
      <c r="M10">
        <v>-122.10236</v>
      </c>
      <c r="N10">
        <v>1983</v>
      </c>
      <c r="O10">
        <v>211110</v>
      </c>
      <c r="P10">
        <v>4</v>
      </c>
      <c r="Q10" t="s">
        <v>2398</v>
      </c>
      <c r="R10" t="s">
        <v>2399</v>
      </c>
      <c r="S10">
        <v>5955</v>
      </c>
      <c r="T10" t="s">
        <v>2492</v>
      </c>
      <c r="U10">
        <v>5955040</v>
      </c>
      <c r="V10" t="s">
        <v>2493</v>
      </c>
      <c r="X10" t="s">
        <v>2402</v>
      </c>
      <c r="Y10">
        <v>5980</v>
      </c>
      <c r="Z10" t="s">
        <v>2494</v>
      </c>
      <c r="AA10" t="s">
        <v>2495</v>
      </c>
      <c r="AB10">
        <v>4</v>
      </c>
      <c r="AC10" t="s">
        <v>2496</v>
      </c>
      <c r="AD10" t="s">
        <v>2497</v>
      </c>
      <c r="AE10">
        <v>7</v>
      </c>
      <c r="AF10" t="s">
        <v>2477</v>
      </c>
      <c r="AG10" t="s">
        <v>2478</v>
      </c>
      <c r="AH10">
        <v>0</v>
      </c>
      <c r="AI10">
        <v>0</v>
      </c>
      <c r="AJ10">
        <v>0</v>
      </c>
      <c r="AK10">
        <v>0</v>
      </c>
    </row>
    <row r="11" spans="1:37" x14ac:dyDescent="0.25">
      <c r="A11">
        <v>2002</v>
      </c>
      <c r="B11">
        <v>4705</v>
      </c>
      <c r="C11" t="s">
        <v>2498</v>
      </c>
      <c r="E11" t="s">
        <v>2499</v>
      </c>
      <c r="G11" t="s">
        <v>1241</v>
      </c>
      <c r="H11" t="s">
        <v>21</v>
      </c>
      <c r="I11" t="s">
        <v>2500</v>
      </c>
      <c r="K11" t="s">
        <v>2501</v>
      </c>
      <c r="L11">
        <v>43.605899999999998</v>
      </c>
      <c r="M11">
        <v>-79.769499999999994</v>
      </c>
      <c r="N11">
        <v>1983</v>
      </c>
      <c r="O11">
        <v>331221</v>
      </c>
      <c r="P11">
        <v>6</v>
      </c>
      <c r="Q11" t="s">
        <v>2415</v>
      </c>
      <c r="R11" t="s">
        <v>2416</v>
      </c>
      <c r="S11">
        <v>3521</v>
      </c>
      <c r="T11" t="s">
        <v>2438</v>
      </c>
      <c r="U11">
        <v>3521005</v>
      </c>
      <c r="V11" t="s">
        <v>1346</v>
      </c>
      <c r="W11">
        <v>535</v>
      </c>
      <c r="X11" t="s">
        <v>2439</v>
      </c>
      <c r="Y11">
        <v>3530</v>
      </c>
      <c r="Z11" t="s">
        <v>2439</v>
      </c>
      <c r="AA11" t="s">
        <v>2502</v>
      </c>
      <c r="AB11">
        <v>8</v>
      </c>
      <c r="AC11" t="s">
        <v>2420</v>
      </c>
      <c r="AD11" t="s">
        <v>2421</v>
      </c>
      <c r="AE11">
        <v>2</v>
      </c>
      <c r="AF11" t="s">
        <v>2422</v>
      </c>
      <c r="AG11" t="s">
        <v>2423</v>
      </c>
      <c r="AH11">
        <v>1</v>
      </c>
      <c r="AI11">
        <v>1</v>
      </c>
      <c r="AJ11">
        <v>0</v>
      </c>
      <c r="AK11">
        <v>1</v>
      </c>
    </row>
    <row r="12" spans="1:37" x14ac:dyDescent="0.25">
      <c r="A12">
        <v>2023</v>
      </c>
      <c r="B12">
        <v>34022</v>
      </c>
      <c r="C12" t="s">
        <v>1928</v>
      </c>
      <c r="D12" t="s">
        <v>2503</v>
      </c>
      <c r="H12" t="s">
        <v>85</v>
      </c>
      <c r="J12" t="s">
        <v>2504</v>
      </c>
      <c r="K12" t="s">
        <v>2505</v>
      </c>
      <c r="L12">
        <v>51.755240000000001</v>
      </c>
      <c r="M12">
        <v>-110.14352</v>
      </c>
      <c r="N12">
        <v>1983</v>
      </c>
      <c r="O12">
        <v>211110</v>
      </c>
      <c r="P12">
        <v>4</v>
      </c>
      <c r="Q12" t="s">
        <v>2398</v>
      </c>
      <c r="R12" t="s">
        <v>2399</v>
      </c>
      <c r="S12">
        <v>4804</v>
      </c>
      <c r="T12" t="s">
        <v>2506</v>
      </c>
      <c r="U12">
        <v>4804020</v>
      </c>
      <c r="V12" t="s">
        <v>2507</v>
      </c>
      <c r="X12" t="s">
        <v>2402</v>
      </c>
      <c r="Y12">
        <v>4820</v>
      </c>
      <c r="Z12" t="s">
        <v>2508</v>
      </c>
      <c r="AA12" t="s">
        <v>2509</v>
      </c>
      <c r="AB12">
        <v>10</v>
      </c>
      <c r="AC12" t="s">
        <v>2405</v>
      </c>
      <c r="AD12" t="s">
        <v>2406</v>
      </c>
      <c r="AE12">
        <v>5</v>
      </c>
      <c r="AF12" t="s">
        <v>2407</v>
      </c>
      <c r="AG12" t="s">
        <v>2408</v>
      </c>
      <c r="AH12">
        <v>0</v>
      </c>
      <c r="AI12">
        <v>0</v>
      </c>
      <c r="AJ12">
        <v>0</v>
      </c>
      <c r="AK12">
        <v>0</v>
      </c>
    </row>
    <row r="13" spans="1:37" x14ac:dyDescent="0.25">
      <c r="A13">
        <v>2009</v>
      </c>
      <c r="B13">
        <v>22813</v>
      </c>
      <c r="C13" t="s">
        <v>2510</v>
      </c>
      <c r="D13" t="s">
        <v>2511</v>
      </c>
      <c r="E13" t="s">
        <v>2512</v>
      </c>
      <c r="H13" t="s">
        <v>69</v>
      </c>
      <c r="J13" t="s">
        <v>2513</v>
      </c>
      <c r="K13" t="s">
        <v>2514</v>
      </c>
      <c r="L13">
        <v>55.3962</v>
      </c>
      <c r="M13">
        <v>-122.1416</v>
      </c>
      <c r="N13">
        <v>1983</v>
      </c>
      <c r="O13">
        <v>211113</v>
      </c>
      <c r="P13">
        <v>4</v>
      </c>
      <c r="Q13" t="s">
        <v>2398</v>
      </c>
      <c r="R13" t="s">
        <v>2399</v>
      </c>
      <c r="S13">
        <v>5955</v>
      </c>
      <c r="T13" t="s">
        <v>2492</v>
      </c>
      <c r="U13">
        <v>5955023</v>
      </c>
      <c r="V13" t="s">
        <v>2515</v>
      </c>
      <c r="X13" t="s">
        <v>2402</v>
      </c>
      <c r="Y13">
        <v>5980</v>
      </c>
      <c r="Z13" t="s">
        <v>2494</v>
      </c>
      <c r="AA13" t="s">
        <v>2495</v>
      </c>
      <c r="AB13">
        <v>14</v>
      </c>
      <c r="AC13" t="s">
        <v>2516</v>
      </c>
      <c r="AD13" t="s">
        <v>2517</v>
      </c>
      <c r="AE13">
        <v>7</v>
      </c>
      <c r="AF13" t="s">
        <v>2477</v>
      </c>
      <c r="AG13" t="s">
        <v>2478</v>
      </c>
      <c r="AH13">
        <v>0</v>
      </c>
      <c r="AI13">
        <v>0</v>
      </c>
      <c r="AJ13">
        <v>0</v>
      </c>
      <c r="AK13">
        <v>0</v>
      </c>
    </row>
    <row r="14" spans="1:37" x14ac:dyDescent="0.25">
      <c r="A14">
        <v>2010</v>
      </c>
      <c r="B14">
        <v>23912</v>
      </c>
      <c r="C14" t="s">
        <v>2518</v>
      </c>
      <c r="D14" t="s">
        <v>2519</v>
      </c>
      <c r="E14" t="s">
        <v>2520</v>
      </c>
      <c r="H14" t="s">
        <v>243</v>
      </c>
      <c r="J14" t="s">
        <v>2521</v>
      </c>
      <c r="K14" t="s">
        <v>2522</v>
      </c>
      <c r="L14">
        <v>49.746400000000001</v>
      </c>
      <c r="M14">
        <v>-103.13249999999999</v>
      </c>
      <c r="N14">
        <v>1983</v>
      </c>
      <c r="O14">
        <v>211113</v>
      </c>
      <c r="P14">
        <v>4</v>
      </c>
      <c r="Q14" t="s">
        <v>2398</v>
      </c>
      <c r="R14" t="s">
        <v>2399</v>
      </c>
      <c r="S14">
        <v>4701</v>
      </c>
      <c r="T14" t="s">
        <v>2523</v>
      </c>
      <c r="U14">
        <v>4701063</v>
      </c>
      <c r="V14" t="s">
        <v>2524</v>
      </c>
      <c r="X14" t="s">
        <v>2402</v>
      </c>
      <c r="Y14">
        <v>4710</v>
      </c>
      <c r="Z14" t="s">
        <v>2525</v>
      </c>
      <c r="AA14" t="s">
        <v>2526</v>
      </c>
      <c r="AB14">
        <v>10</v>
      </c>
      <c r="AC14" t="s">
        <v>2405</v>
      </c>
      <c r="AD14" t="s">
        <v>2406</v>
      </c>
      <c r="AE14">
        <v>5</v>
      </c>
      <c r="AF14" t="s">
        <v>2407</v>
      </c>
      <c r="AG14" t="s">
        <v>2408</v>
      </c>
      <c r="AH14">
        <v>0</v>
      </c>
      <c r="AI14">
        <v>0</v>
      </c>
      <c r="AJ14">
        <v>0</v>
      </c>
      <c r="AK14">
        <v>0</v>
      </c>
    </row>
    <row r="15" spans="1:37" x14ac:dyDescent="0.25">
      <c r="A15">
        <v>2007</v>
      </c>
      <c r="B15">
        <v>11169</v>
      </c>
      <c r="C15" t="s">
        <v>2527</v>
      </c>
      <c r="E15" t="s">
        <v>2528</v>
      </c>
      <c r="G15" t="s">
        <v>2529</v>
      </c>
      <c r="H15" t="s">
        <v>21</v>
      </c>
      <c r="I15" t="s">
        <v>2530</v>
      </c>
      <c r="K15" t="s">
        <v>2531</v>
      </c>
      <c r="L15">
        <v>43.820300000000003</v>
      </c>
      <c r="M15">
        <v>-79.355999999999995</v>
      </c>
      <c r="N15">
        <v>1983</v>
      </c>
      <c r="O15">
        <v>323113</v>
      </c>
      <c r="P15">
        <v>11</v>
      </c>
      <c r="Q15" t="s">
        <v>2532</v>
      </c>
      <c r="R15" t="s">
        <v>2533</v>
      </c>
      <c r="S15">
        <v>3519</v>
      </c>
      <c r="T15" t="s">
        <v>2534</v>
      </c>
      <c r="U15">
        <v>3519036</v>
      </c>
      <c r="V15" t="s">
        <v>2535</v>
      </c>
      <c r="W15">
        <v>535</v>
      </c>
      <c r="X15" t="s">
        <v>2439</v>
      </c>
      <c r="Y15">
        <v>3530</v>
      </c>
      <c r="Z15" t="s">
        <v>2439</v>
      </c>
      <c r="AA15" t="s">
        <v>2536</v>
      </c>
      <c r="AB15">
        <v>8</v>
      </c>
      <c r="AC15" t="s">
        <v>2420</v>
      </c>
      <c r="AD15" t="s">
        <v>2421</v>
      </c>
      <c r="AE15">
        <v>2</v>
      </c>
      <c r="AF15" t="s">
        <v>2422</v>
      </c>
      <c r="AG15" t="s">
        <v>2423</v>
      </c>
      <c r="AH15">
        <v>1</v>
      </c>
      <c r="AI15">
        <v>1</v>
      </c>
      <c r="AJ15">
        <v>0</v>
      </c>
      <c r="AK15">
        <v>1</v>
      </c>
    </row>
    <row r="16" spans="1:37" x14ac:dyDescent="0.25">
      <c r="A16">
        <v>2013</v>
      </c>
      <c r="B16">
        <v>18757</v>
      </c>
      <c r="C16" t="s">
        <v>1995</v>
      </c>
      <c r="D16" t="s">
        <v>2537</v>
      </c>
      <c r="G16" t="s">
        <v>2538</v>
      </c>
      <c r="H16" t="s">
        <v>85</v>
      </c>
      <c r="J16" t="s">
        <v>2539</v>
      </c>
      <c r="K16" t="s">
        <v>2540</v>
      </c>
      <c r="L16">
        <v>52.726799999999997</v>
      </c>
      <c r="M16">
        <v>-114.53740000000001</v>
      </c>
      <c r="N16">
        <v>1983</v>
      </c>
      <c r="O16">
        <v>211113</v>
      </c>
      <c r="P16">
        <v>4</v>
      </c>
      <c r="Q16" t="s">
        <v>2398</v>
      </c>
      <c r="R16" t="s">
        <v>2399</v>
      </c>
      <c r="S16">
        <v>4808</v>
      </c>
      <c r="T16" t="s">
        <v>2400</v>
      </c>
      <c r="U16">
        <v>4808038</v>
      </c>
      <c r="V16" t="s">
        <v>2541</v>
      </c>
      <c r="X16" t="s">
        <v>2402</v>
      </c>
      <c r="Y16">
        <v>4850</v>
      </c>
      <c r="Z16" t="s">
        <v>1340</v>
      </c>
      <c r="AA16" t="s">
        <v>2509</v>
      </c>
      <c r="AB16">
        <v>9</v>
      </c>
      <c r="AC16" t="s">
        <v>2475</v>
      </c>
      <c r="AD16" t="s">
        <v>2476</v>
      </c>
      <c r="AE16">
        <v>5</v>
      </c>
      <c r="AF16" t="s">
        <v>2407</v>
      </c>
      <c r="AG16" t="s">
        <v>2408</v>
      </c>
      <c r="AH16">
        <v>0</v>
      </c>
      <c r="AI16">
        <v>0</v>
      </c>
      <c r="AJ16">
        <v>0</v>
      </c>
      <c r="AK16">
        <v>0</v>
      </c>
    </row>
    <row r="17" spans="1:37" x14ac:dyDescent="0.25">
      <c r="A17">
        <v>2023</v>
      </c>
      <c r="B17">
        <v>32273</v>
      </c>
      <c r="C17" t="s">
        <v>489</v>
      </c>
      <c r="D17" t="s">
        <v>2542</v>
      </c>
      <c r="H17" t="s">
        <v>85</v>
      </c>
      <c r="J17" t="s">
        <v>2543</v>
      </c>
      <c r="K17" t="s">
        <v>2544</v>
      </c>
      <c r="L17">
        <v>54.459330000000001</v>
      </c>
      <c r="M17">
        <v>-118.5705</v>
      </c>
      <c r="N17">
        <v>1983</v>
      </c>
      <c r="O17">
        <v>211110</v>
      </c>
      <c r="P17">
        <v>4</v>
      </c>
      <c r="Q17" t="s">
        <v>2398</v>
      </c>
      <c r="R17" t="s">
        <v>2399</v>
      </c>
      <c r="S17">
        <v>4818</v>
      </c>
      <c r="T17" t="s">
        <v>2545</v>
      </c>
      <c r="U17">
        <v>4818015</v>
      </c>
      <c r="V17" t="s">
        <v>2546</v>
      </c>
      <c r="X17" t="s">
        <v>2402</v>
      </c>
      <c r="Y17">
        <v>4870</v>
      </c>
      <c r="Z17" t="s">
        <v>2473</v>
      </c>
      <c r="AA17" t="s">
        <v>2474</v>
      </c>
      <c r="AB17">
        <v>9</v>
      </c>
      <c r="AC17" t="s">
        <v>2475</v>
      </c>
      <c r="AD17" t="s">
        <v>2476</v>
      </c>
      <c r="AE17">
        <v>7</v>
      </c>
      <c r="AF17" t="s">
        <v>2477</v>
      </c>
      <c r="AG17" t="s">
        <v>2478</v>
      </c>
      <c r="AH17">
        <v>0</v>
      </c>
      <c r="AI17">
        <v>0</v>
      </c>
      <c r="AJ17">
        <v>0</v>
      </c>
      <c r="AK17">
        <v>0</v>
      </c>
    </row>
    <row r="18" spans="1:37" x14ac:dyDescent="0.25">
      <c r="A18">
        <v>2023</v>
      </c>
      <c r="B18">
        <v>5322</v>
      </c>
      <c r="C18" t="s">
        <v>1800</v>
      </c>
      <c r="D18" t="s">
        <v>2547</v>
      </c>
      <c r="G18" t="s">
        <v>2548</v>
      </c>
      <c r="H18" t="s">
        <v>85</v>
      </c>
      <c r="I18" t="s">
        <v>2549</v>
      </c>
      <c r="J18" t="s">
        <v>2550</v>
      </c>
      <c r="K18" t="s">
        <v>2551</v>
      </c>
      <c r="L18">
        <v>52.9405</v>
      </c>
      <c r="M18">
        <v>-112.7214</v>
      </c>
      <c r="N18">
        <v>1983</v>
      </c>
      <c r="O18">
        <v>418390</v>
      </c>
      <c r="P18">
        <v>19</v>
      </c>
      <c r="Q18" t="s">
        <v>2552</v>
      </c>
      <c r="R18" t="s">
        <v>2553</v>
      </c>
      <c r="S18">
        <v>4810</v>
      </c>
      <c r="T18" t="s">
        <v>2554</v>
      </c>
      <c r="U18">
        <v>4810001</v>
      </c>
      <c r="V18" t="s">
        <v>2555</v>
      </c>
      <c r="X18" t="s">
        <v>2402</v>
      </c>
      <c r="Y18">
        <v>4820</v>
      </c>
      <c r="Z18" t="s">
        <v>2508</v>
      </c>
      <c r="AA18" t="s">
        <v>2556</v>
      </c>
      <c r="AB18">
        <v>10</v>
      </c>
      <c r="AC18" t="s">
        <v>2405</v>
      </c>
      <c r="AD18" t="s">
        <v>2406</v>
      </c>
      <c r="AE18">
        <v>5</v>
      </c>
      <c r="AF18" t="s">
        <v>2407</v>
      </c>
      <c r="AG18" t="s">
        <v>2408</v>
      </c>
      <c r="AH18">
        <v>0</v>
      </c>
      <c r="AI18">
        <v>0</v>
      </c>
      <c r="AJ18">
        <v>0</v>
      </c>
      <c r="AK18">
        <v>0</v>
      </c>
    </row>
    <row r="19" spans="1:37" x14ac:dyDescent="0.25">
      <c r="A19">
        <v>2022</v>
      </c>
      <c r="B19">
        <v>33653</v>
      </c>
      <c r="C19" t="s">
        <v>1718</v>
      </c>
      <c r="D19" t="s">
        <v>2557</v>
      </c>
      <c r="H19" t="s">
        <v>85</v>
      </c>
      <c r="J19" t="s">
        <v>2558</v>
      </c>
      <c r="K19" t="s">
        <v>2559</v>
      </c>
      <c r="L19">
        <v>55.001575000000003</v>
      </c>
      <c r="M19">
        <v>-119.24306300000001</v>
      </c>
      <c r="N19">
        <v>1983</v>
      </c>
      <c r="O19">
        <v>211110</v>
      </c>
      <c r="P19">
        <v>4</v>
      </c>
      <c r="Q19" t="s">
        <v>2398</v>
      </c>
      <c r="R19" t="s">
        <v>2399</v>
      </c>
      <c r="S19">
        <v>4818</v>
      </c>
      <c r="T19" t="s">
        <v>2545</v>
      </c>
      <c r="U19">
        <v>4818015</v>
      </c>
      <c r="V19" t="s">
        <v>2546</v>
      </c>
      <c r="X19" t="s">
        <v>2402</v>
      </c>
      <c r="Y19">
        <v>4870</v>
      </c>
      <c r="Z19" t="s">
        <v>2473</v>
      </c>
      <c r="AA19" t="s">
        <v>2474</v>
      </c>
      <c r="AB19">
        <v>9</v>
      </c>
      <c r="AC19" t="s">
        <v>2475</v>
      </c>
      <c r="AD19" t="s">
        <v>2476</v>
      </c>
      <c r="AE19">
        <v>7</v>
      </c>
      <c r="AF19" t="s">
        <v>2477</v>
      </c>
      <c r="AG19" t="s">
        <v>2478</v>
      </c>
      <c r="AH19">
        <v>0</v>
      </c>
      <c r="AI19">
        <v>0</v>
      </c>
      <c r="AJ19">
        <v>0</v>
      </c>
      <c r="AK19">
        <v>0</v>
      </c>
    </row>
    <row r="20" spans="1:37" x14ac:dyDescent="0.25">
      <c r="A20">
        <v>2003</v>
      </c>
      <c r="B20">
        <v>16838</v>
      </c>
      <c r="C20" t="s">
        <v>2560</v>
      </c>
      <c r="D20" t="s">
        <v>2561</v>
      </c>
      <c r="E20" t="s">
        <v>2562</v>
      </c>
      <c r="H20" t="s">
        <v>85</v>
      </c>
      <c r="J20" t="s">
        <v>2563</v>
      </c>
      <c r="K20" t="s">
        <v>2564</v>
      </c>
      <c r="L20">
        <v>55.5167</v>
      </c>
      <c r="M20">
        <v>-119.5361</v>
      </c>
      <c r="N20">
        <v>1983</v>
      </c>
      <c r="O20">
        <v>211113</v>
      </c>
      <c r="P20">
        <v>4</v>
      </c>
      <c r="Q20" t="s">
        <v>2398</v>
      </c>
      <c r="R20" t="s">
        <v>2399</v>
      </c>
      <c r="S20">
        <v>4819</v>
      </c>
      <c r="T20" t="s">
        <v>2565</v>
      </c>
      <c r="U20">
        <v>4819059</v>
      </c>
      <c r="V20" t="s">
        <v>2566</v>
      </c>
      <c r="X20" t="s">
        <v>2402</v>
      </c>
      <c r="Y20">
        <v>4870</v>
      </c>
      <c r="Z20" t="s">
        <v>2473</v>
      </c>
      <c r="AA20" t="s">
        <v>2474</v>
      </c>
      <c r="AB20">
        <v>9</v>
      </c>
      <c r="AC20" t="s">
        <v>2475</v>
      </c>
      <c r="AD20" t="s">
        <v>2476</v>
      </c>
      <c r="AE20">
        <v>7</v>
      </c>
      <c r="AF20" t="s">
        <v>2477</v>
      </c>
      <c r="AG20" t="s">
        <v>2478</v>
      </c>
      <c r="AH20">
        <v>0</v>
      </c>
      <c r="AI20">
        <v>0</v>
      </c>
      <c r="AJ20">
        <v>0</v>
      </c>
      <c r="AK20">
        <v>0</v>
      </c>
    </row>
    <row r="21" spans="1:37" x14ac:dyDescent="0.25">
      <c r="A21">
        <v>2023</v>
      </c>
      <c r="B21">
        <v>34102</v>
      </c>
      <c r="C21" t="s">
        <v>1718</v>
      </c>
      <c r="D21" t="s">
        <v>2567</v>
      </c>
      <c r="H21" t="s">
        <v>85</v>
      </c>
      <c r="I21" t="s">
        <v>2568</v>
      </c>
      <c r="J21" t="s">
        <v>2569</v>
      </c>
      <c r="K21" t="s">
        <v>2570</v>
      </c>
      <c r="L21">
        <v>53.148586000000002</v>
      </c>
      <c r="M21">
        <v>-110.75671199999999</v>
      </c>
      <c r="N21">
        <v>1983</v>
      </c>
      <c r="O21">
        <v>211110</v>
      </c>
      <c r="P21">
        <v>4</v>
      </c>
      <c r="Q21" t="s">
        <v>2398</v>
      </c>
      <c r="R21" t="s">
        <v>2399</v>
      </c>
      <c r="S21">
        <v>4810</v>
      </c>
      <c r="T21" t="s">
        <v>2554</v>
      </c>
      <c r="U21">
        <v>4810036</v>
      </c>
      <c r="V21" t="s">
        <v>2571</v>
      </c>
      <c r="X21" t="s">
        <v>2402</v>
      </c>
      <c r="Y21">
        <v>4820</v>
      </c>
      <c r="Z21" t="s">
        <v>2508</v>
      </c>
      <c r="AA21" t="s">
        <v>2572</v>
      </c>
      <c r="AB21">
        <v>10</v>
      </c>
      <c r="AC21" t="s">
        <v>2405</v>
      </c>
      <c r="AD21" t="s">
        <v>2406</v>
      </c>
      <c r="AE21">
        <v>5</v>
      </c>
      <c r="AF21" t="s">
        <v>2407</v>
      </c>
      <c r="AG21" t="s">
        <v>2408</v>
      </c>
      <c r="AH21">
        <v>0</v>
      </c>
      <c r="AI21">
        <v>0</v>
      </c>
      <c r="AJ21">
        <v>0</v>
      </c>
      <c r="AK21">
        <v>0</v>
      </c>
    </row>
    <row r="22" spans="1:37" x14ac:dyDescent="0.25">
      <c r="A22">
        <v>2017</v>
      </c>
      <c r="B22">
        <v>20133</v>
      </c>
      <c r="C22" t="s">
        <v>2573</v>
      </c>
      <c r="D22" t="s">
        <v>2574</v>
      </c>
      <c r="E22" t="s">
        <v>2575</v>
      </c>
      <c r="G22" t="s">
        <v>2576</v>
      </c>
      <c r="H22" t="s">
        <v>69</v>
      </c>
      <c r="I22" t="s">
        <v>2577</v>
      </c>
      <c r="J22" t="s">
        <v>2578</v>
      </c>
      <c r="K22" t="s">
        <v>2579</v>
      </c>
      <c r="L22">
        <v>53.8108</v>
      </c>
      <c r="M22">
        <v>-122.71850000000001</v>
      </c>
      <c r="N22">
        <v>1983</v>
      </c>
      <c r="O22">
        <v>321999</v>
      </c>
      <c r="P22">
        <v>18</v>
      </c>
      <c r="Q22" t="s">
        <v>2459</v>
      </c>
      <c r="R22" t="s">
        <v>2460</v>
      </c>
      <c r="S22">
        <v>5953</v>
      </c>
      <c r="T22" t="s">
        <v>2580</v>
      </c>
      <c r="U22">
        <v>5953044</v>
      </c>
      <c r="V22" t="s">
        <v>2581</v>
      </c>
      <c r="W22">
        <v>970</v>
      </c>
      <c r="X22" t="s">
        <v>1214</v>
      </c>
      <c r="Y22">
        <v>5950</v>
      </c>
      <c r="Z22" t="s">
        <v>2582</v>
      </c>
      <c r="AA22" t="s">
        <v>2583</v>
      </c>
      <c r="AB22">
        <v>14</v>
      </c>
      <c r="AC22" t="s">
        <v>2516</v>
      </c>
      <c r="AD22" t="s">
        <v>2517</v>
      </c>
      <c r="AE22">
        <v>8</v>
      </c>
      <c r="AF22" t="s">
        <v>2584</v>
      </c>
      <c r="AG22" t="s">
        <v>2585</v>
      </c>
      <c r="AH22">
        <v>0</v>
      </c>
      <c r="AI22">
        <v>0</v>
      </c>
      <c r="AJ22">
        <v>0</v>
      </c>
      <c r="AK22">
        <v>0</v>
      </c>
    </row>
    <row r="23" spans="1:37" x14ac:dyDescent="0.25">
      <c r="A23">
        <v>2023</v>
      </c>
      <c r="B23">
        <v>7640</v>
      </c>
      <c r="C23" t="s">
        <v>2586</v>
      </c>
      <c r="D23" t="s">
        <v>2587</v>
      </c>
      <c r="E23" t="s">
        <v>2588</v>
      </c>
      <c r="G23" t="s">
        <v>2589</v>
      </c>
      <c r="H23" t="s">
        <v>21</v>
      </c>
      <c r="I23" t="s">
        <v>2590</v>
      </c>
      <c r="K23" t="s">
        <v>2591</v>
      </c>
      <c r="L23">
        <v>43.523499999999999</v>
      </c>
      <c r="M23">
        <v>-79.919799999999995</v>
      </c>
      <c r="N23">
        <v>1983</v>
      </c>
      <c r="O23">
        <v>336390</v>
      </c>
      <c r="P23">
        <v>15</v>
      </c>
      <c r="Q23" t="s">
        <v>2592</v>
      </c>
      <c r="R23" t="s">
        <v>2593</v>
      </c>
      <c r="S23">
        <v>3524</v>
      </c>
      <c r="T23" t="s">
        <v>2594</v>
      </c>
      <c r="U23">
        <v>3524009</v>
      </c>
      <c r="V23" t="s">
        <v>2589</v>
      </c>
      <c r="W23">
        <v>535</v>
      </c>
      <c r="X23" t="s">
        <v>2439</v>
      </c>
      <c r="Y23">
        <v>3530</v>
      </c>
      <c r="Z23" t="s">
        <v>2439</v>
      </c>
      <c r="AA23" t="s">
        <v>2595</v>
      </c>
      <c r="AB23">
        <v>8</v>
      </c>
      <c r="AC23" t="s">
        <v>2420</v>
      </c>
      <c r="AD23" t="s">
        <v>2421</v>
      </c>
      <c r="AE23">
        <v>2</v>
      </c>
      <c r="AF23" t="s">
        <v>2422</v>
      </c>
      <c r="AG23" t="s">
        <v>2423</v>
      </c>
      <c r="AH23">
        <v>1</v>
      </c>
      <c r="AI23">
        <v>1</v>
      </c>
      <c r="AJ23">
        <v>0</v>
      </c>
      <c r="AK23">
        <v>1</v>
      </c>
    </row>
    <row r="24" spans="1:37" x14ac:dyDescent="0.25">
      <c r="A24">
        <v>2006</v>
      </c>
      <c r="B24">
        <v>21330</v>
      </c>
      <c r="C24" t="s">
        <v>2596</v>
      </c>
      <c r="D24" t="s">
        <v>2597</v>
      </c>
      <c r="E24" t="s">
        <v>2598</v>
      </c>
      <c r="H24" t="s">
        <v>85</v>
      </c>
      <c r="J24" t="s">
        <v>2599</v>
      </c>
      <c r="K24" t="s">
        <v>2600</v>
      </c>
      <c r="L24">
        <v>50.003</v>
      </c>
      <c r="M24">
        <v>-113.7577</v>
      </c>
      <c r="N24">
        <v>1983</v>
      </c>
      <c r="O24">
        <v>211113</v>
      </c>
      <c r="P24">
        <v>4</v>
      </c>
      <c r="Q24" t="s">
        <v>2398</v>
      </c>
      <c r="R24" t="s">
        <v>2399</v>
      </c>
      <c r="S24">
        <v>4803</v>
      </c>
      <c r="T24" t="s">
        <v>2601</v>
      </c>
      <c r="U24">
        <v>4803018</v>
      </c>
      <c r="V24" t="s">
        <v>2602</v>
      </c>
      <c r="X24" t="s">
        <v>2402</v>
      </c>
      <c r="Y24">
        <v>4810</v>
      </c>
      <c r="Z24" t="s">
        <v>2603</v>
      </c>
      <c r="AA24" t="s">
        <v>2604</v>
      </c>
      <c r="AB24">
        <v>10</v>
      </c>
      <c r="AC24" t="s">
        <v>2405</v>
      </c>
      <c r="AD24" t="s">
        <v>2406</v>
      </c>
      <c r="AE24">
        <v>5</v>
      </c>
      <c r="AF24" t="s">
        <v>2407</v>
      </c>
      <c r="AG24" t="s">
        <v>2408</v>
      </c>
      <c r="AH24">
        <v>0</v>
      </c>
      <c r="AI24">
        <v>0</v>
      </c>
      <c r="AJ24">
        <v>0</v>
      </c>
      <c r="AK24">
        <v>0</v>
      </c>
    </row>
    <row r="25" spans="1:37" x14ac:dyDescent="0.25">
      <c r="A25">
        <v>2023</v>
      </c>
      <c r="B25">
        <v>30777</v>
      </c>
      <c r="C25" t="s">
        <v>2605</v>
      </c>
      <c r="D25" t="s">
        <v>2606</v>
      </c>
      <c r="G25" t="s">
        <v>2607</v>
      </c>
      <c r="H25" t="s">
        <v>85</v>
      </c>
      <c r="I25" t="s">
        <v>2608</v>
      </c>
      <c r="J25" t="s">
        <v>2609</v>
      </c>
      <c r="K25" t="s">
        <v>2610</v>
      </c>
      <c r="L25">
        <v>53.039549999999998</v>
      </c>
      <c r="M25">
        <v>-111.22708</v>
      </c>
      <c r="N25">
        <v>1983</v>
      </c>
      <c r="O25">
        <v>211110</v>
      </c>
      <c r="P25">
        <v>4</v>
      </c>
      <c r="Q25" t="s">
        <v>2398</v>
      </c>
      <c r="R25" t="s">
        <v>2399</v>
      </c>
      <c r="S25">
        <v>4807</v>
      </c>
      <c r="T25" t="s">
        <v>2611</v>
      </c>
      <c r="U25">
        <v>4807049</v>
      </c>
      <c r="V25" t="s">
        <v>2612</v>
      </c>
      <c r="X25" t="s">
        <v>2402</v>
      </c>
      <c r="Y25">
        <v>4820</v>
      </c>
      <c r="Z25" t="s">
        <v>2508</v>
      </c>
      <c r="AA25" t="s">
        <v>2572</v>
      </c>
      <c r="AB25">
        <v>10</v>
      </c>
      <c r="AC25" t="s">
        <v>2405</v>
      </c>
      <c r="AD25" t="s">
        <v>2406</v>
      </c>
      <c r="AE25">
        <v>5</v>
      </c>
      <c r="AF25" t="s">
        <v>2407</v>
      </c>
      <c r="AG25" t="s">
        <v>2408</v>
      </c>
      <c r="AH25">
        <v>0</v>
      </c>
      <c r="AI25">
        <v>0</v>
      </c>
      <c r="AJ25">
        <v>0</v>
      </c>
      <c r="AK25">
        <v>0</v>
      </c>
    </row>
    <row r="26" spans="1:37" x14ac:dyDescent="0.25">
      <c r="A26">
        <v>2016</v>
      </c>
      <c r="B26">
        <v>2408</v>
      </c>
      <c r="C26" t="s">
        <v>2613</v>
      </c>
      <c r="D26" t="s">
        <v>2614</v>
      </c>
      <c r="E26" t="s">
        <v>2615</v>
      </c>
      <c r="G26" t="s">
        <v>2616</v>
      </c>
      <c r="H26" t="s">
        <v>69</v>
      </c>
      <c r="I26" t="s">
        <v>2617</v>
      </c>
      <c r="J26" t="s">
        <v>2618</v>
      </c>
      <c r="K26" t="s">
        <v>2619</v>
      </c>
      <c r="L26">
        <v>49.282699999999998</v>
      </c>
      <c r="M26">
        <v>-123.077</v>
      </c>
      <c r="N26">
        <v>1983</v>
      </c>
      <c r="O26">
        <v>331529</v>
      </c>
      <c r="P26">
        <v>7</v>
      </c>
      <c r="Q26" t="s">
        <v>2620</v>
      </c>
      <c r="R26" t="s">
        <v>2621</v>
      </c>
      <c r="S26">
        <v>5915</v>
      </c>
      <c r="T26" t="s">
        <v>2622</v>
      </c>
      <c r="U26">
        <v>5915022</v>
      </c>
      <c r="V26" t="s">
        <v>2623</v>
      </c>
      <c r="W26">
        <v>933</v>
      </c>
      <c r="X26" t="s">
        <v>2623</v>
      </c>
      <c r="Y26">
        <v>5920</v>
      </c>
      <c r="Z26" t="s">
        <v>2624</v>
      </c>
      <c r="AA26" t="s">
        <v>2625</v>
      </c>
      <c r="AB26">
        <v>13</v>
      </c>
      <c r="AC26" t="s">
        <v>2626</v>
      </c>
      <c r="AD26" t="s">
        <v>2627</v>
      </c>
      <c r="AE26">
        <v>8</v>
      </c>
      <c r="AF26" t="s">
        <v>2584</v>
      </c>
      <c r="AG26" t="s">
        <v>2585</v>
      </c>
      <c r="AH26">
        <v>0</v>
      </c>
      <c r="AI26">
        <v>0</v>
      </c>
      <c r="AJ26">
        <v>0</v>
      </c>
      <c r="AK26">
        <v>0</v>
      </c>
    </row>
    <row r="27" spans="1:37" x14ac:dyDescent="0.25">
      <c r="A27">
        <v>2013</v>
      </c>
      <c r="B27">
        <v>27643</v>
      </c>
      <c r="C27" t="s">
        <v>1559</v>
      </c>
      <c r="D27" t="s">
        <v>2628</v>
      </c>
      <c r="H27" t="s">
        <v>85</v>
      </c>
      <c r="J27" t="s">
        <v>2629</v>
      </c>
      <c r="K27" t="s">
        <v>2630</v>
      </c>
      <c r="L27">
        <v>52.899732</v>
      </c>
      <c r="M27">
        <v>-115.195352</v>
      </c>
      <c r="N27">
        <v>1983</v>
      </c>
      <c r="O27">
        <v>211113</v>
      </c>
      <c r="P27">
        <v>4</v>
      </c>
      <c r="Q27" t="s">
        <v>2398</v>
      </c>
      <c r="R27" t="s">
        <v>2399</v>
      </c>
      <c r="S27">
        <v>4809</v>
      </c>
      <c r="T27" t="s">
        <v>2631</v>
      </c>
      <c r="U27">
        <v>4809002</v>
      </c>
      <c r="V27" t="s">
        <v>2632</v>
      </c>
      <c r="X27" t="s">
        <v>2402</v>
      </c>
      <c r="Y27">
        <v>4840</v>
      </c>
      <c r="Z27" t="s">
        <v>2633</v>
      </c>
      <c r="AA27" t="s">
        <v>2634</v>
      </c>
      <c r="AB27">
        <v>9</v>
      </c>
      <c r="AC27" t="s">
        <v>2475</v>
      </c>
      <c r="AD27" t="s">
        <v>2476</v>
      </c>
      <c r="AE27">
        <v>5</v>
      </c>
      <c r="AF27" t="s">
        <v>2407</v>
      </c>
      <c r="AG27" t="s">
        <v>2408</v>
      </c>
      <c r="AH27">
        <v>0</v>
      </c>
      <c r="AI27">
        <v>0</v>
      </c>
      <c r="AJ27">
        <v>0</v>
      </c>
      <c r="AK27">
        <v>0</v>
      </c>
    </row>
    <row r="28" spans="1:37" x14ac:dyDescent="0.25">
      <c r="A28">
        <v>2023</v>
      </c>
      <c r="B28">
        <v>31310</v>
      </c>
      <c r="C28" t="s">
        <v>1112</v>
      </c>
      <c r="D28" t="s">
        <v>2635</v>
      </c>
      <c r="H28" t="s">
        <v>85</v>
      </c>
      <c r="I28" t="s">
        <v>2636</v>
      </c>
      <c r="J28" t="s">
        <v>2637</v>
      </c>
      <c r="K28" t="s">
        <v>2638</v>
      </c>
      <c r="L28">
        <v>55.205185</v>
      </c>
      <c r="M28">
        <v>-119.221188</v>
      </c>
      <c r="N28">
        <v>1983</v>
      </c>
      <c r="O28">
        <v>211110</v>
      </c>
      <c r="P28">
        <v>4</v>
      </c>
      <c r="Q28" t="s">
        <v>2398</v>
      </c>
      <c r="R28" t="s">
        <v>2399</v>
      </c>
      <c r="S28">
        <v>4819</v>
      </c>
      <c r="T28" t="s">
        <v>2565</v>
      </c>
      <c r="U28">
        <v>4819006</v>
      </c>
      <c r="V28" t="s">
        <v>2639</v>
      </c>
      <c r="X28" t="s">
        <v>2402</v>
      </c>
      <c r="Y28">
        <v>4870</v>
      </c>
      <c r="Z28" t="s">
        <v>2473</v>
      </c>
      <c r="AA28" t="s">
        <v>2474</v>
      </c>
      <c r="AB28">
        <v>9</v>
      </c>
      <c r="AC28" t="s">
        <v>2475</v>
      </c>
      <c r="AD28" t="s">
        <v>2476</v>
      </c>
      <c r="AE28">
        <v>7</v>
      </c>
      <c r="AF28" t="s">
        <v>2477</v>
      </c>
      <c r="AG28" t="s">
        <v>2478</v>
      </c>
      <c r="AH28">
        <v>0</v>
      </c>
      <c r="AI28">
        <v>0</v>
      </c>
      <c r="AJ28">
        <v>0</v>
      </c>
      <c r="AK28">
        <v>0</v>
      </c>
    </row>
    <row r="29" spans="1:37" x14ac:dyDescent="0.25">
      <c r="A29">
        <v>2020</v>
      </c>
      <c r="B29">
        <v>30439</v>
      </c>
      <c r="C29" t="s">
        <v>1592</v>
      </c>
      <c r="D29" t="s">
        <v>2640</v>
      </c>
      <c r="H29" t="s">
        <v>85</v>
      </c>
      <c r="J29" t="s">
        <v>2641</v>
      </c>
      <c r="K29" t="s">
        <v>2642</v>
      </c>
      <c r="L29">
        <v>53.241486999999999</v>
      </c>
      <c r="M29">
        <v>-115.601422</v>
      </c>
      <c r="N29">
        <v>1983</v>
      </c>
      <c r="O29">
        <v>211110</v>
      </c>
      <c r="P29">
        <v>4</v>
      </c>
      <c r="Q29" t="s">
        <v>2398</v>
      </c>
      <c r="R29" t="s">
        <v>2399</v>
      </c>
      <c r="S29">
        <v>4811</v>
      </c>
      <c r="T29" t="s">
        <v>2643</v>
      </c>
      <c r="U29">
        <v>4811032</v>
      </c>
      <c r="V29" t="s">
        <v>2644</v>
      </c>
      <c r="X29" t="s">
        <v>2402</v>
      </c>
      <c r="Y29">
        <v>4860</v>
      </c>
      <c r="Z29" t="s">
        <v>2645</v>
      </c>
      <c r="AA29" t="s">
        <v>2646</v>
      </c>
      <c r="AB29">
        <v>9</v>
      </c>
      <c r="AC29" t="s">
        <v>2475</v>
      </c>
      <c r="AD29" t="s">
        <v>2476</v>
      </c>
      <c r="AE29">
        <v>7</v>
      </c>
      <c r="AF29" t="s">
        <v>2477</v>
      </c>
      <c r="AG29" t="s">
        <v>2478</v>
      </c>
      <c r="AH29">
        <v>0</v>
      </c>
      <c r="AI29">
        <v>0</v>
      </c>
      <c r="AJ29">
        <v>0</v>
      </c>
      <c r="AK29">
        <v>0</v>
      </c>
    </row>
    <row r="30" spans="1:37" x14ac:dyDescent="0.25">
      <c r="A30">
        <v>2023</v>
      </c>
      <c r="B30">
        <v>15094</v>
      </c>
      <c r="C30" t="s">
        <v>2339</v>
      </c>
      <c r="D30" t="s">
        <v>2647</v>
      </c>
      <c r="H30" t="s">
        <v>85</v>
      </c>
      <c r="J30" t="s">
        <v>2648</v>
      </c>
      <c r="K30" t="s">
        <v>2649</v>
      </c>
      <c r="L30">
        <v>52.843200000000003</v>
      </c>
      <c r="M30">
        <v>-111.72280000000001</v>
      </c>
      <c r="N30">
        <v>1983</v>
      </c>
      <c r="O30">
        <v>211110</v>
      </c>
      <c r="P30">
        <v>4</v>
      </c>
      <c r="Q30" t="s">
        <v>2398</v>
      </c>
      <c r="R30" t="s">
        <v>2399</v>
      </c>
      <c r="S30">
        <v>4807</v>
      </c>
      <c r="T30" t="s">
        <v>2611</v>
      </c>
      <c r="U30">
        <v>4807031</v>
      </c>
      <c r="V30" t="s">
        <v>2650</v>
      </c>
      <c r="X30" t="s">
        <v>2402</v>
      </c>
      <c r="Y30">
        <v>4820</v>
      </c>
      <c r="Z30" t="s">
        <v>2508</v>
      </c>
      <c r="AA30" t="s">
        <v>2572</v>
      </c>
      <c r="AB30">
        <v>10</v>
      </c>
      <c r="AC30" t="s">
        <v>2405</v>
      </c>
      <c r="AD30" t="s">
        <v>2406</v>
      </c>
      <c r="AE30">
        <v>5</v>
      </c>
      <c r="AF30" t="s">
        <v>2407</v>
      </c>
      <c r="AG30" t="s">
        <v>2408</v>
      </c>
      <c r="AH30">
        <v>0</v>
      </c>
      <c r="AI30">
        <v>0</v>
      </c>
      <c r="AJ30">
        <v>0</v>
      </c>
      <c r="AK30">
        <v>0</v>
      </c>
    </row>
    <row r="31" spans="1:37" x14ac:dyDescent="0.25">
      <c r="A31">
        <v>2023</v>
      </c>
      <c r="B31">
        <v>17234</v>
      </c>
      <c r="C31" t="s">
        <v>1791</v>
      </c>
      <c r="D31" t="s">
        <v>2651</v>
      </c>
      <c r="H31" t="s">
        <v>243</v>
      </c>
      <c r="J31" t="s">
        <v>2652</v>
      </c>
      <c r="K31" t="s">
        <v>2653</v>
      </c>
      <c r="L31">
        <v>49.2928</v>
      </c>
      <c r="M31">
        <v>-102.73399999999999</v>
      </c>
      <c r="N31">
        <v>1983</v>
      </c>
      <c r="O31">
        <v>211110</v>
      </c>
      <c r="P31">
        <v>4</v>
      </c>
      <c r="Q31" t="s">
        <v>2398</v>
      </c>
      <c r="R31" t="s">
        <v>2399</v>
      </c>
      <c r="S31">
        <v>4701</v>
      </c>
      <c r="T31" t="s">
        <v>2523</v>
      </c>
      <c r="U31">
        <v>4701031</v>
      </c>
      <c r="V31" t="s">
        <v>2654</v>
      </c>
      <c r="X31" t="s">
        <v>2402</v>
      </c>
      <c r="Y31">
        <v>4710</v>
      </c>
      <c r="Z31" t="s">
        <v>2525</v>
      </c>
      <c r="AA31" t="s">
        <v>2655</v>
      </c>
      <c r="AB31">
        <v>10</v>
      </c>
      <c r="AC31" t="s">
        <v>2405</v>
      </c>
      <c r="AD31" t="s">
        <v>2406</v>
      </c>
      <c r="AE31">
        <v>5</v>
      </c>
      <c r="AF31" t="s">
        <v>2407</v>
      </c>
      <c r="AG31" t="s">
        <v>2408</v>
      </c>
      <c r="AH31">
        <v>0</v>
      </c>
      <c r="AI31">
        <v>0</v>
      </c>
      <c r="AJ31">
        <v>0</v>
      </c>
      <c r="AK31">
        <v>0</v>
      </c>
    </row>
    <row r="32" spans="1:37" x14ac:dyDescent="0.25">
      <c r="A32">
        <v>2013</v>
      </c>
      <c r="B32">
        <v>22944</v>
      </c>
      <c r="C32" t="s">
        <v>2656</v>
      </c>
      <c r="D32" t="s">
        <v>2657</v>
      </c>
      <c r="E32" t="s">
        <v>2658</v>
      </c>
      <c r="G32" t="s">
        <v>2659</v>
      </c>
      <c r="H32" t="s">
        <v>85</v>
      </c>
      <c r="I32" t="s">
        <v>2660</v>
      </c>
      <c r="J32" t="s">
        <v>2661</v>
      </c>
      <c r="K32" t="s">
        <v>2662</v>
      </c>
      <c r="L32">
        <v>50.9587</v>
      </c>
      <c r="M32">
        <v>-113.9871</v>
      </c>
      <c r="N32">
        <v>1983</v>
      </c>
      <c r="O32">
        <v>541330</v>
      </c>
      <c r="P32">
        <v>19</v>
      </c>
      <c r="Q32" t="s">
        <v>2552</v>
      </c>
      <c r="R32" t="s">
        <v>2553</v>
      </c>
      <c r="S32">
        <v>4806</v>
      </c>
      <c r="T32" t="s">
        <v>2663</v>
      </c>
      <c r="U32">
        <v>4806016</v>
      </c>
      <c r="V32" t="s">
        <v>2664</v>
      </c>
      <c r="W32">
        <v>825</v>
      </c>
      <c r="X32" t="s">
        <v>2664</v>
      </c>
      <c r="Y32">
        <v>4830</v>
      </c>
      <c r="Z32" t="s">
        <v>2664</v>
      </c>
      <c r="AA32" t="s">
        <v>2665</v>
      </c>
      <c r="AB32">
        <v>10</v>
      </c>
      <c r="AC32" t="s">
        <v>2405</v>
      </c>
      <c r="AD32" t="s">
        <v>2406</v>
      </c>
      <c r="AE32">
        <v>5</v>
      </c>
      <c r="AF32" t="s">
        <v>2407</v>
      </c>
      <c r="AG32" t="s">
        <v>2408</v>
      </c>
      <c r="AH32">
        <v>0</v>
      </c>
      <c r="AI32">
        <v>0</v>
      </c>
      <c r="AJ32">
        <v>0</v>
      </c>
      <c r="AK32">
        <v>0</v>
      </c>
    </row>
    <row r="33" spans="1:37" x14ac:dyDescent="0.25">
      <c r="A33">
        <v>2022</v>
      </c>
      <c r="B33">
        <v>32827</v>
      </c>
      <c r="C33" t="s">
        <v>2148</v>
      </c>
      <c r="D33" t="s">
        <v>2666</v>
      </c>
      <c r="H33" t="s">
        <v>85</v>
      </c>
      <c r="J33" t="s">
        <v>2667</v>
      </c>
      <c r="K33" t="s">
        <v>2668</v>
      </c>
      <c r="L33">
        <v>51.239747000000001</v>
      </c>
      <c r="M33">
        <v>-112.443989</v>
      </c>
      <c r="N33">
        <v>1983</v>
      </c>
      <c r="O33">
        <v>211110</v>
      </c>
      <c r="P33">
        <v>4</v>
      </c>
      <c r="Q33" t="s">
        <v>2398</v>
      </c>
      <c r="R33" t="s">
        <v>2399</v>
      </c>
      <c r="S33">
        <v>4805</v>
      </c>
      <c r="T33" t="s">
        <v>2669</v>
      </c>
      <c r="U33">
        <v>4805012</v>
      </c>
      <c r="V33" t="s">
        <v>2670</v>
      </c>
      <c r="X33" t="s">
        <v>2402</v>
      </c>
      <c r="Y33">
        <v>4820</v>
      </c>
      <c r="Z33" t="s">
        <v>2508</v>
      </c>
      <c r="AA33" t="s">
        <v>2671</v>
      </c>
      <c r="AB33">
        <v>10</v>
      </c>
      <c r="AC33" t="s">
        <v>2405</v>
      </c>
      <c r="AD33" t="s">
        <v>2406</v>
      </c>
      <c r="AE33">
        <v>5</v>
      </c>
      <c r="AF33" t="s">
        <v>2407</v>
      </c>
      <c r="AG33" t="s">
        <v>2408</v>
      </c>
      <c r="AH33">
        <v>0</v>
      </c>
      <c r="AI33">
        <v>0</v>
      </c>
      <c r="AJ33">
        <v>0</v>
      </c>
      <c r="AK33">
        <v>0</v>
      </c>
    </row>
    <row r="34" spans="1:37" x14ac:dyDescent="0.25">
      <c r="A34">
        <v>2023</v>
      </c>
      <c r="B34">
        <v>5755</v>
      </c>
      <c r="C34" t="s">
        <v>2672</v>
      </c>
      <c r="D34" t="s">
        <v>2673</v>
      </c>
      <c r="E34" t="s">
        <v>2674</v>
      </c>
      <c r="G34" t="s">
        <v>2675</v>
      </c>
      <c r="H34" t="s">
        <v>21</v>
      </c>
      <c r="I34" t="s">
        <v>2676</v>
      </c>
      <c r="K34" t="s">
        <v>2677</v>
      </c>
      <c r="L34">
        <v>42.930500000000002</v>
      </c>
      <c r="M34">
        <v>-80.126099999999994</v>
      </c>
      <c r="N34">
        <v>1983</v>
      </c>
      <c r="O34">
        <v>321114</v>
      </c>
      <c r="P34">
        <v>18</v>
      </c>
      <c r="Q34" t="s">
        <v>2459</v>
      </c>
      <c r="R34" t="s">
        <v>2460</v>
      </c>
      <c r="S34">
        <v>3528</v>
      </c>
      <c r="T34" t="s">
        <v>2678</v>
      </c>
      <c r="U34">
        <v>3528018</v>
      </c>
      <c r="V34" t="s">
        <v>2679</v>
      </c>
      <c r="X34" t="s">
        <v>2402</v>
      </c>
      <c r="Y34">
        <v>3550</v>
      </c>
      <c r="Z34" t="s">
        <v>2680</v>
      </c>
      <c r="AA34" t="s">
        <v>2681</v>
      </c>
      <c r="AB34">
        <v>8</v>
      </c>
      <c r="AC34" t="s">
        <v>2420</v>
      </c>
      <c r="AD34" t="s">
        <v>2421</v>
      </c>
      <c r="AE34">
        <v>2</v>
      </c>
      <c r="AF34" t="s">
        <v>2422</v>
      </c>
      <c r="AG34" t="s">
        <v>2423</v>
      </c>
      <c r="AH34">
        <v>1</v>
      </c>
      <c r="AI34">
        <v>1</v>
      </c>
      <c r="AJ34">
        <v>0</v>
      </c>
      <c r="AK34">
        <v>1</v>
      </c>
    </row>
    <row r="35" spans="1:37" x14ac:dyDescent="0.25">
      <c r="A35">
        <v>2019</v>
      </c>
      <c r="B35">
        <v>30812</v>
      </c>
      <c r="C35" t="s">
        <v>2141</v>
      </c>
      <c r="D35" t="s">
        <v>2142</v>
      </c>
      <c r="E35" t="s">
        <v>2682</v>
      </c>
      <c r="G35" t="s">
        <v>2683</v>
      </c>
      <c r="H35" t="s">
        <v>85</v>
      </c>
      <c r="I35" t="s">
        <v>2684</v>
      </c>
      <c r="J35" t="s">
        <v>2685</v>
      </c>
      <c r="K35" t="s">
        <v>2686</v>
      </c>
      <c r="L35">
        <v>54.613857000000003</v>
      </c>
      <c r="M35">
        <v>-116.238479</v>
      </c>
      <c r="N35">
        <v>1983</v>
      </c>
      <c r="O35">
        <v>211110</v>
      </c>
      <c r="P35">
        <v>4</v>
      </c>
      <c r="Q35" t="s">
        <v>2398</v>
      </c>
      <c r="R35" t="s">
        <v>2399</v>
      </c>
      <c r="S35">
        <v>4818</v>
      </c>
      <c r="T35" t="s">
        <v>2545</v>
      </c>
      <c r="U35">
        <v>4818015</v>
      </c>
      <c r="V35" t="s">
        <v>2546</v>
      </c>
      <c r="X35" t="s">
        <v>2402</v>
      </c>
      <c r="Y35">
        <v>4870</v>
      </c>
      <c r="Z35" t="s">
        <v>2473</v>
      </c>
      <c r="AA35" t="s">
        <v>2474</v>
      </c>
      <c r="AB35">
        <v>9</v>
      </c>
      <c r="AC35" t="s">
        <v>2475</v>
      </c>
      <c r="AD35" t="s">
        <v>2476</v>
      </c>
      <c r="AE35">
        <v>7</v>
      </c>
      <c r="AF35" t="s">
        <v>2477</v>
      </c>
      <c r="AG35" t="s">
        <v>2478</v>
      </c>
      <c r="AH35">
        <v>0</v>
      </c>
      <c r="AI35">
        <v>0</v>
      </c>
      <c r="AJ35">
        <v>0</v>
      </c>
      <c r="AK35">
        <v>0</v>
      </c>
    </row>
    <row r="36" spans="1:37" x14ac:dyDescent="0.25">
      <c r="A36">
        <v>2021</v>
      </c>
      <c r="B36">
        <v>18582</v>
      </c>
      <c r="C36" t="s">
        <v>2354</v>
      </c>
      <c r="D36" t="s">
        <v>2687</v>
      </c>
      <c r="G36" t="s">
        <v>2688</v>
      </c>
      <c r="H36" t="s">
        <v>85</v>
      </c>
      <c r="I36" t="s">
        <v>2689</v>
      </c>
      <c r="J36" t="s">
        <v>2690</v>
      </c>
      <c r="K36" t="s">
        <v>2691</v>
      </c>
      <c r="L36">
        <v>50.022399999999998</v>
      </c>
      <c r="M36">
        <v>-110.74299999999999</v>
      </c>
      <c r="N36">
        <v>1983</v>
      </c>
      <c r="O36">
        <v>211110</v>
      </c>
      <c r="P36">
        <v>4</v>
      </c>
      <c r="Q36" t="s">
        <v>2398</v>
      </c>
      <c r="R36" t="s">
        <v>2399</v>
      </c>
      <c r="S36">
        <v>4801</v>
      </c>
      <c r="T36" t="s">
        <v>2523</v>
      </c>
      <c r="U36">
        <v>4801006</v>
      </c>
      <c r="V36" t="s">
        <v>2688</v>
      </c>
      <c r="W36">
        <v>805</v>
      </c>
      <c r="X36" t="s">
        <v>2688</v>
      </c>
      <c r="Y36">
        <v>4810</v>
      </c>
      <c r="Z36" t="s">
        <v>2603</v>
      </c>
      <c r="AA36" t="s">
        <v>2692</v>
      </c>
      <c r="AB36">
        <v>10</v>
      </c>
      <c r="AC36" t="s">
        <v>2405</v>
      </c>
      <c r="AD36" t="s">
        <v>2406</v>
      </c>
      <c r="AE36">
        <v>5</v>
      </c>
      <c r="AF36" t="s">
        <v>2407</v>
      </c>
      <c r="AG36" t="s">
        <v>2408</v>
      </c>
      <c r="AH36">
        <v>0</v>
      </c>
      <c r="AI36">
        <v>0</v>
      </c>
      <c r="AJ36">
        <v>0</v>
      </c>
      <c r="AK36">
        <v>0</v>
      </c>
    </row>
    <row r="37" spans="1:37" x14ac:dyDescent="0.25">
      <c r="A37">
        <v>2023</v>
      </c>
      <c r="B37">
        <v>29673</v>
      </c>
      <c r="C37" t="s">
        <v>1791</v>
      </c>
      <c r="D37" t="s">
        <v>2693</v>
      </c>
      <c r="H37" t="s">
        <v>243</v>
      </c>
      <c r="J37" t="s">
        <v>2694</v>
      </c>
      <c r="K37" t="s">
        <v>2695</v>
      </c>
      <c r="L37">
        <v>49.419083000000001</v>
      </c>
      <c r="M37">
        <v>-103.545042</v>
      </c>
      <c r="N37">
        <v>1983</v>
      </c>
      <c r="O37">
        <v>211110</v>
      </c>
      <c r="P37">
        <v>4</v>
      </c>
      <c r="Q37" t="s">
        <v>2398</v>
      </c>
      <c r="R37" t="s">
        <v>2399</v>
      </c>
      <c r="S37">
        <v>4702</v>
      </c>
      <c r="T37" t="s">
        <v>2696</v>
      </c>
      <c r="U37">
        <v>4702037</v>
      </c>
      <c r="V37" t="s">
        <v>2697</v>
      </c>
      <c r="X37" t="s">
        <v>2402</v>
      </c>
      <c r="Y37">
        <v>4710</v>
      </c>
      <c r="Z37" t="s">
        <v>2525</v>
      </c>
      <c r="AA37" t="s">
        <v>2655</v>
      </c>
      <c r="AB37">
        <v>10</v>
      </c>
      <c r="AC37" t="s">
        <v>2405</v>
      </c>
      <c r="AD37" t="s">
        <v>2406</v>
      </c>
      <c r="AE37">
        <v>5</v>
      </c>
      <c r="AF37" t="s">
        <v>2407</v>
      </c>
      <c r="AG37" t="s">
        <v>2408</v>
      </c>
      <c r="AH37">
        <v>0</v>
      </c>
      <c r="AI37">
        <v>0</v>
      </c>
      <c r="AJ37">
        <v>0</v>
      </c>
      <c r="AK37">
        <v>0</v>
      </c>
    </row>
    <row r="38" spans="1:37" x14ac:dyDescent="0.25">
      <c r="A38">
        <v>2011</v>
      </c>
      <c r="B38">
        <v>18774</v>
      </c>
      <c r="C38" t="s">
        <v>2698</v>
      </c>
      <c r="D38" t="s">
        <v>2699</v>
      </c>
      <c r="G38" t="s">
        <v>2700</v>
      </c>
      <c r="H38" t="s">
        <v>85</v>
      </c>
      <c r="I38" t="s">
        <v>2701</v>
      </c>
      <c r="J38" t="s">
        <v>2702</v>
      </c>
      <c r="K38" t="s">
        <v>2703</v>
      </c>
      <c r="L38">
        <v>54.168998999999999</v>
      </c>
      <c r="M38">
        <v>-115.762199</v>
      </c>
      <c r="N38">
        <v>1983</v>
      </c>
      <c r="O38">
        <v>324121</v>
      </c>
      <c r="P38">
        <v>12</v>
      </c>
      <c r="Q38" t="s">
        <v>2704</v>
      </c>
      <c r="R38" t="s">
        <v>2705</v>
      </c>
      <c r="S38">
        <v>4813</v>
      </c>
      <c r="T38" t="s">
        <v>2428</v>
      </c>
      <c r="U38">
        <v>4813029</v>
      </c>
      <c r="V38" t="s">
        <v>2706</v>
      </c>
      <c r="X38" t="s">
        <v>2402</v>
      </c>
      <c r="Y38">
        <v>4870</v>
      </c>
      <c r="Z38" t="s">
        <v>2473</v>
      </c>
      <c r="AA38" t="s">
        <v>2707</v>
      </c>
      <c r="AB38">
        <v>9</v>
      </c>
      <c r="AC38" t="s">
        <v>2475</v>
      </c>
      <c r="AD38" t="s">
        <v>2476</v>
      </c>
      <c r="AE38">
        <v>7</v>
      </c>
      <c r="AF38" t="s">
        <v>2477</v>
      </c>
      <c r="AG38" t="s">
        <v>2478</v>
      </c>
      <c r="AH38">
        <v>0</v>
      </c>
      <c r="AI38">
        <v>0</v>
      </c>
      <c r="AJ38">
        <v>0</v>
      </c>
      <c r="AK38">
        <v>0</v>
      </c>
    </row>
    <row r="39" spans="1:37" x14ac:dyDescent="0.25">
      <c r="A39">
        <v>2014</v>
      </c>
      <c r="B39">
        <v>17929</v>
      </c>
      <c r="C39" t="s">
        <v>2708</v>
      </c>
      <c r="D39" t="s">
        <v>2709</v>
      </c>
      <c r="G39" t="s">
        <v>2710</v>
      </c>
      <c r="H39" t="s">
        <v>85</v>
      </c>
      <c r="J39" t="s">
        <v>2711</v>
      </c>
      <c r="K39" t="s">
        <v>2712</v>
      </c>
      <c r="L39">
        <v>52.584800000000001</v>
      </c>
      <c r="M39">
        <v>-112.5001</v>
      </c>
      <c r="N39">
        <v>1983</v>
      </c>
      <c r="O39">
        <v>211113</v>
      </c>
      <c r="P39">
        <v>4</v>
      </c>
      <c r="Q39" t="s">
        <v>2398</v>
      </c>
      <c r="R39" t="s">
        <v>2399</v>
      </c>
      <c r="S39">
        <v>4807</v>
      </c>
      <c r="T39" t="s">
        <v>2611</v>
      </c>
      <c r="U39">
        <v>4807019</v>
      </c>
      <c r="V39" t="s">
        <v>2713</v>
      </c>
      <c r="X39" t="s">
        <v>2402</v>
      </c>
      <c r="Y39">
        <v>4820</v>
      </c>
      <c r="Z39" t="s">
        <v>2508</v>
      </c>
      <c r="AA39" t="s">
        <v>2572</v>
      </c>
      <c r="AB39">
        <v>10</v>
      </c>
      <c r="AC39" t="s">
        <v>2405</v>
      </c>
      <c r="AD39" t="s">
        <v>2406</v>
      </c>
      <c r="AE39">
        <v>5</v>
      </c>
      <c r="AF39" t="s">
        <v>2407</v>
      </c>
      <c r="AG39" t="s">
        <v>2408</v>
      </c>
      <c r="AH39">
        <v>0</v>
      </c>
      <c r="AI39">
        <v>0</v>
      </c>
      <c r="AJ39">
        <v>0</v>
      </c>
      <c r="AK39">
        <v>0</v>
      </c>
    </row>
    <row r="40" spans="1:37" x14ac:dyDescent="0.25">
      <c r="A40">
        <v>2014</v>
      </c>
      <c r="B40">
        <v>28337</v>
      </c>
      <c r="C40" t="s">
        <v>1027</v>
      </c>
      <c r="D40" t="s">
        <v>2714</v>
      </c>
      <c r="G40" t="s">
        <v>2715</v>
      </c>
      <c r="H40" t="s">
        <v>85</v>
      </c>
      <c r="J40" t="s">
        <v>2716</v>
      </c>
      <c r="K40" t="s">
        <v>2717</v>
      </c>
      <c r="L40">
        <v>56.484520000000003</v>
      </c>
      <c r="M40">
        <v>-113.604044</v>
      </c>
      <c r="N40">
        <v>1983</v>
      </c>
      <c r="O40">
        <v>211113</v>
      </c>
      <c r="P40">
        <v>4</v>
      </c>
      <c r="Q40" t="s">
        <v>2398</v>
      </c>
      <c r="R40" t="s">
        <v>2399</v>
      </c>
      <c r="S40">
        <v>4817</v>
      </c>
      <c r="T40" t="s">
        <v>2471</v>
      </c>
      <c r="U40">
        <v>4817031</v>
      </c>
      <c r="V40" t="s">
        <v>2718</v>
      </c>
      <c r="X40" t="s">
        <v>2402</v>
      </c>
      <c r="Y40">
        <v>4870</v>
      </c>
      <c r="Z40" t="s">
        <v>2473</v>
      </c>
      <c r="AA40" t="s">
        <v>2719</v>
      </c>
      <c r="AB40">
        <v>9</v>
      </c>
      <c r="AC40" t="s">
        <v>2475</v>
      </c>
      <c r="AD40" t="s">
        <v>2476</v>
      </c>
      <c r="AE40">
        <v>7</v>
      </c>
      <c r="AF40" t="s">
        <v>2477</v>
      </c>
      <c r="AG40" t="s">
        <v>2478</v>
      </c>
      <c r="AH40">
        <v>0</v>
      </c>
      <c r="AI40">
        <v>0</v>
      </c>
      <c r="AJ40">
        <v>0</v>
      </c>
      <c r="AK40">
        <v>0</v>
      </c>
    </row>
    <row r="41" spans="1:37" x14ac:dyDescent="0.25">
      <c r="A41">
        <v>2003</v>
      </c>
      <c r="B41">
        <v>15926</v>
      </c>
      <c r="C41" t="s">
        <v>2164</v>
      </c>
      <c r="D41" t="s">
        <v>2720</v>
      </c>
      <c r="E41" t="s">
        <v>2721</v>
      </c>
      <c r="H41" t="s">
        <v>85</v>
      </c>
      <c r="J41" t="s">
        <v>2722</v>
      </c>
      <c r="K41" t="s">
        <v>2723</v>
      </c>
      <c r="L41">
        <v>54.6982</v>
      </c>
      <c r="M41">
        <v>-110.69280000000001</v>
      </c>
      <c r="N41">
        <v>1983</v>
      </c>
      <c r="O41">
        <v>211113</v>
      </c>
      <c r="P41">
        <v>4</v>
      </c>
      <c r="Q41" t="s">
        <v>2398</v>
      </c>
      <c r="R41" t="s">
        <v>2399</v>
      </c>
      <c r="S41">
        <v>4812</v>
      </c>
      <c r="T41" t="s">
        <v>2724</v>
      </c>
      <c r="U41">
        <v>4812004</v>
      </c>
      <c r="V41" t="s">
        <v>2725</v>
      </c>
      <c r="X41" t="s">
        <v>2402</v>
      </c>
      <c r="Y41">
        <v>4880</v>
      </c>
      <c r="Z41" t="s">
        <v>2726</v>
      </c>
      <c r="AA41" t="s">
        <v>2727</v>
      </c>
      <c r="AB41">
        <v>9</v>
      </c>
      <c r="AC41" t="s">
        <v>2475</v>
      </c>
      <c r="AD41" t="s">
        <v>2476</v>
      </c>
      <c r="AE41">
        <v>6</v>
      </c>
      <c r="AF41" t="s">
        <v>2728</v>
      </c>
      <c r="AG41" t="s">
        <v>2729</v>
      </c>
      <c r="AH41">
        <v>0</v>
      </c>
      <c r="AI41">
        <v>0</v>
      </c>
      <c r="AJ41">
        <v>0</v>
      </c>
      <c r="AK41">
        <v>0</v>
      </c>
    </row>
    <row r="42" spans="1:37" x14ac:dyDescent="0.25">
      <c r="A42">
        <v>2008</v>
      </c>
      <c r="B42">
        <v>19690</v>
      </c>
      <c r="C42" t="s">
        <v>2730</v>
      </c>
      <c r="D42" t="s">
        <v>2731</v>
      </c>
      <c r="E42" t="s">
        <v>2732</v>
      </c>
      <c r="G42" t="s">
        <v>2088</v>
      </c>
      <c r="H42" t="s">
        <v>69</v>
      </c>
      <c r="J42" t="s">
        <v>2733</v>
      </c>
      <c r="K42" t="s">
        <v>2734</v>
      </c>
      <c r="L42">
        <v>56.996699999999997</v>
      </c>
      <c r="M42">
        <v>-120.5564</v>
      </c>
      <c r="N42">
        <v>1983</v>
      </c>
      <c r="O42">
        <v>211113</v>
      </c>
      <c r="P42">
        <v>4</v>
      </c>
      <c r="Q42" t="s">
        <v>2398</v>
      </c>
      <c r="R42" t="s">
        <v>2399</v>
      </c>
      <c r="S42">
        <v>5955</v>
      </c>
      <c r="T42" t="s">
        <v>2492</v>
      </c>
      <c r="U42">
        <v>5955040</v>
      </c>
      <c r="V42" t="s">
        <v>2493</v>
      </c>
      <c r="X42" t="s">
        <v>2402</v>
      </c>
      <c r="Y42">
        <v>5980</v>
      </c>
      <c r="Z42" t="s">
        <v>2494</v>
      </c>
      <c r="AA42" t="s">
        <v>2495</v>
      </c>
      <c r="AB42">
        <v>9</v>
      </c>
      <c r="AC42" t="s">
        <v>2475</v>
      </c>
      <c r="AD42" t="s">
        <v>2476</v>
      </c>
      <c r="AE42">
        <v>7</v>
      </c>
      <c r="AF42" t="s">
        <v>2477</v>
      </c>
      <c r="AG42" t="s">
        <v>2478</v>
      </c>
      <c r="AH42">
        <v>0</v>
      </c>
      <c r="AI42">
        <v>0</v>
      </c>
      <c r="AJ42">
        <v>0</v>
      </c>
      <c r="AK42">
        <v>0</v>
      </c>
    </row>
    <row r="43" spans="1:37" x14ac:dyDescent="0.25">
      <c r="A43">
        <v>2010</v>
      </c>
      <c r="B43">
        <v>15009</v>
      </c>
      <c r="C43" t="s">
        <v>2735</v>
      </c>
      <c r="D43" t="s">
        <v>2736</v>
      </c>
      <c r="E43" t="s">
        <v>2737</v>
      </c>
      <c r="F43" t="s">
        <v>2738</v>
      </c>
      <c r="G43" t="s">
        <v>2739</v>
      </c>
      <c r="H43" t="s">
        <v>85</v>
      </c>
      <c r="J43" t="s">
        <v>2740</v>
      </c>
      <c r="K43" t="s">
        <v>2741</v>
      </c>
      <c r="L43">
        <v>57.2682</v>
      </c>
      <c r="M43">
        <v>-111.598</v>
      </c>
      <c r="N43">
        <v>1983</v>
      </c>
      <c r="O43">
        <v>327320</v>
      </c>
      <c r="P43">
        <v>2</v>
      </c>
      <c r="Q43" t="s">
        <v>2742</v>
      </c>
      <c r="R43" t="s">
        <v>2743</v>
      </c>
      <c r="S43">
        <v>4816</v>
      </c>
      <c r="T43" t="s">
        <v>2744</v>
      </c>
      <c r="U43">
        <v>4816037</v>
      </c>
      <c r="V43" t="s">
        <v>2745</v>
      </c>
      <c r="W43">
        <v>860</v>
      </c>
      <c r="X43" t="s">
        <v>2745</v>
      </c>
      <c r="Y43">
        <v>4880</v>
      </c>
      <c r="Z43" t="s">
        <v>2726</v>
      </c>
      <c r="AA43" t="s">
        <v>2746</v>
      </c>
      <c r="AB43">
        <v>9</v>
      </c>
      <c r="AC43" t="s">
        <v>2475</v>
      </c>
      <c r="AD43" t="s">
        <v>2476</v>
      </c>
      <c r="AE43">
        <v>7</v>
      </c>
      <c r="AF43" t="s">
        <v>2477</v>
      </c>
      <c r="AG43" t="s">
        <v>2478</v>
      </c>
      <c r="AH43">
        <v>0</v>
      </c>
      <c r="AI43">
        <v>0</v>
      </c>
      <c r="AJ43">
        <v>0</v>
      </c>
      <c r="AK43">
        <v>0</v>
      </c>
    </row>
    <row r="44" spans="1:37" x14ac:dyDescent="0.25">
      <c r="A44">
        <v>2006</v>
      </c>
      <c r="B44">
        <v>11149</v>
      </c>
      <c r="C44" t="s">
        <v>1079</v>
      </c>
      <c r="D44" t="s">
        <v>2747</v>
      </c>
      <c r="E44" t="s">
        <v>2748</v>
      </c>
      <c r="G44" t="s">
        <v>2749</v>
      </c>
      <c r="H44" t="s">
        <v>21</v>
      </c>
      <c r="I44" t="s">
        <v>2750</v>
      </c>
      <c r="K44" t="s">
        <v>2751</v>
      </c>
      <c r="L44">
        <v>43.361499999999999</v>
      </c>
      <c r="M44">
        <v>-80.314700000000002</v>
      </c>
      <c r="N44">
        <v>1983</v>
      </c>
      <c r="O44">
        <v>335990</v>
      </c>
      <c r="P44">
        <v>11</v>
      </c>
      <c r="Q44" t="s">
        <v>2532</v>
      </c>
      <c r="R44" t="s">
        <v>2533</v>
      </c>
      <c r="S44">
        <v>3530</v>
      </c>
      <c r="T44" t="s">
        <v>2752</v>
      </c>
      <c r="U44">
        <v>3530010</v>
      </c>
      <c r="V44" t="s">
        <v>2753</v>
      </c>
      <c r="W44">
        <v>541</v>
      </c>
      <c r="X44" t="s">
        <v>2754</v>
      </c>
      <c r="Y44">
        <v>3540</v>
      </c>
      <c r="Z44" t="s">
        <v>2755</v>
      </c>
      <c r="AA44" t="s">
        <v>2756</v>
      </c>
      <c r="AB44">
        <v>8</v>
      </c>
      <c r="AC44" t="s">
        <v>2420</v>
      </c>
      <c r="AD44" t="s">
        <v>2421</v>
      </c>
      <c r="AE44">
        <v>2</v>
      </c>
      <c r="AF44" t="s">
        <v>2422</v>
      </c>
      <c r="AG44" t="s">
        <v>2423</v>
      </c>
      <c r="AH44">
        <v>1</v>
      </c>
      <c r="AI44">
        <v>1</v>
      </c>
      <c r="AJ44">
        <v>0</v>
      </c>
      <c r="AK44">
        <v>1</v>
      </c>
    </row>
    <row r="45" spans="1:37" x14ac:dyDescent="0.25">
      <c r="A45">
        <v>2015</v>
      </c>
      <c r="B45">
        <v>23621</v>
      </c>
      <c r="C45" t="s">
        <v>2757</v>
      </c>
      <c r="D45" t="s">
        <v>2758</v>
      </c>
      <c r="G45" t="s">
        <v>2659</v>
      </c>
      <c r="H45" t="s">
        <v>85</v>
      </c>
      <c r="J45" t="s">
        <v>2759</v>
      </c>
      <c r="K45" t="s">
        <v>2760</v>
      </c>
      <c r="L45">
        <v>52.6267</v>
      </c>
      <c r="M45">
        <v>-114.60339999999999</v>
      </c>
      <c r="N45">
        <v>1983</v>
      </c>
      <c r="O45">
        <v>211113</v>
      </c>
      <c r="P45">
        <v>4</v>
      </c>
      <c r="Q45" t="s">
        <v>2398</v>
      </c>
      <c r="R45" t="s">
        <v>2399</v>
      </c>
      <c r="S45">
        <v>4808</v>
      </c>
      <c r="T45" t="s">
        <v>2400</v>
      </c>
      <c r="U45">
        <v>4808038</v>
      </c>
      <c r="V45" t="s">
        <v>2541</v>
      </c>
      <c r="X45" t="s">
        <v>2402</v>
      </c>
      <c r="Y45">
        <v>4850</v>
      </c>
      <c r="Z45" t="s">
        <v>1340</v>
      </c>
      <c r="AA45" t="s">
        <v>2509</v>
      </c>
      <c r="AB45">
        <v>9</v>
      </c>
      <c r="AC45" t="s">
        <v>2475</v>
      </c>
      <c r="AD45" t="s">
        <v>2476</v>
      </c>
      <c r="AE45">
        <v>5</v>
      </c>
      <c r="AF45" t="s">
        <v>2407</v>
      </c>
      <c r="AG45" t="s">
        <v>2408</v>
      </c>
      <c r="AH45">
        <v>0</v>
      </c>
      <c r="AI45">
        <v>0</v>
      </c>
      <c r="AJ45">
        <v>0</v>
      </c>
      <c r="AK45">
        <v>0</v>
      </c>
    </row>
    <row r="46" spans="1:37" x14ac:dyDescent="0.25">
      <c r="A46">
        <v>2022</v>
      </c>
      <c r="B46">
        <v>27425</v>
      </c>
      <c r="C46" t="s">
        <v>1529</v>
      </c>
      <c r="D46" t="s">
        <v>2761</v>
      </c>
      <c r="H46" t="s">
        <v>85</v>
      </c>
      <c r="J46" t="s">
        <v>2762</v>
      </c>
      <c r="K46" t="s">
        <v>2763</v>
      </c>
      <c r="L46">
        <v>54.534680000000002</v>
      </c>
      <c r="M46">
        <v>-117.11796</v>
      </c>
      <c r="N46">
        <v>1983</v>
      </c>
      <c r="O46">
        <v>211110</v>
      </c>
      <c r="P46">
        <v>4</v>
      </c>
      <c r="Q46" t="s">
        <v>2398</v>
      </c>
      <c r="R46" t="s">
        <v>2399</v>
      </c>
      <c r="S46">
        <v>4818</v>
      </c>
      <c r="T46" t="s">
        <v>2545</v>
      </c>
      <c r="U46">
        <v>4818015</v>
      </c>
      <c r="V46" t="s">
        <v>2546</v>
      </c>
      <c r="X46" t="s">
        <v>2402</v>
      </c>
      <c r="Y46">
        <v>4870</v>
      </c>
      <c r="Z46" t="s">
        <v>2473</v>
      </c>
      <c r="AA46" t="s">
        <v>2474</v>
      </c>
      <c r="AB46">
        <v>9</v>
      </c>
      <c r="AC46" t="s">
        <v>2475</v>
      </c>
      <c r="AD46" t="s">
        <v>2476</v>
      </c>
      <c r="AE46">
        <v>7</v>
      </c>
      <c r="AF46" t="s">
        <v>2477</v>
      </c>
      <c r="AG46" t="s">
        <v>2478</v>
      </c>
      <c r="AH46">
        <v>0</v>
      </c>
      <c r="AI46">
        <v>0</v>
      </c>
      <c r="AJ46">
        <v>0</v>
      </c>
      <c r="AK46">
        <v>0</v>
      </c>
    </row>
    <row r="47" spans="1:37" x14ac:dyDescent="0.25">
      <c r="A47">
        <v>2023</v>
      </c>
      <c r="B47">
        <v>6901</v>
      </c>
      <c r="C47" t="s">
        <v>2764</v>
      </c>
      <c r="D47" t="s">
        <v>2765</v>
      </c>
      <c r="G47" t="s">
        <v>2766</v>
      </c>
      <c r="H47" t="s">
        <v>243</v>
      </c>
      <c r="I47" t="s">
        <v>2767</v>
      </c>
      <c r="J47" t="s">
        <v>2768</v>
      </c>
      <c r="K47" t="s">
        <v>2769</v>
      </c>
      <c r="L47">
        <v>49.449199999999998</v>
      </c>
      <c r="M47">
        <v>-101.89749999999999</v>
      </c>
      <c r="N47">
        <v>1983</v>
      </c>
      <c r="O47">
        <v>486110</v>
      </c>
      <c r="P47">
        <v>10</v>
      </c>
      <c r="Q47" t="s">
        <v>2770</v>
      </c>
      <c r="R47" t="s">
        <v>2771</v>
      </c>
      <c r="S47">
        <v>4701</v>
      </c>
      <c r="T47" t="s">
        <v>2523</v>
      </c>
      <c r="U47">
        <v>4701039</v>
      </c>
      <c r="V47" t="s">
        <v>2772</v>
      </c>
      <c r="X47" t="s">
        <v>2402</v>
      </c>
      <c r="Y47">
        <v>4710</v>
      </c>
      <c r="Z47" t="s">
        <v>2525</v>
      </c>
      <c r="AA47" t="s">
        <v>2655</v>
      </c>
      <c r="AB47">
        <v>10</v>
      </c>
      <c r="AC47" t="s">
        <v>2405</v>
      </c>
      <c r="AD47" t="s">
        <v>2406</v>
      </c>
      <c r="AE47">
        <v>5</v>
      </c>
      <c r="AF47" t="s">
        <v>2407</v>
      </c>
      <c r="AG47" t="s">
        <v>2408</v>
      </c>
      <c r="AH47">
        <v>0</v>
      </c>
      <c r="AI47">
        <v>0</v>
      </c>
      <c r="AJ47">
        <v>0</v>
      </c>
      <c r="AK47">
        <v>0</v>
      </c>
    </row>
    <row r="48" spans="1:37" x14ac:dyDescent="0.25">
      <c r="A48">
        <v>2010</v>
      </c>
      <c r="B48">
        <v>23773</v>
      </c>
      <c r="C48" t="s">
        <v>2773</v>
      </c>
      <c r="D48" t="s">
        <v>2774</v>
      </c>
      <c r="E48" t="s">
        <v>2775</v>
      </c>
      <c r="H48" t="s">
        <v>69</v>
      </c>
      <c r="J48" t="s">
        <v>2776</v>
      </c>
      <c r="K48" t="s">
        <v>2777</v>
      </c>
      <c r="L48">
        <v>56.066800000000001</v>
      </c>
      <c r="M48">
        <v>-120.104</v>
      </c>
      <c r="N48">
        <v>1983</v>
      </c>
      <c r="O48">
        <v>211113</v>
      </c>
      <c r="P48">
        <v>4</v>
      </c>
      <c r="Q48" t="s">
        <v>2398</v>
      </c>
      <c r="R48" t="s">
        <v>2399</v>
      </c>
      <c r="S48">
        <v>5955</v>
      </c>
      <c r="T48" t="s">
        <v>2492</v>
      </c>
      <c r="U48">
        <v>5955021</v>
      </c>
      <c r="V48" t="s">
        <v>2778</v>
      </c>
      <c r="X48" t="s">
        <v>2402</v>
      </c>
      <c r="Y48">
        <v>5980</v>
      </c>
      <c r="Z48" t="s">
        <v>2494</v>
      </c>
      <c r="AA48" t="s">
        <v>2779</v>
      </c>
      <c r="AB48">
        <v>9</v>
      </c>
      <c r="AC48" t="s">
        <v>2475</v>
      </c>
      <c r="AD48" t="s">
        <v>2476</v>
      </c>
      <c r="AE48">
        <v>7</v>
      </c>
      <c r="AF48" t="s">
        <v>2477</v>
      </c>
      <c r="AG48" t="s">
        <v>2478</v>
      </c>
      <c r="AH48">
        <v>0</v>
      </c>
      <c r="AI48">
        <v>0</v>
      </c>
      <c r="AJ48">
        <v>0</v>
      </c>
      <c r="AK48">
        <v>0</v>
      </c>
    </row>
    <row r="49" spans="1:37" x14ac:dyDescent="0.25">
      <c r="A49">
        <v>2023</v>
      </c>
      <c r="B49">
        <v>33110</v>
      </c>
      <c r="C49" t="s">
        <v>2780</v>
      </c>
      <c r="D49" t="s">
        <v>2781</v>
      </c>
      <c r="H49" t="s">
        <v>85</v>
      </c>
      <c r="J49" t="s">
        <v>2782</v>
      </c>
      <c r="K49" t="s">
        <v>2783</v>
      </c>
      <c r="L49">
        <v>52.322040000000001</v>
      </c>
      <c r="M49">
        <v>-110.15155</v>
      </c>
      <c r="N49">
        <v>1983</v>
      </c>
      <c r="O49">
        <v>211110</v>
      </c>
      <c r="P49">
        <v>4</v>
      </c>
      <c r="Q49" t="s">
        <v>2398</v>
      </c>
      <c r="R49" t="s">
        <v>2399</v>
      </c>
      <c r="S49">
        <v>4807</v>
      </c>
      <c r="T49" t="s">
        <v>2611</v>
      </c>
      <c r="U49">
        <v>4807001</v>
      </c>
      <c r="V49" t="s">
        <v>2784</v>
      </c>
      <c r="X49" t="s">
        <v>2402</v>
      </c>
      <c r="Y49">
        <v>4820</v>
      </c>
      <c r="Z49" t="s">
        <v>2508</v>
      </c>
      <c r="AA49" t="s">
        <v>2572</v>
      </c>
      <c r="AB49">
        <v>10</v>
      </c>
      <c r="AC49" t="s">
        <v>2405</v>
      </c>
      <c r="AD49" t="s">
        <v>2406</v>
      </c>
      <c r="AE49">
        <v>5</v>
      </c>
      <c r="AF49" t="s">
        <v>2407</v>
      </c>
      <c r="AG49" t="s">
        <v>2408</v>
      </c>
      <c r="AH49">
        <v>0</v>
      </c>
      <c r="AI49">
        <v>0</v>
      </c>
      <c r="AJ49">
        <v>0</v>
      </c>
      <c r="AK49">
        <v>0</v>
      </c>
    </row>
    <row r="50" spans="1:37" x14ac:dyDescent="0.25">
      <c r="A50">
        <v>2022</v>
      </c>
      <c r="B50">
        <v>33452</v>
      </c>
      <c r="C50" t="s">
        <v>1791</v>
      </c>
      <c r="D50" t="s">
        <v>2785</v>
      </c>
      <c r="H50" t="s">
        <v>243</v>
      </c>
      <c r="J50" t="s">
        <v>2786</v>
      </c>
      <c r="K50" t="s">
        <v>2787</v>
      </c>
      <c r="L50">
        <v>49.074010000000001</v>
      </c>
      <c r="M50">
        <v>-103.545329</v>
      </c>
      <c r="N50">
        <v>1983</v>
      </c>
      <c r="O50">
        <v>211110</v>
      </c>
      <c r="P50">
        <v>4</v>
      </c>
      <c r="Q50" t="s">
        <v>2398</v>
      </c>
      <c r="R50" t="s">
        <v>2399</v>
      </c>
      <c r="S50">
        <v>4702</v>
      </c>
      <c r="T50" t="s">
        <v>2696</v>
      </c>
      <c r="U50">
        <v>4702001</v>
      </c>
      <c r="V50" t="s">
        <v>2788</v>
      </c>
      <c r="X50" t="s">
        <v>2402</v>
      </c>
      <c r="Y50">
        <v>4710</v>
      </c>
      <c r="Z50" t="s">
        <v>2525</v>
      </c>
      <c r="AA50" t="s">
        <v>2655</v>
      </c>
      <c r="AB50">
        <v>10</v>
      </c>
      <c r="AC50" t="s">
        <v>2405</v>
      </c>
      <c r="AD50" t="s">
        <v>2406</v>
      </c>
      <c r="AE50">
        <v>5</v>
      </c>
      <c r="AF50" t="s">
        <v>2407</v>
      </c>
      <c r="AG50" t="s">
        <v>2408</v>
      </c>
      <c r="AH50">
        <v>0</v>
      </c>
      <c r="AI50">
        <v>0</v>
      </c>
      <c r="AJ50">
        <v>0</v>
      </c>
      <c r="AK50">
        <v>0</v>
      </c>
    </row>
    <row r="51" spans="1:37" x14ac:dyDescent="0.25">
      <c r="A51">
        <v>2015</v>
      </c>
      <c r="B51">
        <v>27905</v>
      </c>
      <c r="C51" t="s">
        <v>1791</v>
      </c>
      <c r="D51" t="s">
        <v>2789</v>
      </c>
      <c r="G51" t="s">
        <v>2790</v>
      </c>
      <c r="H51" t="s">
        <v>85</v>
      </c>
      <c r="J51" t="s">
        <v>2791</v>
      </c>
      <c r="K51" t="s">
        <v>2792</v>
      </c>
      <c r="L51">
        <v>52.206519999999998</v>
      </c>
      <c r="M51">
        <v>-114.97543</v>
      </c>
      <c r="N51">
        <v>1983</v>
      </c>
      <c r="O51">
        <v>211113</v>
      </c>
      <c r="P51">
        <v>4</v>
      </c>
      <c r="Q51" t="s">
        <v>2398</v>
      </c>
      <c r="R51" t="s">
        <v>2399</v>
      </c>
      <c r="S51">
        <v>4809</v>
      </c>
      <c r="T51" t="s">
        <v>2631</v>
      </c>
      <c r="U51">
        <v>4809002</v>
      </c>
      <c r="V51" t="s">
        <v>2632</v>
      </c>
      <c r="X51" t="s">
        <v>2402</v>
      </c>
      <c r="Y51">
        <v>4840</v>
      </c>
      <c r="Z51" t="s">
        <v>2633</v>
      </c>
      <c r="AA51" t="s">
        <v>2793</v>
      </c>
      <c r="AB51">
        <v>9</v>
      </c>
      <c r="AC51" t="s">
        <v>2475</v>
      </c>
      <c r="AD51" t="s">
        <v>2476</v>
      </c>
      <c r="AE51">
        <v>5</v>
      </c>
      <c r="AF51" t="s">
        <v>2407</v>
      </c>
      <c r="AG51" t="s">
        <v>2408</v>
      </c>
      <c r="AH51">
        <v>0</v>
      </c>
      <c r="AI51">
        <v>0</v>
      </c>
      <c r="AJ51">
        <v>0</v>
      </c>
      <c r="AK51">
        <v>0</v>
      </c>
    </row>
    <row r="52" spans="1:37" x14ac:dyDescent="0.25">
      <c r="A52">
        <v>2009</v>
      </c>
      <c r="B52">
        <v>22515</v>
      </c>
      <c r="C52" t="s">
        <v>1940</v>
      </c>
      <c r="D52" t="s">
        <v>2794</v>
      </c>
      <c r="E52" t="s">
        <v>2795</v>
      </c>
      <c r="H52" t="s">
        <v>85</v>
      </c>
      <c r="J52" t="s">
        <v>2796</v>
      </c>
      <c r="K52" t="s">
        <v>2797</v>
      </c>
      <c r="L52">
        <v>55.350200000000001</v>
      </c>
      <c r="M52">
        <v>-119.3276</v>
      </c>
      <c r="N52">
        <v>1983</v>
      </c>
      <c r="O52">
        <v>211113</v>
      </c>
      <c r="P52">
        <v>4</v>
      </c>
      <c r="Q52" t="s">
        <v>2398</v>
      </c>
      <c r="R52" t="s">
        <v>2399</v>
      </c>
      <c r="S52">
        <v>4819</v>
      </c>
      <c r="T52" t="s">
        <v>2565</v>
      </c>
      <c r="U52">
        <v>4819006</v>
      </c>
      <c r="V52" t="s">
        <v>2639</v>
      </c>
      <c r="X52" t="s">
        <v>2402</v>
      </c>
      <c r="Y52">
        <v>4870</v>
      </c>
      <c r="Z52" t="s">
        <v>2473</v>
      </c>
      <c r="AA52" t="s">
        <v>2474</v>
      </c>
      <c r="AB52">
        <v>9</v>
      </c>
      <c r="AC52" t="s">
        <v>2475</v>
      </c>
      <c r="AD52" t="s">
        <v>2476</v>
      </c>
      <c r="AE52">
        <v>7</v>
      </c>
      <c r="AF52" t="s">
        <v>2477</v>
      </c>
      <c r="AG52" t="s">
        <v>2478</v>
      </c>
      <c r="AH52">
        <v>0</v>
      </c>
      <c r="AI52">
        <v>0</v>
      </c>
      <c r="AJ52">
        <v>0</v>
      </c>
      <c r="AK52">
        <v>0</v>
      </c>
    </row>
    <row r="53" spans="1:37" x14ac:dyDescent="0.25">
      <c r="A53">
        <v>2009</v>
      </c>
      <c r="B53">
        <v>6129</v>
      </c>
      <c r="C53" t="s">
        <v>2798</v>
      </c>
      <c r="D53" t="s">
        <v>2799</v>
      </c>
      <c r="E53" t="s">
        <v>2800</v>
      </c>
      <c r="G53" t="s">
        <v>2801</v>
      </c>
      <c r="H53" t="s">
        <v>79</v>
      </c>
      <c r="I53" t="s">
        <v>2802</v>
      </c>
      <c r="K53" t="s">
        <v>2803</v>
      </c>
      <c r="L53">
        <v>45.9148</v>
      </c>
      <c r="M53">
        <v>-72.516599999999997</v>
      </c>
      <c r="N53">
        <v>1983</v>
      </c>
      <c r="O53">
        <v>221320</v>
      </c>
      <c r="P53">
        <v>17</v>
      </c>
      <c r="Q53" t="s">
        <v>2804</v>
      </c>
      <c r="R53" t="s">
        <v>2805</v>
      </c>
      <c r="S53">
        <v>2449</v>
      </c>
      <c r="T53" t="s">
        <v>2806</v>
      </c>
      <c r="U53">
        <v>2449058</v>
      </c>
      <c r="V53" t="s">
        <v>2807</v>
      </c>
      <c r="W53">
        <v>447</v>
      </c>
      <c r="X53" t="s">
        <v>2807</v>
      </c>
      <c r="Y53">
        <v>2433</v>
      </c>
      <c r="Z53" t="s">
        <v>2808</v>
      </c>
      <c r="AA53" t="s">
        <v>2809</v>
      </c>
      <c r="AB53">
        <v>8</v>
      </c>
      <c r="AC53" t="s">
        <v>2420</v>
      </c>
      <c r="AD53" t="s">
        <v>2421</v>
      </c>
      <c r="AE53">
        <v>2</v>
      </c>
      <c r="AF53" t="s">
        <v>2422</v>
      </c>
      <c r="AG53" t="s">
        <v>2423</v>
      </c>
      <c r="AH53">
        <v>1</v>
      </c>
      <c r="AI53">
        <v>0</v>
      </c>
      <c r="AJ53">
        <v>1</v>
      </c>
      <c r="AK53">
        <v>1</v>
      </c>
    </row>
    <row r="54" spans="1:37" x14ac:dyDescent="0.25">
      <c r="A54">
        <v>2023</v>
      </c>
      <c r="B54">
        <v>18765</v>
      </c>
      <c r="C54" t="s">
        <v>1928</v>
      </c>
      <c r="D54" t="s">
        <v>2810</v>
      </c>
      <c r="H54" t="s">
        <v>85</v>
      </c>
      <c r="J54" t="s">
        <v>2811</v>
      </c>
      <c r="K54" t="s">
        <v>2812</v>
      </c>
      <c r="L54">
        <v>53.186799999999998</v>
      </c>
      <c r="M54">
        <v>-115.1564</v>
      </c>
      <c r="N54">
        <v>1983</v>
      </c>
      <c r="O54">
        <v>211110</v>
      </c>
      <c r="P54">
        <v>4</v>
      </c>
      <c r="Q54" t="s">
        <v>2398</v>
      </c>
      <c r="R54" t="s">
        <v>2399</v>
      </c>
      <c r="S54">
        <v>4811</v>
      </c>
      <c r="T54" t="s">
        <v>2643</v>
      </c>
      <c r="U54">
        <v>4811032</v>
      </c>
      <c r="V54" t="s">
        <v>2644</v>
      </c>
      <c r="X54" t="s">
        <v>2402</v>
      </c>
      <c r="Y54">
        <v>4860</v>
      </c>
      <c r="Z54" t="s">
        <v>2645</v>
      </c>
      <c r="AA54" t="s">
        <v>2646</v>
      </c>
      <c r="AB54">
        <v>9</v>
      </c>
      <c r="AC54" t="s">
        <v>2475</v>
      </c>
      <c r="AD54" t="s">
        <v>2476</v>
      </c>
      <c r="AE54">
        <v>7</v>
      </c>
      <c r="AF54" t="s">
        <v>2477</v>
      </c>
      <c r="AG54" t="s">
        <v>2478</v>
      </c>
      <c r="AH54">
        <v>0</v>
      </c>
      <c r="AI54">
        <v>0</v>
      </c>
      <c r="AJ54">
        <v>0</v>
      </c>
      <c r="AK54">
        <v>0</v>
      </c>
    </row>
    <row r="55" spans="1:37" x14ac:dyDescent="0.25">
      <c r="A55">
        <v>2015</v>
      </c>
      <c r="B55">
        <v>16658</v>
      </c>
      <c r="C55" t="s">
        <v>1997</v>
      </c>
      <c r="D55" t="s">
        <v>2813</v>
      </c>
      <c r="H55" t="s">
        <v>85</v>
      </c>
      <c r="J55" t="s">
        <v>2814</v>
      </c>
      <c r="K55" t="s">
        <v>2815</v>
      </c>
      <c r="L55">
        <v>58.441200000000002</v>
      </c>
      <c r="M55">
        <v>-117.24469999999999</v>
      </c>
      <c r="N55">
        <v>1983</v>
      </c>
      <c r="O55">
        <v>211113</v>
      </c>
      <c r="P55">
        <v>4</v>
      </c>
      <c r="Q55" t="s">
        <v>2398</v>
      </c>
      <c r="R55" t="s">
        <v>2399</v>
      </c>
      <c r="S55">
        <v>4817</v>
      </c>
      <c r="T55" t="s">
        <v>2471</v>
      </c>
      <c r="U55">
        <v>4817095</v>
      </c>
      <c r="V55" t="s">
        <v>2472</v>
      </c>
      <c r="X55" t="s">
        <v>2402</v>
      </c>
      <c r="Y55">
        <v>4870</v>
      </c>
      <c r="Z55" t="s">
        <v>2473</v>
      </c>
      <c r="AA55" t="s">
        <v>2474</v>
      </c>
      <c r="AB55">
        <v>9</v>
      </c>
      <c r="AC55" t="s">
        <v>2475</v>
      </c>
      <c r="AD55" t="s">
        <v>2476</v>
      </c>
      <c r="AE55">
        <v>7</v>
      </c>
      <c r="AF55" t="s">
        <v>2477</v>
      </c>
      <c r="AG55" t="s">
        <v>2478</v>
      </c>
      <c r="AH55">
        <v>0</v>
      </c>
      <c r="AI55">
        <v>0</v>
      </c>
      <c r="AJ55">
        <v>0</v>
      </c>
      <c r="AK55">
        <v>0</v>
      </c>
    </row>
    <row r="56" spans="1:37" x14ac:dyDescent="0.25">
      <c r="A56">
        <v>2023</v>
      </c>
      <c r="B56">
        <v>2857</v>
      </c>
      <c r="C56" t="s">
        <v>1918</v>
      </c>
      <c r="D56" t="s">
        <v>2816</v>
      </c>
      <c r="E56" t="s">
        <v>2817</v>
      </c>
      <c r="G56" t="s">
        <v>2818</v>
      </c>
      <c r="H56" t="s">
        <v>85</v>
      </c>
      <c r="I56" t="s">
        <v>2819</v>
      </c>
      <c r="J56" t="s">
        <v>2820</v>
      </c>
      <c r="K56" t="s">
        <v>2821</v>
      </c>
      <c r="L56">
        <v>50.846699999999998</v>
      </c>
      <c r="M56">
        <v>-113.58117</v>
      </c>
      <c r="N56">
        <v>1983</v>
      </c>
      <c r="O56">
        <v>325313</v>
      </c>
      <c r="P56">
        <v>3</v>
      </c>
      <c r="Q56" t="s">
        <v>2822</v>
      </c>
      <c r="R56" t="s">
        <v>2823</v>
      </c>
      <c r="S56">
        <v>4805</v>
      </c>
      <c r="T56" t="s">
        <v>2669</v>
      </c>
      <c r="U56">
        <v>4805012</v>
      </c>
      <c r="V56" t="s">
        <v>2670</v>
      </c>
      <c r="X56" t="s">
        <v>2402</v>
      </c>
      <c r="Y56">
        <v>4820</v>
      </c>
      <c r="Z56" t="s">
        <v>2508</v>
      </c>
      <c r="AA56" t="s">
        <v>2671</v>
      </c>
      <c r="AB56">
        <v>10</v>
      </c>
      <c r="AC56" t="s">
        <v>2405</v>
      </c>
      <c r="AD56" t="s">
        <v>2406</v>
      </c>
      <c r="AE56">
        <v>5</v>
      </c>
      <c r="AF56" t="s">
        <v>2407</v>
      </c>
      <c r="AG56" t="s">
        <v>2408</v>
      </c>
      <c r="AH56">
        <v>0</v>
      </c>
      <c r="AI56">
        <v>0</v>
      </c>
      <c r="AJ56">
        <v>0</v>
      </c>
      <c r="AK56">
        <v>0</v>
      </c>
    </row>
    <row r="57" spans="1:37" x14ac:dyDescent="0.25">
      <c r="A57">
        <v>2004</v>
      </c>
      <c r="B57">
        <v>17704</v>
      </c>
      <c r="C57" t="s">
        <v>2824</v>
      </c>
      <c r="D57" t="s">
        <v>2825</v>
      </c>
      <c r="E57" t="s">
        <v>2826</v>
      </c>
      <c r="G57" t="s">
        <v>2827</v>
      </c>
      <c r="H57" t="s">
        <v>69</v>
      </c>
      <c r="J57" t="s">
        <v>2828</v>
      </c>
      <c r="K57" t="s">
        <v>2829</v>
      </c>
      <c r="L57">
        <v>57.143999999999998</v>
      </c>
      <c r="M57">
        <v>-121.6344</v>
      </c>
      <c r="N57">
        <v>1983</v>
      </c>
      <c r="O57">
        <v>211113</v>
      </c>
      <c r="P57">
        <v>4</v>
      </c>
      <c r="Q57" t="s">
        <v>2398</v>
      </c>
      <c r="R57" t="s">
        <v>2399</v>
      </c>
      <c r="S57">
        <v>5955</v>
      </c>
      <c r="T57" t="s">
        <v>2492</v>
      </c>
      <c r="U57">
        <v>5955040</v>
      </c>
      <c r="V57" t="s">
        <v>2493</v>
      </c>
      <c r="X57" t="s">
        <v>2402</v>
      </c>
      <c r="Y57">
        <v>5980</v>
      </c>
      <c r="Z57" t="s">
        <v>2494</v>
      </c>
      <c r="AA57" t="s">
        <v>2495</v>
      </c>
      <c r="AB57">
        <v>9</v>
      </c>
      <c r="AC57" t="s">
        <v>2475</v>
      </c>
      <c r="AD57" t="s">
        <v>2476</v>
      </c>
      <c r="AE57">
        <v>7</v>
      </c>
      <c r="AF57" t="s">
        <v>2477</v>
      </c>
      <c r="AG57" t="s">
        <v>2478</v>
      </c>
      <c r="AH57">
        <v>0</v>
      </c>
      <c r="AI57">
        <v>0</v>
      </c>
      <c r="AJ57">
        <v>0</v>
      </c>
      <c r="AK57">
        <v>0</v>
      </c>
    </row>
    <row r="58" spans="1:37" x14ac:dyDescent="0.25">
      <c r="A58">
        <v>2010</v>
      </c>
      <c r="B58">
        <v>2282</v>
      </c>
      <c r="C58" t="s">
        <v>2830</v>
      </c>
      <c r="D58" t="s">
        <v>1058</v>
      </c>
      <c r="E58" t="s">
        <v>2831</v>
      </c>
      <c r="G58" t="s">
        <v>2832</v>
      </c>
      <c r="H58" t="s">
        <v>85</v>
      </c>
      <c r="I58" t="s">
        <v>2833</v>
      </c>
      <c r="J58" t="s">
        <v>2834</v>
      </c>
      <c r="K58" t="s">
        <v>2835</v>
      </c>
      <c r="L58">
        <v>53.56</v>
      </c>
      <c r="M58">
        <v>-114.4862</v>
      </c>
      <c r="N58">
        <v>1983</v>
      </c>
      <c r="O58">
        <v>221112</v>
      </c>
      <c r="P58">
        <v>5</v>
      </c>
      <c r="Q58" t="s">
        <v>2836</v>
      </c>
      <c r="R58" t="s">
        <v>2837</v>
      </c>
      <c r="S58">
        <v>4811</v>
      </c>
      <c r="T58" t="s">
        <v>2643</v>
      </c>
      <c r="U58">
        <v>4811045</v>
      </c>
      <c r="V58" t="s">
        <v>2838</v>
      </c>
      <c r="W58">
        <v>835</v>
      </c>
      <c r="X58" t="s">
        <v>2645</v>
      </c>
      <c r="Y58">
        <v>4860</v>
      </c>
      <c r="Z58" t="s">
        <v>2645</v>
      </c>
      <c r="AA58" t="s">
        <v>2839</v>
      </c>
      <c r="AB58">
        <v>9</v>
      </c>
      <c r="AC58" t="s">
        <v>2475</v>
      </c>
      <c r="AD58" t="s">
        <v>2476</v>
      </c>
      <c r="AE58">
        <v>5</v>
      </c>
      <c r="AF58" t="s">
        <v>2407</v>
      </c>
      <c r="AG58" t="s">
        <v>2408</v>
      </c>
      <c r="AH58">
        <v>0</v>
      </c>
      <c r="AI58">
        <v>0</v>
      </c>
      <c r="AJ58">
        <v>0</v>
      </c>
      <c r="AK58">
        <v>0</v>
      </c>
    </row>
    <row r="59" spans="1:37" x14ac:dyDescent="0.25">
      <c r="A59">
        <v>2013</v>
      </c>
      <c r="B59">
        <v>27787</v>
      </c>
      <c r="C59" t="s">
        <v>2840</v>
      </c>
      <c r="D59" t="s">
        <v>2841</v>
      </c>
      <c r="G59" t="s">
        <v>2842</v>
      </c>
      <c r="H59" t="s">
        <v>85</v>
      </c>
      <c r="J59" t="s">
        <v>2843</v>
      </c>
      <c r="K59" t="s">
        <v>2844</v>
      </c>
      <c r="L59">
        <v>49.956691999999997</v>
      </c>
      <c r="M59">
        <v>-111.71359200000001</v>
      </c>
      <c r="N59">
        <v>1983</v>
      </c>
      <c r="O59">
        <v>211113</v>
      </c>
      <c r="P59">
        <v>4</v>
      </c>
      <c r="Q59" t="s">
        <v>2398</v>
      </c>
      <c r="R59" t="s">
        <v>2399</v>
      </c>
      <c r="S59">
        <v>4802</v>
      </c>
      <c r="T59" t="s">
        <v>2696</v>
      </c>
      <c r="U59">
        <v>4802021</v>
      </c>
      <c r="V59" t="s">
        <v>2845</v>
      </c>
      <c r="X59" t="s">
        <v>2402</v>
      </c>
      <c r="Y59">
        <v>4810</v>
      </c>
      <c r="Z59" t="s">
        <v>2603</v>
      </c>
      <c r="AA59" t="s">
        <v>2846</v>
      </c>
      <c r="AB59">
        <v>10</v>
      </c>
      <c r="AC59" t="s">
        <v>2405</v>
      </c>
      <c r="AD59" t="s">
        <v>2406</v>
      </c>
      <c r="AE59">
        <v>5</v>
      </c>
      <c r="AF59" t="s">
        <v>2407</v>
      </c>
      <c r="AG59" t="s">
        <v>2408</v>
      </c>
      <c r="AH59">
        <v>0</v>
      </c>
      <c r="AI59">
        <v>0</v>
      </c>
      <c r="AJ59">
        <v>0</v>
      </c>
      <c r="AK59">
        <v>0</v>
      </c>
    </row>
    <row r="60" spans="1:37" x14ac:dyDescent="0.25">
      <c r="A60">
        <v>2011</v>
      </c>
      <c r="B60">
        <v>7671</v>
      </c>
      <c r="C60" t="s">
        <v>2847</v>
      </c>
      <c r="D60" t="s">
        <v>2848</v>
      </c>
      <c r="E60" t="s">
        <v>2849</v>
      </c>
      <c r="G60" t="s">
        <v>2850</v>
      </c>
      <c r="H60" t="s">
        <v>21</v>
      </c>
      <c r="I60" t="s">
        <v>2851</v>
      </c>
      <c r="K60" t="s">
        <v>2852</v>
      </c>
      <c r="L60">
        <v>43.561419999999998</v>
      </c>
      <c r="M60">
        <v>-80.203869999999995</v>
      </c>
      <c r="N60">
        <v>1983</v>
      </c>
      <c r="O60">
        <v>336340</v>
      </c>
      <c r="P60">
        <v>15</v>
      </c>
      <c r="Q60" t="s">
        <v>2592</v>
      </c>
      <c r="R60" t="s">
        <v>2593</v>
      </c>
      <c r="S60">
        <v>3523</v>
      </c>
      <c r="T60" t="s">
        <v>2853</v>
      </c>
      <c r="U60">
        <v>3523008</v>
      </c>
      <c r="V60" t="s">
        <v>2854</v>
      </c>
      <c r="W60">
        <v>550</v>
      </c>
      <c r="X60" t="s">
        <v>2854</v>
      </c>
      <c r="Y60">
        <v>3540</v>
      </c>
      <c r="Z60" t="s">
        <v>2755</v>
      </c>
      <c r="AA60" t="s">
        <v>2855</v>
      </c>
      <c r="AB60">
        <v>8</v>
      </c>
      <c r="AC60" t="s">
        <v>2420</v>
      </c>
      <c r="AD60" t="s">
        <v>2421</v>
      </c>
      <c r="AE60">
        <v>2</v>
      </c>
      <c r="AF60" t="s">
        <v>2422</v>
      </c>
      <c r="AG60" t="s">
        <v>2423</v>
      </c>
      <c r="AH60">
        <v>1</v>
      </c>
      <c r="AI60">
        <v>1</v>
      </c>
      <c r="AJ60">
        <v>0</v>
      </c>
      <c r="AK60">
        <v>1</v>
      </c>
    </row>
    <row r="61" spans="1:37" x14ac:dyDescent="0.25">
      <c r="A61">
        <v>2023</v>
      </c>
      <c r="B61">
        <v>3810</v>
      </c>
      <c r="C61" t="s">
        <v>2856</v>
      </c>
      <c r="D61" t="s">
        <v>2857</v>
      </c>
      <c r="E61" t="s">
        <v>2858</v>
      </c>
      <c r="G61" t="s">
        <v>2859</v>
      </c>
      <c r="H61" t="s">
        <v>21</v>
      </c>
      <c r="I61" t="s">
        <v>2860</v>
      </c>
      <c r="K61" t="s">
        <v>2861</v>
      </c>
      <c r="L61">
        <v>48.534399999999998</v>
      </c>
      <c r="M61">
        <v>-80.3416</v>
      </c>
      <c r="N61">
        <v>1983</v>
      </c>
      <c r="O61">
        <v>212220</v>
      </c>
      <c r="P61">
        <v>8</v>
      </c>
      <c r="Q61" t="s">
        <v>2862</v>
      </c>
      <c r="R61" t="s">
        <v>2863</v>
      </c>
      <c r="S61">
        <v>3556</v>
      </c>
      <c r="T61" t="s">
        <v>2864</v>
      </c>
      <c r="U61">
        <v>3556014</v>
      </c>
      <c r="V61" t="s">
        <v>2865</v>
      </c>
      <c r="X61" t="s">
        <v>2402</v>
      </c>
      <c r="Y61">
        <v>3590</v>
      </c>
      <c r="Z61" t="s">
        <v>2494</v>
      </c>
      <c r="AA61" t="s">
        <v>2866</v>
      </c>
      <c r="AB61">
        <v>6</v>
      </c>
      <c r="AC61" t="s">
        <v>2465</v>
      </c>
      <c r="AD61" t="s">
        <v>2466</v>
      </c>
      <c r="AE61">
        <v>4</v>
      </c>
      <c r="AF61" t="s">
        <v>2867</v>
      </c>
      <c r="AG61" t="s">
        <v>2868</v>
      </c>
      <c r="AH61">
        <v>1</v>
      </c>
      <c r="AI61">
        <v>0</v>
      </c>
      <c r="AJ61">
        <v>0</v>
      </c>
      <c r="AK61">
        <v>0</v>
      </c>
    </row>
    <row r="62" spans="1:37" x14ac:dyDescent="0.25">
      <c r="A62">
        <v>2003</v>
      </c>
      <c r="B62">
        <v>17406</v>
      </c>
      <c r="C62" t="s">
        <v>2869</v>
      </c>
      <c r="D62" t="s">
        <v>2870</v>
      </c>
      <c r="E62" t="s">
        <v>2871</v>
      </c>
      <c r="H62" t="s">
        <v>85</v>
      </c>
      <c r="J62" t="s">
        <v>2872</v>
      </c>
      <c r="K62" t="s">
        <v>2873</v>
      </c>
      <c r="L62">
        <v>57.084499999999998</v>
      </c>
      <c r="M62">
        <v>-112.91930000000001</v>
      </c>
      <c r="N62">
        <v>1983</v>
      </c>
      <c r="O62">
        <v>211113</v>
      </c>
      <c r="P62">
        <v>4</v>
      </c>
      <c r="Q62" t="s">
        <v>2398</v>
      </c>
      <c r="R62" t="s">
        <v>2399</v>
      </c>
      <c r="S62">
        <v>4817</v>
      </c>
      <c r="T62" t="s">
        <v>2471</v>
      </c>
      <c r="U62">
        <v>4817031</v>
      </c>
      <c r="V62" t="s">
        <v>2718</v>
      </c>
      <c r="X62" t="s">
        <v>2402</v>
      </c>
      <c r="Y62">
        <v>4870</v>
      </c>
      <c r="Z62" t="s">
        <v>2473</v>
      </c>
      <c r="AA62" t="s">
        <v>2719</v>
      </c>
      <c r="AB62">
        <v>9</v>
      </c>
      <c r="AC62" t="s">
        <v>2475</v>
      </c>
      <c r="AD62" t="s">
        <v>2476</v>
      </c>
      <c r="AE62">
        <v>7</v>
      </c>
      <c r="AF62" t="s">
        <v>2477</v>
      </c>
      <c r="AG62" t="s">
        <v>2478</v>
      </c>
      <c r="AH62">
        <v>0</v>
      </c>
      <c r="AI62">
        <v>0</v>
      </c>
      <c r="AJ62">
        <v>0</v>
      </c>
      <c r="AK62">
        <v>0</v>
      </c>
    </row>
    <row r="63" spans="1:37" x14ac:dyDescent="0.25">
      <c r="A63">
        <v>2012</v>
      </c>
      <c r="B63">
        <v>15166</v>
      </c>
      <c r="C63" t="s">
        <v>231</v>
      </c>
      <c r="D63" t="s">
        <v>2874</v>
      </c>
      <c r="H63" t="s">
        <v>85</v>
      </c>
      <c r="J63" t="s">
        <v>2875</v>
      </c>
      <c r="K63" t="s">
        <v>2876</v>
      </c>
      <c r="L63">
        <v>50.1511</v>
      </c>
      <c r="M63">
        <v>-113.5621</v>
      </c>
      <c r="N63">
        <v>1983</v>
      </c>
      <c r="O63">
        <v>211113</v>
      </c>
      <c r="P63">
        <v>4</v>
      </c>
      <c r="Q63" t="s">
        <v>2398</v>
      </c>
      <c r="R63" t="s">
        <v>2399</v>
      </c>
      <c r="S63">
        <v>4803</v>
      </c>
      <c r="T63" t="s">
        <v>2601</v>
      </c>
      <c r="U63">
        <v>4803018</v>
      </c>
      <c r="V63" t="s">
        <v>2602</v>
      </c>
      <c r="X63" t="s">
        <v>2402</v>
      </c>
      <c r="Y63">
        <v>4810</v>
      </c>
      <c r="Z63" t="s">
        <v>2603</v>
      </c>
      <c r="AA63" t="s">
        <v>2604</v>
      </c>
      <c r="AB63">
        <v>10</v>
      </c>
      <c r="AC63" t="s">
        <v>2405</v>
      </c>
      <c r="AD63" t="s">
        <v>2406</v>
      </c>
      <c r="AE63">
        <v>5</v>
      </c>
      <c r="AF63" t="s">
        <v>2407</v>
      </c>
      <c r="AG63" t="s">
        <v>2408</v>
      </c>
      <c r="AH63">
        <v>0</v>
      </c>
      <c r="AI63">
        <v>0</v>
      </c>
      <c r="AJ63">
        <v>0</v>
      </c>
      <c r="AK63">
        <v>0</v>
      </c>
    </row>
    <row r="64" spans="1:37" x14ac:dyDescent="0.25">
      <c r="A64">
        <v>2006</v>
      </c>
      <c r="B64">
        <v>21707</v>
      </c>
      <c r="C64" t="s">
        <v>2730</v>
      </c>
      <c r="D64" t="s">
        <v>2877</v>
      </c>
      <c r="E64" t="s">
        <v>2878</v>
      </c>
      <c r="G64" t="s">
        <v>2879</v>
      </c>
      <c r="H64" t="s">
        <v>85</v>
      </c>
      <c r="J64" t="s">
        <v>2880</v>
      </c>
      <c r="K64" t="s">
        <v>2881</v>
      </c>
      <c r="L64">
        <v>53.677100000000003</v>
      </c>
      <c r="M64">
        <v>-110.9862</v>
      </c>
      <c r="N64">
        <v>1983</v>
      </c>
      <c r="O64">
        <v>211113</v>
      </c>
      <c r="P64">
        <v>4</v>
      </c>
      <c r="Q64" t="s">
        <v>2398</v>
      </c>
      <c r="R64" t="s">
        <v>2399</v>
      </c>
      <c r="S64">
        <v>4810</v>
      </c>
      <c r="T64" t="s">
        <v>2554</v>
      </c>
      <c r="U64">
        <v>4810048</v>
      </c>
      <c r="V64" t="s">
        <v>2882</v>
      </c>
      <c r="X64" t="s">
        <v>2402</v>
      </c>
      <c r="Y64">
        <v>4820</v>
      </c>
      <c r="Z64" t="s">
        <v>2508</v>
      </c>
      <c r="AA64" t="s">
        <v>2572</v>
      </c>
      <c r="AB64">
        <v>10</v>
      </c>
      <c r="AC64" t="s">
        <v>2405</v>
      </c>
      <c r="AD64" t="s">
        <v>2406</v>
      </c>
      <c r="AE64">
        <v>5</v>
      </c>
      <c r="AF64" t="s">
        <v>2407</v>
      </c>
      <c r="AG64" t="s">
        <v>2408</v>
      </c>
      <c r="AH64">
        <v>0</v>
      </c>
      <c r="AI64">
        <v>0</v>
      </c>
      <c r="AJ64">
        <v>0</v>
      </c>
      <c r="AK64">
        <v>0</v>
      </c>
    </row>
    <row r="65" spans="1:37" x14ac:dyDescent="0.25">
      <c r="A65">
        <v>2022</v>
      </c>
      <c r="B65">
        <v>33630</v>
      </c>
      <c r="C65" t="s">
        <v>2883</v>
      </c>
      <c r="D65" t="s">
        <v>2884</v>
      </c>
      <c r="H65" t="s">
        <v>243</v>
      </c>
      <c r="J65" t="s">
        <v>2885</v>
      </c>
      <c r="K65" t="s">
        <v>2886</v>
      </c>
      <c r="L65">
        <v>49.172680999999997</v>
      </c>
      <c r="M65">
        <v>-109.420407</v>
      </c>
      <c r="N65">
        <v>1983</v>
      </c>
      <c r="O65">
        <v>211110</v>
      </c>
      <c r="P65">
        <v>4</v>
      </c>
      <c r="Q65" t="s">
        <v>2398</v>
      </c>
      <c r="R65" t="s">
        <v>2399</v>
      </c>
      <c r="S65">
        <v>4704</v>
      </c>
      <c r="T65" t="s">
        <v>2506</v>
      </c>
      <c r="U65">
        <v>4704019</v>
      </c>
      <c r="V65" t="s">
        <v>2887</v>
      </c>
      <c r="X65" t="s">
        <v>2402</v>
      </c>
      <c r="Y65">
        <v>4720</v>
      </c>
      <c r="Z65" t="s">
        <v>2403</v>
      </c>
      <c r="AA65" t="s">
        <v>2404</v>
      </c>
      <c r="AB65">
        <v>10</v>
      </c>
      <c r="AC65" t="s">
        <v>2405</v>
      </c>
      <c r="AD65" t="s">
        <v>2406</v>
      </c>
      <c r="AE65">
        <v>11</v>
      </c>
      <c r="AF65" t="s">
        <v>2888</v>
      </c>
      <c r="AG65" t="s">
        <v>2889</v>
      </c>
      <c r="AH65">
        <v>0</v>
      </c>
      <c r="AI65">
        <v>0</v>
      </c>
      <c r="AJ65">
        <v>0</v>
      </c>
      <c r="AK65">
        <v>0</v>
      </c>
    </row>
    <row r="66" spans="1:37" x14ac:dyDescent="0.25">
      <c r="A66">
        <v>2023</v>
      </c>
      <c r="B66">
        <v>21096</v>
      </c>
      <c r="C66" t="s">
        <v>1027</v>
      </c>
      <c r="D66" t="s">
        <v>2890</v>
      </c>
      <c r="G66" t="s">
        <v>2891</v>
      </c>
      <c r="H66" t="s">
        <v>85</v>
      </c>
      <c r="I66" t="s">
        <v>2892</v>
      </c>
      <c r="J66" t="s">
        <v>2893</v>
      </c>
      <c r="K66" t="s">
        <v>2894</v>
      </c>
      <c r="L66">
        <v>54.189799999999998</v>
      </c>
      <c r="M66">
        <v>-110.50579999999999</v>
      </c>
      <c r="N66">
        <v>1983</v>
      </c>
      <c r="O66">
        <v>211110</v>
      </c>
      <c r="P66">
        <v>4</v>
      </c>
      <c r="Q66" t="s">
        <v>2398</v>
      </c>
      <c r="R66" t="s">
        <v>2399</v>
      </c>
      <c r="S66">
        <v>4812</v>
      </c>
      <c r="T66" t="s">
        <v>2724</v>
      </c>
      <c r="U66">
        <v>4812004</v>
      </c>
      <c r="V66" t="s">
        <v>2725</v>
      </c>
      <c r="X66" t="s">
        <v>2402</v>
      </c>
      <c r="Y66">
        <v>4880</v>
      </c>
      <c r="Z66" t="s">
        <v>2726</v>
      </c>
      <c r="AA66" t="s">
        <v>2727</v>
      </c>
      <c r="AB66">
        <v>9</v>
      </c>
      <c r="AC66" t="s">
        <v>2475</v>
      </c>
      <c r="AD66" t="s">
        <v>2476</v>
      </c>
      <c r="AE66">
        <v>6</v>
      </c>
      <c r="AF66" t="s">
        <v>2728</v>
      </c>
      <c r="AG66" t="s">
        <v>2729</v>
      </c>
      <c r="AH66">
        <v>0</v>
      </c>
      <c r="AI66">
        <v>0</v>
      </c>
      <c r="AJ66">
        <v>0</v>
      </c>
      <c r="AK66">
        <v>0</v>
      </c>
    </row>
    <row r="67" spans="1:37" x14ac:dyDescent="0.25">
      <c r="A67">
        <v>2020</v>
      </c>
      <c r="B67">
        <v>16302</v>
      </c>
      <c r="C67" t="s">
        <v>1027</v>
      </c>
      <c r="D67" t="s">
        <v>2895</v>
      </c>
      <c r="H67" t="s">
        <v>85</v>
      </c>
      <c r="J67" t="s">
        <v>2896</v>
      </c>
      <c r="K67" t="s">
        <v>2897</v>
      </c>
      <c r="L67">
        <v>55.651800000000001</v>
      </c>
      <c r="M67">
        <v>-111.0844</v>
      </c>
      <c r="N67">
        <v>1983</v>
      </c>
      <c r="O67">
        <v>211110</v>
      </c>
      <c r="P67">
        <v>4</v>
      </c>
      <c r="Q67" t="s">
        <v>2398</v>
      </c>
      <c r="R67" t="s">
        <v>2399</v>
      </c>
      <c r="S67">
        <v>4816</v>
      </c>
      <c r="T67" t="s">
        <v>2744</v>
      </c>
      <c r="U67">
        <v>4816037</v>
      </c>
      <c r="V67" t="s">
        <v>2745</v>
      </c>
      <c r="W67">
        <v>860</v>
      </c>
      <c r="X67" t="s">
        <v>2745</v>
      </c>
      <c r="Y67">
        <v>4880</v>
      </c>
      <c r="Z67" t="s">
        <v>2726</v>
      </c>
      <c r="AA67" t="s">
        <v>2898</v>
      </c>
      <c r="AB67">
        <v>9</v>
      </c>
      <c r="AC67" t="s">
        <v>2475</v>
      </c>
      <c r="AD67" t="s">
        <v>2476</v>
      </c>
      <c r="AE67">
        <v>7</v>
      </c>
      <c r="AF67" t="s">
        <v>2477</v>
      </c>
      <c r="AG67" t="s">
        <v>2478</v>
      </c>
      <c r="AH67">
        <v>0</v>
      </c>
      <c r="AI67">
        <v>0</v>
      </c>
      <c r="AJ67">
        <v>0</v>
      </c>
      <c r="AK67">
        <v>0</v>
      </c>
    </row>
    <row r="68" spans="1:37" x14ac:dyDescent="0.25">
      <c r="A68">
        <v>2012</v>
      </c>
      <c r="B68">
        <v>25283</v>
      </c>
      <c r="C68" t="s">
        <v>2757</v>
      </c>
      <c r="D68" t="s">
        <v>2899</v>
      </c>
      <c r="G68" t="s">
        <v>2659</v>
      </c>
      <c r="H68" t="s">
        <v>85</v>
      </c>
      <c r="J68" t="s">
        <v>2900</v>
      </c>
      <c r="K68" t="s">
        <v>2901</v>
      </c>
      <c r="L68">
        <v>54.825812999999997</v>
      </c>
      <c r="M68">
        <v>-119.166614</v>
      </c>
      <c r="N68">
        <v>1983</v>
      </c>
      <c r="O68">
        <v>211113</v>
      </c>
      <c r="P68">
        <v>4</v>
      </c>
      <c r="Q68" t="s">
        <v>2398</v>
      </c>
      <c r="R68" t="s">
        <v>2399</v>
      </c>
      <c r="S68">
        <v>4818</v>
      </c>
      <c r="T68" t="s">
        <v>2545</v>
      </c>
      <c r="U68">
        <v>4818015</v>
      </c>
      <c r="V68" t="s">
        <v>2546</v>
      </c>
      <c r="X68" t="s">
        <v>2402</v>
      </c>
      <c r="Y68">
        <v>4870</v>
      </c>
      <c r="Z68" t="s">
        <v>2473</v>
      </c>
      <c r="AA68" t="s">
        <v>2474</v>
      </c>
      <c r="AB68">
        <v>9</v>
      </c>
      <c r="AC68" t="s">
        <v>2475</v>
      </c>
      <c r="AD68" t="s">
        <v>2476</v>
      </c>
      <c r="AE68">
        <v>7</v>
      </c>
      <c r="AF68" t="s">
        <v>2477</v>
      </c>
      <c r="AG68" t="s">
        <v>2478</v>
      </c>
      <c r="AH68">
        <v>0</v>
      </c>
      <c r="AI68">
        <v>0</v>
      </c>
      <c r="AJ68">
        <v>0</v>
      </c>
      <c r="AK68">
        <v>0</v>
      </c>
    </row>
    <row r="69" spans="1:37" x14ac:dyDescent="0.25">
      <c r="A69">
        <v>2023</v>
      </c>
      <c r="B69">
        <v>32065</v>
      </c>
      <c r="C69" t="s">
        <v>2148</v>
      </c>
      <c r="D69" t="s">
        <v>2902</v>
      </c>
      <c r="H69" t="s">
        <v>85</v>
      </c>
      <c r="J69" t="s">
        <v>2903</v>
      </c>
      <c r="K69" t="s">
        <v>2904</v>
      </c>
      <c r="L69">
        <v>50.655450000000002</v>
      </c>
      <c r="M69">
        <v>-112.4237</v>
      </c>
      <c r="N69">
        <v>1983</v>
      </c>
      <c r="O69">
        <v>211110</v>
      </c>
      <c r="P69">
        <v>4</v>
      </c>
      <c r="Q69" t="s">
        <v>2398</v>
      </c>
      <c r="R69" t="s">
        <v>2399</v>
      </c>
      <c r="S69">
        <v>4802</v>
      </c>
      <c r="T69" t="s">
        <v>2696</v>
      </c>
      <c r="U69">
        <v>4802031</v>
      </c>
      <c r="V69" t="s">
        <v>2905</v>
      </c>
      <c r="W69">
        <v>806</v>
      </c>
      <c r="X69" t="s">
        <v>2906</v>
      </c>
      <c r="Y69">
        <v>4810</v>
      </c>
      <c r="Z69" t="s">
        <v>2603</v>
      </c>
      <c r="AA69" t="s">
        <v>2671</v>
      </c>
      <c r="AB69">
        <v>10</v>
      </c>
      <c r="AC69" t="s">
        <v>2405</v>
      </c>
      <c r="AD69" t="s">
        <v>2406</v>
      </c>
      <c r="AE69">
        <v>5</v>
      </c>
      <c r="AF69" t="s">
        <v>2407</v>
      </c>
      <c r="AG69" t="s">
        <v>2408</v>
      </c>
      <c r="AH69">
        <v>0</v>
      </c>
      <c r="AI69">
        <v>0</v>
      </c>
      <c r="AJ69">
        <v>0</v>
      </c>
      <c r="AK69">
        <v>0</v>
      </c>
    </row>
    <row r="70" spans="1:37" x14ac:dyDescent="0.25">
      <c r="A70">
        <v>2010</v>
      </c>
      <c r="B70">
        <v>21565</v>
      </c>
      <c r="C70" t="s">
        <v>2907</v>
      </c>
      <c r="D70" t="s">
        <v>2908</v>
      </c>
      <c r="E70" t="s">
        <v>2909</v>
      </c>
      <c r="H70" t="s">
        <v>85</v>
      </c>
      <c r="J70" t="s">
        <v>2910</v>
      </c>
      <c r="K70" t="s">
        <v>2911</v>
      </c>
      <c r="L70">
        <v>51.077100000000002</v>
      </c>
      <c r="M70">
        <v>-112.4269</v>
      </c>
      <c r="N70">
        <v>1983</v>
      </c>
      <c r="O70">
        <v>211113</v>
      </c>
      <c r="P70">
        <v>4</v>
      </c>
      <c r="Q70" t="s">
        <v>2398</v>
      </c>
      <c r="R70" t="s">
        <v>2399</v>
      </c>
      <c r="S70">
        <v>4805</v>
      </c>
      <c r="T70" t="s">
        <v>2669</v>
      </c>
      <c r="U70">
        <v>4805012</v>
      </c>
      <c r="V70" t="s">
        <v>2670</v>
      </c>
      <c r="X70" t="s">
        <v>2402</v>
      </c>
      <c r="Y70">
        <v>4820</v>
      </c>
      <c r="Z70" t="s">
        <v>2508</v>
      </c>
      <c r="AA70" t="s">
        <v>2671</v>
      </c>
      <c r="AB70">
        <v>10</v>
      </c>
      <c r="AC70" t="s">
        <v>2405</v>
      </c>
      <c r="AD70" t="s">
        <v>2406</v>
      </c>
      <c r="AE70">
        <v>5</v>
      </c>
      <c r="AF70" t="s">
        <v>2407</v>
      </c>
      <c r="AG70" t="s">
        <v>2408</v>
      </c>
      <c r="AH70">
        <v>0</v>
      </c>
      <c r="AI70">
        <v>0</v>
      </c>
      <c r="AJ70">
        <v>0</v>
      </c>
      <c r="AK70">
        <v>0</v>
      </c>
    </row>
    <row r="71" spans="1:37" x14ac:dyDescent="0.25">
      <c r="A71">
        <v>2006</v>
      </c>
      <c r="B71">
        <v>10608</v>
      </c>
      <c r="C71" t="s">
        <v>2912</v>
      </c>
      <c r="D71" t="s">
        <v>2913</v>
      </c>
      <c r="E71" t="s">
        <v>2914</v>
      </c>
      <c r="G71" t="s">
        <v>2435</v>
      </c>
      <c r="H71" t="s">
        <v>21</v>
      </c>
      <c r="I71" t="s">
        <v>2915</v>
      </c>
      <c r="K71" t="s">
        <v>2916</v>
      </c>
      <c r="L71">
        <v>43.691200000000002</v>
      </c>
      <c r="M71">
        <v>-79.752700000000004</v>
      </c>
      <c r="N71">
        <v>1983</v>
      </c>
      <c r="O71">
        <v>622111</v>
      </c>
      <c r="P71">
        <v>19</v>
      </c>
      <c r="Q71" t="s">
        <v>2552</v>
      </c>
      <c r="R71" t="s">
        <v>2553</v>
      </c>
      <c r="S71">
        <v>3521</v>
      </c>
      <c r="T71" t="s">
        <v>2438</v>
      </c>
      <c r="U71">
        <v>3521010</v>
      </c>
      <c r="V71" t="s">
        <v>352</v>
      </c>
      <c r="W71">
        <v>535</v>
      </c>
      <c r="X71" t="s">
        <v>2439</v>
      </c>
      <c r="Y71">
        <v>3530</v>
      </c>
      <c r="Z71" t="s">
        <v>2439</v>
      </c>
      <c r="AA71" t="s">
        <v>2917</v>
      </c>
      <c r="AB71">
        <v>8</v>
      </c>
      <c r="AC71" t="s">
        <v>2420</v>
      </c>
      <c r="AD71" t="s">
        <v>2421</v>
      </c>
      <c r="AE71">
        <v>2</v>
      </c>
      <c r="AF71" t="s">
        <v>2422</v>
      </c>
      <c r="AG71" t="s">
        <v>2423</v>
      </c>
      <c r="AH71">
        <v>1</v>
      </c>
      <c r="AI71">
        <v>1</v>
      </c>
      <c r="AJ71">
        <v>0</v>
      </c>
      <c r="AK71">
        <v>1</v>
      </c>
    </row>
    <row r="72" spans="1:37" x14ac:dyDescent="0.25">
      <c r="A72">
        <v>2023</v>
      </c>
      <c r="B72">
        <v>5884</v>
      </c>
      <c r="C72" t="s">
        <v>2292</v>
      </c>
      <c r="D72" t="s">
        <v>2918</v>
      </c>
      <c r="E72" t="s">
        <v>2919</v>
      </c>
      <c r="G72" t="s">
        <v>2439</v>
      </c>
      <c r="H72" t="s">
        <v>21</v>
      </c>
      <c r="I72" t="s">
        <v>2920</v>
      </c>
      <c r="K72" t="s">
        <v>2921</v>
      </c>
      <c r="L72">
        <v>43.700299999999999</v>
      </c>
      <c r="M72">
        <v>-79.356899999999996</v>
      </c>
      <c r="N72">
        <v>1983</v>
      </c>
      <c r="O72">
        <v>221320</v>
      </c>
      <c r="P72">
        <v>17</v>
      </c>
      <c r="Q72" t="s">
        <v>2804</v>
      </c>
      <c r="R72" t="s">
        <v>2805</v>
      </c>
      <c r="S72">
        <v>3520</v>
      </c>
      <c r="T72" t="s">
        <v>2439</v>
      </c>
      <c r="U72">
        <v>3520005</v>
      </c>
      <c r="V72" t="s">
        <v>2439</v>
      </c>
      <c r="W72">
        <v>535</v>
      </c>
      <c r="X72" t="s">
        <v>2439</v>
      </c>
      <c r="Y72">
        <v>3530</v>
      </c>
      <c r="Z72" t="s">
        <v>2439</v>
      </c>
      <c r="AA72" t="s">
        <v>2922</v>
      </c>
      <c r="AB72">
        <v>8</v>
      </c>
      <c r="AC72" t="s">
        <v>2420</v>
      </c>
      <c r="AD72" t="s">
        <v>2421</v>
      </c>
      <c r="AE72">
        <v>2</v>
      </c>
      <c r="AF72" t="s">
        <v>2422</v>
      </c>
      <c r="AG72" t="s">
        <v>2423</v>
      </c>
      <c r="AH72">
        <v>1</v>
      </c>
      <c r="AI72">
        <v>1</v>
      </c>
      <c r="AJ72">
        <v>0</v>
      </c>
      <c r="AK72">
        <v>1</v>
      </c>
    </row>
    <row r="73" spans="1:37" x14ac:dyDescent="0.25">
      <c r="A73">
        <v>2011</v>
      </c>
      <c r="B73">
        <v>6928</v>
      </c>
      <c r="C73" t="s">
        <v>2064</v>
      </c>
      <c r="D73" t="s">
        <v>2923</v>
      </c>
      <c r="G73" t="s">
        <v>2924</v>
      </c>
      <c r="H73" t="s">
        <v>243</v>
      </c>
      <c r="I73" t="s">
        <v>2925</v>
      </c>
      <c r="J73" t="s">
        <v>2926</v>
      </c>
      <c r="K73" t="s">
        <v>2927</v>
      </c>
      <c r="L73">
        <v>49.318300000000001</v>
      </c>
      <c r="M73">
        <v>-102.8408</v>
      </c>
      <c r="N73">
        <v>1983</v>
      </c>
      <c r="O73">
        <v>486110</v>
      </c>
      <c r="P73">
        <v>10</v>
      </c>
      <c r="Q73" t="s">
        <v>2770</v>
      </c>
      <c r="R73" t="s">
        <v>2771</v>
      </c>
      <c r="S73">
        <v>4701</v>
      </c>
      <c r="T73" t="s">
        <v>2523</v>
      </c>
      <c r="U73">
        <v>4701027</v>
      </c>
      <c r="V73" t="s">
        <v>2928</v>
      </c>
      <c r="X73" t="s">
        <v>2402</v>
      </c>
      <c r="Y73">
        <v>4710</v>
      </c>
      <c r="Z73" t="s">
        <v>2525</v>
      </c>
      <c r="AA73" t="s">
        <v>2655</v>
      </c>
      <c r="AB73">
        <v>10</v>
      </c>
      <c r="AC73" t="s">
        <v>2405</v>
      </c>
      <c r="AD73" t="s">
        <v>2406</v>
      </c>
      <c r="AE73">
        <v>5</v>
      </c>
      <c r="AF73" t="s">
        <v>2407</v>
      </c>
      <c r="AG73" t="s">
        <v>2408</v>
      </c>
      <c r="AH73">
        <v>0</v>
      </c>
      <c r="AI73">
        <v>0</v>
      </c>
      <c r="AJ73">
        <v>0</v>
      </c>
      <c r="AK73">
        <v>0</v>
      </c>
    </row>
    <row r="74" spans="1:37" x14ac:dyDescent="0.25">
      <c r="A74">
        <v>2020</v>
      </c>
      <c r="B74">
        <v>30330</v>
      </c>
      <c r="C74" t="s">
        <v>1651</v>
      </c>
      <c r="D74" t="s">
        <v>2929</v>
      </c>
      <c r="H74" t="s">
        <v>243</v>
      </c>
      <c r="J74" t="s">
        <v>2930</v>
      </c>
      <c r="K74" t="s">
        <v>2931</v>
      </c>
      <c r="L74">
        <v>49.204549999999998</v>
      </c>
      <c r="M74">
        <v>-102.25609799999999</v>
      </c>
      <c r="N74">
        <v>1983</v>
      </c>
      <c r="O74">
        <v>211110</v>
      </c>
      <c r="P74">
        <v>4</v>
      </c>
      <c r="Q74" t="s">
        <v>2398</v>
      </c>
      <c r="R74" t="s">
        <v>2399</v>
      </c>
      <c r="S74">
        <v>4701</v>
      </c>
      <c r="T74" t="s">
        <v>2523</v>
      </c>
      <c r="U74">
        <v>4701011</v>
      </c>
      <c r="V74" t="s">
        <v>2932</v>
      </c>
      <c r="X74" t="s">
        <v>2402</v>
      </c>
      <c r="Y74">
        <v>4710</v>
      </c>
      <c r="Z74" t="s">
        <v>2525</v>
      </c>
      <c r="AA74" t="s">
        <v>2655</v>
      </c>
      <c r="AB74">
        <v>10</v>
      </c>
      <c r="AC74" t="s">
        <v>2405</v>
      </c>
      <c r="AD74" t="s">
        <v>2406</v>
      </c>
      <c r="AE74">
        <v>5</v>
      </c>
      <c r="AF74" t="s">
        <v>2407</v>
      </c>
      <c r="AG74" t="s">
        <v>2408</v>
      </c>
      <c r="AH74">
        <v>0</v>
      </c>
      <c r="AI74">
        <v>0</v>
      </c>
      <c r="AJ74">
        <v>0</v>
      </c>
      <c r="AK74">
        <v>0</v>
      </c>
    </row>
    <row r="75" spans="1:37" x14ac:dyDescent="0.25">
      <c r="A75">
        <v>2004</v>
      </c>
      <c r="B75">
        <v>3210</v>
      </c>
      <c r="C75" t="s">
        <v>187</v>
      </c>
      <c r="D75" t="s">
        <v>2933</v>
      </c>
      <c r="E75" t="s">
        <v>2934</v>
      </c>
      <c r="G75" t="s">
        <v>655</v>
      </c>
      <c r="H75" t="s">
        <v>21</v>
      </c>
      <c r="I75" t="s">
        <v>2935</v>
      </c>
      <c r="K75" t="s">
        <v>2936</v>
      </c>
      <c r="L75">
        <v>44.613100000000003</v>
      </c>
      <c r="M75">
        <v>-75.695099999999996</v>
      </c>
      <c r="N75">
        <v>1983</v>
      </c>
      <c r="O75">
        <v>339990</v>
      </c>
      <c r="P75">
        <v>11</v>
      </c>
      <c r="Q75" t="s">
        <v>2532</v>
      </c>
      <c r="R75" t="s">
        <v>2533</v>
      </c>
      <c r="S75">
        <v>3507</v>
      </c>
      <c r="T75" t="s">
        <v>2937</v>
      </c>
      <c r="U75">
        <v>3507015</v>
      </c>
      <c r="V75" t="s">
        <v>2938</v>
      </c>
      <c r="W75">
        <v>512</v>
      </c>
      <c r="X75" t="s">
        <v>2938</v>
      </c>
      <c r="Y75">
        <v>3510</v>
      </c>
      <c r="Z75" t="s">
        <v>2939</v>
      </c>
      <c r="AA75" t="s">
        <v>2940</v>
      </c>
      <c r="AB75">
        <v>8</v>
      </c>
      <c r="AC75" t="s">
        <v>2420</v>
      </c>
      <c r="AD75" t="s">
        <v>2421</v>
      </c>
      <c r="AE75">
        <v>2</v>
      </c>
      <c r="AF75" t="s">
        <v>2422</v>
      </c>
      <c r="AG75" t="s">
        <v>2423</v>
      </c>
      <c r="AH75">
        <v>1</v>
      </c>
      <c r="AI75">
        <v>1</v>
      </c>
      <c r="AJ75">
        <v>0</v>
      </c>
      <c r="AK75">
        <v>1</v>
      </c>
    </row>
    <row r="76" spans="1:37" x14ac:dyDescent="0.25">
      <c r="A76">
        <v>2009</v>
      </c>
      <c r="B76">
        <v>16782</v>
      </c>
      <c r="C76" t="s">
        <v>2941</v>
      </c>
      <c r="D76" t="s">
        <v>2942</v>
      </c>
      <c r="E76" t="s">
        <v>2943</v>
      </c>
      <c r="H76" t="s">
        <v>85</v>
      </c>
      <c r="J76" t="s">
        <v>2944</v>
      </c>
      <c r="K76" t="s">
        <v>2945</v>
      </c>
      <c r="L76">
        <v>53.763399999999997</v>
      </c>
      <c r="M76">
        <v>-114.77</v>
      </c>
      <c r="N76">
        <v>1983</v>
      </c>
      <c r="O76">
        <v>211113</v>
      </c>
      <c r="P76">
        <v>4</v>
      </c>
      <c r="Q76" t="s">
        <v>2398</v>
      </c>
      <c r="R76" t="s">
        <v>2399</v>
      </c>
      <c r="S76">
        <v>4813</v>
      </c>
      <c r="T76" t="s">
        <v>2428</v>
      </c>
      <c r="U76">
        <v>4813001</v>
      </c>
      <c r="V76" t="s">
        <v>2946</v>
      </c>
      <c r="X76" t="s">
        <v>2402</v>
      </c>
      <c r="Y76">
        <v>4870</v>
      </c>
      <c r="Z76" t="s">
        <v>2473</v>
      </c>
      <c r="AA76" t="s">
        <v>2839</v>
      </c>
      <c r="AB76">
        <v>9</v>
      </c>
      <c r="AC76" t="s">
        <v>2475</v>
      </c>
      <c r="AD76" t="s">
        <v>2476</v>
      </c>
      <c r="AE76">
        <v>7</v>
      </c>
      <c r="AF76" t="s">
        <v>2477</v>
      </c>
      <c r="AG76" t="s">
        <v>2478</v>
      </c>
      <c r="AH76">
        <v>0</v>
      </c>
      <c r="AI76">
        <v>0</v>
      </c>
      <c r="AJ76">
        <v>0</v>
      </c>
      <c r="AK76">
        <v>0</v>
      </c>
    </row>
    <row r="77" spans="1:37" x14ac:dyDescent="0.25">
      <c r="A77">
        <v>2012</v>
      </c>
      <c r="B77">
        <v>21408</v>
      </c>
      <c r="C77" t="s">
        <v>1718</v>
      </c>
      <c r="D77" t="s">
        <v>2947</v>
      </c>
      <c r="H77" t="s">
        <v>85</v>
      </c>
      <c r="J77" t="s">
        <v>2948</v>
      </c>
      <c r="K77" t="s">
        <v>2949</v>
      </c>
      <c r="L77">
        <v>50.999600000000001</v>
      </c>
      <c r="M77">
        <v>-112.4438</v>
      </c>
      <c r="N77">
        <v>1983</v>
      </c>
      <c r="O77">
        <v>211113</v>
      </c>
      <c r="P77">
        <v>4</v>
      </c>
      <c r="Q77" t="s">
        <v>2398</v>
      </c>
      <c r="R77" t="s">
        <v>2399</v>
      </c>
      <c r="S77">
        <v>4802</v>
      </c>
      <c r="T77" t="s">
        <v>2696</v>
      </c>
      <c r="U77">
        <v>4802031</v>
      </c>
      <c r="V77" t="s">
        <v>2905</v>
      </c>
      <c r="W77">
        <v>806</v>
      </c>
      <c r="X77" t="s">
        <v>2906</v>
      </c>
      <c r="Y77">
        <v>4810</v>
      </c>
      <c r="Z77" t="s">
        <v>2603</v>
      </c>
      <c r="AA77" t="s">
        <v>2671</v>
      </c>
      <c r="AB77">
        <v>10</v>
      </c>
      <c r="AC77" t="s">
        <v>2405</v>
      </c>
      <c r="AD77" t="s">
        <v>2406</v>
      </c>
      <c r="AE77">
        <v>5</v>
      </c>
      <c r="AF77" t="s">
        <v>2407</v>
      </c>
      <c r="AG77" t="s">
        <v>2408</v>
      </c>
      <c r="AH77">
        <v>0</v>
      </c>
      <c r="AI77">
        <v>0</v>
      </c>
      <c r="AJ77">
        <v>0</v>
      </c>
      <c r="AK77">
        <v>0</v>
      </c>
    </row>
    <row r="78" spans="1:37" x14ac:dyDescent="0.25">
      <c r="A78">
        <v>2023</v>
      </c>
      <c r="B78">
        <v>17100</v>
      </c>
      <c r="C78" t="s">
        <v>1718</v>
      </c>
      <c r="D78" t="s">
        <v>2950</v>
      </c>
      <c r="H78" t="s">
        <v>85</v>
      </c>
      <c r="I78" t="s">
        <v>2568</v>
      </c>
      <c r="J78" t="s">
        <v>2951</v>
      </c>
      <c r="K78" t="s">
        <v>2952</v>
      </c>
      <c r="L78">
        <v>53.0687</v>
      </c>
      <c r="M78">
        <v>-110.5722</v>
      </c>
      <c r="N78">
        <v>1983</v>
      </c>
      <c r="O78">
        <v>211110</v>
      </c>
      <c r="P78">
        <v>4</v>
      </c>
      <c r="Q78" t="s">
        <v>2398</v>
      </c>
      <c r="R78" t="s">
        <v>2399</v>
      </c>
      <c r="S78">
        <v>4810</v>
      </c>
      <c r="T78" t="s">
        <v>2554</v>
      </c>
      <c r="U78">
        <v>4810036</v>
      </c>
      <c r="V78" t="s">
        <v>2571</v>
      </c>
      <c r="X78" t="s">
        <v>2402</v>
      </c>
      <c r="Y78">
        <v>4820</v>
      </c>
      <c r="Z78" t="s">
        <v>2508</v>
      </c>
      <c r="AA78" t="s">
        <v>2572</v>
      </c>
      <c r="AB78">
        <v>10</v>
      </c>
      <c r="AC78" t="s">
        <v>2405</v>
      </c>
      <c r="AD78" t="s">
        <v>2406</v>
      </c>
      <c r="AE78">
        <v>5</v>
      </c>
      <c r="AF78" t="s">
        <v>2407</v>
      </c>
      <c r="AG78" t="s">
        <v>2408</v>
      </c>
      <c r="AH78">
        <v>0</v>
      </c>
      <c r="AI78">
        <v>0</v>
      </c>
      <c r="AJ78">
        <v>0</v>
      </c>
      <c r="AK78">
        <v>0</v>
      </c>
    </row>
    <row r="79" spans="1:37" x14ac:dyDescent="0.25">
      <c r="A79">
        <v>2009</v>
      </c>
      <c r="B79">
        <v>7997</v>
      </c>
      <c r="C79" t="s">
        <v>2953</v>
      </c>
      <c r="D79" t="s">
        <v>2954</v>
      </c>
      <c r="E79" t="s">
        <v>2955</v>
      </c>
      <c r="G79" t="s">
        <v>2956</v>
      </c>
      <c r="H79" t="s">
        <v>69</v>
      </c>
      <c r="I79" t="s">
        <v>2957</v>
      </c>
      <c r="J79" t="s">
        <v>2958</v>
      </c>
      <c r="K79" t="s">
        <v>2959</v>
      </c>
      <c r="L79">
        <v>49.244999999999997</v>
      </c>
      <c r="M79">
        <v>-122.75709999999999</v>
      </c>
      <c r="N79">
        <v>1983</v>
      </c>
      <c r="O79">
        <v>337110</v>
      </c>
      <c r="P79">
        <v>11</v>
      </c>
      <c r="Q79" t="s">
        <v>2532</v>
      </c>
      <c r="R79" t="s">
        <v>2533</v>
      </c>
      <c r="S79">
        <v>5915</v>
      </c>
      <c r="T79" t="s">
        <v>2622</v>
      </c>
      <c r="U79">
        <v>5915039</v>
      </c>
      <c r="V79" t="s">
        <v>2960</v>
      </c>
      <c r="W79">
        <v>933</v>
      </c>
      <c r="X79" t="s">
        <v>2623</v>
      </c>
      <c r="Y79">
        <v>5920</v>
      </c>
      <c r="Z79" t="s">
        <v>2624</v>
      </c>
      <c r="AA79" t="s">
        <v>2961</v>
      </c>
      <c r="AB79">
        <v>13</v>
      </c>
      <c r="AC79" t="s">
        <v>2626</v>
      </c>
      <c r="AD79" t="s">
        <v>2627</v>
      </c>
      <c r="AE79">
        <v>8</v>
      </c>
      <c r="AF79" t="s">
        <v>2584</v>
      </c>
      <c r="AG79" t="s">
        <v>2585</v>
      </c>
      <c r="AH79">
        <v>0</v>
      </c>
      <c r="AI79">
        <v>0</v>
      </c>
      <c r="AJ79">
        <v>0</v>
      </c>
      <c r="AK79">
        <v>0</v>
      </c>
    </row>
    <row r="80" spans="1:37" x14ac:dyDescent="0.25">
      <c r="A80">
        <v>2013</v>
      </c>
      <c r="B80">
        <v>22809</v>
      </c>
      <c r="C80" t="s">
        <v>2962</v>
      </c>
      <c r="D80" t="s">
        <v>2963</v>
      </c>
      <c r="H80" t="s">
        <v>69</v>
      </c>
      <c r="J80" t="s">
        <v>2964</v>
      </c>
      <c r="K80" t="s">
        <v>2965</v>
      </c>
      <c r="L80">
        <v>57.252099999999999</v>
      </c>
      <c r="M80">
        <v>-122.3219</v>
      </c>
      <c r="N80">
        <v>1983</v>
      </c>
      <c r="O80">
        <v>211113</v>
      </c>
      <c r="P80">
        <v>4</v>
      </c>
      <c r="Q80" t="s">
        <v>2398</v>
      </c>
      <c r="R80" t="s">
        <v>2399</v>
      </c>
      <c r="S80">
        <v>5955</v>
      </c>
      <c r="T80" t="s">
        <v>2492</v>
      </c>
      <c r="U80">
        <v>5955040</v>
      </c>
      <c r="V80" t="s">
        <v>2493</v>
      </c>
      <c r="X80" t="s">
        <v>2402</v>
      </c>
      <c r="Y80">
        <v>5980</v>
      </c>
      <c r="Z80" t="s">
        <v>2494</v>
      </c>
      <c r="AA80" t="s">
        <v>2495</v>
      </c>
      <c r="AB80">
        <v>4</v>
      </c>
      <c r="AC80" t="s">
        <v>2496</v>
      </c>
      <c r="AD80" t="s">
        <v>2497</v>
      </c>
      <c r="AE80">
        <v>7</v>
      </c>
      <c r="AF80" t="s">
        <v>2477</v>
      </c>
      <c r="AG80" t="s">
        <v>2478</v>
      </c>
      <c r="AH80">
        <v>0</v>
      </c>
      <c r="AI80">
        <v>0</v>
      </c>
      <c r="AJ80">
        <v>0</v>
      </c>
      <c r="AK80">
        <v>0</v>
      </c>
    </row>
    <row r="81" spans="1:37" x14ac:dyDescent="0.25">
      <c r="A81">
        <v>2023</v>
      </c>
      <c r="B81">
        <v>34413</v>
      </c>
      <c r="C81" t="s">
        <v>489</v>
      </c>
      <c r="D81" t="s">
        <v>2966</v>
      </c>
      <c r="H81" t="s">
        <v>69</v>
      </c>
      <c r="J81" t="s">
        <v>2967</v>
      </c>
      <c r="K81" t="s">
        <v>2968</v>
      </c>
      <c r="L81">
        <v>56.001593999999997</v>
      </c>
      <c r="M81">
        <v>-120.44381799999999</v>
      </c>
      <c r="N81">
        <v>1983</v>
      </c>
      <c r="O81">
        <v>211110</v>
      </c>
      <c r="P81">
        <v>4</v>
      </c>
      <c r="Q81" t="s">
        <v>2398</v>
      </c>
      <c r="R81" t="s">
        <v>2399</v>
      </c>
      <c r="S81">
        <v>5955</v>
      </c>
      <c r="T81" t="s">
        <v>2492</v>
      </c>
      <c r="U81">
        <v>5955021</v>
      </c>
      <c r="V81" t="s">
        <v>2778</v>
      </c>
      <c r="X81" t="s">
        <v>2402</v>
      </c>
      <c r="Y81">
        <v>5980</v>
      </c>
      <c r="Z81" t="s">
        <v>2494</v>
      </c>
      <c r="AA81" t="s">
        <v>2779</v>
      </c>
      <c r="AB81">
        <v>9</v>
      </c>
      <c r="AC81" t="s">
        <v>2475</v>
      </c>
      <c r="AD81" t="s">
        <v>2476</v>
      </c>
      <c r="AE81">
        <v>7</v>
      </c>
      <c r="AF81" t="s">
        <v>2477</v>
      </c>
      <c r="AG81" t="s">
        <v>2478</v>
      </c>
      <c r="AH81">
        <v>0</v>
      </c>
      <c r="AI81">
        <v>0</v>
      </c>
      <c r="AJ81">
        <v>0</v>
      </c>
      <c r="AK81">
        <v>0</v>
      </c>
    </row>
    <row r="82" spans="1:37" x14ac:dyDescent="0.25">
      <c r="A82">
        <v>2012</v>
      </c>
      <c r="B82">
        <v>8726</v>
      </c>
      <c r="C82" t="s">
        <v>320</v>
      </c>
      <c r="D82" t="s">
        <v>2969</v>
      </c>
      <c r="E82" t="s">
        <v>2970</v>
      </c>
      <c r="G82" t="s">
        <v>2971</v>
      </c>
      <c r="H82" t="s">
        <v>79</v>
      </c>
      <c r="I82" t="s">
        <v>2972</v>
      </c>
      <c r="K82" t="s">
        <v>2973</v>
      </c>
      <c r="L82">
        <v>45.860300000000002</v>
      </c>
      <c r="M82">
        <v>-72.064300000000003</v>
      </c>
      <c r="N82">
        <v>1983</v>
      </c>
      <c r="O82">
        <v>221112</v>
      </c>
      <c r="P82">
        <v>5</v>
      </c>
      <c r="Q82" t="s">
        <v>2836</v>
      </c>
      <c r="R82" t="s">
        <v>2837</v>
      </c>
      <c r="S82">
        <v>2439</v>
      </c>
      <c r="T82" t="s">
        <v>2974</v>
      </c>
      <c r="U82">
        <v>2439097</v>
      </c>
      <c r="V82" t="s">
        <v>2975</v>
      </c>
      <c r="X82" t="s">
        <v>2402</v>
      </c>
      <c r="Y82">
        <v>2433</v>
      </c>
      <c r="Z82" t="s">
        <v>2808</v>
      </c>
      <c r="AA82" t="s">
        <v>2976</v>
      </c>
      <c r="AB82">
        <v>8</v>
      </c>
      <c r="AC82" t="s">
        <v>2420</v>
      </c>
      <c r="AD82" t="s">
        <v>2421</v>
      </c>
      <c r="AE82">
        <v>2</v>
      </c>
      <c r="AF82" t="s">
        <v>2422</v>
      </c>
      <c r="AG82" t="s">
        <v>2423</v>
      </c>
      <c r="AH82">
        <v>1</v>
      </c>
      <c r="AI82">
        <v>0</v>
      </c>
      <c r="AJ82">
        <v>1</v>
      </c>
      <c r="AK82">
        <v>1</v>
      </c>
    </row>
    <row r="83" spans="1:37" x14ac:dyDescent="0.25">
      <c r="A83">
        <v>2019</v>
      </c>
      <c r="B83">
        <v>31278</v>
      </c>
      <c r="C83" t="s">
        <v>1791</v>
      </c>
      <c r="D83" t="s">
        <v>2977</v>
      </c>
      <c r="H83" t="s">
        <v>243</v>
      </c>
      <c r="J83" t="s">
        <v>2978</v>
      </c>
      <c r="K83" t="s">
        <v>2979</v>
      </c>
      <c r="L83">
        <v>49.907735000000002</v>
      </c>
      <c r="M83">
        <v>-108.527289</v>
      </c>
      <c r="N83">
        <v>1983</v>
      </c>
      <c r="O83">
        <v>211110</v>
      </c>
      <c r="P83">
        <v>4</v>
      </c>
      <c r="Q83" t="s">
        <v>2398</v>
      </c>
      <c r="R83" t="s">
        <v>2399</v>
      </c>
      <c r="S83">
        <v>4704</v>
      </c>
      <c r="T83" t="s">
        <v>2506</v>
      </c>
      <c r="U83">
        <v>4704054</v>
      </c>
      <c r="V83" t="s">
        <v>2980</v>
      </c>
      <c r="X83" t="s">
        <v>2402</v>
      </c>
      <c r="Y83">
        <v>4720</v>
      </c>
      <c r="Z83" t="s">
        <v>2403</v>
      </c>
      <c r="AA83" t="s">
        <v>2404</v>
      </c>
      <c r="AB83">
        <v>10</v>
      </c>
      <c r="AC83" t="s">
        <v>2405</v>
      </c>
      <c r="AD83" t="s">
        <v>2406</v>
      </c>
      <c r="AE83">
        <v>5</v>
      </c>
      <c r="AF83" t="s">
        <v>2407</v>
      </c>
      <c r="AG83" t="s">
        <v>2408</v>
      </c>
      <c r="AH83">
        <v>0</v>
      </c>
      <c r="AI83">
        <v>0</v>
      </c>
      <c r="AJ83">
        <v>0</v>
      </c>
      <c r="AK83">
        <v>0</v>
      </c>
    </row>
    <row r="84" spans="1:37" x14ac:dyDescent="0.25">
      <c r="A84">
        <v>2007</v>
      </c>
      <c r="B84">
        <v>22584</v>
      </c>
      <c r="C84" t="s">
        <v>2981</v>
      </c>
      <c r="D84" t="s">
        <v>2982</v>
      </c>
      <c r="E84" t="s">
        <v>2983</v>
      </c>
      <c r="H84" t="s">
        <v>85</v>
      </c>
      <c r="J84" t="s">
        <v>2984</v>
      </c>
      <c r="K84" t="s">
        <v>2985</v>
      </c>
      <c r="L84">
        <v>53.1554</v>
      </c>
      <c r="M84">
        <v>-110.5097</v>
      </c>
      <c r="N84">
        <v>1983</v>
      </c>
      <c r="O84">
        <v>211113</v>
      </c>
      <c r="P84">
        <v>4</v>
      </c>
      <c r="Q84" t="s">
        <v>2398</v>
      </c>
      <c r="R84" t="s">
        <v>2399</v>
      </c>
      <c r="S84">
        <v>4810</v>
      </c>
      <c r="T84" t="s">
        <v>2554</v>
      </c>
      <c r="U84">
        <v>4810036</v>
      </c>
      <c r="V84" t="s">
        <v>2571</v>
      </c>
      <c r="X84" t="s">
        <v>2402</v>
      </c>
      <c r="Y84">
        <v>4820</v>
      </c>
      <c r="Z84" t="s">
        <v>2508</v>
      </c>
      <c r="AA84" t="s">
        <v>2572</v>
      </c>
      <c r="AB84">
        <v>10</v>
      </c>
      <c r="AC84" t="s">
        <v>2405</v>
      </c>
      <c r="AD84" t="s">
        <v>2406</v>
      </c>
      <c r="AE84">
        <v>5</v>
      </c>
      <c r="AF84" t="s">
        <v>2407</v>
      </c>
      <c r="AG84" t="s">
        <v>2408</v>
      </c>
      <c r="AH84">
        <v>0</v>
      </c>
      <c r="AI84">
        <v>0</v>
      </c>
      <c r="AJ84">
        <v>0</v>
      </c>
      <c r="AK84">
        <v>0</v>
      </c>
    </row>
    <row r="85" spans="1:37" x14ac:dyDescent="0.25">
      <c r="A85">
        <v>2004</v>
      </c>
      <c r="B85">
        <v>6271</v>
      </c>
      <c r="C85" t="s">
        <v>2986</v>
      </c>
      <c r="D85" t="s">
        <v>2986</v>
      </c>
      <c r="E85" t="s">
        <v>2987</v>
      </c>
      <c r="G85" t="s">
        <v>2988</v>
      </c>
      <c r="H85" t="s">
        <v>79</v>
      </c>
      <c r="I85" t="s">
        <v>2989</v>
      </c>
      <c r="K85" t="s">
        <v>2990</v>
      </c>
      <c r="L85">
        <v>45.2654</v>
      </c>
      <c r="M85">
        <v>-72.150999999999996</v>
      </c>
      <c r="N85">
        <v>1983</v>
      </c>
      <c r="O85">
        <v>314990</v>
      </c>
      <c r="P85">
        <v>11</v>
      </c>
      <c r="Q85" t="s">
        <v>2532</v>
      </c>
      <c r="R85" t="s">
        <v>2533</v>
      </c>
      <c r="S85">
        <v>2445</v>
      </c>
      <c r="T85" t="s">
        <v>2991</v>
      </c>
      <c r="U85">
        <v>2445072</v>
      </c>
      <c r="V85" t="s">
        <v>2992</v>
      </c>
      <c r="W85">
        <v>433</v>
      </c>
      <c r="X85" t="s">
        <v>2993</v>
      </c>
      <c r="Y85">
        <v>2430</v>
      </c>
      <c r="Z85" t="s">
        <v>2994</v>
      </c>
      <c r="AA85" t="s">
        <v>2995</v>
      </c>
      <c r="AB85">
        <v>7</v>
      </c>
      <c r="AC85" t="s">
        <v>2996</v>
      </c>
      <c r="AD85" t="s">
        <v>2997</v>
      </c>
      <c r="AE85">
        <v>2</v>
      </c>
      <c r="AF85" t="s">
        <v>2422</v>
      </c>
      <c r="AG85" t="s">
        <v>2423</v>
      </c>
      <c r="AH85">
        <v>1</v>
      </c>
      <c r="AI85">
        <v>0</v>
      </c>
      <c r="AJ85">
        <v>1</v>
      </c>
      <c r="AK85">
        <v>1</v>
      </c>
    </row>
    <row r="86" spans="1:37" x14ac:dyDescent="0.25">
      <c r="A86">
        <v>2016</v>
      </c>
      <c r="B86">
        <v>29482</v>
      </c>
      <c r="C86" t="s">
        <v>1928</v>
      </c>
      <c r="D86" t="s">
        <v>2998</v>
      </c>
      <c r="G86" t="s">
        <v>2999</v>
      </c>
      <c r="H86" t="s">
        <v>243</v>
      </c>
      <c r="J86" t="s">
        <v>3000</v>
      </c>
      <c r="K86" t="s">
        <v>3001</v>
      </c>
      <c r="L86">
        <v>53.363880000000002</v>
      </c>
      <c r="M86">
        <v>-109.58571000000001</v>
      </c>
      <c r="N86">
        <v>1983</v>
      </c>
      <c r="O86">
        <v>211113</v>
      </c>
      <c r="P86">
        <v>4</v>
      </c>
      <c r="Q86" t="s">
        <v>2398</v>
      </c>
      <c r="R86" t="s">
        <v>2399</v>
      </c>
      <c r="S86">
        <v>4717</v>
      </c>
      <c r="T86" t="s">
        <v>2471</v>
      </c>
      <c r="U86">
        <v>4717028</v>
      </c>
      <c r="V86" t="s">
        <v>3002</v>
      </c>
      <c r="X86" t="s">
        <v>2402</v>
      </c>
      <c r="Y86">
        <v>4750</v>
      </c>
      <c r="Z86" t="s">
        <v>3003</v>
      </c>
      <c r="AA86" t="s">
        <v>3004</v>
      </c>
      <c r="AB86">
        <v>10</v>
      </c>
      <c r="AC86" t="s">
        <v>2405</v>
      </c>
      <c r="AD86" t="s">
        <v>2406</v>
      </c>
      <c r="AE86">
        <v>5</v>
      </c>
      <c r="AF86" t="s">
        <v>2407</v>
      </c>
      <c r="AG86" t="s">
        <v>2408</v>
      </c>
      <c r="AH86">
        <v>0</v>
      </c>
      <c r="AI86">
        <v>0</v>
      </c>
      <c r="AJ86">
        <v>0</v>
      </c>
      <c r="AK86">
        <v>0</v>
      </c>
    </row>
    <row r="87" spans="1:37" x14ac:dyDescent="0.25">
      <c r="A87">
        <v>2022</v>
      </c>
      <c r="B87">
        <v>33027</v>
      </c>
      <c r="C87" t="s">
        <v>3005</v>
      </c>
      <c r="D87" t="s">
        <v>3005</v>
      </c>
      <c r="E87" t="s">
        <v>3006</v>
      </c>
      <c r="G87" t="s">
        <v>2535</v>
      </c>
      <c r="H87" t="s">
        <v>21</v>
      </c>
      <c r="I87" t="s">
        <v>3007</v>
      </c>
      <c r="K87" t="s">
        <v>3008</v>
      </c>
      <c r="L87">
        <v>43.825989999999997</v>
      </c>
      <c r="M87">
        <v>-79.33032</v>
      </c>
      <c r="N87">
        <v>1983</v>
      </c>
      <c r="O87">
        <v>331410</v>
      </c>
      <c r="P87">
        <v>7</v>
      </c>
      <c r="Q87" t="s">
        <v>2620</v>
      </c>
      <c r="R87" t="s">
        <v>2621</v>
      </c>
      <c r="S87">
        <v>3519</v>
      </c>
      <c r="T87" t="s">
        <v>2534</v>
      </c>
      <c r="U87">
        <v>3519036</v>
      </c>
      <c r="V87" t="s">
        <v>2535</v>
      </c>
      <c r="W87">
        <v>535</v>
      </c>
      <c r="X87" t="s">
        <v>2439</v>
      </c>
      <c r="Y87">
        <v>3530</v>
      </c>
      <c r="Z87" t="s">
        <v>2439</v>
      </c>
      <c r="AA87" t="s">
        <v>3009</v>
      </c>
      <c r="AB87">
        <v>8</v>
      </c>
      <c r="AC87" t="s">
        <v>2420</v>
      </c>
      <c r="AD87" t="s">
        <v>2421</v>
      </c>
      <c r="AE87">
        <v>2</v>
      </c>
      <c r="AF87" t="s">
        <v>2422</v>
      </c>
      <c r="AG87" t="s">
        <v>2423</v>
      </c>
      <c r="AH87">
        <v>1</v>
      </c>
      <c r="AI87">
        <v>1</v>
      </c>
      <c r="AJ87">
        <v>0</v>
      </c>
      <c r="AK87">
        <v>1</v>
      </c>
    </row>
    <row r="88" spans="1:37" x14ac:dyDescent="0.25">
      <c r="A88">
        <v>2003</v>
      </c>
      <c r="B88">
        <v>16365</v>
      </c>
      <c r="C88" t="s">
        <v>947</v>
      </c>
      <c r="D88" t="s">
        <v>3010</v>
      </c>
      <c r="E88" t="s">
        <v>3011</v>
      </c>
      <c r="H88" t="s">
        <v>85</v>
      </c>
      <c r="J88" t="s">
        <v>3012</v>
      </c>
      <c r="K88" t="s">
        <v>3013</v>
      </c>
      <c r="L88">
        <v>54.407299999999999</v>
      </c>
      <c r="M88">
        <v>-110.9126</v>
      </c>
      <c r="N88">
        <v>1983</v>
      </c>
      <c r="O88">
        <v>211113</v>
      </c>
      <c r="P88">
        <v>4</v>
      </c>
      <c r="Q88" t="s">
        <v>2398</v>
      </c>
      <c r="R88" t="s">
        <v>2399</v>
      </c>
      <c r="S88">
        <v>4812</v>
      </c>
      <c r="T88" t="s">
        <v>2724</v>
      </c>
      <c r="U88">
        <v>4812004</v>
      </c>
      <c r="V88" t="s">
        <v>2725</v>
      </c>
      <c r="X88" t="s">
        <v>2402</v>
      </c>
      <c r="Y88">
        <v>4880</v>
      </c>
      <c r="Z88" t="s">
        <v>2726</v>
      </c>
      <c r="AA88" t="s">
        <v>2727</v>
      </c>
      <c r="AB88">
        <v>9</v>
      </c>
      <c r="AC88" t="s">
        <v>2475</v>
      </c>
      <c r="AD88" t="s">
        <v>2476</v>
      </c>
      <c r="AE88">
        <v>6</v>
      </c>
      <c r="AF88" t="s">
        <v>2728</v>
      </c>
      <c r="AG88" t="s">
        <v>2729</v>
      </c>
      <c r="AH88">
        <v>0</v>
      </c>
      <c r="AI88">
        <v>0</v>
      </c>
      <c r="AJ88">
        <v>0</v>
      </c>
      <c r="AK88">
        <v>0</v>
      </c>
    </row>
    <row r="89" spans="1:37" x14ac:dyDescent="0.25">
      <c r="A89">
        <v>2005</v>
      </c>
      <c r="B89">
        <v>18499</v>
      </c>
      <c r="C89" t="s">
        <v>2164</v>
      </c>
      <c r="D89" t="s">
        <v>3014</v>
      </c>
      <c r="E89" t="s">
        <v>3015</v>
      </c>
      <c r="H89" t="s">
        <v>69</v>
      </c>
      <c r="J89" t="s">
        <v>3016</v>
      </c>
      <c r="K89" t="s">
        <v>3017</v>
      </c>
      <c r="L89">
        <v>56.096899999999998</v>
      </c>
      <c r="M89">
        <v>-121.2072</v>
      </c>
      <c r="N89">
        <v>1983</v>
      </c>
      <c r="O89">
        <v>211113</v>
      </c>
      <c r="P89">
        <v>4</v>
      </c>
      <c r="Q89" t="s">
        <v>2398</v>
      </c>
      <c r="R89" t="s">
        <v>2399</v>
      </c>
      <c r="S89">
        <v>5955</v>
      </c>
      <c r="T89" t="s">
        <v>2492</v>
      </c>
      <c r="U89">
        <v>5955023</v>
      </c>
      <c r="V89" t="s">
        <v>2515</v>
      </c>
      <c r="X89" t="s">
        <v>2402</v>
      </c>
      <c r="Y89">
        <v>5980</v>
      </c>
      <c r="Z89" t="s">
        <v>2494</v>
      </c>
      <c r="AA89" t="s">
        <v>2495</v>
      </c>
      <c r="AB89">
        <v>9</v>
      </c>
      <c r="AC89" t="s">
        <v>2475</v>
      </c>
      <c r="AD89" t="s">
        <v>2476</v>
      </c>
      <c r="AE89">
        <v>7</v>
      </c>
      <c r="AF89" t="s">
        <v>2477</v>
      </c>
      <c r="AG89" t="s">
        <v>2478</v>
      </c>
      <c r="AH89">
        <v>0</v>
      </c>
      <c r="AI89">
        <v>0</v>
      </c>
      <c r="AJ89">
        <v>0</v>
      </c>
      <c r="AK89">
        <v>0</v>
      </c>
    </row>
    <row r="90" spans="1:37" x14ac:dyDescent="0.25">
      <c r="A90">
        <v>2023</v>
      </c>
      <c r="B90">
        <v>16861</v>
      </c>
      <c r="C90" t="s">
        <v>1027</v>
      </c>
      <c r="D90" t="s">
        <v>3018</v>
      </c>
      <c r="H90" t="s">
        <v>85</v>
      </c>
      <c r="J90" t="s">
        <v>3019</v>
      </c>
      <c r="K90" t="s">
        <v>3020</v>
      </c>
      <c r="L90">
        <v>54.967500000000001</v>
      </c>
      <c r="M90">
        <v>-119.13160000000001</v>
      </c>
      <c r="N90">
        <v>1983</v>
      </c>
      <c r="O90">
        <v>211110</v>
      </c>
      <c r="P90">
        <v>4</v>
      </c>
      <c r="Q90" t="s">
        <v>2398</v>
      </c>
      <c r="R90" t="s">
        <v>2399</v>
      </c>
      <c r="S90">
        <v>4818</v>
      </c>
      <c r="T90" t="s">
        <v>2545</v>
      </c>
      <c r="U90">
        <v>4818015</v>
      </c>
      <c r="V90" t="s">
        <v>2546</v>
      </c>
      <c r="X90" t="s">
        <v>2402</v>
      </c>
      <c r="Y90">
        <v>4870</v>
      </c>
      <c r="Z90" t="s">
        <v>2473</v>
      </c>
      <c r="AA90" t="s">
        <v>2474</v>
      </c>
      <c r="AB90">
        <v>9</v>
      </c>
      <c r="AC90" t="s">
        <v>2475</v>
      </c>
      <c r="AD90" t="s">
        <v>2476</v>
      </c>
      <c r="AE90">
        <v>7</v>
      </c>
      <c r="AF90" t="s">
        <v>2477</v>
      </c>
      <c r="AG90" t="s">
        <v>2478</v>
      </c>
      <c r="AH90">
        <v>0</v>
      </c>
      <c r="AI90">
        <v>0</v>
      </c>
      <c r="AJ90">
        <v>0</v>
      </c>
      <c r="AK90">
        <v>0</v>
      </c>
    </row>
    <row r="91" spans="1:37" x14ac:dyDescent="0.25">
      <c r="A91">
        <v>2006</v>
      </c>
      <c r="B91">
        <v>21895</v>
      </c>
      <c r="C91" t="s">
        <v>3021</v>
      </c>
      <c r="D91" t="s">
        <v>3022</v>
      </c>
      <c r="E91" t="s">
        <v>3023</v>
      </c>
      <c r="H91" t="s">
        <v>85</v>
      </c>
      <c r="J91" t="s">
        <v>3024</v>
      </c>
      <c r="K91" t="s">
        <v>3025</v>
      </c>
      <c r="L91">
        <v>51.930900000000001</v>
      </c>
      <c r="M91">
        <v>-113.0789</v>
      </c>
      <c r="N91">
        <v>1983</v>
      </c>
      <c r="O91">
        <v>211113</v>
      </c>
      <c r="P91">
        <v>4</v>
      </c>
      <c r="Q91" t="s">
        <v>2398</v>
      </c>
      <c r="R91" t="s">
        <v>2399</v>
      </c>
      <c r="S91">
        <v>4805</v>
      </c>
      <c r="T91" t="s">
        <v>2669</v>
      </c>
      <c r="U91">
        <v>4805041</v>
      </c>
      <c r="V91" t="s">
        <v>3026</v>
      </c>
      <c r="X91" t="s">
        <v>2402</v>
      </c>
      <c r="Y91">
        <v>4820</v>
      </c>
      <c r="Z91" t="s">
        <v>2508</v>
      </c>
      <c r="AA91" t="s">
        <v>2634</v>
      </c>
      <c r="AB91">
        <v>10</v>
      </c>
      <c r="AC91" t="s">
        <v>2405</v>
      </c>
      <c r="AD91" t="s">
        <v>2406</v>
      </c>
      <c r="AE91">
        <v>5</v>
      </c>
      <c r="AF91" t="s">
        <v>2407</v>
      </c>
      <c r="AG91" t="s">
        <v>2408</v>
      </c>
      <c r="AH91">
        <v>0</v>
      </c>
      <c r="AI91">
        <v>0</v>
      </c>
      <c r="AJ91">
        <v>0</v>
      </c>
      <c r="AK91">
        <v>0</v>
      </c>
    </row>
    <row r="92" spans="1:37" x14ac:dyDescent="0.25">
      <c r="A92">
        <v>2023</v>
      </c>
      <c r="B92">
        <v>30961</v>
      </c>
      <c r="C92" t="s">
        <v>223</v>
      </c>
      <c r="D92" t="s">
        <v>224</v>
      </c>
      <c r="E92" t="s">
        <v>3027</v>
      </c>
      <c r="G92" t="s">
        <v>3028</v>
      </c>
      <c r="H92" t="s">
        <v>79</v>
      </c>
      <c r="I92" t="s">
        <v>3029</v>
      </c>
      <c r="L92">
        <v>45.657969999999999</v>
      </c>
      <c r="M92">
        <v>-73.514139999999998</v>
      </c>
      <c r="N92">
        <v>1983</v>
      </c>
      <c r="O92">
        <v>335312</v>
      </c>
      <c r="P92">
        <v>11</v>
      </c>
      <c r="Q92" t="s">
        <v>2532</v>
      </c>
      <c r="R92" t="s">
        <v>2533</v>
      </c>
      <c r="S92">
        <v>2466</v>
      </c>
      <c r="T92" t="s">
        <v>2450</v>
      </c>
      <c r="U92">
        <v>2466023</v>
      </c>
      <c r="V92" t="s">
        <v>2450</v>
      </c>
      <c r="W92">
        <v>462</v>
      </c>
      <c r="X92" t="s">
        <v>2450</v>
      </c>
      <c r="Y92">
        <v>2440</v>
      </c>
      <c r="Z92" t="s">
        <v>2450</v>
      </c>
      <c r="AA92" t="s">
        <v>3030</v>
      </c>
      <c r="AB92">
        <v>8</v>
      </c>
      <c r="AC92" t="s">
        <v>2420</v>
      </c>
      <c r="AD92" t="s">
        <v>2421</v>
      </c>
      <c r="AE92">
        <v>2</v>
      </c>
      <c r="AF92" t="s">
        <v>2422</v>
      </c>
      <c r="AG92" t="s">
        <v>2423</v>
      </c>
      <c r="AH92">
        <v>1</v>
      </c>
      <c r="AI92">
        <v>0</v>
      </c>
      <c r="AJ92">
        <v>1</v>
      </c>
      <c r="AK92">
        <v>1</v>
      </c>
    </row>
    <row r="93" spans="1:37" x14ac:dyDescent="0.25">
      <c r="A93">
        <v>2008</v>
      </c>
      <c r="B93">
        <v>18083</v>
      </c>
      <c r="C93" t="s">
        <v>2164</v>
      </c>
      <c r="D93" t="s">
        <v>3031</v>
      </c>
      <c r="E93" t="s">
        <v>3032</v>
      </c>
      <c r="H93" t="s">
        <v>69</v>
      </c>
      <c r="J93" t="s">
        <v>3033</v>
      </c>
      <c r="K93" t="s">
        <v>3034</v>
      </c>
      <c r="L93">
        <v>56.921700000000001</v>
      </c>
      <c r="M93">
        <v>-120.6383</v>
      </c>
      <c r="N93">
        <v>1983</v>
      </c>
      <c r="O93">
        <v>211113</v>
      </c>
      <c r="P93">
        <v>4</v>
      </c>
      <c r="Q93" t="s">
        <v>2398</v>
      </c>
      <c r="R93" t="s">
        <v>2399</v>
      </c>
      <c r="S93">
        <v>5955</v>
      </c>
      <c r="T93" t="s">
        <v>2492</v>
      </c>
      <c r="U93">
        <v>5955040</v>
      </c>
      <c r="V93" t="s">
        <v>2493</v>
      </c>
      <c r="X93" t="s">
        <v>2402</v>
      </c>
      <c r="Y93">
        <v>5980</v>
      </c>
      <c r="Z93" t="s">
        <v>2494</v>
      </c>
      <c r="AA93" t="s">
        <v>2495</v>
      </c>
      <c r="AB93">
        <v>9</v>
      </c>
      <c r="AC93" t="s">
        <v>2475</v>
      </c>
      <c r="AD93" t="s">
        <v>2476</v>
      </c>
      <c r="AE93">
        <v>7</v>
      </c>
      <c r="AF93" t="s">
        <v>2477</v>
      </c>
      <c r="AG93" t="s">
        <v>2478</v>
      </c>
      <c r="AH93">
        <v>0</v>
      </c>
      <c r="AI93">
        <v>0</v>
      </c>
      <c r="AJ93">
        <v>0</v>
      </c>
      <c r="AK93">
        <v>0</v>
      </c>
    </row>
    <row r="94" spans="1:37" x14ac:dyDescent="0.25">
      <c r="A94">
        <v>2009</v>
      </c>
      <c r="B94">
        <v>15222</v>
      </c>
      <c r="C94" t="s">
        <v>2164</v>
      </c>
      <c r="D94" t="s">
        <v>3035</v>
      </c>
      <c r="E94" t="s">
        <v>3036</v>
      </c>
      <c r="H94" t="s">
        <v>85</v>
      </c>
      <c r="J94" t="s">
        <v>3037</v>
      </c>
      <c r="K94" t="s">
        <v>3038</v>
      </c>
      <c r="L94">
        <v>55.640300000000003</v>
      </c>
      <c r="M94">
        <v>-119.5686</v>
      </c>
      <c r="N94">
        <v>1983</v>
      </c>
      <c r="O94">
        <v>211113</v>
      </c>
      <c r="P94">
        <v>4</v>
      </c>
      <c r="Q94" t="s">
        <v>2398</v>
      </c>
      <c r="R94" t="s">
        <v>2399</v>
      </c>
      <c r="S94">
        <v>4819</v>
      </c>
      <c r="T94" t="s">
        <v>2565</v>
      </c>
      <c r="U94">
        <v>4819059</v>
      </c>
      <c r="V94" t="s">
        <v>2566</v>
      </c>
      <c r="X94" t="s">
        <v>2402</v>
      </c>
      <c r="Y94">
        <v>4870</v>
      </c>
      <c r="Z94" t="s">
        <v>2473</v>
      </c>
      <c r="AA94" t="s">
        <v>2474</v>
      </c>
      <c r="AB94">
        <v>9</v>
      </c>
      <c r="AC94" t="s">
        <v>2475</v>
      </c>
      <c r="AD94" t="s">
        <v>2476</v>
      </c>
      <c r="AE94">
        <v>7</v>
      </c>
      <c r="AF94" t="s">
        <v>2477</v>
      </c>
      <c r="AG94" t="s">
        <v>2478</v>
      </c>
      <c r="AH94">
        <v>0</v>
      </c>
      <c r="AI94">
        <v>0</v>
      </c>
      <c r="AJ94">
        <v>0</v>
      </c>
      <c r="AK94">
        <v>0</v>
      </c>
    </row>
    <row r="95" spans="1:37" x14ac:dyDescent="0.25">
      <c r="A95">
        <v>2023</v>
      </c>
      <c r="B95">
        <v>10201</v>
      </c>
      <c r="C95" t="s">
        <v>2096</v>
      </c>
      <c r="D95" t="s">
        <v>2097</v>
      </c>
      <c r="E95" t="s">
        <v>3039</v>
      </c>
      <c r="G95" t="s">
        <v>3040</v>
      </c>
      <c r="H95" t="s">
        <v>21</v>
      </c>
      <c r="I95" t="s">
        <v>3041</v>
      </c>
      <c r="K95" t="s">
        <v>3042</v>
      </c>
      <c r="L95">
        <v>46.472900000000003</v>
      </c>
      <c r="M95">
        <v>-81.185400000000001</v>
      </c>
      <c r="N95">
        <v>1983</v>
      </c>
      <c r="O95">
        <v>212232</v>
      </c>
      <c r="P95">
        <v>8</v>
      </c>
      <c r="Q95" t="s">
        <v>2862</v>
      </c>
      <c r="R95" t="s">
        <v>2863</v>
      </c>
      <c r="S95">
        <v>3553</v>
      </c>
      <c r="T95" t="s">
        <v>3043</v>
      </c>
      <c r="U95">
        <v>3553005</v>
      </c>
      <c r="V95" t="s">
        <v>3043</v>
      </c>
      <c r="W95">
        <v>580</v>
      </c>
      <c r="X95" t="s">
        <v>3043</v>
      </c>
      <c r="Y95">
        <v>3590</v>
      </c>
      <c r="Z95" t="s">
        <v>2494</v>
      </c>
      <c r="AA95" t="s">
        <v>3044</v>
      </c>
      <c r="AB95">
        <v>6</v>
      </c>
      <c r="AC95" t="s">
        <v>2465</v>
      </c>
      <c r="AD95" t="s">
        <v>2466</v>
      </c>
      <c r="AE95">
        <v>2</v>
      </c>
      <c r="AF95" t="s">
        <v>2422</v>
      </c>
      <c r="AG95" t="s">
        <v>2423</v>
      </c>
      <c r="AH95">
        <v>1</v>
      </c>
      <c r="AI95">
        <v>1</v>
      </c>
      <c r="AJ95">
        <v>0</v>
      </c>
      <c r="AK95">
        <v>0</v>
      </c>
    </row>
    <row r="96" spans="1:37" x14ac:dyDescent="0.25">
      <c r="A96">
        <v>2023</v>
      </c>
      <c r="B96">
        <v>16724</v>
      </c>
      <c r="C96" t="s">
        <v>2176</v>
      </c>
      <c r="D96" t="s">
        <v>3045</v>
      </c>
      <c r="G96" t="s">
        <v>3046</v>
      </c>
      <c r="H96" t="s">
        <v>85</v>
      </c>
      <c r="J96" t="s">
        <v>3047</v>
      </c>
      <c r="K96" t="s">
        <v>3048</v>
      </c>
      <c r="L96">
        <v>52.7776</v>
      </c>
      <c r="M96">
        <v>-114.2343</v>
      </c>
      <c r="N96">
        <v>1983</v>
      </c>
      <c r="O96">
        <v>211110</v>
      </c>
      <c r="P96">
        <v>4</v>
      </c>
      <c r="Q96" t="s">
        <v>2398</v>
      </c>
      <c r="R96" t="s">
        <v>2399</v>
      </c>
      <c r="S96">
        <v>4808</v>
      </c>
      <c r="T96" t="s">
        <v>2400</v>
      </c>
      <c r="U96">
        <v>4808038</v>
      </c>
      <c r="V96" t="s">
        <v>2541</v>
      </c>
      <c r="X96" t="s">
        <v>2402</v>
      </c>
      <c r="Y96">
        <v>4850</v>
      </c>
      <c r="Z96" t="s">
        <v>1340</v>
      </c>
      <c r="AA96" t="s">
        <v>2509</v>
      </c>
      <c r="AB96">
        <v>9</v>
      </c>
      <c r="AC96" t="s">
        <v>2475</v>
      </c>
      <c r="AD96" t="s">
        <v>2476</v>
      </c>
      <c r="AE96">
        <v>5</v>
      </c>
      <c r="AF96" t="s">
        <v>2407</v>
      </c>
      <c r="AG96" t="s">
        <v>2408</v>
      </c>
      <c r="AH96">
        <v>0</v>
      </c>
      <c r="AI96">
        <v>0</v>
      </c>
      <c r="AJ96">
        <v>0</v>
      </c>
      <c r="AK96">
        <v>0</v>
      </c>
    </row>
    <row r="97" spans="1:37" x14ac:dyDescent="0.25">
      <c r="A97">
        <v>2007</v>
      </c>
      <c r="B97">
        <v>22259</v>
      </c>
      <c r="C97" t="s">
        <v>947</v>
      </c>
      <c r="D97" t="s">
        <v>3049</v>
      </c>
      <c r="E97" t="s">
        <v>3050</v>
      </c>
      <c r="H97" t="s">
        <v>85</v>
      </c>
      <c r="J97" t="s">
        <v>3051</v>
      </c>
      <c r="K97" t="s">
        <v>3052</v>
      </c>
      <c r="L97">
        <v>55.559699999999999</v>
      </c>
      <c r="M97">
        <v>-110.9081</v>
      </c>
      <c r="N97">
        <v>1983</v>
      </c>
      <c r="O97">
        <v>211113</v>
      </c>
      <c r="P97">
        <v>4</v>
      </c>
      <c r="Q97" t="s">
        <v>2398</v>
      </c>
      <c r="R97" t="s">
        <v>2399</v>
      </c>
      <c r="S97">
        <v>4816</v>
      </c>
      <c r="T97" t="s">
        <v>2744</v>
      </c>
      <c r="U97">
        <v>4816037</v>
      </c>
      <c r="V97" t="s">
        <v>2745</v>
      </c>
      <c r="W97">
        <v>860</v>
      </c>
      <c r="X97" t="s">
        <v>2745</v>
      </c>
      <c r="Y97">
        <v>4880</v>
      </c>
      <c r="Z97" t="s">
        <v>2726</v>
      </c>
      <c r="AA97" t="s">
        <v>2898</v>
      </c>
      <c r="AB97">
        <v>9</v>
      </c>
      <c r="AC97" t="s">
        <v>2475</v>
      </c>
      <c r="AD97" t="s">
        <v>2476</v>
      </c>
      <c r="AE97">
        <v>7</v>
      </c>
      <c r="AF97" t="s">
        <v>2477</v>
      </c>
      <c r="AG97" t="s">
        <v>2478</v>
      </c>
      <c r="AH97">
        <v>0</v>
      </c>
      <c r="AI97">
        <v>0</v>
      </c>
      <c r="AJ97">
        <v>0</v>
      </c>
      <c r="AK97">
        <v>0</v>
      </c>
    </row>
    <row r="98" spans="1:37" x14ac:dyDescent="0.25">
      <c r="A98">
        <v>2004</v>
      </c>
      <c r="B98">
        <v>18610</v>
      </c>
      <c r="C98" t="s">
        <v>3053</v>
      </c>
      <c r="D98" t="s">
        <v>3054</v>
      </c>
      <c r="E98" t="s">
        <v>3055</v>
      </c>
      <c r="H98" t="s">
        <v>85</v>
      </c>
      <c r="J98" t="s">
        <v>3056</v>
      </c>
      <c r="K98" t="s">
        <v>3057</v>
      </c>
      <c r="L98">
        <v>51.689799999999998</v>
      </c>
      <c r="M98">
        <v>-112.1353</v>
      </c>
      <c r="N98">
        <v>1983</v>
      </c>
      <c r="O98">
        <v>211113</v>
      </c>
      <c r="P98">
        <v>4</v>
      </c>
      <c r="Q98" t="s">
        <v>2398</v>
      </c>
      <c r="R98" t="s">
        <v>2399</v>
      </c>
      <c r="S98">
        <v>4805</v>
      </c>
      <c r="T98" t="s">
        <v>2669</v>
      </c>
      <c r="U98">
        <v>4805031</v>
      </c>
      <c r="V98" t="s">
        <v>3058</v>
      </c>
      <c r="X98" t="s">
        <v>2402</v>
      </c>
      <c r="Y98">
        <v>4820</v>
      </c>
      <c r="Z98" t="s">
        <v>2508</v>
      </c>
      <c r="AA98" t="s">
        <v>2671</v>
      </c>
      <c r="AB98">
        <v>10</v>
      </c>
      <c r="AC98" t="s">
        <v>2405</v>
      </c>
      <c r="AD98" t="s">
        <v>2406</v>
      </c>
      <c r="AE98">
        <v>5</v>
      </c>
      <c r="AF98" t="s">
        <v>2407</v>
      </c>
      <c r="AG98" t="s">
        <v>2408</v>
      </c>
      <c r="AH98">
        <v>0</v>
      </c>
      <c r="AI98">
        <v>0</v>
      </c>
      <c r="AJ98">
        <v>0</v>
      </c>
      <c r="AK98">
        <v>0</v>
      </c>
    </row>
    <row r="99" spans="1:37" x14ac:dyDescent="0.25">
      <c r="A99">
        <v>2012</v>
      </c>
      <c r="B99">
        <v>17576</v>
      </c>
      <c r="C99" t="s">
        <v>3059</v>
      </c>
      <c r="D99" t="s">
        <v>3060</v>
      </c>
      <c r="E99" t="s">
        <v>3061</v>
      </c>
      <c r="G99" t="s">
        <v>3062</v>
      </c>
      <c r="H99" t="s">
        <v>85</v>
      </c>
      <c r="I99" t="s">
        <v>3063</v>
      </c>
      <c r="J99" t="s">
        <v>3064</v>
      </c>
      <c r="K99" t="s">
        <v>3065</v>
      </c>
      <c r="L99">
        <v>50.362200000000001</v>
      </c>
      <c r="M99">
        <v>-110.5091</v>
      </c>
      <c r="N99">
        <v>1983</v>
      </c>
      <c r="O99">
        <v>211113</v>
      </c>
      <c r="P99">
        <v>4</v>
      </c>
      <c r="Q99" t="s">
        <v>2398</v>
      </c>
      <c r="R99" t="s">
        <v>2399</v>
      </c>
      <c r="S99">
        <v>4801</v>
      </c>
      <c r="T99" t="s">
        <v>2523</v>
      </c>
      <c r="U99">
        <v>4801003</v>
      </c>
      <c r="V99" t="s">
        <v>3066</v>
      </c>
      <c r="W99">
        <v>805</v>
      </c>
      <c r="X99" t="s">
        <v>2688</v>
      </c>
      <c r="Y99">
        <v>4810</v>
      </c>
      <c r="Z99" t="s">
        <v>2603</v>
      </c>
      <c r="AA99" t="s">
        <v>2692</v>
      </c>
      <c r="AB99">
        <v>10</v>
      </c>
      <c r="AC99" t="s">
        <v>2405</v>
      </c>
      <c r="AD99" t="s">
        <v>2406</v>
      </c>
      <c r="AE99">
        <v>5</v>
      </c>
      <c r="AF99" t="s">
        <v>2407</v>
      </c>
      <c r="AG99" t="s">
        <v>2408</v>
      </c>
      <c r="AH99">
        <v>0</v>
      </c>
      <c r="AI99">
        <v>0</v>
      </c>
      <c r="AJ99">
        <v>0</v>
      </c>
      <c r="AK99">
        <v>0</v>
      </c>
    </row>
    <row r="100" spans="1:37" x14ac:dyDescent="0.25">
      <c r="A100">
        <v>2019</v>
      </c>
      <c r="B100">
        <v>31415</v>
      </c>
      <c r="C100" t="s">
        <v>3067</v>
      </c>
      <c r="D100" t="s">
        <v>3068</v>
      </c>
      <c r="H100" t="s">
        <v>243</v>
      </c>
      <c r="J100" t="s">
        <v>3069</v>
      </c>
      <c r="K100" t="s">
        <v>3070</v>
      </c>
      <c r="L100">
        <v>51.574750999999999</v>
      </c>
      <c r="M100">
        <v>-108.83693700000001</v>
      </c>
      <c r="N100">
        <v>1983</v>
      </c>
      <c r="O100">
        <v>211110</v>
      </c>
      <c r="P100">
        <v>4</v>
      </c>
      <c r="Q100" t="s">
        <v>2398</v>
      </c>
      <c r="R100" t="s">
        <v>2399</v>
      </c>
      <c r="S100">
        <v>4713</v>
      </c>
      <c r="T100" t="s">
        <v>2428</v>
      </c>
      <c r="U100">
        <v>4713006</v>
      </c>
      <c r="V100" t="s">
        <v>3071</v>
      </c>
      <c r="X100" t="s">
        <v>2402</v>
      </c>
      <c r="Y100">
        <v>4730</v>
      </c>
      <c r="Z100" t="s">
        <v>2430</v>
      </c>
      <c r="AA100" t="s">
        <v>2431</v>
      </c>
      <c r="AB100">
        <v>10</v>
      </c>
      <c r="AC100" t="s">
        <v>2405</v>
      </c>
      <c r="AD100" t="s">
        <v>2406</v>
      </c>
      <c r="AE100">
        <v>5</v>
      </c>
      <c r="AF100" t="s">
        <v>2407</v>
      </c>
      <c r="AG100" t="s">
        <v>2408</v>
      </c>
      <c r="AH100">
        <v>0</v>
      </c>
      <c r="AI100">
        <v>0</v>
      </c>
      <c r="AJ100">
        <v>0</v>
      </c>
      <c r="AK100">
        <v>0</v>
      </c>
    </row>
    <row r="101" spans="1:37" x14ac:dyDescent="0.25">
      <c r="A101">
        <v>2023</v>
      </c>
      <c r="B101">
        <v>34352</v>
      </c>
      <c r="C101" t="s">
        <v>1592</v>
      </c>
      <c r="D101" t="s">
        <v>3072</v>
      </c>
      <c r="G101" t="s">
        <v>2664</v>
      </c>
      <c r="H101" t="s">
        <v>85</v>
      </c>
      <c r="J101" t="s">
        <v>3073</v>
      </c>
      <c r="K101" t="s">
        <v>3074</v>
      </c>
      <c r="L101">
        <v>52.853760000000001</v>
      </c>
      <c r="M101">
        <v>-115.23832</v>
      </c>
      <c r="N101">
        <v>1983</v>
      </c>
      <c r="O101">
        <v>211110</v>
      </c>
      <c r="P101">
        <v>4</v>
      </c>
      <c r="Q101" t="s">
        <v>2398</v>
      </c>
      <c r="R101" t="s">
        <v>2399</v>
      </c>
      <c r="S101">
        <v>4811</v>
      </c>
      <c r="T101" t="s">
        <v>2643</v>
      </c>
      <c r="U101">
        <v>4811032</v>
      </c>
      <c r="V101" t="s">
        <v>2644</v>
      </c>
      <c r="X101" t="s">
        <v>2402</v>
      </c>
      <c r="Y101">
        <v>4860</v>
      </c>
      <c r="Z101" t="s">
        <v>2645</v>
      </c>
      <c r="AA101" t="s">
        <v>2646</v>
      </c>
      <c r="AB101">
        <v>9</v>
      </c>
      <c r="AC101" t="s">
        <v>2475</v>
      </c>
      <c r="AD101" t="s">
        <v>2476</v>
      </c>
      <c r="AE101">
        <v>5</v>
      </c>
      <c r="AF101" t="s">
        <v>2407</v>
      </c>
      <c r="AG101" t="s">
        <v>2408</v>
      </c>
      <c r="AH101">
        <v>0</v>
      </c>
      <c r="AI101">
        <v>0</v>
      </c>
      <c r="AJ101">
        <v>0</v>
      </c>
      <c r="AK101">
        <v>0</v>
      </c>
    </row>
    <row r="102" spans="1:37" x14ac:dyDescent="0.25">
      <c r="A102">
        <v>2023</v>
      </c>
      <c r="B102">
        <v>31979</v>
      </c>
      <c r="C102" t="s">
        <v>3075</v>
      </c>
      <c r="D102" t="s">
        <v>3076</v>
      </c>
      <c r="E102" t="s">
        <v>3077</v>
      </c>
      <c r="G102" t="s">
        <v>734</v>
      </c>
      <c r="H102" t="s">
        <v>69</v>
      </c>
      <c r="I102" t="s">
        <v>3078</v>
      </c>
      <c r="J102" t="s">
        <v>3079</v>
      </c>
      <c r="K102" t="s">
        <v>3080</v>
      </c>
      <c r="L102">
        <v>49.303699999999999</v>
      </c>
      <c r="M102">
        <v>-123.04349999999999</v>
      </c>
      <c r="N102">
        <v>1983</v>
      </c>
      <c r="O102">
        <v>411120</v>
      </c>
      <c r="P102">
        <v>19</v>
      </c>
      <c r="Q102" t="s">
        <v>2552</v>
      </c>
      <c r="R102" t="s">
        <v>2553</v>
      </c>
      <c r="S102">
        <v>5915</v>
      </c>
      <c r="T102" t="s">
        <v>2622</v>
      </c>
      <c r="U102">
        <v>5915051</v>
      </c>
      <c r="V102" t="s">
        <v>734</v>
      </c>
      <c r="W102">
        <v>933</v>
      </c>
      <c r="X102" t="s">
        <v>2623</v>
      </c>
      <c r="Y102">
        <v>5920</v>
      </c>
      <c r="Z102" t="s">
        <v>2624</v>
      </c>
      <c r="AA102" t="s">
        <v>3081</v>
      </c>
      <c r="AB102">
        <v>13</v>
      </c>
      <c r="AC102" t="s">
        <v>2626</v>
      </c>
      <c r="AD102" t="s">
        <v>2627</v>
      </c>
      <c r="AE102">
        <v>8</v>
      </c>
      <c r="AF102" t="s">
        <v>2584</v>
      </c>
      <c r="AG102" t="s">
        <v>2585</v>
      </c>
      <c r="AH102">
        <v>0</v>
      </c>
      <c r="AI102">
        <v>0</v>
      </c>
      <c r="AJ102">
        <v>0</v>
      </c>
      <c r="AK102">
        <v>0</v>
      </c>
    </row>
    <row r="103" spans="1:37" x14ac:dyDescent="0.25">
      <c r="A103">
        <v>2006</v>
      </c>
      <c r="B103">
        <v>17794</v>
      </c>
      <c r="C103" t="s">
        <v>1569</v>
      </c>
      <c r="D103" t="s">
        <v>3082</v>
      </c>
      <c r="E103" t="s">
        <v>3083</v>
      </c>
      <c r="H103" t="s">
        <v>85</v>
      </c>
      <c r="J103" t="s">
        <v>3084</v>
      </c>
      <c r="K103" t="s">
        <v>3085</v>
      </c>
      <c r="L103">
        <v>52.035299999999999</v>
      </c>
      <c r="M103">
        <v>-113.1122</v>
      </c>
      <c r="N103">
        <v>1983</v>
      </c>
      <c r="O103">
        <v>211113</v>
      </c>
      <c r="P103">
        <v>4</v>
      </c>
      <c r="Q103" t="s">
        <v>2398</v>
      </c>
      <c r="R103" t="s">
        <v>2399</v>
      </c>
      <c r="S103">
        <v>4808</v>
      </c>
      <c r="T103" t="s">
        <v>2400</v>
      </c>
      <c r="U103">
        <v>4808001</v>
      </c>
      <c r="V103" t="s">
        <v>3086</v>
      </c>
      <c r="X103" t="s">
        <v>2402</v>
      </c>
      <c r="Y103">
        <v>4850</v>
      </c>
      <c r="Z103" t="s">
        <v>1340</v>
      </c>
      <c r="AA103" t="s">
        <v>2634</v>
      </c>
      <c r="AB103">
        <v>10</v>
      </c>
      <c r="AC103" t="s">
        <v>2405</v>
      </c>
      <c r="AD103" t="s">
        <v>2406</v>
      </c>
      <c r="AE103">
        <v>5</v>
      </c>
      <c r="AF103" t="s">
        <v>2407</v>
      </c>
      <c r="AG103" t="s">
        <v>2408</v>
      </c>
      <c r="AH103">
        <v>0</v>
      </c>
      <c r="AI103">
        <v>0</v>
      </c>
      <c r="AJ103">
        <v>0</v>
      </c>
      <c r="AK103">
        <v>0</v>
      </c>
    </row>
    <row r="104" spans="1:37" x14ac:dyDescent="0.25">
      <c r="A104">
        <v>2023</v>
      </c>
      <c r="B104">
        <v>20191</v>
      </c>
      <c r="C104" t="s">
        <v>3087</v>
      </c>
      <c r="D104" t="s">
        <v>3088</v>
      </c>
      <c r="E104" t="s">
        <v>3089</v>
      </c>
      <c r="G104" t="s">
        <v>3090</v>
      </c>
      <c r="H104" t="s">
        <v>69</v>
      </c>
      <c r="I104" t="s">
        <v>3091</v>
      </c>
      <c r="J104" t="s">
        <v>3092</v>
      </c>
      <c r="K104" t="s">
        <v>3093</v>
      </c>
      <c r="L104">
        <v>49.107939999999999</v>
      </c>
      <c r="M104">
        <v>-122.46933</v>
      </c>
      <c r="N104">
        <v>1983</v>
      </c>
      <c r="O104">
        <v>326198</v>
      </c>
      <c r="P104">
        <v>13</v>
      </c>
      <c r="Q104" t="s">
        <v>2447</v>
      </c>
      <c r="R104" t="s">
        <v>2448</v>
      </c>
      <c r="S104">
        <v>5915</v>
      </c>
      <c r="T104" t="s">
        <v>2622</v>
      </c>
      <c r="U104">
        <v>5915001</v>
      </c>
      <c r="V104" t="s">
        <v>3090</v>
      </c>
      <c r="W104">
        <v>933</v>
      </c>
      <c r="X104" t="s">
        <v>2623</v>
      </c>
      <c r="Y104">
        <v>5920</v>
      </c>
      <c r="Z104" t="s">
        <v>2624</v>
      </c>
      <c r="AA104" t="s">
        <v>3094</v>
      </c>
      <c r="AB104">
        <v>13</v>
      </c>
      <c r="AC104" t="s">
        <v>2626</v>
      </c>
      <c r="AD104" t="s">
        <v>2627</v>
      </c>
      <c r="AE104">
        <v>8</v>
      </c>
      <c r="AF104" t="s">
        <v>2584</v>
      </c>
      <c r="AG104" t="s">
        <v>2585</v>
      </c>
      <c r="AH104">
        <v>0</v>
      </c>
      <c r="AI104">
        <v>0</v>
      </c>
      <c r="AJ104">
        <v>0</v>
      </c>
      <c r="AK104">
        <v>0</v>
      </c>
    </row>
    <row r="105" spans="1:37" x14ac:dyDescent="0.25">
      <c r="A105">
        <v>2008</v>
      </c>
      <c r="B105">
        <v>19400</v>
      </c>
      <c r="C105" t="s">
        <v>2164</v>
      </c>
      <c r="D105" t="s">
        <v>3095</v>
      </c>
      <c r="E105" t="s">
        <v>3096</v>
      </c>
      <c r="H105" t="s">
        <v>85</v>
      </c>
      <c r="J105" t="s">
        <v>3097</v>
      </c>
      <c r="K105" t="s">
        <v>3098</v>
      </c>
      <c r="L105">
        <v>56.291699999999999</v>
      </c>
      <c r="M105">
        <v>-111.5895</v>
      </c>
      <c r="N105">
        <v>1983</v>
      </c>
      <c r="O105">
        <v>211113</v>
      </c>
      <c r="P105">
        <v>4</v>
      </c>
      <c r="Q105" t="s">
        <v>2398</v>
      </c>
      <c r="R105" t="s">
        <v>2399</v>
      </c>
      <c r="S105">
        <v>4816</v>
      </c>
      <c r="T105" t="s">
        <v>2744</v>
      </c>
      <c r="U105">
        <v>4816037</v>
      </c>
      <c r="V105" t="s">
        <v>2745</v>
      </c>
      <c r="W105">
        <v>860</v>
      </c>
      <c r="X105" t="s">
        <v>2745</v>
      </c>
      <c r="Y105">
        <v>4880</v>
      </c>
      <c r="Z105" t="s">
        <v>2726</v>
      </c>
      <c r="AA105" t="s">
        <v>2898</v>
      </c>
      <c r="AB105">
        <v>9</v>
      </c>
      <c r="AC105" t="s">
        <v>2475</v>
      </c>
      <c r="AD105" t="s">
        <v>2476</v>
      </c>
      <c r="AE105">
        <v>7</v>
      </c>
      <c r="AF105" t="s">
        <v>2477</v>
      </c>
      <c r="AG105" t="s">
        <v>2478</v>
      </c>
      <c r="AH105">
        <v>0</v>
      </c>
      <c r="AI105">
        <v>0</v>
      </c>
      <c r="AJ105">
        <v>0</v>
      </c>
      <c r="AK105">
        <v>0</v>
      </c>
    </row>
    <row r="106" spans="1:37" x14ac:dyDescent="0.25">
      <c r="A106">
        <v>2023</v>
      </c>
      <c r="B106">
        <v>7807</v>
      </c>
      <c r="C106" t="s">
        <v>3099</v>
      </c>
      <c r="D106" t="s">
        <v>3100</v>
      </c>
      <c r="G106" t="s">
        <v>3101</v>
      </c>
      <c r="H106" t="s">
        <v>69</v>
      </c>
      <c r="J106" t="s">
        <v>3102</v>
      </c>
      <c r="K106" t="s">
        <v>3103</v>
      </c>
      <c r="L106">
        <v>53.235399999999998</v>
      </c>
      <c r="M106">
        <v>-131.8792</v>
      </c>
      <c r="N106">
        <v>1983</v>
      </c>
      <c r="O106">
        <v>221122</v>
      </c>
      <c r="P106">
        <v>5</v>
      </c>
      <c r="Q106" t="s">
        <v>2836</v>
      </c>
      <c r="R106" t="s">
        <v>2837</v>
      </c>
      <c r="S106">
        <v>5947</v>
      </c>
      <c r="T106" t="s">
        <v>3104</v>
      </c>
      <c r="U106">
        <v>5947032</v>
      </c>
      <c r="V106" t="s">
        <v>3105</v>
      </c>
      <c r="X106" t="s">
        <v>2402</v>
      </c>
      <c r="Y106">
        <v>5960</v>
      </c>
      <c r="Z106" t="s">
        <v>3106</v>
      </c>
      <c r="AA106" t="s">
        <v>3107</v>
      </c>
      <c r="AB106">
        <v>13</v>
      </c>
      <c r="AC106" t="s">
        <v>2626</v>
      </c>
      <c r="AD106" t="s">
        <v>2627</v>
      </c>
      <c r="AE106">
        <v>8</v>
      </c>
      <c r="AF106" t="s">
        <v>2584</v>
      </c>
      <c r="AG106" t="s">
        <v>2585</v>
      </c>
      <c r="AH106">
        <v>0</v>
      </c>
      <c r="AI106">
        <v>0</v>
      </c>
      <c r="AJ106">
        <v>0</v>
      </c>
      <c r="AK106">
        <v>0</v>
      </c>
    </row>
    <row r="107" spans="1:37" x14ac:dyDescent="0.25">
      <c r="A107">
        <v>2023</v>
      </c>
      <c r="B107">
        <v>34073</v>
      </c>
      <c r="C107" t="s">
        <v>1928</v>
      </c>
      <c r="D107" t="s">
        <v>3108</v>
      </c>
      <c r="H107" t="s">
        <v>243</v>
      </c>
      <c r="J107" t="s">
        <v>3109</v>
      </c>
      <c r="K107" t="s">
        <v>3110</v>
      </c>
      <c r="L107">
        <v>51.545819999999999</v>
      </c>
      <c r="M107">
        <v>-109.29994000000001</v>
      </c>
      <c r="N107">
        <v>1983</v>
      </c>
      <c r="O107">
        <v>211110</v>
      </c>
      <c r="P107">
        <v>4</v>
      </c>
      <c r="Q107" t="s">
        <v>2398</v>
      </c>
      <c r="R107" t="s">
        <v>2399</v>
      </c>
      <c r="S107">
        <v>4713</v>
      </c>
      <c r="T107" t="s">
        <v>2428</v>
      </c>
      <c r="U107">
        <v>4713006</v>
      </c>
      <c r="V107" t="s">
        <v>3071</v>
      </c>
      <c r="X107" t="s">
        <v>2402</v>
      </c>
      <c r="Y107">
        <v>4730</v>
      </c>
      <c r="Z107" t="s">
        <v>2430</v>
      </c>
      <c r="AA107" t="s">
        <v>2431</v>
      </c>
      <c r="AB107">
        <v>10</v>
      </c>
      <c r="AC107" t="s">
        <v>2405</v>
      </c>
      <c r="AD107" t="s">
        <v>2406</v>
      </c>
      <c r="AE107">
        <v>5</v>
      </c>
      <c r="AF107" t="s">
        <v>2407</v>
      </c>
      <c r="AG107" t="s">
        <v>2408</v>
      </c>
      <c r="AH107">
        <v>0</v>
      </c>
      <c r="AI107">
        <v>0</v>
      </c>
      <c r="AJ107">
        <v>0</v>
      </c>
      <c r="AK107">
        <v>0</v>
      </c>
    </row>
    <row r="108" spans="1:37" x14ac:dyDescent="0.25">
      <c r="A108">
        <v>2018</v>
      </c>
      <c r="B108">
        <v>23507</v>
      </c>
      <c r="C108" t="s">
        <v>1995</v>
      </c>
      <c r="D108" t="s">
        <v>3111</v>
      </c>
      <c r="G108" t="s">
        <v>3112</v>
      </c>
      <c r="H108" t="s">
        <v>85</v>
      </c>
      <c r="J108" t="s">
        <v>3113</v>
      </c>
      <c r="K108" t="s">
        <v>3114</v>
      </c>
      <c r="L108">
        <v>54.489199999999997</v>
      </c>
      <c r="M108">
        <v>-110.9186</v>
      </c>
      <c r="N108">
        <v>1983</v>
      </c>
      <c r="O108">
        <v>211110</v>
      </c>
      <c r="P108">
        <v>4</v>
      </c>
      <c r="Q108" t="s">
        <v>2398</v>
      </c>
      <c r="R108" t="s">
        <v>2399</v>
      </c>
      <c r="S108">
        <v>4812</v>
      </c>
      <c r="T108" t="s">
        <v>2724</v>
      </c>
      <c r="U108">
        <v>4812004</v>
      </c>
      <c r="V108" t="s">
        <v>2725</v>
      </c>
      <c r="X108" t="s">
        <v>2402</v>
      </c>
      <c r="Y108">
        <v>4880</v>
      </c>
      <c r="Z108" t="s">
        <v>2726</v>
      </c>
      <c r="AA108" t="s">
        <v>2727</v>
      </c>
      <c r="AB108">
        <v>9</v>
      </c>
      <c r="AC108" t="s">
        <v>2475</v>
      </c>
      <c r="AD108" t="s">
        <v>2476</v>
      </c>
      <c r="AE108">
        <v>6</v>
      </c>
      <c r="AF108" t="s">
        <v>2728</v>
      </c>
      <c r="AG108" t="s">
        <v>2729</v>
      </c>
      <c r="AH108">
        <v>0</v>
      </c>
      <c r="AI108">
        <v>0</v>
      </c>
      <c r="AJ108">
        <v>0</v>
      </c>
      <c r="AK108">
        <v>0</v>
      </c>
    </row>
    <row r="109" spans="1:37" x14ac:dyDescent="0.25">
      <c r="A109">
        <v>2017</v>
      </c>
      <c r="B109">
        <v>17861</v>
      </c>
      <c r="C109" t="s">
        <v>2143</v>
      </c>
      <c r="D109" t="s">
        <v>3115</v>
      </c>
      <c r="H109" t="s">
        <v>69</v>
      </c>
      <c r="J109" t="s">
        <v>3116</v>
      </c>
      <c r="K109" t="s">
        <v>3117</v>
      </c>
      <c r="L109">
        <v>56.184199999999997</v>
      </c>
      <c r="M109">
        <v>-120.61960000000001</v>
      </c>
      <c r="N109">
        <v>1983</v>
      </c>
      <c r="O109">
        <v>211110</v>
      </c>
      <c r="P109">
        <v>4</v>
      </c>
      <c r="Q109" t="s">
        <v>2398</v>
      </c>
      <c r="R109" t="s">
        <v>2399</v>
      </c>
      <c r="S109">
        <v>5955</v>
      </c>
      <c r="T109" t="s">
        <v>2492</v>
      </c>
      <c r="U109">
        <v>5955042</v>
      </c>
      <c r="V109" t="s">
        <v>3118</v>
      </c>
      <c r="W109">
        <v>977</v>
      </c>
      <c r="X109" t="s">
        <v>3119</v>
      </c>
      <c r="Y109">
        <v>5980</v>
      </c>
      <c r="Z109" t="s">
        <v>2494</v>
      </c>
      <c r="AA109" t="s">
        <v>2495</v>
      </c>
      <c r="AB109">
        <v>9</v>
      </c>
      <c r="AC109" t="s">
        <v>2475</v>
      </c>
      <c r="AD109" t="s">
        <v>2476</v>
      </c>
      <c r="AE109">
        <v>7</v>
      </c>
      <c r="AF109" t="s">
        <v>2477</v>
      </c>
      <c r="AG109" t="s">
        <v>2478</v>
      </c>
      <c r="AH109">
        <v>0</v>
      </c>
      <c r="AI109">
        <v>0</v>
      </c>
      <c r="AJ109">
        <v>0</v>
      </c>
      <c r="AK109">
        <v>0</v>
      </c>
    </row>
    <row r="110" spans="1:37" x14ac:dyDescent="0.25">
      <c r="A110">
        <v>2013</v>
      </c>
      <c r="B110">
        <v>27507</v>
      </c>
      <c r="C110" t="s">
        <v>3120</v>
      </c>
      <c r="D110" t="s">
        <v>3121</v>
      </c>
      <c r="H110" t="s">
        <v>85</v>
      </c>
      <c r="J110" t="s">
        <v>3122</v>
      </c>
      <c r="K110" t="s">
        <v>3123</v>
      </c>
      <c r="L110">
        <v>53.034080000000003</v>
      </c>
      <c r="M110">
        <v>-115.46726700000001</v>
      </c>
      <c r="N110">
        <v>1983</v>
      </c>
      <c r="O110">
        <v>211113</v>
      </c>
      <c r="P110">
        <v>4</v>
      </c>
      <c r="Q110" t="s">
        <v>2398</v>
      </c>
      <c r="R110" t="s">
        <v>2399</v>
      </c>
      <c r="S110">
        <v>4811</v>
      </c>
      <c r="T110" t="s">
        <v>2643</v>
      </c>
      <c r="U110">
        <v>4811032</v>
      </c>
      <c r="V110" t="s">
        <v>2644</v>
      </c>
      <c r="X110" t="s">
        <v>2402</v>
      </c>
      <c r="Y110">
        <v>4860</v>
      </c>
      <c r="Z110" t="s">
        <v>2645</v>
      </c>
      <c r="AA110" t="s">
        <v>2646</v>
      </c>
      <c r="AB110">
        <v>9</v>
      </c>
      <c r="AC110" t="s">
        <v>2475</v>
      </c>
      <c r="AD110" t="s">
        <v>2476</v>
      </c>
      <c r="AE110">
        <v>7</v>
      </c>
      <c r="AF110" t="s">
        <v>2477</v>
      </c>
      <c r="AG110" t="s">
        <v>2478</v>
      </c>
      <c r="AH110">
        <v>0</v>
      </c>
      <c r="AI110">
        <v>0</v>
      </c>
      <c r="AJ110">
        <v>0</v>
      </c>
      <c r="AK110">
        <v>0</v>
      </c>
    </row>
    <row r="111" spans="1:37" x14ac:dyDescent="0.25">
      <c r="A111">
        <v>2004</v>
      </c>
      <c r="B111">
        <v>18544</v>
      </c>
      <c r="C111" t="s">
        <v>2164</v>
      </c>
      <c r="D111" t="s">
        <v>3124</v>
      </c>
      <c r="E111" t="s">
        <v>3125</v>
      </c>
      <c r="H111" t="s">
        <v>69</v>
      </c>
      <c r="J111" t="s">
        <v>3126</v>
      </c>
      <c r="K111" t="s">
        <v>3127</v>
      </c>
      <c r="L111">
        <v>57.302100000000003</v>
      </c>
      <c r="M111">
        <v>-120.4469</v>
      </c>
      <c r="N111">
        <v>1983</v>
      </c>
      <c r="O111">
        <v>211113</v>
      </c>
      <c r="P111">
        <v>4</v>
      </c>
      <c r="Q111" t="s">
        <v>2398</v>
      </c>
      <c r="R111" t="s">
        <v>2399</v>
      </c>
      <c r="S111">
        <v>5955</v>
      </c>
      <c r="T111" t="s">
        <v>2492</v>
      </c>
      <c r="U111">
        <v>5955040</v>
      </c>
      <c r="V111" t="s">
        <v>2493</v>
      </c>
      <c r="X111" t="s">
        <v>2402</v>
      </c>
      <c r="Y111">
        <v>5980</v>
      </c>
      <c r="Z111" t="s">
        <v>2494</v>
      </c>
      <c r="AA111" t="s">
        <v>2495</v>
      </c>
      <c r="AB111">
        <v>9</v>
      </c>
      <c r="AC111" t="s">
        <v>2475</v>
      </c>
      <c r="AD111" t="s">
        <v>2476</v>
      </c>
      <c r="AE111">
        <v>7</v>
      </c>
      <c r="AF111" t="s">
        <v>2477</v>
      </c>
      <c r="AG111" t="s">
        <v>2478</v>
      </c>
      <c r="AH111">
        <v>0</v>
      </c>
      <c r="AI111">
        <v>0</v>
      </c>
      <c r="AJ111">
        <v>0</v>
      </c>
      <c r="AK111">
        <v>0</v>
      </c>
    </row>
    <row r="112" spans="1:37" x14ac:dyDescent="0.25">
      <c r="A112">
        <v>2023</v>
      </c>
      <c r="B112">
        <v>34672</v>
      </c>
      <c r="C112" t="s">
        <v>1779</v>
      </c>
      <c r="D112" t="s">
        <v>3128</v>
      </c>
      <c r="G112" t="s">
        <v>2632</v>
      </c>
      <c r="H112" t="s">
        <v>85</v>
      </c>
      <c r="J112" t="s">
        <v>3129</v>
      </c>
      <c r="K112" t="s">
        <v>3130</v>
      </c>
      <c r="L112">
        <v>52.802154000199899</v>
      </c>
      <c r="M112">
        <v>-115.9375711</v>
      </c>
      <c r="N112">
        <v>1983</v>
      </c>
      <c r="O112">
        <v>211110</v>
      </c>
      <c r="P112">
        <v>4</v>
      </c>
      <c r="Q112" t="s">
        <v>2398</v>
      </c>
      <c r="R112" t="s">
        <v>2399</v>
      </c>
      <c r="S112">
        <v>4809</v>
      </c>
      <c r="T112" t="s">
        <v>2631</v>
      </c>
      <c r="U112">
        <v>4809002</v>
      </c>
      <c r="V112" t="s">
        <v>2632</v>
      </c>
      <c r="X112" t="s">
        <v>2402</v>
      </c>
      <c r="Y112">
        <v>4840</v>
      </c>
      <c r="Z112" t="s">
        <v>2633</v>
      </c>
      <c r="AA112" t="s">
        <v>2634</v>
      </c>
      <c r="AB112">
        <v>9</v>
      </c>
      <c r="AC112" t="s">
        <v>2475</v>
      </c>
      <c r="AD112" t="s">
        <v>2476</v>
      </c>
      <c r="AE112">
        <v>5</v>
      </c>
      <c r="AF112" t="s">
        <v>2407</v>
      </c>
      <c r="AG112" t="s">
        <v>2408</v>
      </c>
      <c r="AH112">
        <v>0</v>
      </c>
      <c r="AI112">
        <v>0</v>
      </c>
      <c r="AJ112">
        <v>0</v>
      </c>
      <c r="AK112">
        <v>0</v>
      </c>
    </row>
    <row r="113" spans="1:37" x14ac:dyDescent="0.25">
      <c r="A113">
        <v>2023</v>
      </c>
      <c r="B113">
        <v>31847</v>
      </c>
      <c r="C113" t="s">
        <v>2244</v>
      </c>
      <c r="D113" t="s">
        <v>3131</v>
      </c>
      <c r="G113" t="s">
        <v>3132</v>
      </c>
      <c r="H113" t="s">
        <v>85</v>
      </c>
      <c r="J113" t="s">
        <v>3133</v>
      </c>
      <c r="K113" t="s">
        <v>3134</v>
      </c>
      <c r="L113">
        <v>50.075150000000001</v>
      </c>
      <c r="M113">
        <v>-112.8056</v>
      </c>
      <c r="N113">
        <v>1983</v>
      </c>
      <c r="O113">
        <v>211110</v>
      </c>
      <c r="P113">
        <v>4</v>
      </c>
      <c r="Q113" t="s">
        <v>2398</v>
      </c>
      <c r="R113" t="s">
        <v>2399</v>
      </c>
      <c r="S113">
        <v>4802</v>
      </c>
      <c r="T113" t="s">
        <v>2696</v>
      </c>
      <c r="U113">
        <v>4802011</v>
      </c>
      <c r="V113" t="s">
        <v>3135</v>
      </c>
      <c r="W113">
        <v>810</v>
      </c>
      <c r="X113" t="s">
        <v>767</v>
      </c>
      <c r="Y113">
        <v>4810</v>
      </c>
      <c r="Z113" t="s">
        <v>2603</v>
      </c>
      <c r="AA113" t="s">
        <v>2846</v>
      </c>
      <c r="AB113">
        <v>10</v>
      </c>
      <c r="AC113" t="s">
        <v>2405</v>
      </c>
      <c r="AD113" t="s">
        <v>2406</v>
      </c>
      <c r="AE113">
        <v>5</v>
      </c>
      <c r="AF113" t="s">
        <v>2407</v>
      </c>
      <c r="AG113" t="s">
        <v>2408</v>
      </c>
      <c r="AH113">
        <v>0</v>
      </c>
      <c r="AI113">
        <v>0</v>
      </c>
      <c r="AJ113">
        <v>0</v>
      </c>
      <c r="AK113">
        <v>0</v>
      </c>
    </row>
    <row r="114" spans="1:37" x14ac:dyDescent="0.25">
      <c r="A114">
        <v>1998</v>
      </c>
      <c r="B114">
        <v>192</v>
      </c>
      <c r="C114" t="s">
        <v>3136</v>
      </c>
      <c r="D114" t="s">
        <v>3137</v>
      </c>
      <c r="E114" t="s">
        <v>3138</v>
      </c>
      <c r="G114" t="s">
        <v>2659</v>
      </c>
      <c r="H114" t="s">
        <v>85</v>
      </c>
      <c r="I114" t="s">
        <v>3139</v>
      </c>
      <c r="J114" t="s">
        <v>3140</v>
      </c>
      <c r="K114" t="s">
        <v>3141</v>
      </c>
      <c r="L114">
        <v>50.994199999999999</v>
      </c>
      <c r="M114">
        <v>-113.98569999999999</v>
      </c>
      <c r="N114">
        <v>1983</v>
      </c>
      <c r="O114">
        <v>484110</v>
      </c>
      <c r="P114">
        <v>19</v>
      </c>
      <c r="Q114" t="s">
        <v>2552</v>
      </c>
      <c r="R114" t="s">
        <v>2553</v>
      </c>
      <c r="S114">
        <v>4806</v>
      </c>
      <c r="T114" t="s">
        <v>2663</v>
      </c>
      <c r="U114">
        <v>4806016</v>
      </c>
      <c r="V114" t="s">
        <v>2664</v>
      </c>
      <c r="W114">
        <v>825</v>
      </c>
      <c r="X114" t="s">
        <v>2664</v>
      </c>
      <c r="Y114">
        <v>4830</v>
      </c>
      <c r="Z114" t="s">
        <v>2664</v>
      </c>
      <c r="AA114" t="s">
        <v>3142</v>
      </c>
      <c r="AB114">
        <v>10</v>
      </c>
      <c r="AC114" t="s">
        <v>2405</v>
      </c>
      <c r="AD114" t="s">
        <v>2406</v>
      </c>
      <c r="AE114">
        <v>5</v>
      </c>
      <c r="AF114" t="s">
        <v>2407</v>
      </c>
      <c r="AG114" t="s">
        <v>2408</v>
      </c>
      <c r="AH114">
        <v>0</v>
      </c>
      <c r="AI114">
        <v>0</v>
      </c>
      <c r="AJ114">
        <v>0</v>
      </c>
      <c r="AK114">
        <v>0</v>
      </c>
    </row>
    <row r="115" spans="1:37" x14ac:dyDescent="0.25">
      <c r="A115">
        <v>2015</v>
      </c>
      <c r="B115">
        <v>26270</v>
      </c>
      <c r="C115" t="s">
        <v>2698</v>
      </c>
      <c r="D115" t="s">
        <v>3143</v>
      </c>
      <c r="G115" t="s">
        <v>3144</v>
      </c>
      <c r="H115" t="s">
        <v>85</v>
      </c>
      <c r="I115" t="s">
        <v>3145</v>
      </c>
      <c r="J115" t="s">
        <v>3146</v>
      </c>
      <c r="K115" t="s">
        <v>3147</v>
      </c>
      <c r="L115">
        <v>56.787999999999997</v>
      </c>
      <c r="M115">
        <v>-111.42100000000001</v>
      </c>
      <c r="N115">
        <v>1983</v>
      </c>
      <c r="O115">
        <v>324121</v>
      </c>
      <c r="P115">
        <v>12</v>
      </c>
      <c r="Q115" t="s">
        <v>2704</v>
      </c>
      <c r="R115" t="s">
        <v>2705</v>
      </c>
      <c r="S115">
        <v>4816</v>
      </c>
      <c r="T115" t="s">
        <v>2744</v>
      </c>
      <c r="U115">
        <v>4816037</v>
      </c>
      <c r="V115" t="s">
        <v>2745</v>
      </c>
      <c r="W115">
        <v>860</v>
      </c>
      <c r="X115" t="s">
        <v>2745</v>
      </c>
      <c r="Y115">
        <v>4880</v>
      </c>
      <c r="Z115" t="s">
        <v>2726</v>
      </c>
      <c r="AA115" t="s">
        <v>2898</v>
      </c>
      <c r="AB115">
        <v>9</v>
      </c>
      <c r="AC115" t="s">
        <v>2475</v>
      </c>
      <c r="AD115" t="s">
        <v>2476</v>
      </c>
      <c r="AE115">
        <v>7</v>
      </c>
      <c r="AF115" t="s">
        <v>2477</v>
      </c>
      <c r="AG115" t="s">
        <v>2478</v>
      </c>
      <c r="AH115">
        <v>0</v>
      </c>
      <c r="AI115">
        <v>0</v>
      </c>
      <c r="AJ115">
        <v>0</v>
      </c>
      <c r="AK115">
        <v>0</v>
      </c>
    </row>
    <row r="116" spans="1:37" x14ac:dyDescent="0.25">
      <c r="A116">
        <v>2014</v>
      </c>
      <c r="B116">
        <v>28117</v>
      </c>
      <c r="C116" t="s">
        <v>3148</v>
      </c>
      <c r="D116" t="s">
        <v>3149</v>
      </c>
      <c r="H116" t="s">
        <v>243</v>
      </c>
      <c r="J116" t="s">
        <v>3150</v>
      </c>
      <c r="K116" t="s">
        <v>3151</v>
      </c>
      <c r="L116">
        <v>49.568024999999999</v>
      </c>
      <c r="M116">
        <v>-102.110806</v>
      </c>
      <c r="N116">
        <v>1983</v>
      </c>
      <c r="O116">
        <v>211113</v>
      </c>
      <c r="P116">
        <v>4</v>
      </c>
      <c r="Q116" t="s">
        <v>2398</v>
      </c>
      <c r="R116" t="s">
        <v>2399</v>
      </c>
      <c r="S116">
        <v>4701</v>
      </c>
      <c r="T116" t="s">
        <v>2523</v>
      </c>
      <c r="U116">
        <v>4701053</v>
      </c>
      <c r="V116" t="s">
        <v>3152</v>
      </c>
      <c r="X116" t="s">
        <v>2402</v>
      </c>
      <c r="Y116">
        <v>4710</v>
      </c>
      <c r="Z116" t="s">
        <v>2525</v>
      </c>
      <c r="AA116" t="s">
        <v>2655</v>
      </c>
      <c r="AB116">
        <v>10</v>
      </c>
      <c r="AC116" t="s">
        <v>2405</v>
      </c>
      <c r="AD116" t="s">
        <v>2406</v>
      </c>
      <c r="AE116">
        <v>5</v>
      </c>
      <c r="AF116" t="s">
        <v>2407</v>
      </c>
      <c r="AG116" t="s">
        <v>2408</v>
      </c>
      <c r="AH116">
        <v>0</v>
      </c>
      <c r="AI116">
        <v>0</v>
      </c>
      <c r="AJ116">
        <v>0</v>
      </c>
      <c r="AK116">
        <v>0</v>
      </c>
    </row>
    <row r="117" spans="1:37" x14ac:dyDescent="0.25">
      <c r="A117">
        <v>2012</v>
      </c>
      <c r="B117">
        <v>21128</v>
      </c>
      <c r="C117" t="s">
        <v>1027</v>
      </c>
      <c r="D117" t="s">
        <v>3153</v>
      </c>
      <c r="H117" t="s">
        <v>69</v>
      </c>
      <c r="J117" t="s">
        <v>3154</v>
      </c>
      <c r="K117" t="s">
        <v>3155</v>
      </c>
      <c r="L117">
        <v>54.3</v>
      </c>
      <c r="M117">
        <v>-122.85</v>
      </c>
      <c r="N117">
        <v>1983</v>
      </c>
      <c r="O117">
        <v>211113</v>
      </c>
      <c r="P117">
        <v>4</v>
      </c>
      <c r="Q117" t="s">
        <v>2398</v>
      </c>
      <c r="R117" t="s">
        <v>2399</v>
      </c>
      <c r="S117">
        <v>5953</v>
      </c>
      <c r="T117" t="s">
        <v>2580</v>
      </c>
      <c r="U117">
        <v>5953050</v>
      </c>
      <c r="V117" t="s">
        <v>3156</v>
      </c>
      <c r="X117" t="s">
        <v>2402</v>
      </c>
      <c r="Y117">
        <v>5950</v>
      </c>
      <c r="Z117" t="s">
        <v>2582</v>
      </c>
      <c r="AA117" t="s">
        <v>3157</v>
      </c>
      <c r="AB117">
        <v>14</v>
      </c>
      <c r="AC117" t="s">
        <v>2516</v>
      </c>
      <c r="AD117" t="s">
        <v>2517</v>
      </c>
      <c r="AE117">
        <v>8</v>
      </c>
      <c r="AF117" t="s">
        <v>2584</v>
      </c>
      <c r="AG117" t="s">
        <v>2585</v>
      </c>
      <c r="AH117">
        <v>0</v>
      </c>
      <c r="AI117">
        <v>0</v>
      </c>
      <c r="AJ117">
        <v>0</v>
      </c>
      <c r="AK117">
        <v>0</v>
      </c>
    </row>
    <row r="118" spans="1:37" x14ac:dyDescent="0.25">
      <c r="A118">
        <v>2010</v>
      </c>
      <c r="B118">
        <v>21681</v>
      </c>
      <c r="C118" t="s">
        <v>3158</v>
      </c>
      <c r="D118" t="s">
        <v>3159</v>
      </c>
      <c r="E118" t="s">
        <v>3160</v>
      </c>
      <c r="G118" t="s">
        <v>3161</v>
      </c>
      <c r="H118" t="s">
        <v>85</v>
      </c>
      <c r="I118" t="s">
        <v>3162</v>
      </c>
      <c r="J118" t="s">
        <v>3163</v>
      </c>
      <c r="K118" t="s">
        <v>3164</v>
      </c>
      <c r="L118">
        <v>53.343899</v>
      </c>
      <c r="M118">
        <v>-114.32399700000001</v>
      </c>
      <c r="N118">
        <v>1983</v>
      </c>
      <c r="O118">
        <v>324121</v>
      </c>
      <c r="P118">
        <v>12</v>
      </c>
      <c r="Q118" t="s">
        <v>2704</v>
      </c>
      <c r="R118" t="s">
        <v>2705</v>
      </c>
      <c r="S118">
        <v>4811</v>
      </c>
      <c r="T118" t="s">
        <v>2643</v>
      </c>
      <c r="U118">
        <v>4811012</v>
      </c>
      <c r="V118" t="s">
        <v>3165</v>
      </c>
      <c r="W118">
        <v>835</v>
      </c>
      <c r="X118" t="s">
        <v>2645</v>
      </c>
      <c r="Y118">
        <v>4860</v>
      </c>
      <c r="Z118" t="s">
        <v>2645</v>
      </c>
      <c r="AA118" t="s">
        <v>2509</v>
      </c>
      <c r="AB118">
        <v>9</v>
      </c>
      <c r="AC118" t="s">
        <v>2475</v>
      </c>
      <c r="AD118" t="s">
        <v>2476</v>
      </c>
      <c r="AE118">
        <v>5</v>
      </c>
      <c r="AF118" t="s">
        <v>2407</v>
      </c>
      <c r="AG118" t="s">
        <v>2408</v>
      </c>
      <c r="AH118">
        <v>0</v>
      </c>
      <c r="AI118">
        <v>0</v>
      </c>
      <c r="AJ118">
        <v>0</v>
      </c>
      <c r="AK118">
        <v>0</v>
      </c>
    </row>
    <row r="119" spans="1:37" x14ac:dyDescent="0.25">
      <c r="A119">
        <v>2023</v>
      </c>
      <c r="B119">
        <v>21806</v>
      </c>
      <c r="C119" t="s">
        <v>3166</v>
      </c>
      <c r="D119" t="s">
        <v>3167</v>
      </c>
      <c r="G119" t="s">
        <v>3168</v>
      </c>
      <c r="H119" t="s">
        <v>85</v>
      </c>
      <c r="J119" t="s">
        <v>3169</v>
      </c>
      <c r="K119" t="s">
        <v>3170</v>
      </c>
      <c r="L119">
        <v>51.787100000000002</v>
      </c>
      <c r="M119">
        <v>-113.3357</v>
      </c>
      <c r="N119">
        <v>1983</v>
      </c>
      <c r="O119">
        <v>211110</v>
      </c>
      <c r="P119">
        <v>4</v>
      </c>
      <c r="Q119" t="s">
        <v>2398</v>
      </c>
      <c r="R119" t="s">
        <v>2399</v>
      </c>
      <c r="S119">
        <v>4805</v>
      </c>
      <c r="T119" t="s">
        <v>2669</v>
      </c>
      <c r="U119">
        <v>4805041</v>
      </c>
      <c r="V119" t="s">
        <v>3026</v>
      </c>
      <c r="X119" t="s">
        <v>2402</v>
      </c>
      <c r="Y119">
        <v>4820</v>
      </c>
      <c r="Z119" t="s">
        <v>2508</v>
      </c>
      <c r="AA119" t="s">
        <v>2634</v>
      </c>
      <c r="AB119">
        <v>10</v>
      </c>
      <c r="AC119" t="s">
        <v>2405</v>
      </c>
      <c r="AD119" t="s">
        <v>2406</v>
      </c>
      <c r="AE119">
        <v>5</v>
      </c>
      <c r="AF119" t="s">
        <v>2407</v>
      </c>
      <c r="AG119" t="s">
        <v>2408</v>
      </c>
      <c r="AH119">
        <v>0</v>
      </c>
      <c r="AI119">
        <v>0</v>
      </c>
      <c r="AJ119">
        <v>0</v>
      </c>
      <c r="AK119">
        <v>0</v>
      </c>
    </row>
    <row r="120" spans="1:37" x14ac:dyDescent="0.25">
      <c r="A120">
        <v>2022</v>
      </c>
      <c r="B120">
        <v>33710</v>
      </c>
      <c r="C120" t="s">
        <v>3171</v>
      </c>
      <c r="D120" t="s">
        <v>3172</v>
      </c>
      <c r="G120" t="s">
        <v>2664</v>
      </c>
      <c r="H120" t="s">
        <v>85</v>
      </c>
      <c r="J120" t="s">
        <v>3173</v>
      </c>
      <c r="K120" t="s">
        <v>3174</v>
      </c>
      <c r="L120">
        <v>54.354033000000001</v>
      </c>
      <c r="M120">
        <v>-118.41560699999999</v>
      </c>
      <c r="N120">
        <v>1983</v>
      </c>
      <c r="O120">
        <v>211110</v>
      </c>
      <c r="P120">
        <v>4</v>
      </c>
      <c r="Q120" t="s">
        <v>2398</v>
      </c>
      <c r="R120" t="s">
        <v>2399</v>
      </c>
      <c r="S120">
        <v>4818</v>
      </c>
      <c r="T120" t="s">
        <v>2545</v>
      </c>
      <c r="U120">
        <v>4818015</v>
      </c>
      <c r="V120" t="s">
        <v>2546</v>
      </c>
      <c r="X120" t="s">
        <v>2402</v>
      </c>
      <c r="Y120">
        <v>4870</v>
      </c>
      <c r="Z120" t="s">
        <v>2473</v>
      </c>
      <c r="AA120" t="s">
        <v>2474</v>
      </c>
      <c r="AB120">
        <v>9</v>
      </c>
      <c r="AC120" t="s">
        <v>2475</v>
      </c>
      <c r="AD120" t="s">
        <v>2476</v>
      </c>
      <c r="AE120">
        <v>7</v>
      </c>
      <c r="AF120" t="s">
        <v>2477</v>
      </c>
      <c r="AG120" t="s">
        <v>2478</v>
      </c>
      <c r="AH120">
        <v>0</v>
      </c>
      <c r="AI120">
        <v>0</v>
      </c>
      <c r="AJ120">
        <v>0</v>
      </c>
      <c r="AK120">
        <v>0</v>
      </c>
    </row>
    <row r="121" spans="1:37" x14ac:dyDescent="0.25">
      <c r="A121">
        <v>2023</v>
      </c>
      <c r="B121">
        <v>19319</v>
      </c>
      <c r="C121" t="s">
        <v>1791</v>
      </c>
      <c r="D121" t="s">
        <v>3175</v>
      </c>
      <c r="H121" t="s">
        <v>243</v>
      </c>
      <c r="J121" t="s">
        <v>3176</v>
      </c>
      <c r="K121" t="s">
        <v>3177</v>
      </c>
      <c r="L121">
        <v>49.309800000000003</v>
      </c>
      <c r="M121">
        <v>-103.13039999999999</v>
      </c>
      <c r="N121">
        <v>1983</v>
      </c>
      <c r="O121">
        <v>211110</v>
      </c>
      <c r="P121">
        <v>4</v>
      </c>
      <c r="Q121" t="s">
        <v>2398</v>
      </c>
      <c r="R121" t="s">
        <v>2399</v>
      </c>
      <c r="S121">
        <v>4701</v>
      </c>
      <c r="T121" t="s">
        <v>2523</v>
      </c>
      <c r="U121">
        <v>4701027</v>
      </c>
      <c r="V121" t="s">
        <v>2928</v>
      </c>
      <c r="X121" t="s">
        <v>2402</v>
      </c>
      <c r="Y121">
        <v>4710</v>
      </c>
      <c r="Z121" t="s">
        <v>2525</v>
      </c>
      <c r="AA121" t="s">
        <v>2655</v>
      </c>
      <c r="AB121">
        <v>10</v>
      </c>
      <c r="AC121" t="s">
        <v>2405</v>
      </c>
      <c r="AD121" t="s">
        <v>2406</v>
      </c>
      <c r="AE121">
        <v>5</v>
      </c>
      <c r="AF121" t="s">
        <v>2407</v>
      </c>
      <c r="AG121" t="s">
        <v>2408</v>
      </c>
      <c r="AH121">
        <v>0</v>
      </c>
      <c r="AI121">
        <v>0</v>
      </c>
      <c r="AJ121">
        <v>0</v>
      </c>
      <c r="AK121">
        <v>0</v>
      </c>
    </row>
    <row r="122" spans="1:37" x14ac:dyDescent="0.25">
      <c r="A122">
        <v>2014</v>
      </c>
      <c r="B122">
        <v>19963</v>
      </c>
      <c r="C122" t="s">
        <v>3178</v>
      </c>
      <c r="D122" t="s">
        <v>3179</v>
      </c>
      <c r="H122" t="s">
        <v>85</v>
      </c>
      <c r="J122" t="s">
        <v>3180</v>
      </c>
      <c r="K122" t="s">
        <v>3181</v>
      </c>
      <c r="L122">
        <v>51.777999999999999</v>
      </c>
      <c r="M122">
        <v>-113.1015</v>
      </c>
      <c r="N122">
        <v>1983</v>
      </c>
      <c r="O122">
        <v>211113</v>
      </c>
      <c r="P122">
        <v>4</v>
      </c>
      <c r="Q122" t="s">
        <v>2398</v>
      </c>
      <c r="R122" t="s">
        <v>2399</v>
      </c>
      <c r="S122">
        <v>4805</v>
      </c>
      <c r="T122" t="s">
        <v>2669</v>
      </c>
      <c r="U122">
        <v>4805041</v>
      </c>
      <c r="V122" t="s">
        <v>3026</v>
      </c>
      <c r="X122" t="s">
        <v>2402</v>
      </c>
      <c r="Y122">
        <v>4820</v>
      </c>
      <c r="Z122" t="s">
        <v>2508</v>
      </c>
      <c r="AA122" t="s">
        <v>2634</v>
      </c>
      <c r="AB122">
        <v>10</v>
      </c>
      <c r="AC122" t="s">
        <v>2405</v>
      </c>
      <c r="AD122" t="s">
        <v>2406</v>
      </c>
      <c r="AE122">
        <v>5</v>
      </c>
      <c r="AF122" t="s">
        <v>2407</v>
      </c>
      <c r="AG122" t="s">
        <v>2408</v>
      </c>
      <c r="AH122">
        <v>0</v>
      </c>
      <c r="AI122">
        <v>0</v>
      </c>
      <c r="AJ122">
        <v>0</v>
      </c>
      <c r="AK122">
        <v>0</v>
      </c>
    </row>
    <row r="123" spans="1:37" x14ac:dyDescent="0.25">
      <c r="A123">
        <v>2006</v>
      </c>
      <c r="B123">
        <v>4421</v>
      </c>
      <c r="C123" t="s">
        <v>3182</v>
      </c>
      <c r="E123" t="s">
        <v>3183</v>
      </c>
      <c r="G123" t="s">
        <v>3184</v>
      </c>
      <c r="H123" t="s">
        <v>21</v>
      </c>
      <c r="I123" t="s">
        <v>3185</v>
      </c>
      <c r="K123" t="s">
        <v>3186</v>
      </c>
      <c r="L123">
        <v>42.282800000000002</v>
      </c>
      <c r="M123">
        <v>-82.976799999999997</v>
      </c>
      <c r="N123">
        <v>1983</v>
      </c>
      <c r="O123">
        <v>336370</v>
      </c>
      <c r="P123">
        <v>15</v>
      </c>
      <c r="Q123" t="s">
        <v>2592</v>
      </c>
      <c r="R123" t="s">
        <v>2593</v>
      </c>
      <c r="S123">
        <v>3537</v>
      </c>
      <c r="T123" t="s">
        <v>2417</v>
      </c>
      <c r="U123">
        <v>3537039</v>
      </c>
      <c r="V123" t="s">
        <v>3187</v>
      </c>
      <c r="W123">
        <v>559</v>
      </c>
      <c r="X123" t="s">
        <v>3187</v>
      </c>
      <c r="Y123">
        <v>3570</v>
      </c>
      <c r="Z123" t="s">
        <v>2418</v>
      </c>
      <c r="AA123" t="s">
        <v>3188</v>
      </c>
      <c r="AB123">
        <v>8</v>
      </c>
      <c r="AC123" t="s">
        <v>2420</v>
      </c>
      <c r="AD123" t="s">
        <v>2421</v>
      </c>
      <c r="AE123">
        <v>2</v>
      </c>
      <c r="AF123" t="s">
        <v>2422</v>
      </c>
      <c r="AG123" t="s">
        <v>2423</v>
      </c>
      <c r="AH123">
        <v>1</v>
      </c>
      <c r="AI123">
        <v>1</v>
      </c>
      <c r="AJ123">
        <v>0</v>
      </c>
      <c r="AK123">
        <v>1</v>
      </c>
    </row>
    <row r="124" spans="1:37" x14ac:dyDescent="0.25">
      <c r="A124">
        <v>2018</v>
      </c>
      <c r="B124">
        <v>30154</v>
      </c>
      <c r="C124" t="s">
        <v>3166</v>
      </c>
      <c r="D124" t="s">
        <v>3189</v>
      </c>
      <c r="H124" t="s">
        <v>85</v>
      </c>
      <c r="J124" t="s">
        <v>3190</v>
      </c>
      <c r="K124" t="s">
        <v>3191</v>
      </c>
      <c r="L124">
        <v>50.948650000000001</v>
      </c>
      <c r="M124">
        <v>-112.89181000000001</v>
      </c>
      <c r="N124">
        <v>1983</v>
      </c>
      <c r="O124">
        <v>211110</v>
      </c>
      <c r="P124">
        <v>4</v>
      </c>
      <c r="Q124" t="s">
        <v>2398</v>
      </c>
      <c r="R124" t="s">
        <v>2399</v>
      </c>
      <c r="S124">
        <v>4805</v>
      </c>
      <c r="T124" t="s">
        <v>2669</v>
      </c>
      <c r="U124">
        <v>4805012</v>
      </c>
      <c r="V124" t="s">
        <v>2670</v>
      </c>
      <c r="X124" t="s">
        <v>2402</v>
      </c>
      <c r="Y124">
        <v>4820</v>
      </c>
      <c r="Z124" t="s">
        <v>2508</v>
      </c>
      <c r="AA124" t="s">
        <v>2671</v>
      </c>
      <c r="AB124">
        <v>10</v>
      </c>
      <c r="AC124" t="s">
        <v>2405</v>
      </c>
      <c r="AD124" t="s">
        <v>2406</v>
      </c>
      <c r="AE124">
        <v>5</v>
      </c>
      <c r="AF124" t="s">
        <v>2407</v>
      </c>
      <c r="AG124" t="s">
        <v>2408</v>
      </c>
      <c r="AH124">
        <v>0</v>
      </c>
      <c r="AI124">
        <v>0</v>
      </c>
      <c r="AJ124">
        <v>0</v>
      </c>
      <c r="AK124">
        <v>0</v>
      </c>
    </row>
    <row r="125" spans="1:37" x14ac:dyDescent="0.25">
      <c r="A125">
        <v>2023</v>
      </c>
      <c r="B125">
        <v>24340</v>
      </c>
      <c r="C125" t="s">
        <v>2176</v>
      </c>
      <c r="D125" t="s">
        <v>3192</v>
      </c>
      <c r="G125" t="s">
        <v>3193</v>
      </c>
      <c r="H125" t="s">
        <v>85</v>
      </c>
      <c r="J125" t="s">
        <v>3194</v>
      </c>
      <c r="K125" t="s">
        <v>3195</v>
      </c>
      <c r="L125">
        <v>52.634469000000003</v>
      </c>
      <c r="M125">
        <v>-114.522986</v>
      </c>
      <c r="N125">
        <v>1983</v>
      </c>
      <c r="O125">
        <v>211110</v>
      </c>
      <c r="P125">
        <v>4</v>
      </c>
      <c r="Q125" t="s">
        <v>2398</v>
      </c>
      <c r="R125" t="s">
        <v>2399</v>
      </c>
      <c r="S125">
        <v>4808</v>
      </c>
      <c r="T125" t="s">
        <v>2400</v>
      </c>
      <c r="U125">
        <v>4808038</v>
      </c>
      <c r="V125" t="s">
        <v>2541</v>
      </c>
      <c r="X125" t="s">
        <v>2402</v>
      </c>
      <c r="Y125">
        <v>4850</v>
      </c>
      <c r="Z125" t="s">
        <v>1340</v>
      </c>
      <c r="AA125" t="s">
        <v>2509</v>
      </c>
      <c r="AB125">
        <v>9</v>
      </c>
      <c r="AC125" t="s">
        <v>2475</v>
      </c>
      <c r="AD125" t="s">
        <v>2476</v>
      </c>
      <c r="AE125">
        <v>5</v>
      </c>
      <c r="AF125" t="s">
        <v>2407</v>
      </c>
      <c r="AG125" t="s">
        <v>2408</v>
      </c>
      <c r="AH125">
        <v>0</v>
      </c>
      <c r="AI125">
        <v>0</v>
      </c>
      <c r="AJ125">
        <v>0</v>
      </c>
      <c r="AK125">
        <v>0</v>
      </c>
    </row>
    <row r="126" spans="1:37" x14ac:dyDescent="0.25">
      <c r="A126">
        <v>2023</v>
      </c>
      <c r="B126">
        <v>5624</v>
      </c>
      <c r="C126" t="s">
        <v>3196</v>
      </c>
      <c r="D126" t="s">
        <v>3197</v>
      </c>
      <c r="E126" t="s">
        <v>3198</v>
      </c>
      <c r="G126" t="s">
        <v>3197</v>
      </c>
      <c r="H126" t="s">
        <v>21</v>
      </c>
      <c r="I126" t="s">
        <v>3199</v>
      </c>
      <c r="K126" t="s">
        <v>3200</v>
      </c>
      <c r="L126">
        <v>43.7074</v>
      </c>
      <c r="M126">
        <v>-79.569999999999993</v>
      </c>
      <c r="N126">
        <v>1983</v>
      </c>
      <c r="O126">
        <v>335920</v>
      </c>
      <c r="P126">
        <v>11</v>
      </c>
      <c r="Q126" t="s">
        <v>2532</v>
      </c>
      <c r="R126" t="s">
        <v>2533</v>
      </c>
      <c r="S126">
        <v>3520</v>
      </c>
      <c r="T126" t="s">
        <v>2439</v>
      </c>
      <c r="U126">
        <v>3520005</v>
      </c>
      <c r="V126" t="s">
        <v>2439</v>
      </c>
      <c r="W126">
        <v>535</v>
      </c>
      <c r="X126" t="s">
        <v>2439</v>
      </c>
      <c r="Y126">
        <v>3530</v>
      </c>
      <c r="Z126" t="s">
        <v>2439</v>
      </c>
      <c r="AA126" t="s">
        <v>3201</v>
      </c>
      <c r="AB126">
        <v>8</v>
      </c>
      <c r="AC126" t="s">
        <v>2420</v>
      </c>
      <c r="AD126" t="s">
        <v>2421</v>
      </c>
      <c r="AE126">
        <v>2</v>
      </c>
      <c r="AF126" t="s">
        <v>2422</v>
      </c>
      <c r="AG126" t="s">
        <v>2423</v>
      </c>
      <c r="AH126">
        <v>1</v>
      </c>
      <c r="AI126">
        <v>1</v>
      </c>
      <c r="AJ126">
        <v>0</v>
      </c>
      <c r="AK126">
        <v>1</v>
      </c>
    </row>
    <row r="127" spans="1:37" x14ac:dyDescent="0.25">
      <c r="A127">
        <v>2023</v>
      </c>
      <c r="B127">
        <v>31583</v>
      </c>
      <c r="C127" t="s">
        <v>3202</v>
      </c>
      <c r="D127" t="s">
        <v>3203</v>
      </c>
      <c r="E127" t="s">
        <v>3204</v>
      </c>
      <c r="G127" t="s">
        <v>3205</v>
      </c>
      <c r="H127" t="s">
        <v>69</v>
      </c>
      <c r="I127" t="s">
        <v>3206</v>
      </c>
      <c r="J127" t="s">
        <v>3207</v>
      </c>
      <c r="K127" t="s">
        <v>3208</v>
      </c>
      <c r="L127">
        <v>49.174422</v>
      </c>
      <c r="M127">
        <v>-122.942661</v>
      </c>
      <c r="N127">
        <v>1983</v>
      </c>
      <c r="O127">
        <v>326290</v>
      </c>
      <c r="P127">
        <v>13</v>
      </c>
      <c r="Q127" t="s">
        <v>2447</v>
      </c>
      <c r="R127" t="s">
        <v>2448</v>
      </c>
      <c r="S127">
        <v>5915</v>
      </c>
      <c r="T127" t="s">
        <v>2622</v>
      </c>
      <c r="U127">
        <v>5915011</v>
      </c>
      <c r="V127" t="s">
        <v>3209</v>
      </c>
      <c r="W127">
        <v>933</v>
      </c>
      <c r="X127" t="s">
        <v>2623</v>
      </c>
      <c r="Y127">
        <v>5920</v>
      </c>
      <c r="Z127" t="s">
        <v>2624</v>
      </c>
      <c r="AA127" t="s">
        <v>3210</v>
      </c>
      <c r="AB127">
        <v>13</v>
      </c>
      <c r="AC127" t="s">
        <v>2626</v>
      </c>
      <c r="AD127" t="s">
        <v>2627</v>
      </c>
      <c r="AE127">
        <v>8</v>
      </c>
      <c r="AF127" t="s">
        <v>2584</v>
      </c>
      <c r="AG127" t="s">
        <v>2585</v>
      </c>
      <c r="AH127">
        <v>0</v>
      </c>
      <c r="AI127">
        <v>0</v>
      </c>
      <c r="AJ127">
        <v>0</v>
      </c>
      <c r="AK127">
        <v>0</v>
      </c>
    </row>
    <row r="128" spans="1:37" x14ac:dyDescent="0.25">
      <c r="A128">
        <v>1997</v>
      </c>
      <c r="B128">
        <v>5639</v>
      </c>
      <c r="C128" t="s">
        <v>1918</v>
      </c>
      <c r="D128" t="s">
        <v>3211</v>
      </c>
      <c r="E128" t="s">
        <v>3212</v>
      </c>
      <c r="G128" t="s">
        <v>3213</v>
      </c>
      <c r="H128" t="s">
        <v>1625</v>
      </c>
      <c r="I128" t="s">
        <v>3214</v>
      </c>
      <c r="J128" t="s">
        <v>3215</v>
      </c>
      <c r="K128" t="s">
        <v>3216</v>
      </c>
      <c r="L128">
        <v>52.978499999999997</v>
      </c>
      <c r="M128">
        <v>-66.881500000000003</v>
      </c>
      <c r="N128">
        <v>1983</v>
      </c>
      <c r="O128">
        <v>325999</v>
      </c>
      <c r="P128">
        <v>3</v>
      </c>
      <c r="Q128" t="s">
        <v>2822</v>
      </c>
      <c r="R128" t="s">
        <v>2823</v>
      </c>
      <c r="S128">
        <v>1010</v>
      </c>
      <c r="T128" t="s">
        <v>2554</v>
      </c>
      <c r="U128">
        <v>1010029</v>
      </c>
      <c r="V128" t="s">
        <v>3217</v>
      </c>
      <c r="X128" t="s">
        <v>2402</v>
      </c>
      <c r="Y128">
        <v>1030</v>
      </c>
      <c r="Z128" t="s">
        <v>3218</v>
      </c>
      <c r="AA128" t="s">
        <v>3219</v>
      </c>
      <c r="AB128">
        <v>6</v>
      </c>
      <c r="AC128" t="s">
        <v>2465</v>
      </c>
      <c r="AD128" t="s">
        <v>2466</v>
      </c>
      <c r="AE128">
        <v>3</v>
      </c>
      <c r="AF128" t="s">
        <v>3220</v>
      </c>
      <c r="AG128" t="s">
        <v>3221</v>
      </c>
      <c r="AH128">
        <v>0</v>
      </c>
      <c r="AI128">
        <v>0</v>
      </c>
      <c r="AJ128">
        <v>0</v>
      </c>
      <c r="AK128">
        <v>0</v>
      </c>
    </row>
    <row r="129" spans="1:37" x14ac:dyDescent="0.25">
      <c r="A129">
        <v>2023</v>
      </c>
      <c r="B129">
        <v>4406</v>
      </c>
      <c r="C129" t="s">
        <v>3222</v>
      </c>
      <c r="D129" t="s">
        <v>3223</v>
      </c>
      <c r="E129" t="s">
        <v>3224</v>
      </c>
      <c r="G129" t="s">
        <v>3225</v>
      </c>
      <c r="H129" t="s">
        <v>79</v>
      </c>
      <c r="I129" t="s">
        <v>3226</v>
      </c>
      <c r="K129" t="s">
        <v>3227</v>
      </c>
      <c r="L129">
        <v>45.574663999999999</v>
      </c>
      <c r="M129">
        <v>-73.255815999999996</v>
      </c>
      <c r="N129">
        <v>1983</v>
      </c>
      <c r="O129">
        <v>332810</v>
      </c>
      <c r="P129">
        <v>11</v>
      </c>
      <c r="Q129" t="s">
        <v>2532</v>
      </c>
      <c r="R129" t="s">
        <v>2533</v>
      </c>
      <c r="S129">
        <v>2457</v>
      </c>
      <c r="T129" t="s">
        <v>3228</v>
      </c>
      <c r="U129">
        <v>2457045</v>
      </c>
      <c r="V129" t="s">
        <v>3225</v>
      </c>
      <c r="W129">
        <v>462</v>
      </c>
      <c r="X129" t="s">
        <v>2450</v>
      </c>
      <c r="Y129">
        <v>2435</v>
      </c>
      <c r="Z129" t="s">
        <v>2451</v>
      </c>
      <c r="AA129" t="s">
        <v>3229</v>
      </c>
      <c r="AB129">
        <v>8</v>
      </c>
      <c r="AC129" t="s">
        <v>2420</v>
      </c>
      <c r="AD129" t="s">
        <v>2421</v>
      </c>
      <c r="AE129">
        <v>2</v>
      </c>
      <c r="AF129" t="s">
        <v>2422</v>
      </c>
      <c r="AG129" t="s">
        <v>2423</v>
      </c>
      <c r="AH129">
        <v>1</v>
      </c>
      <c r="AI129">
        <v>0</v>
      </c>
      <c r="AJ129">
        <v>1</v>
      </c>
      <c r="AK129">
        <v>1</v>
      </c>
    </row>
    <row r="130" spans="1:37" x14ac:dyDescent="0.25">
      <c r="A130">
        <v>2018</v>
      </c>
      <c r="B130">
        <v>30584</v>
      </c>
      <c r="C130" t="s">
        <v>3178</v>
      </c>
      <c r="D130" t="s">
        <v>3230</v>
      </c>
      <c r="H130" t="s">
        <v>69</v>
      </c>
      <c r="J130" t="s">
        <v>3231</v>
      </c>
      <c r="K130" t="s">
        <v>3232</v>
      </c>
      <c r="L130">
        <v>55.928959999999996</v>
      </c>
      <c r="M130">
        <v>-120.55462</v>
      </c>
      <c r="N130">
        <v>1983</v>
      </c>
      <c r="O130">
        <v>211110</v>
      </c>
      <c r="P130">
        <v>4</v>
      </c>
      <c r="Q130" t="s">
        <v>2398</v>
      </c>
      <c r="R130" t="s">
        <v>2399</v>
      </c>
      <c r="S130">
        <v>5955</v>
      </c>
      <c r="T130" t="s">
        <v>2492</v>
      </c>
      <c r="U130">
        <v>5955021</v>
      </c>
      <c r="V130" t="s">
        <v>2778</v>
      </c>
      <c r="X130" t="s">
        <v>2402</v>
      </c>
      <c r="Y130">
        <v>5980</v>
      </c>
      <c r="Z130" t="s">
        <v>2494</v>
      </c>
      <c r="AA130" t="s">
        <v>2779</v>
      </c>
      <c r="AB130">
        <v>9</v>
      </c>
      <c r="AC130" t="s">
        <v>2475</v>
      </c>
      <c r="AD130" t="s">
        <v>2476</v>
      </c>
      <c r="AE130">
        <v>7</v>
      </c>
      <c r="AF130" t="s">
        <v>2477</v>
      </c>
      <c r="AG130" t="s">
        <v>2478</v>
      </c>
      <c r="AH130">
        <v>0</v>
      </c>
      <c r="AI130">
        <v>0</v>
      </c>
      <c r="AJ130">
        <v>0</v>
      </c>
      <c r="AK130">
        <v>0</v>
      </c>
    </row>
    <row r="131" spans="1:37" x14ac:dyDescent="0.25">
      <c r="A131">
        <v>2012</v>
      </c>
      <c r="B131">
        <v>23306</v>
      </c>
      <c r="C131" t="s">
        <v>1928</v>
      </c>
      <c r="D131" t="s">
        <v>3233</v>
      </c>
      <c r="G131" t="s">
        <v>3234</v>
      </c>
      <c r="H131" t="s">
        <v>243</v>
      </c>
      <c r="J131" t="s">
        <v>3235</v>
      </c>
      <c r="K131" t="s">
        <v>3236</v>
      </c>
      <c r="L131">
        <v>52.743099999999998</v>
      </c>
      <c r="M131">
        <v>-109.44670000000001</v>
      </c>
      <c r="N131">
        <v>1983</v>
      </c>
      <c r="O131">
        <v>211113</v>
      </c>
      <c r="P131">
        <v>4</v>
      </c>
      <c r="Q131" t="s">
        <v>2398</v>
      </c>
      <c r="R131" t="s">
        <v>2399</v>
      </c>
      <c r="S131">
        <v>4713</v>
      </c>
      <c r="T131" t="s">
        <v>2428</v>
      </c>
      <c r="U131">
        <v>4713092</v>
      </c>
      <c r="V131" t="s">
        <v>3237</v>
      </c>
      <c r="X131" t="s">
        <v>2402</v>
      </c>
      <c r="Y131">
        <v>4730</v>
      </c>
      <c r="Z131" t="s">
        <v>2430</v>
      </c>
      <c r="AA131" t="s">
        <v>3238</v>
      </c>
      <c r="AB131">
        <v>10</v>
      </c>
      <c r="AC131" t="s">
        <v>2405</v>
      </c>
      <c r="AD131" t="s">
        <v>2406</v>
      </c>
      <c r="AE131">
        <v>5</v>
      </c>
      <c r="AF131" t="s">
        <v>2407</v>
      </c>
      <c r="AG131" t="s">
        <v>2408</v>
      </c>
      <c r="AH131">
        <v>0</v>
      </c>
      <c r="AI131">
        <v>0</v>
      </c>
      <c r="AJ131">
        <v>0</v>
      </c>
      <c r="AK131">
        <v>0</v>
      </c>
    </row>
    <row r="132" spans="1:37" x14ac:dyDescent="0.25">
      <c r="A132">
        <v>2023</v>
      </c>
      <c r="B132">
        <v>18941</v>
      </c>
      <c r="C132" t="s">
        <v>1976</v>
      </c>
      <c r="D132" t="s">
        <v>3239</v>
      </c>
      <c r="H132" t="s">
        <v>243</v>
      </c>
      <c r="J132" t="s">
        <v>3240</v>
      </c>
      <c r="K132" t="s">
        <v>3241</v>
      </c>
      <c r="L132">
        <v>51.206099999999999</v>
      </c>
      <c r="M132">
        <v>-108.1146</v>
      </c>
      <c r="N132">
        <v>1983</v>
      </c>
      <c r="O132">
        <v>211110</v>
      </c>
      <c r="P132">
        <v>4</v>
      </c>
      <c r="Q132" t="s">
        <v>2398</v>
      </c>
      <c r="R132" t="s">
        <v>2399</v>
      </c>
      <c r="S132">
        <v>4708</v>
      </c>
      <c r="T132" t="s">
        <v>2400</v>
      </c>
      <c r="U132">
        <v>4708092</v>
      </c>
      <c r="V132" t="s">
        <v>3242</v>
      </c>
      <c r="X132" t="s">
        <v>2402</v>
      </c>
      <c r="Y132">
        <v>4720</v>
      </c>
      <c r="Z132" t="s">
        <v>2403</v>
      </c>
      <c r="AA132" t="s">
        <v>2431</v>
      </c>
      <c r="AB132">
        <v>10</v>
      </c>
      <c r="AC132" t="s">
        <v>2405</v>
      </c>
      <c r="AD132" t="s">
        <v>2406</v>
      </c>
      <c r="AE132">
        <v>5</v>
      </c>
      <c r="AF132" t="s">
        <v>2407</v>
      </c>
      <c r="AG132" t="s">
        <v>2408</v>
      </c>
      <c r="AH132">
        <v>0</v>
      </c>
      <c r="AI132">
        <v>0</v>
      </c>
      <c r="AJ132">
        <v>0</v>
      </c>
      <c r="AK132">
        <v>0</v>
      </c>
    </row>
    <row r="133" spans="1:37" x14ac:dyDescent="0.25">
      <c r="A133">
        <v>2009</v>
      </c>
      <c r="B133">
        <v>18780</v>
      </c>
      <c r="C133" t="s">
        <v>1901</v>
      </c>
      <c r="D133" t="s">
        <v>3243</v>
      </c>
      <c r="E133" t="s">
        <v>3244</v>
      </c>
      <c r="H133" t="s">
        <v>85</v>
      </c>
      <c r="J133" t="s">
        <v>3245</v>
      </c>
      <c r="K133" t="s">
        <v>3246</v>
      </c>
      <c r="L133">
        <v>49.449199999999998</v>
      </c>
      <c r="M133">
        <v>-111.61669999999999</v>
      </c>
      <c r="N133">
        <v>1983</v>
      </c>
      <c r="O133">
        <v>486110</v>
      </c>
      <c r="P133">
        <v>10</v>
      </c>
      <c r="Q133" t="s">
        <v>2770</v>
      </c>
      <c r="R133" t="s">
        <v>2771</v>
      </c>
      <c r="S133">
        <v>4801</v>
      </c>
      <c r="T133" t="s">
        <v>2523</v>
      </c>
      <c r="U133">
        <v>4801008</v>
      </c>
      <c r="V133" t="s">
        <v>3247</v>
      </c>
      <c r="X133" t="s">
        <v>2402</v>
      </c>
      <c r="Y133">
        <v>4810</v>
      </c>
      <c r="Z133" t="s">
        <v>2603</v>
      </c>
      <c r="AA133" t="s">
        <v>2846</v>
      </c>
      <c r="AB133">
        <v>10</v>
      </c>
      <c r="AC133" t="s">
        <v>2405</v>
      </c>
      <c r="AD133" t="s">
        <v>2406</v>
      </c>
      <c r="AE133">
        <v>5</v>
      </c>
      <c r="AF133" t="s">
        <v>2407</v>
      </c>
      <c r="AG133" t="s">
        <v>2408</v>
      </c>
      <c r="AH133">
        <v>0</v>
      </c>
      <c r="AI133">
        <v>0</v>
      </c>
      <c r="AJ133">
        <v>0</v>
      </c>
      <c r="AK133">
        <v>0</v>
      </c>
    </row>
    <row r="134" spans="1:37" x14ac:dyDescent="0.25">
      <c r="A134">
        <v>2018</v>
      </c>
      <c r="B134">
        <v>21112</v>
      </c>
      <c r="C134" t="s">
        <v>1027</v>
      </c>
      <c r="D134" t="s">
        <v>3248</v>
      </c>
      <c r="H134" t="s">
        <v>85</v>
      </c>
      <c r="J134" t="s">
        <v>3249</v>
      </c>
      <c r="K134" t="s">
        <v>3250</v>
      </c>
      <c r="L134">
        <v>55.874600000000001</v>
      </c>
      <c r="M134">
        <v>-116.37949999999999</v>
      </c>
      <c r="N134">
        <v>1983</v>
      </c>
      <c r="O134">
        <v>211110</v>
      </c>
      <c r="P134">
        <v>4</v>
      </c>
      <c r="Q134" t="s">
        <v>2398</v>
      </c>
      <c r="R134" t="s">
        <v>2399</v>
      </c>
      <c r="S134">
        <v>4817</v>
      </c>
      <c r="T134" t="s">
        <v>2471</v>
      </c>
      <c r="U134">
        <v>4817027</v>
      </c>
      <c r="V134" t="s">
        <v>3251</v>
      </c>
      <c r="X134" t="s">
        <v>2402</v>
      </c>
      <c r="Y134">
        <v>4870</v>
      </c>
      <c r="Z134" t="s">
        <v>2473</v>
      </c>
      <c r="AA134" t="s">
        <v>2719</v>
      </c>
      <c r="AB134">
        <v>9</v>
      </c>
      <c r="AC134" t="s">
        <v>2475</v>
      </c>
      <c r="AD134" t="s">
        <v>2476</v>
      </c>
      <c r="AE134">
        <v>7</v>
      </c>
      <c r="AF134" t="s">
        <v>2477</v>
      </c>
      <c r="AG134" t="s">
        <v>2478</v>
      </c>
      <c r="AH134">
        <v>0</v>
      </c>
      <c r="AI134">
        <v>0</v>
      </c>
      <c r="AJ134">
        <v>0</v>
      </c>
      <c r="AK134">
        <v>0</v>
      </c>
    </row>
    <row r="135" spans="1:37" x14ac:dyDescent="0.25">
      <c r="A135">
        <v>2021</v>
      </c>
      <c r="B135">
        <v>31032</v>
      </c>
      <c r="C135" t="s">
        <v>3252</v>
      </c>
      <c r="D135" t="s">
        <v>3253</v>
      </c>
      <c r="H135" t="s">
        <v>85</v>
      </c>
      <c r="J135" t="s">
        <v>3254</v>
      </c>
      <c r="K135" t="s">
        <v>3255</v>
      </c>
      <c r="L135">
        <v>53.728378999999997</v>
      </c>
      <c r="M135">
        <v>-115.602469</v>
      </c>
      <c r="N135">
        <v>1983</v>
      </c>
      <c r="O135">
        <v>211110</v>
      </c>
      <c r="P135">
        <v>4</v>
      </c>
      <c r="Q135" t="s">
        <v>2398</v>
      </c>
      <c r="R135" t="s">
        <v>2399</v>
      </c>
      <c r="S135">
        <v>4814</v>
      </c>
      <c r="T135" t="s">
        <v>3256</v>
      </c>
      <c r="U135">
        <v>4814003</v>
      </c>
      <c r="V135" t="s">
        <v>3257</v>
      </c>
      <c r="X135" t="s">
        <v>2402</v>
      </c>
      <c r="Y135">
        <v>4840</v>
      </c>
      <c r="Z135" t="s">
        <v>2633</v>
      </c>
      <c r="AA135" t="s">
        <v>2839</v>
      </c>
      <c r="AB135">
        <v>9</v>
      </c>
      <c r="AC135" t="s">
        <v>2475</v>
      </c>
      <c r="AD135" t="s">
        <v>2476</v>
      </c>
      <c r="AE135">
        <v>7</v>
      </c>
      <c r="AF135" t="s">
        <v>2477</v>
      </c>
      <c r="AG135" t="s">
        <v>2478</v>
      </c>
      <c r="AH135">
        <v>0</v>
      </c>
      <c r="AI135">
        <v>0</v>
      </c>
      <c r="AJ135">
        <v>0</v>
      </c>
      <c r="AK135">
        <v>0</v>
      </c>
    </row>
    <row r="136" spans="1:37" x14ac:dyDescent="0.25">
      <c r="A136">
        <v>2019</v>
      </c>
      <c r="B136">
        <v>15480</v>
      </c>
      <c r="C136" t="s">
        <v>3258</v>
      </c>
      <c r="D136" t="s">
        <v>3259</v>
      </c>
      <c r="H136" t="s">
        <v>85</v>
      </c>
      <c r="J136" t="s">
        <v>3260</v>
      </c>
      <c r="K136" t="s">
        <v>3261</v>
      </c>
      <c r="L136">
        <v>51.591799999999999</v>
      </c>
      <c r="M136">
        <v>-110.75</v>
      </c>
      <c r="N136">
        <v>1983</v>
      </c>
      <c r="O136">
        <v>211110</v>
      </c>
      <c r="P136">
        <v>4</v>
      </c>
      <c r="Q136" t="s">
        <v>2398</v>
      </c>
      <c r="R136" t="s">
        <v>2399</v>
      </c>
      <c r="S136">
        <v>4804</v>
      </c>
      <c r="T136" t="s">
        <v>2506</v>
      </c>
      <c r="U136">
        <v>4804012</v>
      </c>
      <c r="V136" t="s">
        <v>3262</v>
      </c>
      <c r="X136" t="s">
        <v>2402</v>
      </c>
      <c r="Y136">
        <v>4820</v>
      </c>
      <c r="Z136" t="s">
        <v>2508</v>
      </c>
      <c r="AA136" t="s">
        <v>2671</v>
      </c>
      <c r="AB136">
        <v>10</v>
      </c>
      <c r="AC136" t="s">
        <v>2405</v>
      </c>
      <c r="AD136" t="s">
        <v>2406</v>
      </c>
      <c r="AE136">
        <v>5</v>
      </c>
      <c r="AF136" t="s">
        <v>2407</v>
      </c>
      <c r="AG136" t="s">
        <v>2408</v>
      </c>
      <c r="AH136">
        <v>0</v>
      </c>
      <c r="AI136">
        <v>0</v>
      </c>
      <c r="AJ136">
        <v>0</v>
      </c>
      <c r="AK136">
        <v>0</v>
      </c>
    </row>
    <row r="137" spans="1:37" x14ac:dyDescent="0.25">
      <c r="A137">
        <v>2005</v>
      </c>
      <c r="B137">
        <v>19899</v>
      </c>
      <c r="C137" t="s">
        <v>3263</v>
      </c>
      <c r="D137" t="s">
        <v>3264</v>
      </c>
      <c r="E137" t="s">
        <v>3265</v>
      </c>
      <c r="H137" t="s">
        <v>85</v>
      </c>
      <c r="J137" t="s">
        <v>3266</v>
      </c>
      <c r="K137" t="s">
        <v>3267</v>
      </c>
      <c r="L137">
        <v>54.045299999999997</v>
      </c>
      <c r="M137">
        <v>-116.26519999999999</v>
      </c>
      <c r="N137">
        <v>1983</v>
      </c>
      <c r="O137">
        <v>211113</v>
      </c>
      <c r="P137">
        <v>4</v>
      </c>
      <c r="Q137" t="s">
        <v>2398</v>
      </c>
      <c r="R137" t="s">
        <v>2399</v>
      </c>
      <c r="S137">
        <v>4813</v>
      </c>
      <c r="T137" t="s">
        <v>2428</v>
      </c>
      <c r="U137">
        <v>4813029</v>
      </c>
      <c r="V137" t="s">
        <v>2706</v>
      </c>
      <c r="X137" t="s">
        <v>2402</v>
      </c>
      <c r="Y137">
        <v>4870</v>
      </c>
      <c r="Z137" t="s">
        <v>2473</v>
      </c>
      <c r="AA137" t="s">
        <v>2707</v>
      </c>
      <c r="AB137">
        <v>9</v>
      </c>
      <c r="AC137" t="s">
        <v>2475</v>
      </c>
      <c r="AD137" t="s">
        <v>2476</v>
      </c>
      <c r="AE137">
        <v>7</v>
      </c>
      <c r="AF137" t="s">
        <v>2477</v>
      </c>
      <c r="AG137" t="s">
        <v>2478</v>
      </c>
      <c r="AH137">
        <v>0</v>
      </c>
      <c r="AI137">
        <v>0</v>
      </c>
      <c r="AJ137">
        <v>0</v>
      </c>
      <c r="AK137">
        <v>0</v>
      </c>
    </row>
    <row r="138" spans="1:37" x14ac:dyDescent="0.25">
      <c r="A138">
        <v>2003</v>
      </c>
      <c r="B138">
        <v>10315</v>
      </c>
      <c r="C138" t="s">
        <v>3268</v>
      </c>
      <c r="D138" t="s">
        <v>3269</v>
      </c>
      <c r="E138" t="s">
        <v>3270</v>
      </c>
      <c r="G138" t="s">
        <v>3271</v>
      </c>
      <c r="H138" t="s">
        <v>21</v>
      </c>
      <c r="I138" t="s">
        <v>3272</v>
      </c>
      <c r="J138" t="s">
        <v>3273</v>
      </c>
      <c r="K138" t="s">
        <v>3274</v>
      </c>
      <c r="L138">
        <v>49.693899999999999</v>
      </c>
      <c r="M138">
        <v>-86.9</v>
      </c>
      <c r="N138">
        <v>1983</v>
      </c>
      <c r="O138">
        <v>237310</v>
      </c>
      <c r="P138">
        <v>19</v>
      </c>
      <c r="Q138" t="s">
        <v>2552</v>
      </c>
      <c r="R138" t="s">
        <v>2553</v>
      </c>
      <c r="S138">
        <v>3558</v>
      </c>
      <c r="T138" t="s">
        <v>3275</v>
      </c>
      <c r="U138">
        <v>3558075</v>
      </c>
      <c r="V138" t="s">
        <v>3276</v>
      </c>
      <c r="X138" t="s">
        <v>2402</v>
      </c>
      <c r="Y138">
        <v>3595</v>
      </c>
      <c r="Z138" t="s">
        <v>3277</v>
      </c>
      <c r="AA138" t="s">
        <v>3278</v>
      </c>
      <c r="AB138">
        <v>6</v>
      </c>
      <c r="AC138" t="s">
        <v>2465</v>
      </c>
      <c r="AD138" t="s">
        <v>2466</v>
      </c>
      <c r="AE138">
        <v>4</v>
      </c>
      <c r="AF138" t="s">
        <v>2867</v>
      </c>
      <c r="AG138" t="s">
        <v>2868</v>
      </c>
      <c r="AH138">
        <v>0</v>
      </c>
      <c r="AI138">
        <v>0</v>
      </c>
      <c r="AJ138">
        <v>0</v>
      </c>
      <c r="AK138">
        <v>0</v>
      </c>
    </row>
    <row r="139" spans="1:37" x14ac:dyDescent="0.25">
      <c r="A139">
        <v>2020</v>
      </c>
      <c r="B139">
        <v>32141</v>
      </c>
      <c r="C139" t="s">
        <v>1928</v>
      </c>
      <c r="D139" t="s">
        <v>3279</v>
      </c>
      <c r="H139" t="s">
        <v>243</v>
      </c>
      <c r="J139" t="s">
        <v>3280</v>
      </c>
      <c r="K139" t="s">
        <v>3281</v>
      </c>
      <c r="L139">
        <v>51.865200000000002</v>
      </c>
      <c r="M139">
        <v>-109.2852</v>
      </c>
      <c r="N139">
        <v>1983</v>
      </c>
      <c r="O139">
        <v>211110</v>
      </c>
      <c r="P139">
        <v>4</v>
      </c>
      <c r="Q139" t="s">
        <v>2398</v>
      </c>
      <c r="R139" t="s">
        <v>2399</v>
      </c>
      <c r="S139">
        <v>4713</v>
      </c>
      <c r="T139" t="s">
        <v>2428</v>
      </c>
      <c r="U139">
        <v>4713024</v>
      </c>
      <c r="V139" t="s">
        <v>2429</v>
      </c>
      <c r="X139" t="s">
        <v>2402</v>
      </c>
      <c r="Y139">
        <v>4730</v>
      </c>
      <c r="Z139" t="s">
        <v>2430</v>
      </c>
      <c r="AA139" t="s">
        <v>2431</v>
      </c>
      <c r="AB139">
        <v>10</v>
      </c>
      <c r="AC139" t="s">
        <v>2405</v>
      </c>
      <c r="AD139" t="s">
        <v>2406</v>
      </c>
      <c r="AE139">
        <v>5</v>
      </c>
      <c r="AF139" t="s">
        <v>2407</v>
      </c>
      <c r="AG139" t="s">
        <v>2408</v>
      </c>
      <c r="AH139">
        <v>0</v>
      </c>
      <c r="AI139">
        <v>0</v>
      </c>
      <c r="AJ139">
        <v>0</v>
      </c>
      <c r="AK139">
        <v>0</v>
      </c>
    </row>
    <row r="140" spans="1:37" x14ac:dyDescent="0.25">
      <c r="A140">
        <v>2017</v>
      </c>
      <c r="B140">
        <v>29587</v>
      </c>
      <c r="C140" t="s">
        <v>1608</v>
      </c>
      <c r="D140" t="s">
        <v>3282</v>
      </c>
      <c r="G140" t="s">
        <v>3283</v>
      </c>
      <c r="H140" t="s">
        <v>85</v>
      </c>
      <c r="J140" t="s">
        <v>3284</v>
      </c>
      <c r="K140" t="s">
        <v>3285</v>
      </c>
      <c r="L140">
        <v>52.104709999999997</v>
      </c>
      <c r="M140">
        <v>-112.96047</v>
      </c>
      <c r="N140">
        <v>1983</v>
      </c>
      <c r="O140">
        <v>211110</v>
      </c>
      <c r="P140">
        <v>4</v>
      </c>
      <c r="Q140" t="s">
        <v>2398</v>
      </c>
      <c r="R140" t="s">
        <v>2399</v>
      </c>
      <c r="S140">
        <v>4807</v>
      </c>
      <c r="T140" t="s">
        <v>2611</v>
      </c>
      <c r="U140">
        <v>4807019</v>
      </c>
      <c r="V140" t="s">
        <v>2713</v>
      </c>
      <c r="X140" t="s">
        <v>2402</v>
      </c>
      <c r="Y140">
        <v>4820</v>
      </c>
      <c r="Z140" t="s">
        <v>2508</v>
      </c>
      <c r="AA140" t="s">
        <v>2509</v>
      </c>
      <c r="AB140">
        <v>10</v>
      </c>
      <c r="AC140" t="s">
        <v>2405</v>
      </c>
      <c r="AD140" t="s">
        <v>2406</v>
      </c>
      <c r="AE140">
        <v>5</v>
      </c>
      <c r="AF140" t="s">
        <v>2407</v>
      </c>
      <c r="AG140" t="s">
        <v>2408</v>
      </c>
      <c r="AH140">
        <v>0</v>
      </c>
      <c r="AI140">
        <v>0</v>
      </c>
      <c r="AJ140">
        <v>0</v>
      </c>
      <c r="AK140">
        <v>0</v>
      </c>
    </row>
    <row r="141" spans="1:37" x14ac:dyDescent="0.25">
      <c r="A141">
        <v>2007</v>
      </c>
      <c r="B141">
        <v>43</v>
      </c>
      <c r="C141" t="s">
        <v>3286</v>
      </c>
      <c r="D141" t="s">
        <v>3287</v>
      </c>
      <c r="E141" t="s">
        <v>3288</v>
      </c>
      <c r="G141" t="s">
        <v>3289</v>
      </c>
      <c r="H141" t="s">
        <v>21</v>
      </c>
      <c r="I141" t="s">
        <v>3290</v>
      </c>
      <c r="K141" t="s">
        <v>3291</v>
      </c>
      <c r="L141">
        <v>43.653300000000002</v>
      </c>
      <c r="M141">
        <v>-79.895300000000006</v>
      </c>
      <c r="N141">
        <v>1983</v>
      </c>
      <c r="O141">
        <v>311119</v>
      </c>
      <c r="P141">
        <v>11</v>
      </c>
      <c r="Q141" t="s">
        <v>2532</v>
      </c>
      <c r="R141" t="s">
        <v>2533</v>
      </c>
      <c r="S141">
        <v>3524</v>
      </c>
      <c r="T141" t="s">
        <v>2594</v>
      </c>
      <c r="U141">
        <v>3524015</v>
      </c>
      <c r="V141" t="s">
        <v>3292</v>
      </c>
      <c r="W141">
        <v>535</v>
      </c>
      <c r="X141" t="s">
        <v>2439</v>
      </c>
      <c r="Y141">
        <v>3530</v>
      </c>
      <c r="Z141" t="s">
        <v>2439</v>
      </c>
      <c r="AA141" t="s">
        <v>3293</v>
      </c>
      <c r="AB141">
        <v>8</v>
      </c>
      <c r="AC141" t="s">
        <v>2420</v>
      </c>
      <c r="AD141" t="s">
        <v>2421</v>
      </c>
      <c r="AE141">
        <v>2</v>
      </c>
      <c r="AF141" t="s">
        <v>2422</v>
      </c>
      <c r="AG141" t="s">
        <v>2423</v>
      </c>
      <c r="AH141">
        <v>1</v>
      </c>
      <c r="AI141">
        <v>1</v>
      </c>
      <c r="AJ141">
        <v>0</v>
      </c>
      <c r="AK141">
        <v>1</v>
      </c>
    </row>
    <row r="142" spans="1:37" x14ac:dyDescent="0.25">
      <c r="A142">
        <v>2015</v>
      </c>
      <c r="B142">
        <v>28704</v>
      </c>
      <c r="C142" t="s">
        <v>1529</v>
      </c>
      <c r="D142" t="s">
        <v>3294</v>
      </c>
      <c r="H142" t="s">
        <v>85</v>
      </c>
      <c r="J142" t="s">
        <v>3295</v>
      </c>
      <c r="K142" t="s">
        <v>3296</v>
      </c>
      <c r="L142">
        <v>52.335740000000001</v>
      </c>
      <c r="M142">
        <v>-114.56836</v>
      </c>
      <c r="N142">
        <v>1983</v>
      </c>
      <c r="O142">
        <v>211113</v>
      </c>
      <c r="P142">
        <v>4</v>
      </c>
      <c r="Q142" t="s">
        <v>2398</v>
      </c>
      <c r="R142" t="s">
        <v>2399</v>
      </c>
      <c r="S142">
        <v>4809</v>
      </c>
      <c r="T142" t="s">
        <v>2631</v>
      </c>
      <c r="U142">
        <v>4809002</v>
      </c>
      <c r="V142" t="s">
        <v>2632</v>
      </c>
      <c r="X142" t="s">
        <v>2402</v>
      </c>
      <c r="Y142">
        <v>4840</v>
      </c>
      <c r="Z142" t="s">
        <v>2633</v>
      </c>
      <c r="AA142" t="s">
        <v>2634</v>
      </c>
      <c r="AB142">
        <v>9</v>
      </c>
      <c r="AC142" t="s">
        <v>2475</v>
      </c>
      <c r="AD142" t="s">
        <v>2476</v>
      </c>
      <c r="AE142">
        <v>5</v>
      </c>
      <c r="AF142" t="s">
        <v>2407</v>
      </c>
      <c r="AG142" t="s">
        <v>2408</v>
      </c>
      <c r="AH142">
        <v>0</v>
      </c>
      <c r="AI142">
        <v>0</v>
      </c>
      <c r="AJ142">
        <v>0</v>
      </c>
      <c r="AK142">
        <v>0</v>
      </c>
    </row>
    <row r="143" spans="1:37" x14ac:dyDescent="0.25">
      <c r="A143">
        <v>2022</v>
      </c>
      <c r="B143">
        <v>33556</v>
      </c>
      <c r="C143" t="s">
        <v>3297</v>
      </c>
      <c r="D143" t="s">
        <v>3298</v>
      </c>
      <c r="G143" t="s">
        <v>2664</v>
      </c>
      <c r="H143" t="s">
        <v>85</v>
      </c>
      <c r="J143" t="s">
        <v>3299</v>
      </c>
      <c r="K143" t="s">
        <v>3300</v>
      </c>
      <c r="L143">
        <v>52.284388</v>
      </c>
      <c r="M143">
        <v>-115.081822</v>
      </c>
      <c r="N143">
        <v>1983</v>
      </c>
      <c r="O143">
        <v>211110</v>
      </c>
      <c r="P143">
        <v>4</v>
      </c>
      <c r="Q143" t="s">
        <v>2398</v>
      </c>
      <c r="R143" t="s">
        <v>2399</v>
      </c>
      <c r="S143">
        <v>4809</v>
      </c>
      <c r="T143" t="s">
        <v>2631</v>
      </c>
      <c r="U143">
        <v>4809002</v>
      </c>
      <c r="V143" t="s">
        <v>2632</v>
      </c>
      <c r="X143" t="s">
        <v>2402</v>
      </c>
      <c r="Y143">
        <v>4840</v>
      </c>
      <c r="Z143" t="s">
        <v>2633</v>
      </c>
      <c r="AA143" t="s">
        <v>2793</v>
      </c>
      <c r="AB143">
        <v>9</v>
      </c>
      <c r="AC143" t="s">
        <v>2475</v>
      </c>
      <c r="AD143" t="s">
        <v>2476</v>
      </c>
      <c r="AE143">
        <v>5</v>
      </c>
      <c r="AF143" t="s">
        <v>2407</v>
      </c>
      <c r="AG143" t="s">
        <v>2408</v>
      </c>
      <c r="AH143">
        <v>0</v>
      </c>
      <c r="AI143">
        <v>0</v>
      </c>
      <c r="AJ143">
        <v>0</v>
      </c>
      <c r="AK143">
        <v>0</v>
      </c>
    </row>
    <row r="144" spans="1:37" x14ac:dyDescent="0.25">
      <c r="A144">
        <v>2009</v>
      </c>
      <c r="B144">
        <v>1987</v>
      </c>
      <c r="C144" t="s">
        <v>3301</v>
      </c>
      <c r="E144" t="s">
        <v>3302</v>
      </c>
      <c r="G144" t="s">
        <v>1241</v>
      </c>
      <c r="H144" t="s">
        <v>21</v>
      </c>
      <c r="I144" t="s">
        <v>3303</v>
      </c>
      <c r="K144" t="s">
        <v>3304</v>
      </c>
      <c r="L144">
        <v>43.652799999999999</v>
      </c>
      <c r="M144">
        <v>-79.663300000000007</v>
      </c>
      <c r="N144">
        <v>1983</v>
      </c>
      <c r="O144">
        <v>325210</v>
      </c>
      <c r="P144">
        <v>3</v>
      </c>
      <c r="Q144" t="s">
        <v>2822</v>
      </c>
      <c r="R144" t="s">
        <v>2823</v>
      </c>
      <c r="S144">
        <v>3521</v>
      </c>
      <c r="T144" t="s">
        <v>2438</v>
      </c>
      <c r="U144">
        <v>3521005</v>
      </c>
      <c r="V144" t="s">
        <v>1346</v>
      </c>
      <c r="W144">
        <v>535</v>
      </c>
      <c r="X144" t="s">
        <v>2439</v>
      </c>
      <c r="Y144">
        <v>3530</v>
      </c>
      <c r="Z144" t="s">
        <v>2439</v>
      </c>
      <c r="AA144" t="s">
        <v>3305</v>
      </c>
      <c r="AB144">
        <v>8</v>
      </c>
      <c r="AC144" t="s">
        <v>2420</v>
      </c>
      <c r="AD144" t="s">
        <v>2421</v>
      </c>
      <c r="AE144">
        <v>2</v>
      </c>
      <c r="AF144" t="s">
        <v>2422</v>
      </c>
      <c r="AG144" t="s">
        <v>2423</v>
      </c>
      <c r="AH144">
        <v>1</v>
      </c>
      <c r="AI144">
        <v>1</v>
      </c>
      <c r="AJ144">
        <v>0</v>
      </c>
      <c r="AK144">
        <v>1</v>
      </c>
    </row>
    <row r="145" spans="1:37" x14ac:dyDescent="0.25">
      <c r="A145">
        <v>2006</v>
      </c>
      <c r="B145">
        <v>10439</v>
      </c>
      <c r="C145" t="s">
        <v>3306</v>
      </c>
      <c r="D145" t="s">
        <v>3307</v>
      </c>
      <c r="E145" t="s">
        <v>3308</v>
      </c>
      <c r="G145" t="s">
        <v>1241</v>
      </c>
      <c r="H145" t="s">
        <v>21</v>
      </c>
      <c r="I145" t="s">
        <v>3309</v>
      </c>
      <c r="K145" t="s">
        <v>3310</v>
      </c>
      <c r="L145">
        <v>43.6387</v>
      </c>
      <c r="M145">
        <v>-79.643900000000002</v>
      </c>
      <c r="N145">
        <v>1983</v>
      </c>
      <c r="O145">
        <v>339990</v>
      </c>
      <c r="P145">
        <v>11</v>
      </c>
      <c r="Q145" t="s">
        <v>2532</v>
      </c>
      <c r="R145" t="s">
        <v>2533</v>
      </c>
      <c r="S145">
        <v>3521</v>
      </c>
      <c r="T145" t="s">
        <v>2438</v>
      </c>
      <c r="U145">
        <v>3521005</v>
      </c>
      <c r="V145" t="s">
        <v>1346</v>
      </c>
      <c r="W145">
        <v>535</v>
      </c>
      <c r="X145" t="s">
        <v>2439</v>
      </c>
      <c r="Y145">
        <v>3530</v>
      </c>
      <c r="Z145" t="s">
        <v>2439</v>
      </c>
      <c r="AA145" t="s">
        <v>3311</v>
      </c>
      <c r="AB145">
        <v>8</v>
      </c>
      <c r="AC145" t="s">
        <v>2420</v>
      </c>
      <c r="AD145" t="s">
        <v>2421</v>
      </c>
      <c r="AE145">
        <v>2</v>
      </c>
      <c r="AF145" t="s">
        <v>2422</v>
      </c>
      <c r="AG145" t="s">
        <v>2423</v>
      </c>
      <c r="AH145">
        <v>1</v>
      </c>
      <c r="AI145">
        <v>1</v>
      </c>
      <c r="AJ145">
        <v>0</v>
      </c>
      <c r="AK145">
        <v>1</v>
      </c>
    </row>
    <row r="146" spans="1:37" x14ac:dyDescent="0.25">
      <c r="A146">
        <v>2015</v>
      </c>
      <c r="B146">
        <v>28365</v>
      </c>
      <c r="C146" t="s">
        <v>3312</v>
      </c>
      <c r="D146" t="s">
        <v>3313</v>
      </c>
      <c r="H146" t="s">
        <v>243</v>
      </c>
      <c r="J146" t="s">
        <v>3314</v>
      </c>
      <c r="K146" t="s">
        <v>3315</v>
      </c>
      <c r="L146">
        <v>49.611893000000002</v>
      </c>
      <c r="M146">
        <v>-102.88999099999999</v>
      </c>
      <c r="N146">
        <v>1983</v>
      </c>
      <c r="O146">
        <v>211113</v>
      </c>
      <c r="P146">
        <v>4</v>
      </c>
      <c r="Q146" t="s">
        <v>2398</v>
      </c>
      <c r="R146" t="s">
        <v>2399</v>
      </c>
      <c r="S146">
        <v>4701</v>
      </c>
      <c r="T146" t="s">
        <v>2523</v>
      </c>
      <c r="U146">
        <v>4701063</v>
      </c>
      <c r="V146" t="s">
        <v>2524</v>
      </c>
      <c r="X146" t="s">
        <v>2402</v>
      </c>
      <c r="Y146">
        <v>4710</v>
      </c>
      <c r="Z146" t="s">
        <v>2525</v>
      </c>
      <c r="AA146" t="s">
        <v>2526</v>
      </c>
      <c r="AB146">
        <v>10</v>
      </c>
      <c r="AC146" t="s">
        <v>2405</v>
      </c>
      <c r="AD146" t="s">
        <v>2406</v>
      </c>
      <c r="AE146">
        <v>5</v>
      </c>
      <c r="AF146" t="s">
        <v>2407</v>
      </c>
      <c r="AG146" t="s">
        <v>2408</v>
      </c>
      <c r="AH146">
        <v>0</v>
      </c>
      <c r="AI146">
        <v>0</v>
      </c>
      <c r="AJ146">
        <v>0</v>
      </c>
      <c r="AK146">
        <v>0</v>
      </c>
    </row>
    <row r="147" spans="1:37" x14ac:dyDescent="0.25">
      <c r="A147">
        <v>2022</v>
      </c>
      <c r="B147">
        <v>32573</v>
      </c>
      <c r="C147" t="s">
        <v>1791</v>
      </c>
      <c r="D147" t="s">
        <v>3316</v>
      </c>
      <c r="H147" t="s">
        <v>243</v>
      </c>
      <c r="J147" t="s">
        <v>3317</v>
      </c>
      <c r="K147" t="s">
        <v>3318</v>
      </c>
      <c r="L147">
        <v>51.679608999999999</v>
      </c>
      <c r="M147">
        <v>-108.93071399999999</v>
      </c>
      <c r="N147">
        <v>1983</v>
      </c>
      <c r="O147">
        <v>211110</v>
      </c>
      <c r="P147">
        <v>4</v>
      </c>
      <c r="Q147" t="s">
        <v>2398</v>
      </c>
      <c r="R147" t="s">
        <v>2399</v>
      </c>
      <c r="S147">
        <v>4713</v>
      </c>
      <c r="T147" t="s">
        <v>2428</v>
      </c>
      <c r="U147">
        <v>4713028</v>
      </c>
      <c r="V147" t="s">
        <v>3319</v>
      </c>
      <c r="X147" t="s">
        <v>2402</v>
      </c>
      <c r="Y147">
        <v>4730</v>
      </c>
      <c r="Z147" t="s">
        <v>2430</v>
      </c>
      <c r="AA147" t="s">
        <v>2431</v>
      </c>
      <c r="AB147">
        <v>10</v>
      </c>
      <c r="AC147" t="s">
        <v>2405</v>
      </c>
      <c r="AD147" t="s">
        <v>2406</v>
      </c>
      <c r="AE147">
        <v>5</v>
      </c>
      <c r="AF147" t="s">
        <v>2407</v>
      </c>
      <c r="AG147" t="s">
        <v>2408</v>
      </c>
      <c r="AH147">
        <v>0</v>
      </c>
      <c r="AI147">
        <v>0</v>
      </c>
      <c r="AJ147">
        <v>0</v>
      </c>
      <c r="AK147">
        <v>0</v>
      </c>
    </row>
    <row r="148" spans="1:37" x14ac:dyDescent="0.25">
      <c r="A148">
        <v>2013</v>
      </c>
      <c r="B148">
        <v>27352</v>
      </c>
      <c r="C148" t="s">
        <v>2176</v>
      </c>
      <c r="D148" t="s">
        <v>3320</v>
      </c>
      <c r="G148" t="s">
        <v>3321</v>
      </c>
      <c r="H148" t="s">
        <v>85</v>
      </c>
      <c r="J148" t="s">
        <v>3322</v>
      </c>
      <c r="K148" t="s">
        <v>3323</v>
      </c>
      <c r="L148">
        <v>53.010668000000003</v>
      </c>
      <c r="M148">
        <v>-114.474639</v>
      </c>
      <c r="N148">
        <v>1983</v>
      </c>
      <c r="O148">
        <v>211113</v>
      </c>
      <c r="P148">
        <v>4</v>
      </c>
      <c r="Q148" t="s">
        <v>2398</v>
      </c>
      <c r="R148" t="s">
        <v>2399</v>
      </c>
      <c r="S148">
        <v>4811</v>
      </c>
      <c r="T148" t="s">
        <v>2643</v>
      </c>
      <c r="U148">
        <v>4811001</v>
      </c>
      <c r="V148" t="s">
        <v>3324</v>
      </c>
      <c r="X148" t="s">
        <v>2402</v>
      </c>
      <c r="Y148">
        <v>4860</v>
      </c>
      <c r="Z148" t="s">
        <v>2645</v>
      </c>
      <c r="AA148" t="s">
        <v>2509</v>
      </c>
      <c r="AB148">
        <v>9</v>
      </c>
      <c r="AC148" t="s">
        <v>2475</v>
      </c>
      <c r="AD148" t="s">
        <v>2476</v>
      </c>
      <c r="AE148">
        <v>5</v>
      </c>
      <c r="AF148" t="s">
        <v>2407</v>
      </c>
      <c r="AG148" t="s">
        <v>2408</v>
      </c>
      <c r="AH148">
        <v>0</v>
      </c>
      <c r="AI148">
        <v>0</v>
      </c>
      <c r="AJ148">
        <v>0</v>
      </c>
      <c r="AK148">
        <v>0</v>
      </c>
    </row>
    <row r="149" spans="1:37" x14ac:dyDescent="0.25">
      <c r="A149">
        <v>2004</v>
      </c>
      <c r="B149">
        <v>19018</v>
      </c>
      <c r="C149" t="s">
        <v>3325</v>
      </c>
      <c r="D149" t="s">
        <v>3326</v>
      </c>
      <c r="E149" t="s">
        <v>3327</v>
      </c>
      <c r="H149" t="s">
        <v>243</v>
      </c>
      <c r="J149" t="s">
        <v>3328</v>
      </c>
      <c r="K149" t="s">
        <v>3329</v>
      </c>
      <c r="L149">
        <v>49.747500000000002</v>
      </c>
      <c r="M149">
        <v>-102.5638</v>
      </c>
      <c r="N149">
        <v>1983</v>
      </c>
      <c r="O149">
        <v>211113</v>
      </c>
      <c r="P149">
        <v>4</v>
      </c>
      <c r="Q149" t="s">
        <v>2398</v>
      </c>
      <c r="R149" t="s">
        <v>2399</v>
      </c>
      <c r="S149">
        <v>4701</v>
      </c>
      <c r="T149" t="s">
        <v>2523</v>
      </c>
      <c r="U149">
        <v>4701058</v>
      </c>
      <c r="V149" t="s">
        <v>3330</v>
      </c>
      <c r="X149" t="s">
        <v>2402</v>
      </c>
      <c r="Y149">
        <v>4710</v>
      </c>
      <c r="Z149" t="s">
        <v>2525</v>
      </c>
      <c r="AA149" t="s">
        <v>2655</v>
      </c>
      <c r="AB149">
        <v>10</v>
      </c>
      <c r="AC149" t="s">
        <v>2405</v>
      </c>
      <c r="AD149" t="s">
        <v>2406</v>
      </c>
      <c r="AE149">
        <v>5</v>
      </c>
      <c r="AF149" t="s">
        <v>2407</v>
      </c>
      <c r="AG149" t="s">
        <v>2408</v>
      </c>
      <c r="AH149">
        <v>0</v>
      </c>
      <c r="AI149">
        <v>0</v>
      </c>
      <c r="AJ149">
        <v>0</v>
      </c>
      <c r="AK149">
        <v>0</v>
      </c>
    </row>
    <row r="150" spans="1:37" x14ac:dyDescent="0.25">
      <c r="A150">
        <v>2020</v>
      </c>
      <c r="B150">
        <v>31824</v>
      </c>
      <c r="C150" t="s">
        <v>1938</v>
      </c>
      <c r="D150" t="s">
        <v>3331</v>
      </c>
      <c r="H150" t="s">
        <v>243</v>
      </c>
      <c r="J150" t="s">
        <v>3332</v>
      </c>
      <c r="K150" t="s">
        <v>3333</v>
      </c>
      <c r="L150">
        <v>49.201560000000001</v>
      </c>
      <c r="M150">
        <v>-108.6262</v>
      </c>
      <c r="N150">
        <v>1983</v>
      </c>
      <c r="O150">
        <v>211110</v>
      </c>
      <c r="P150">
        <v>4</v>
      </c>
      <c r="Q150" t="s">
        <v>2398</v>
      </c>
      <c r="R150" t="s">
        <v>2399</v>
      </c>
      <c r="S150">
        <v>4704</v>
      </c>
      <c r="T150" t="s">
        <v>2506</v>
      </c>
      <c r="U150">
        <v>4704011</v>
      </c>
      <c r="V150" t="s">
        <v>3334</v>
      </c>
      <c r="X150" t="s">
        <v>2402</v>
      </c>
      <c r="Y150">
        <v>4720</v>
      </c>
      <c r="Z150" t="s">
        <v>2403</v>
      </c>
      <c r="AA150" t="s">
        <v>2404</v>
      </c>
      <c r="AB150">
        <v>10</v>
      </c>
      <c r="AC150" t="s">
        <v>2405</v>
      </c>
      <c r="AD150" t="s">
        <v>2406</v>
      </c>
      <c r="AE150">
        <v>11</v>
      </c>
      <c r="AF150" t="s">
        <v>2888</v>
      </c>
      <c r="AG150" t="s">
        <v>2889</v>
      </c>
      <c r="AH150">
        <v>0</v>
      </c>
      <c r="AI150">
        <v>0</v>
      </c>
      <c r="AJ150">
        <v>0</v>
      </c>
      <c r="AK150">
        <v>0</v>
      </c>
    </row>
    <row r="151" spans="1:37" x14ac:dyDescent="0.25">
      <c r="A151">
        <v>2007</v>
      </c>
      <c r="B151">
        <v>7263</v>
      </c>
      <c r="C151" t="s">
        <v>3335</v>
      </c>
      <c r="D151" t="s">
        <v>3336</v>
      </c>
      <c r="E151" t="s">
        <v>3337</v>
      </c>
      <c r="G151" t="s">
        <v>3338</v>
      </c>
      <c r="H151" t="s">
        <v>21</v>
      </c>
      <c r="I151" t="s">
        <v>3339</v>
      </c>
      <c r="K151" t="s">
        <v>3340</v>
      </c>
      <c r="L151">
        <v>42.742600000000003</v>
      </c>
      <c r="M151">
        <v>-81.7089</v>
      </c>
      <c r="N151">
        <v>1983</v>
      </c>
      <c r="O151">
        <v>336370</v>
      </c>
      <c r="P151">
        <v>15</v>
      </c>
      <c r="Q151" t="s">
        <v>2592</v>
      </c>
      <c r="R151" t="s">
        <v>2593</v>
      </c>
      <c r="S151">
        <v>3539</v>
      </c>
      <c r="T151" t="s">
        <v>3341</v>
      </c>
      <c r="U151">
        <v>3539005</v>
      </c>
      <c r="V151" t="s">
        <v>3342</v>
      </c>
      <c r="X151" t="s">
        <v>2402</v>
      </c>
      <c r="Y151">
        <v>3560</v>
      </c>
      <c r="Z151" t="s">
        <v>3343</v>
      </c>
      <c r="AA151" t="s">
        <v>3344</v>
      </c>
      <c r="AB151">
        <v>8</v>
      </c>
      <c r="AC151" t="s">
        <v>2420</v>
      </c>
      <c r="AD151" t="s">
        <v>2421</v>
      </c>
      <c r="AE151">
        <v>2</v>
      </c>
      <c r="AF151" t="s">
        <v>2422</v>
      </c>
      <c r="AG151" t="s">
        <v>2423</v>
      </c>
      <c r="AH151">
        <v>1</v>
      </c>
      <c r="AI151">
        <v>1</v>
      </c>
      <c r="AJ151">
        <v>0</v>
      </c>
      <c r="AK151">
        <v>1</v>
      </c>
    </row>
    <row r="152" spans="1:37" x14ac:dyDescent="0.25">
      <c r="A152">
        <v>2019</v>
      </c>
      <c r="B152">
        <v>16235</v>
      </c>
      <c r="C152" t="s">
        <v>1027</v>
      </c>
      <c r="D152" t="s">
        <v>3345</v>
      </c>
      <c r="H152" t="s">
        <v>85</v>
      </c>
      <c r="J152" t="s">
        <v>3346</v>
      </c>
      <c r="K152" t="s">
        <v>3347</v>
      </c>
      <c r="L152">
        <v>51.176900000000003</v>
      </c>
      <c r="M152">
        <v>-112.0553</v>
      </c>
      <c r="N152">
        <v>1983</v>
      </c>
      <c r="O152">
        <v>211110</v>
      </c>
      <c r="P152">
        <v>4</v>
      </c>
      <c r="Q152" t="s">
        <v>2398</v>
      </c>
      <c r="R152" t="s">
        <v>2399</v>
      </c>
      <c r="S152">
        <v>4804</v>
      </c>
      <c r="T152" t="s">
        <v>2506</v>
      </c>
      <c r="U152">
        <v>4804004</v>
      </c>
      <c r="V152" t="s">
        <v>3348</v>
      </c>
      <c r="X152" t="s">
        <v>2402</v>
      </c>
      <c r="Y152">
        <v>4820</v>
      </c>
      <c r="Z152" t="s">
        <v>2508</v>
      </c>
      <c r="AA152" t="s">
        <v>2671</v>
      </c>
      <c r="AB152">
        <v>10</v>
      </c>
      <c r="AC152" t="s">
        <v>2405</v>
      </c>
      <c r="AD152" t="s">
        <v>2406</v>
      </c>
      <c r="AE152">
        <v>5</v>
      </c>
      <c r="AF152" t="s">
        <v>2407</v>
      </c>
      <c r="AG152" t="s">
        <v>2408</v>
      </c>
      <c r="AH152">
        <v>0</v>
      </c>
      <c r="AI152">
        <v>0</v>
      </c>
      <c r="AJ152">
        <v>0</v>
      </c>
      <c r="AK152">
        <v>0</v>
      </c>
    </row>
    <row r="153" spans="1:37" x14ac:dyDescent="0.25">
      <c r="A153">
        <v>2023</v>
      </c>
      <c r="B153">
        <v>33251</v>
      </c>
      <c r="C153" t="s">
        <v>1928</v>
      </c>
      <c r="D153" t="s">
        <v>3349</v>
      </c>
      <c r="H153" t="s">
        <v>85</v>
      </c>
      <c r="J153" t="s">
        <v>3350</v>
      </c>
      <c r="K153" t="s">
        <v>3351</v>
      </c>
      <c r="L153">
        <v>52.907066</v>
      </c>
      <c r="M153">
        <v>-114.228278</v>
      </c>
      <c r="N153">
        <v>1983</v>
      </c>
      <c r="O153">
        <v>211110</v>
      </c>
      <c r="P153">
        <v>4</v>
      </c>
      <c r="Q153" t="s">
        <v>2398</v>
      </c>
      <c r="R153" t="s">
        <v>2399</v>
      </c>
      <c r="S153">
        <v>4811</v>
      </c>
      <c r="T153" t="s">
        <v>2643</v>
      </c>
      <c r="U153">
        <v>4811001</v>
      </c>
      <c r="V153" t="s">
        <v>3324</v>
      </c>
      <c r="X153" t="s">
        <v>2402</v>
      </c>
      <c r="Y153">
        <v>4860</v>
      </c>
      <c r="Z153" t="s">
        <v>2645</v>
      </c>
      <c r="AA153" t="s">
        <v>2509</v>
      </c>
      <c r="AB153">
        <v>9</v>
      </c>
      <c r="AC153" t="s">
        <v>2475</v>
      </c>
      <c r="AD153" t="s">
        <v>2476</v>
      </c>
      <c r="AE153">
        <v>5</v>
      </c>
      <c r="AF153" t="s">
        <v>2407</v>
      </c>
      <c r="AG153" t="s">
        <v>2408</v>
      </c>
      <c r="AH153">
        <v>0</v>
      </c>
      <c r="AI153">
        <v>0</v>
      </c>
      <c r="AJ153">
        <v>0</v>
      </c>
      <c r="AK153">
        <v>0</v>
      </c>
    </row>
    <row r="154" spans="1:37" x14ac:dyDescent="0.25">
      <c r="A154">
        <v>2022</v>
      </c>
      <c r="B154">
        <v>30700</v>
      </c>
      <c r="C154" t="s">
        <v>3352</v>
      </c>
      <c r="D154" t="s">
        <v>3353</v>
      </c>
      <c r="G154" t="s">
        <v>3354</v>
      </c>
      <c r="H154" t="s">
        <v>85</v>
      </c>
      <c r="J154" t="s">
        <v>3355</v>
      </c>
      <c r="K154" t="s">
        <v>3356</v>
      </c>
      <c r="L154">
        <v>53.576762000000002</v>
      </c>
      <c r="M154">
        <v>-115.348973</v>
      </c>
      <c r="N154">
        <v>1983</v>
      </c>
      <c r="O154">
        <v>211110</v>
      </c>
      <c r="P154">
        <v>4</v>
      </c>
      <c r="Q154" t="s">
        <v>2398</v>
      </c>
      <c r="R154" t="s">
        <v>2399</v>
      </c>
      <c r="S154">
        <v>4814</v>
      </c>
      <c r="T154" t="s">
        <v>3256</v>
      </c>
      <c r="U154">
        <v>4814003</v>
      </c>
      <c r="V154" t="s">
        <v>3257</v>
      </c>
      <c r="X154" t="s">
        <v>2402</v>
      </c>
      <c r="Y154">
        <v>4840</v>
      </c>
      <c r="Z154" t="s">
        <v>2633</v>
      </c>
      <c r="AA154" t="s">
        <v>2839</v>
      </c>
      <c r="AB154">
        <v>9</v>
      </c>
      <c r="AC154" t="s">
        <v>2475</v>
      </c>
      <c r="AD154" t="s">
        <v>2476</v>
      </c>
      <c r="AE154">
        <v>7</v>
      </c>
      <c r="AF154" t="s">
        <v>2477</v>
      </c>
      <c r="AG154" t="s">
        <v>2478</v>
      </c>
      <c r="AH154">
        <v>0</v>
      </c>
      <c r="AI154">
        <v>0</v>
      </c>
      <c r="AJ154">
        <v>0</v>
      </c>
      <c r="AK154">
        <v>0</v>
      </c>
    </row>
    <row r="155" spans="1:37" x14ac:dyDescent="0.25">
      <c r="A155">
        <v>2015</v>
      </c>
      <c r="B155">
        <v>28882</v>
      </c>
      <c r="C155" t="s">
        <v>1027</v>
      </c>
      <c r="D155" t="s">
        <v>3357</v>
      </c>
      <c r="H155" t="s">
        <v>85</v>
      </c>
      <c r="J155" t="s">
        <v>3358</v>
      </c>
      <c r="K155" t="s">
        <v>3359</v>
      </c>
      <c r="L155">
        <v>52.356020999999998</v>
      </c>
      <c r="M155">
        <v>-113.054789</v>
      </c>
      <c r="N155">
        <v>1983</v>
      </c>
      <c r="O155">
        <v>211113</v>
      </c>
      <c r="P155">
        <v>4</v>
      </c>
      <c r="Q155" t="s">
        <v>2398</v>
      </c>
      <c r="R155" t="s">
        <v>2399</v>
      </c>
      <c r="S155">
        <v>4807</v>
      </c>
      <c r="T155" t="s">
        <v>2611</v>
      </c>
      <c r="U155">
        <v>4807019</v>
      </c>
      <c r="V155" t="s">
        <v>2713</v>
      </c>
      <c r="X155" t="s">
        <v>2402</v>
      </c>
      <c r="Y155">
        <v>4820</v>
      </c>
      <c r="Z155" t="s">
        <v>2508</v>
      </c>
      <c r="AA155" t="s">
        <v>2509</v>
      </c>
      <c r="AB155">
        <v>10</v>
      </c>
      <c r="AC155" t="s">
        <v>2405</v>
      </c>
      <c r="AD155" t="s">
        <v>2406</v>
      </c>
      <c r="AE155">
        <v>5</v>
      </c>
      <c r="AF155" t="s">
        <v>2407</v>
      </c>
      <c r="AG155" t="s">
        <v>2408</v>
      </c>
      <c r="AH155">
        <v>0</v>
      </c>
      <c r="AI155">
        <v>0</v>
      </c>
      <c r="AJ155">
        <v>0</v>
      </c>
      <c r="AK155">
        <v>0</v>
      </c>
    </row>
    <row r="156" spans="1:37" x14ac:dyDescent="0.25">
      <c r="A156">
        <v>2006</v>
      </c>
      <c r="B156">
        <v>11151</v>
      </c>
      <c r="C156" t="s">
        <v>3360</v>
      </c>
      <c r="D156" t="s">
        <v>3361</v>
      </c>
      <c r="E156" t="s">
        <v>3362</v>
      </c>
      <c r="G156" t="s">
        <v>3363</v>
      </c>
      <c r="H156" t="s">
        <v>21</v>
      </c>
      <c r="K156" t="s">
        <v>3364</v>
      </c>
      <c r="L156">
        <v>41.756</v>
      </c>
      <c r="M156">
        <v>-82.688500000000005</v>
      </c>
      <c r="N156">
        <v>1983</v>
      </c>
      <c r="O156">
        <v>212315</v>
      </c>
      <c r="P156">
        <v>8</v>
      </c>
      <c r="Q156" t="s">
        <v>2862</v>
      </c>
      <c r="R156" t="s">
        <v>2863</v>
      </c>
      <c r="S156">
        <v>3537</v>
      </c>
      <c r="T156" t="s">
        <v>2417</v>
      </c>
      <c r="U156">
        <v>3537001</v>
      </c>
      <c r="V156" t="s">
        <v>3365</v>
      </c>
      <c r="X156" t="s">
        <v>2402</v>
      </c>
      <c r="Y156">
        <v>3570</v>
      </c>
      <c r="Z156" t="s">
        <v>2418</v>
      </c>
      <c r="AA156" t="s">
        <v>2419</v>
      </c>
      <c r="AB156">
        <v>8</v>
      </c>
      <c r="AC156" t="s">
        <v>2420</v>
      </c>
      <c r="AD156" t="s">
        <v>2421</v>
      </c>
      <c r="AE156">
        <v>2</v>
      </c>
      <c r="AF156" t="s">
        <v>2422</v>
      </c>
      <c r="AG156" t="s">
        <v>2423</v>
      </c>
      <c r="AH156">
        <v>1</v>
      </c>
      <c r="AI156">
        <v>1</v>
      </c>
      <c r="AJ156">
        <v>0</v>
      </c>
      <c r="AK156">
        <v>1</v>
      </c>
    </row>
    <row r="157" spans="1:37" x14ac:dyDescent="0.25">
      <c r="A157">
        <v>2020</v>
      </c>
      <c r="B157">
        <v>31533</v>
      </c>
      <c r="C157" t="s">
        <v>3366</v>
      </c>
      <c r="D157" t="s">
        <v>3367</v>
      </c>
      <c r="H157" t="s">
        <v>85</v>
      </c>
      <c r="J157" t="s">
        <v>3368</v>
      </c>
      <c r="K157" t="s">
        <v>3369</v>
      </c>
      <c r="L157">
        <v>53.230587</v>
      </c>
      <c r="M157">
        <v>-115.686628</v>
      </c>
      <c r="N157">
        <v>1983</v>
      </c>
      <c r="O157">
        <v>211110</v>
      </c>
      <c r="P157">
        <v>4</v>
      </c>
      <c r="Q157" t="s">
        <v>2398</v>
      </c>
      <c r="R157" t="s">
        <v>2399</v>
      </c>
      <c r="S157">
        <v>4814</v>
      </c>
      <c r="T157" t="s">
        <v>3256</v>
      </c>
      <c r="U157">
        <v>4814003</v>
      </c>
      <c r="V157" t="s">
        <v>3257</v>
      </c>
      <c r="X157" t="s">
        <v>2402</v>
      </c>
      <c r="Y157">
        <v>4840</v>
      </c>
      <c r="Z157" t="s">
        <v>2633</v>
      </c>
      <c r="AA157" t="s">
        <v>2839</v>
      </c>
      <c r="AB157">
        <v>9</v>
      </c>
      <c r="AC157" t="s">
        <v>2475</v>
      </c>
      <c r="AD157" t="s">
        <v>2476</v>
      </c>
      <c r="AE157">
        <v>7</v>
      </c>
      <c r="AF157" t="s">
        <v>2477</v>
      </c>
      <c r="AG157" t="s">
        <v>2478</v>
      </c>
      <c r="AH157">
        <v>0</v>
      </c>
      <c r="AI157">
        <v>0</v>
      </c>
      <c r="AJ157">
        <v>0</v>
      </c>
      <c r="AK157">
        <v>0</v>
      </c>
    </row>
    <row r="158" spans="1:37" x14ac:dyDescent="0.25">
      <c r="A158">
        <v>2017</v>
      </c>
      <c r="B158">
        <v>23404</v>
      </c>
      <c r="C158" t="s">
        <v>1718</v>
      </c>
      <c r="D158" t="s">
        <v>3370</v>
      </c>
      <c r="H158" t="s">
        <v>85</v>
      </c>
      <c r="J158" t="s">
        <v>3371</v>
      </c>
      <c r="K158" t="s">
        <v>3372</v>
      </c>
      <c r="L158">
        <v>52.925800000000002</v>
      </c>
      <c r="M158">
        <v>-115.1044</v>
      </c>
      <c r="N158">
        <v>1983</v>
      </c>
      <c r="O158">
        <v>211110</v>
      </c>
      <c r="P158">
        <v>4</v>
      </c>
      <c r="Q158" t="s">
        <v>2398</v>
      </c>
      <c r="R158" t="s">
        <v>2399</v>
      </c>
      <c r="S158">
        <v>4809</v>
      </c>
      <c r="T158" t="s">
        <v>2631</v>
      </c>
      <c r="U158">
        <v>4809002</v>
      </c>
      <c r="V158" t="s">
        <v>2632</v>
      </c>
      <c r="X158" t="s">
        <v>2402</v>
      </c>
      <c r="Y158">
        <v>4840</v>
      </c>
      <c r="Z158" t="s">
        <v>2633</v>
      </c>
      <c r="AA158" t="s">
        <v>2634</v>
      </c>
      <c r="AB158">
        <v>9</v>
      </c>
      <c r="AC158" t="s">
        <v>2475</v>
      </c>
      <c r="AD158" t="s">
        <v>2476</v>
      </c>
      <c r="AE158">
        <v>5</v>
      </c>
      <c r="AF158" t="s">
        <v>2407</v>
      </c>
      <c r="AG158" t="s">
        <v>2408</v>
      </c>
      <c r="AH158">
        <v>0</v>
      </c>
      <c r="AI158">
        <v>0</v>
      </c>
      <c r="AJ158">
        <v>0</v>
      </c>
      <c r="AK158">
        <v>0</v>
      </c>
    </row>
    <row r="159" spans="1:37" x14ac:dyDescent="0.25">
      <c r="A159">
        <v>2023</v>
      </c>
      <c r="B159">
        <v>20019</v>
      </c>
      <c r="C159" t="s">
        <v>3373</v>
      </c>
      <c r="D159" t="s">
        <v>3374</v>
      </c>
      <c r="E159" t="s">
        <v>3375</v>
      </c>
      <c r="G159" t="s">
        <v>3376</v>
      </c>
      <c r="H159" t="s">
        <v>69</v>
      </c>
      <c r="I159" t="s">
        <v>3377</v>
      </c>
      <c r="J159" t="s">
        <v>3378</v>
      </c>
      <c r="K159" t="s">
        <v>3379</v>
      </c>
      <c r="L159">
        <v>49.335909999999998</v>
      </c>
      <c r="M159">
        <v>-117.72736999999999</v>
      </c>
      <c r="N159">
        <v>1983</v>
      </c>
      <c r="O159">
        <v>321111</v>
      </c>
      <c r="P159">
        <v>18</v>
      </c>
      <c r="Q159" t="s">
        <v>2459</v>
      </c>
      <c r="R159" t="s">
        <v>2460</v>
      </c>
      <c r="S159">
        <v>5903</v>
      </c>
      <c r="T159" t="s">
        <v>3380</v>
      </c>
      <c r="U159">
        <v>5903045</v>
      </c>
      <c r="V159" t="s">
        <v>3376</v>
      </c>
      <c r="X159" t="s">
        <v>2402</v>
      </c>
      <c r="Y159">
        <v>5940</v>
      </c>
      <c r="Z159" t="s">
        <v>3381</v>
      </c>
      <c r="AA159" t="s">
        <v>3382</v>
      </c>
      <c r="AB159">
        <v>14</v>
      </c>
      <c r="AC159" t="s">
        <v>2516</v>
      </c>
      <c r="AD159" t="s">
        <v>2517</v>
      </c>
      <c r="AE159">
        <v>8</v>
      </c>
      <c r="AF159" t="s">
        <v>2584</v>
      </c>
      <c r="AG159" t="s">
        <v>2585</v>
      </c>
      <c r="AH159">
        <v>0</v>
      </c>
      <c r="AI159">
        <v>0</v>
      </c>
      <c r="AJ159">
        <v>0</v>
      </c>
      <c r="AK159">
        <v>0</v>
      </c>
    </row>
    <row r="160" spans="1:37" x14ac:dyDescent="0.25">
      <c r="A160">
        <v>2018</v>
      </c>
      <c r="B160">
        <v>30157</v>
      </c>
      <c r="C160" t="s">
        <v>3166</v>
      </c>
      <c r="D160" t="s">
        <v>3383</v>
      </c>
      <c r="H160" t="s">
        <v>85</v>
      </c>
      <c r="J160" t="s">
        <v>3384</v>
      </c>
      <c r="K160" t="s">
        <v>3385</v>
      </c>
      <c r="L160">
        <v>50.992379999999997</v>
      </c>
      <c r="M160">
        <v>-112.95574999999999</v>
      </c>
      <c r="N160">
        <v>1983</v>
      </c>
      <c r="O160">
        <v>211110</v>
      </c>
      <c r="P160">
        <v>4</v>
      </c>
      <c r="Q160" t="s">
        <v>2398</v>
      </c>
      <c r="R160" t="s">
        <v>2399</v>
      </c>
      <c r="S160">
        <v>4805</v>
      </c>
      <c r="T160" t="s">
        <v>2669</v>
      </c>
      <c r="U160">
        <v>4805012</v>
      </c>
      <c r="V160" t="s">
        <v>2670</v>
      </c>
      <c r="X160" t="s">
        <v>2402</v>
      </c>
      <c r="Y160">
        <v>4820</v>
      </c>
      <c r="Z160" t="s">
        <v>2508</v>
      </c>
      <c r="AA160" t="s">
        <v>2671</v>
      </c>
      <c r="AB160">
        <v>10</v>
      </c>
      <c r="AC160" t="s">
        <v>2405</v>
      </c>
      <c r="AD160" t="s">
        <v>2406</v>
      </c>
      <c r="AE160">
        <v>5</v>
      </c>
      <c r="AF160" t="s">
        <v>2407</v>
      </c>
      <c r="AG160" t="s">
        <v>2408</v>
      </c>
      <c r="AH160">
        <v>0</v>
      </c>
      <c r="AI160">
        <v>0</v>
      </c>
      <c r="AJ160">
        <v>0</v>
      </c>
      <c r="AK160">
        <v>0</v>
      </c>
    </row>
    <row r="161" spans="1:37" x14ac:dyDescent="0.25">
      <c r="A161">
        <v>2022</v>
      </c>
      <c r="B161">
        <v>32051</v>
      </c>
      <c r="C161" t="s">
        <v>1411</v>
      </c>
      <c r="D161" t="s">
        <v>3386</v>
      </c>
      <c r="H161" t="s">
        <v>85</v>
      </c>
      <c r="J161" t="s">
        <v>3387</v>
      </c>
      <c r="K161" t="s">
        <v>3388</v>
      </c>
      <c r="L161">
        <v>51.973860000000002</v>
      </c>
      <c r="M161">
        <v>-110.8112</v>
      </c>
      <c r="N161">
        <v>1983</v>
      </c>
      <c r="O161">
        <v>211110</v>
      </c>
      <c r="P161">
        <v>4</v>
      </c>
      <c r="Q161" t="s">
        <v>2398</v>
      </c>
      <c r="R161" t="s">
        <v>2399</v>
      </c>
      <c r="S161">
        <v>4804</v>
      </c>
      <c r="T161" t="s">
        <v>2506</v>
      </c>
      <c r="U161">
        <v>4804020</v>
      </c>
      <c r="V161" t="s">
        <v>2507</v>
      </c>
      <c r="X161" t="s">
        <v>2402</v>
      </c>
      <c r="Y161">
        <v>4820</v>
      </c>
      <c r="Z161" t="s">
        <v>2508</v>
      </c>
      <c r="AA161" t="s">
        <v>2509</v>
      </c>
      <c r="AB161">
        <v>10</v>
      </c>
      <c r="AC161" t="s">
        <v>2405</v>
      </c>
      <c r="AD161" t="s">
        <v>2406</v>
      </c>
      <c r="AE161">
        <v>5</v>
      </c>
      <c r="AF161" t="s">
        <v>2407</v>
      </c>
      <c r="AG161" t="s">
        <v>2408</v>
      </c>
      <c r="AH161">
        <v>0</v>
      </c>
      <c r="AI161">
        <v>0</v>
      </c>
      <c r="AJ161">
        <v>0</v>
      </c>
      <c r="AK161">
        <v>0</v>
      </c>
    </row>
    <row r="162" spans="1:37" x14ac:dyDescent="0.25">
      <c r="A162">
        <v>2018</v>
      </c>
      <c r="B162">
        <v>29286</v>
      </c>
      <c r="C162" t="s">
        <v>1995</v>
      </c>
      <c r="D162" t="s">
        <v>3389</v>
      </c>
      <c r="H162" t="s">
        <v>85</v>
      </c>
      <c r="J162" t="s">
        <v>3390</v>
      </c>
      <c r="K162" t="s">
        <v>3391</v>
      </c>
      <c r="L162">
        <v>54.455143999999997</v>
      </c>
      <c r="M162">
        <v>-110.94161200000001</v>
      </c>
      <c r="N162">
        <v>1983</v>
      </c>
      <c r="O162">
        <v>211110</v>
      </c>
      <c r="P162">
        <v>4</v>
      </c>
      <c r="Q162" t="s">
        <v>2398</v>
      </c>
      <c r="R162" t="s">
        <v>2399</v>
      </c>
      <c r="S162">
        <v>4812</v>
      </c>
      <c r="T162" t="s">
        <v>2724</v>
      </c>
      <c r="U162">
        <v>4812004</v>
      </c>
      <c r="V162" t="s">
        <v>2725</v>
      </c>
      <c r="X162" t="s">
        <v>2402</v>
      </c>
      <c r="Y162">
        <v>4880</v>
      </c>
      <c r="Z162" t="s">
        <v>2726</v>
      </c>
      <c r="AA162" t="s">
        <v>2727</v>
      </c>
      <c r="AB162">
        <v>9</v>
      </c>
      <c r="AC162" t="s">
        <v>2475</v>
      </c>
      <c r="AD162" t="s">
        <v>2476</v>
      </c>
      <c r="AE162">
        <v>6</v>
      </c>
      <c r="AF162" t="s">
        <v>2728</v>
      </c>
      <c r="AG162" t="s">
        <v>2729</v>
      </c>
      <c r="AH162">
        <v>0</v>
      </c>
      <c r="AI162">
        <v>0</v>
      </c>
      <c r="AJ162">
        <v>0</v>
      </c>
      <c r="AK162">
        <v>0</v>
      </c>
    </row>
    <row r="163" spans="1:37" x14ac:dyDescent="0.25">
      <c r="A163">
        <v>2008</v>
      </c>
      <c r="B163">
        <v>23005</v>
      </c>
      <c r="C163" t="s">
        <v>2164</v>
      </c>
      <c r="D163" t="s">
        <v>3392</v>
      </c>
      <c r="E163" t="s">
        <v>3393</v>
      </c>
      <c r="H163" t="s">
        <v>243</v>
      </c>
      <c r="J163" t="s">
        <v>3394</v>
      </c>
      <c r="K163" t="s">
        <v>3395</v>
      </c>
      <c r="L163">
        <v>53.119799999999998</v>
      </c>
      <c r="M163">
        <v>-109.54349999999999</v>
      </c>
      <c r="N163">
        <v>1983</v>
      </c>
      <c r="O163">
        <v>211113</v>
      </c>
      <c r="P163">
        <v>4</v>
      </c>
      <c r="Q163" t="s">
        <v>2398</v>
      </c>
      <c r="R163" t="s">
        <v>2399</v>
      </c>
      <c r="S163">
        <v>4717</v>
      </c>
      <c r="T163" t="s">
        <v>2471</v>
      </c>
      <c r="U163">
        <v>4717022</v>
      </c>
      <c r="V163" t="s">
        <v>3396</v>
      </c>
      <c r="W163">
        <v>840</v>
      </c>
      <c r="X163" t="s">
        <v>3397</v>
      </c>
      <c r="Y163">
        <v>4750</v>
      </c>
      <c r="Z163" t="s">
        <v>3003</v>
      </c>
      <c r="AA163" t="s">
        <v>3238</v>
      </c>
      <c r="AB163">
        <v>10</v>
      </c>
      <c r="AC163" t="s">
        <v>2405</v>
      </c>
      <c r="AD163" t="s">
        <v>2406</v>
      </c>
      <c r="AE163">
        <v>5</v>
      </c>
      <c r="AF163" t="s">
        <v>2407</v>
      </c>
      <c r="AG163" t="s">
        <v>2408</v>
      </c>
      <c r="AH163">
        <v>0</v>
      </c>
      <c r="AI163">
        <v>0</v>
      </c>
      <c r="AJ163">
        <v>0</v>
      </c>
      <c r="AK163">
        <v>0</v>
      </c>
    </row>
    <row r="164" spans="1:37" x14ac:dyDescent="0.25">
      <c r="A164">
        <v>2023</v>
      </c>
      <c r="B164">
        <v>11818</v>
      </c>
      <c r="C164" t="s">
        <v>3398</v>
      </c>
      <c r="D164" t="s">
        <v>3399</v>
      </c>
      <c r="E164" t="s">
        <v>3400</v>
      </c>
      <c r="G164" t="s">
        <v>3401</v>
      </c>
      <c r="H164" t="s">
        <v>21</v>
      </c>
      <c r="I164" t="s">
        <v>3402</v>
      </c>
      <c r="K164" t="s">
        <v>3403</v>
      </c>
      <c r="L164">
        <v>43.891199999999998</v>
      </c>
      <c r="M164">
        <v>-80.825199999999995</v>
      </c>
      <c r="N164">
        <v>1983</v>
      </c>
      <c r="O164">
        <v>325314</v>
      </c>
      <c r="P164">
        <v>3</v>
      </c>
      <c r="Q164" t="s">
        <v>2822</v>
      </c>
      <c r="R164" t="s">
        <v>2823</v>
      </c>
      <c r="S164">
        <v>3523</v>
      </c>
      <c r="T164" t="s">
        <v>2853</v>
      </c>
      <c r="U164">
        <v>3523043</v>
      </c>
      <c r="V164" t="s">
        <v>3404</v>
      </c>
      <c r="X164" t="s">
        <v>2402</v>
      </c>
      <c r="Y164">
        <v>3540</v>
      </c>
      <c r="Z164" t="s">
        <v>2755</v>
      </c>
      <c r="AA164" t="s">
        <v>3405</v>
      </c>
      <c r="AB164">
        <v>8</v>
      </c>
      <c r="AC164" t="s">
        <v>2420</v>
      </c>
      <c r="AD164" t="s">
        <v>2421</v>
      </c>
      <c r="AE164">
        <v>2</v>
      </c>
      <c r="AF164" t="s">
        <v>2422</v>
      </c>
      <c r="AG164" t="s">
        <v>2423</v>
      </c>
      <c r="AH164">
        <v>1</v>
      </c>
      <c r="AI164">
        <v>1</v>
      </c>
      <c r="AJ164">
        <v>0</v>
      </c>
      <c r="AK164">
        <v>1</v>
      </c>
    </row>
    <row r="165" spans="1:37" x14ac:dyDescent="0.25">
      <c r="A165">
        <v>2023</v>
      </c>
      <c r="B165">
        <v>27726</v>
      </c>
      <c r="C165" t="s">
        <v>1928</v>
      </c>
      <c r="D165" t="s">
        <v>3406</v>
      </c>
      <c r="H165" t="s">
        <v>243</v>
      </c>
      <c r="J165" t="s">
        <v>3407</v>
      </c>
      <c r="K165" t="s">
        <v>3408</v>
      </c>
      <c r="L165">
        <v>53.003970000000002</v>
      </c>
      <c r="M165">
        <v>-109.20650999999999</v>
      </c>
      <c r="N165">
        <v>1983</v>
      </c>
      <c r="O165">
        <v>211110</v>
      </c>
      <c r="P165">
        <v>4</v>
      </c>
      <c r="Q165" t="s">
        <v>2398</v>
      </c>
      <c r="R165" t="s">
        <v>2399</v>
      </c>
      <c r="S165">
        <v>4713</v>
      </c>
      <c r="T165" t="s">
        <v>2428</v>
      </c>
      <c r="U165">
        <v>4713092</v>
      </c>
      <c r="V165" t="s">
        <v>3237</v>
      </c>
      <c r="X165" t="s">
        <v>2402</v>
      </c>
      <c r="Y165">
        <v>4730</v>
      </c>
      <c r="Z165" t="s">
        <v>2430</v>
      </c>
      <c r="AA165" t="s">
        <v>3238</v>
      </c>
      <c r="AB165">
        <v>10</v>
      </c>
      <c r="AC165" t="s">
        <v>2405</v>
      </c>
      <c r="AD165" t="s">
        <v>2406</v>
      </c>
      <c r="AE165">
        <v>5</v>
      </c>
      <c r="AF165" t="s">
        <v>2407</v>
      </c>
      <c r="AG165" t="s">
        <v>2408</v>
      </c>
      <c r="AH165">
        <v>0</v>
      </c>
      <c r="AI165">
        <v>0</v>
      </c>
      <c r="AJ165">
        <v>0</v>
      </c>
      <c r="AK165">
        <v>0</v>
      </c>
    </row>
    <row r="166" spans="1:37" x14ac:dyDescent="0.25">
      <c r="A166">
        <v>2020</v>
      </c>
      <c r="B166">
        <v>7707</v>
      </c>
      <c r="C166" t="s">
        <v>3409</v>
      </c>
      <c r="D166" t="s">
        <v>3410</v>
      </c>
      <c r="E166" t="s">
        <v>3411</v>
      </c>
      <c r="G166" t="s">
        <v>3412</v>
      </c>
      <c r="H166" t="s">
        <v>69</v>
      </c>
      <c r="I166" t="s">
        <v>3413</v>
      </c>
      <c r="J166" t="s">
        <v>3414</v>
      </c>
      <c r="K166" t="s">
        <v>3415</v>
      </c>
      <c r="L166">
        <v>49.477699999999999</v>
      </c>
      <c r="M166">
        <v>-119.60039999999999</v>
      </c>
      <c r="N166">
        <v>1983</v>
      </c>
      <c r="O166">
        <v>321215</v>
      </c>
      <c r="P166">
        <v>18</v>
      </c>
      <c r="Q166" t="s">
        <v>2459</v>
      </c>
      <c r="R166" t="s">
        <v>2460</v>
      </c>
      <c r="S166">
        <v>5907</v>
      </c>
      <c r="T166" t="s">
        <v>3416</v>
      </c>
      <c r="U166">
        <v>5907803</v>
      </c>
      <c r="V166" t="s">
        <v>3417</v>
      </c>
      <c r="W166">
        <v>913</v>
      </c>
      <c r="X166" t="s">
        <v>3418</v>
      </c>
      <c r="Y166">
        <v>5930</v>
      </c>
      <c r="Z166" t="s">
        <v>3419</v>
      </c>
      <c r="AA166" t="s">
        <v>3420</v>
      </c>
      <c r="AB166">
        <v>14</v>
      </c>
      <c r="AC166" t="s">
        <v>2516</v>
      </c>
      <c r="AD166" t="s">
        <v>2517</v>
      </c>
      <c r="AE166">
        <v>8</v>
      </c>
      <c r="AF166" t="s">
        <v>2584</v>
      </c>
      <c r="AG166" t="s">
        <v>2585</v>
      </c>
      <c r="AH166">
        <v>0</v>
      </c>
      <c r="AI166">
        <v>0</v>
      </c>
      <c r="AJ166">
        <v>0</v>
      </c>
      <c r="AK166">
        <v>0</v>
      </c>
    </row>
    <row r="167" spans="1:37" x14ac:dyDescent="0.25">
      <c r="A167">
        <v>2009</v>
      </c>
      <c r="B167">
        <v>16874</v>
      </c>
      <c r="C167" t="s">
        <v>3421</v>
      </c>
      <c r="D167" t="s">
        <v>3422</v>
      </c>
      <c r="E167" t="s">
        <v>3423</v>
      </c>
      <c r="H167" t="s">
        <v>243</v>
      </c>
      <c r="J167" t="s">
        <v>3424</v>
      </c>
      <c r="K167" t="s">
        <v>3425</v>
      </c>
      <c r="L167">
        <v>50.555100000000003</v>
      </c>
      <c r="M167">
        <v>-109.3815</v>
      </c>
      <c r="N167">
        <v>1983</v>
      </c>
      <c r="O167">
        <v>211113</v>
      </c>
      <c r="P167">
        <v>4</v>
      </c>
      <c r="Q167" t="s">
        <v>2398</v>
      </c>
      <c r="R167" t="s">
        <v>2399</v>
      </c>
      <c r="S167">
        <v>4708</v>
      </c>
      <c r="T167" t="s">
        <v>2400</v>
      </c>
      <c r="U167">
        <v>4708024</v>
      </c>
      <c r="V167" t="s">
        <v>3426</v>
      </c>
      <c r="X167" t="s">
        <v>2402</v>
      </c>
      <c r="Y167">
        <v>4720</v>
      </c>
      <c r="Z167" t="s">
        <v>2403</v>
      </c>
      <c r="AA167" t="s">
        <v>2404</v>
      </c>
      <c r="AB167">
        <v>10</v>
      </c>
      <c r="AC167" t="s">
        <v>2405</v>
      </c>
      <c r="AD167" t="s">
        <v>2406</v>
      </c>
      <c r="AE167">
        <v>5</v>
      </c>
      <c r="AF167" t="s">
        <v>2407</v>
      </c>
      <c r="AG167" t="s">
        <v>2408</v>
      </c>
      <c r="AH167">
        <v>0</v>
      </c>
      <c r="AI167">
        <v>0</v>
      </c>
      <c r="AJ167">
        <v>0</v>
      </c>
      <c r="AK167">
        <v>0</v>
      </c>
    </row>
    <row r="168" spans="1:37" x14ac:dyDescent="0.25">
      <c r="A168">
        <v>2023</v>
      </c>
      <c r="B168">
        <v>33299</v>
      </c>
      <c r="C168" t="s">
        <v>3427</v>
      </c>
      <c r="D168" t="s">
        <v>3428</v>
      </c>
      <c r="H168" t="s">
        <v>85</v>
      </c>
      <c r="J168" t="s">
        <v>3429</v>
      </c>
      <c r="K168" t="s">
        <v>3430</v>
      </c>
      <c r="L168">
        <v>52.555965999999998</v>
      </c>
      <c r="M168">
        <v>-110.115864</v>
      </c>
      <c r="N168">
        <v>1983</v>
      </c>
      <c r="O168">
        <v>211110</v>
      </c>
      <c r="P168">
        <v>4</v>
      </c>
      <c r="Q168" t="s">
        <v>2398</v>
      </c>
      <c r="R168" t="s">
        <v>2399</v>
      </c>
      <c r="S168">
        <v>4807</v>
      </c>
      <c r="T168" t="s">
        <v>2611</v>
      </c>
      <c r="U168">
        <v>4807049</v>
      </c>
      <c r="V168" t="s">
        <v>2612</v>
      </c>
      <c r="X168" t="s">
        <v>2402</v>
      </c>
      <c r="Y168">
        <v>4820</v>
      </c>
      <c r="Z168" t="s">
        <v>2508</v>
      </c>
      <c r="AA168" t="s">
        <v>2572</v>
      </c>
      <c r="AB168">
        <v>10</v>
      </c>
      <c r="AC168" t="s">
        <v>2405</v>
      </c>
      <c r="AD168" t="s">
        <v>2406</v>
      </c>
      <c r="AE168">
        <v>5</v>
      </c>
      <c r="AF168" t="s">
        <v>2407</v>
      </c>
      <c r="AG168" t="s">
        <v>2408</v>
      </c>
      <c r="AH168">
        <v>0</v>
      </c>
      <c r="AI168">
        <v>0</v>
      </c>
      <c r="AJ168">
        <v>0</v>
      </c>
      <c r="AK168">
        <v>0</v>
      </c>
    </row>
    <row r="169" spans="1:37" x14ac:dyDescent="0.25">
      <c r="A169">
        <v>2009</v>
      </c>
      <c r="B169">
        <v>18507</v>
      </c>
      <c r="C169" t="s">
        <v>2164</v>
      </c>
      <c r="D169" t="s">
        <v>3431</v>
      </c>
      <c r="E169" t="s">
        <v>3432</v>
      </c>
      <c r="H169" t="s">
        <v>85</v>
      </c>
      <c r="J169" t="s">
        <v>3433</v>
      </c>
      <c r="K169" t="s">
        <v>3434</v>
      </c>
      <c r="L169">
        <v>55.701999999999998</v>
      </c>
      <c r="M169">
        <v>-112.3793</v>
      </c>
      <c r="N169">
        <v>1983</v>
      </c>
      <c r="O169">
        <v>211113</v>
      </c>
      <c r="P169">
        <v>4</v>
      </c>
      <c r="Q169" t="s">
        <v>2398</v>
      </c>
      <c r="R169" t="s">
        <v>2399</v>
      </c>
      <c r="S169">
        <v>4812</v>
      </c>
      <c r="T169" t="s">
        <v>2724</v>
      </c>
      <c r="U169">
        <v>4812037</v>
      </c>
      <c r="V169" t="s">
        <v>3435</v>
      </c>
      <c r="X169" t="s">
        <v>2402</v>
      </c>
      <c r="Y169">
        <v>4880</v>
      </c>
      <c r="Z169" t="s">
        <v>2726</v>
      </c>
      <c r="AA169" t="s">
        <v>2727</v>
      </c>
      <c r="AB169">
        <v>9</v>
      </c>
      <c r="AC169" t="s">
        <v>2475</v>
      </c>
      <c r="AD169" t="s">
        <v>2476</v>
      </c>
      <c r="AE169">
        <v>7</v>
      </c>
      <c r="AF169" t="s">
        <v>2477</v>
      </c>
      <c r="AG169" t="s">
        <v>2478</v>
      </c>
      <c r="AH169">
        <v>0</v>
      </c>
      <c r="AI169">
        <v>0</v>
      </c>
      <c r="AJ169">
        <v>0</v>
      </c>
      <c r="AK169">
        <v>0</v>
      </c>
    </row>
    <row r="170" spans="1:37" x14ac:dyDescent="0.25">
      <c r="A170">
        <v>2013</v>
      </c>
      <c r="B170">
        <v>26027</v>
      </c>
      <c r="C170" t="s">
        <v>3436</v>
      </c>
      <c r="D170" t="s">
        <v>3437</v>
      </c>
      <c r="H170" t="s">
        <v>54</v>
      </c>
      <c r="J170" t="s">
        <v>3438</v>
      </c>
      <c r="K170" t="s">
        <v>3439</v>
      </c>
      <c r="L170">
        <v>49.049550000000004</v>
      </c>
      <c r="M170">
        <v>-100.75344</v>
      </c>
      <c r="N170">
        <v>1983</v>
      </c>
      <c r="O170">
        <v>211113</v>
      </c>
      <c r="P170">
        <v>4</v>
      </c>
      <c r="Q170" t="s">
        <v>2398</v>
      </c>
      <c r="R170" t="s">
        <v>2399</v>
      </c>
      <c r="S170">
        <v>4605</v>
      </c>
      <c r="T170" t="s">
        <v>2669</v>
      </c>
      <c r="U170">
        <v>4605044</v>
      </c>
      <c r="V170" t="s">
        <v>3440</v>
      </c>
      <c r="X170" t="s">
        <v>2402</v>
      </c>
      <c r="Y170">
        <v>4630</v>
      </c>
      <c r="Z170" t="s">
        <v>3441</v>
      </c>
      <c r="AA170" t="s">
        <v>3442</v>
      </c>
      <c r="AB170">
        <v>10</v>
      </c>
      <c r="AC170" t="s">
        <v>2405</v>
      </c>
      <c r="AD170" t="s">
        <v>2406</v>
      </c>
      <c r="AE170">
        <v>5</v>
      </c>
      <c r="AF170" t="s">
        <v>2407</v>
      </c>
      <c r="AG170" t="s">
        <v>2408</v>
      </c>
      <c r="AH170">
        <v>0</v>
      </c>
      <c r="AI170">
        <v>0</v>
      </c>
      <c r="AJ170">
        <v>0</v>
      </c>
      <c r="AK170">
        <v>0</v>
      </c>
    </row>
    <row r="171" spans="1:37" x14ac:dyDescent="0.25">
      <c r="A171">
        <v>2020</v>
      </c>
      <c r="B171">
        <v>21148</v>
      </c>
      <c r="C171" t="s">
        <v>1938</v>
      </c>
      <c r="D171" t="s">
        <v>3443</v>
      </c>
      <c r="H171" t="s">
        <v>243</v>
      </c>
      <c r="J171" t="s">
        <v>3444</v>
      </c>
      <c r="K171" t="s">
        <v>3445</v>
      </c>
      <c r="L171">
        <v>49.4</v>
      </c>
      <c r="M171">
        <v>-102.25</v>
      </c>
      <c r="N171">
        <v>1983</v>
      </c>
      <c r="O171">
        <v>211110</v>
      </c>
      <c r="P171">
        <v>4</v>
      </c>
      <c r="Q171" t="s">
        <v>2398</v>
      </c>
      <c r="R171" t="s">
        <v>2399</v>
      </c>
      <c r="S171">
        <v>4701</v>
      </c>
      <c r="T171" t="s">
        <v>2523</v>
      </c>
      <c r="U171">
        <v>4701036</v>
      </c>
      <c r="V171" t="s">
        <v>3446</v>
      </c>
      <c r="X171" t="s">
        <v>2402</v>
      </c>
      <c r="Y171">
        <v>4710</v>
      </c>
      <c r="Z171" t="s">
        <v>2525</v>
      </c>
      <c r="AA171" t="s">
        <v>2655</v>
      </c>
      <c r="AB171">
        <v>10</v>
      </c>
      <c r="AC171" t="s">
        <v>2405</v>
      </c>
      <c r="AD171" t="s">
        <v>2406</v>
      </c>
      <c r="AE171">
        <v>5</v>
      </c>
      <c r="AF171" t="s">
        <v>2407</v>
      </c>
      <c r="AG171" t="s">
        <v>2408</v>
      </c>
      <c r="AH171">
        <v>0</v>
      </c>
      <c r="AI171">
        <v>0</v>
      </c>
      <c r="AJ171">
        <v>0</v>
      </c>
      <c r="AK171">
        <v>0</v>
      </c>
    </row>
    <row r="172" spans="1:37" x14ac:dyDescent="0.25">
      <c r="A172">
        <v>2023</v>
      </c>
      <c r="B172">
        <v>5987</v>
      </c>
      <c r="C172" t="s">
        <v>3447</v>
      </c>
      <c r="D172" t="s">
        <v>3448</v>
      </c>
      <c r="E172" t="s">
        <v>3449</v>
      </c>
      <c r="G172" t="s">
        <v>3448</v>
      </c>
      <c r="H172" t="s">
        <v>21</v>
      </c>
      <c r="I172" t="s">
        <v>3450</v>
      </c>
      <c r="K172" t="s">
        <v>3451</v>
      </c>
      <c r="L172">
        <v>43.289400000000001</v>
      </c>
      <c r="M172">
        <v>-80.012500000000003</v>
      </c>
      <c r="N172">
        <v>1983</v>
      </c>
      <c r="O172">
        <v>311614</v>
      </c>
      <c r="P172">
        <v>11</v>
      </c>
      <c r="Q172" t="s">
        <v>2532</v>
      </c>
      <c r="R172" t="s">
        <v>2533</v>
      </c>
      <c r="S172">
        <v>3525</v>
      </c>
      <c r="T172" t="s">
        <v>3452</v>
      </c>
      <c r="U172">
        <v>3525005</v>
      </c>
      <c r="V172" t="s">
        <v>3452</v>
      </c>
      <c r="W172">
        <v>537</v>
      </c>
      <c r="X172" t="s">
        <v>3452</v>
      </c>
      <c r="Y172">
        <v>3550</v>
      </c>
      <c r="Z172" t="s">
        <v>2680</v>
      </c>
      <c r="AA172" t="s">
        <v>3453</v>
      </c>
      <c r="AB172">
        <v>8</v>
      </c>
      <c r="AC172" t="s">
        <v>2420</v>
      </c>
      <c r="AD172" t="s">
        <v>2421</v>
      </c>
      <c r="AE172">
        <v>2</v>
      </c>
      <c r="AF172" t="s">
        <v>2422</v>
      </c>
      <c r="AG172" t="s">
        <v>2423</v>
      </c>
      <c r="AH172">
        <v>1</v>
      </c>
      <c r="AI172">
        <v>1</v>
      </c>
      <c r="AJ172">
        <v>0</v>
      </c>
      <c r="AK172">
        <v>1</v>
      </c>
    </row>
    <row r="173" spans="1:37" x14ac:dyDescent="0.25">
      <c r="A173">
        <v>2009</v>
      </c>
      <c r="B173">
        <v>15173</v>
      </c>
      <c r="C173" t="s">
        <v>1576</v>
      </c>
      <c r="D173" t="s">
        <v>3454</v>
      </c>
      <c r="E173" t="s">
        <v>3455</v>
      </c>
      <c r="H173" t="s">
        <v>85</v>
      </c>
      <c r="J173" t="s">
        <v>3456</v>
      </c>
      <c r="K173" t="s">
        <v>3457</v>
      </c>
      <c r="L173">
        <v>52.366799999999998</v>
      </c>
      <c r="M173">
        <v>-112.1365</v>
      </c>
      <c r="N173">
        <v>1983</v>
      </c>
      <c r="O173">
        <v>211113</v>
      </c>
      <c r="P173">
        <v>4</v>
      </c>
      <c r="Q173" t="s">
        <v>2398</v>
      </c>
      <c r="R173" t="s">
        <v>2399</v>
      </c>
      <c r="S173">
        <v>4807</v>
      </c>
      <c r="T173" t="s">
        <v>2611</v>
      </c>
      <c r="U173">
        <v>4807011</v>
      </c>
      <c r="V173" t="s">
        <v>3458</v>
      </c>
      <c r="X173" t="s">
        <v>2402</v>
      </c>
      <c r="Y173">
        <v>4820</v>
      </c>
      <c r="Z173" t="s">
        <v>2508</v>
      </c>
      <c r="AA173" t="s">
        <v>2509</v>
      </c>
      <c r="AB173">
        <v>10</v>
      </c>
      <c r="AC173" t="s">
        <v>2405</v>
      </c>
      <c r="AD173" t="s">
        <v>2406</v>
      </c>
      <c r="AE173">
        <v>5</v>
      </c>
      <c r="AF173" t="s">
        <v>2407</v>
      </c>
      <c r="AG173" t="s">
        <v>2408</v>
      </c>
      <c r="AH173">
        <v>0</v>
      </c>
      <c r="AI173">
        <v>0</v>
      </c>
      <c r="AJ173">
        <v>0</v>
      </c>
      <c r="AK173">
        <v>0</v>
      </c>
    </row>
    <row r="174" spans="1:37" x14ac:dyDescent="0.25">
      <c r="A174">
        <v>2023</v>
      </c>
      <c r="B174">
        <v>29258</v>
      </c>
      <c r="C174" t="s">
        <v>1027</v>
      </c>
      <c r="D174" t="s">
        <v>3459</v>
      </c>
      <c r="H174" t="s">
        <v>85</v>
      </c>
      <c r="J174" t="s">
        <v>3460</v>
      </c>
      <c r="K174" t="s">
        <v>3461</v>
      </c>
      <c r="L174">
        <v>52.102542999999997</v>
      </c>
      <c r="M174">
        <v>-114.331816</v>
      </c>
      <c r="N174">
        <v>1983</v>
      </c>
      <c r="O174">
        <v>211110</v>
      </c>
      <c r="P174">
        <v>4</v>
      </c>
      <c r="Q174" t="s">
        <v>2398</v>
      </c>
      <c r="R174" t="s">
        <v>2399</v>
      </c>
      <c r="S174">
        <v>4808</v>
      </c>
      <c r="T174" t="s">
        <v>2400</v>
      </c>
      <c r="U174">
        <v>4808001</v>
      </c>
      <c r="V174" t="s">
        <v>3086</v>
      </c>
      <c r="X174" t="s">
        <v>2402</v>
      </c>
      <c r="Y174">
        <v>4850</v>
      </c>
      <c r="Z174" t="s">
        <v>1340</v>
      </c>
      <c r="AA174" t="s">
        <v>2634</v>
      </c>
      <c r="AB174">
        <v>10</v>
      </c>
      <c r="AC174" t="s">
        <v>2405</v>
      </c>
      <c r="AD174" t="s">
        <v>2406</v>
      </c>
      <c r="AE174">
        <v>5</v>
      </c>
      <c r="AF174" t="s">
        <v>2407</v>
      </c>
      <c r="AG174" t="s">
        <v>2408</v>
      </c>
      <c r="AH174">
        <v>0</v>
      </c>
      <c r="AI174">
        <v>0</v>
      </c>
      <c r="AJ174">
        <v>0</v>
      </c>
      <c r="AK174">
        <v>0</v>
      </c>
    </row>
    <row r="175" spans="1:37" x14ac:dyDescent="0.25">
      <c r="A175">
        <v>2023</v>
      </c>
      <c r="B175">
        <v>34403</v>
      </c>
      <c r="C175" t="s">
        <v>489</v>
      </c>
      <c r="D175" t="s">
        <v>3462</v>
      </c>
      <c r="H175" t="s">
        <v>85</v>
      </c>
      <c r="J175" t="s">
        <v>3463</v>
      </c>
      <c r="K175" t="s">
        <v>3464</v>
      </c>
      <c r="L175">
        <v>54.419162</v>
      </c>
      <c r="M175">
        <v>-118.65173299999999</v>
      </c>
      <c r="N175">
        <v>1983</v>
      </c>
      <c r="O175">
        <v>211110</v>
      </c>
      <c r="P175">
        <v>4</v>
      </c>
      <c r="Q175" t="s">
        <v>2398</v>
      </c>
      <c r="R175" t="s">
        <v>2399</v>
      </c>
      <c r="S175">
        <v>4818</v>
      </c>
      <c r="T175" t="s">
        <v>2545</v>
      </c>
      <c r="U175">
        <v>4818015</v>
      </c>
      <c r="V175" t="s">
        <v>2546</v>
      </c>
      <c r="X175" t="s">
        <v>2402</v>
      </c>
      <c r="Y175">
        <v>4870</v>
      </c>
      <c r="Z175" t="s">
        <v>2473</v>
      </c>
      <c r="AA175" t="s">
        <v>2474</v>
      </c>
      <c r="AB175">
        <v>9</v>
      </c>
      <c r="AC175" t="s">
        <v>2475</v>
      </c>
      <c r="AD175" t="s">
        <v>2476</v>
      </c>
      <c r="AE175">
        <v>7</v>
      </c>
      <c r="AF175" t="s">
        <v>2477</v>
      </c>
      <c r="AG175" t="s">
        <v>2478</v>
      </c>
      <c r="AH175">
        <v>0</v>
      </c>
      <c r="AI175">
        <v>0</v>
      </c>
      <c r="AJ175">
        <v>0</v>
      </c>
      <c r="AK175">
        <v>0</v>
      </c>
    </row>
    <row r="176" spans="1:37" x14ac:dyDescent="0.25">
      <c r="A176">
        <v>2023</v>
      </c>
      <c r="B176">
        <v>30360</v>
      </c>
      <c r="C176" t="s">
        <v>1791</v>
      </c>
      <c r="D176" t="s">
        <v>3465</v>
      </c>
      <c r="H176" t="s">
        <v>243</v>
      </c>
      <c r="J176" t="s">
        <v>3466</v>
      </c>
      <c r="K176" t="s">
        <v>3467</v>
      </c>
      <c r="L176">
        <v>50.252940000000002</v>
      </c>
      <c r="M176">
        <v>-102.10659</v>
      </c>
      <c r="N176">
        <v>1983</v>
      </c>
      <c r="O176">
        <v>211110</v>
      </c>
      <c r="P176">
        <v>4</v>
      </c>
      <c r="Q176" t="s">
        <v>2398</v>
      </c>
      <c r="R176" t="s">
        <v>2399</v>
      </c>
      <c r="S176">
        <v>4705</v>
      </c>
      <c r="T176" t="s">
        <v>2669</v>
      </c>
      <c r="U176">
        <v>4705011</v>
      </c>
      <c r="V176" t="s">
        <v>3468</v>
      </c>
      <c r="X176" t="s">
        <v>2402</v>
      </c>
      <c r="Y176">
        <v>4740</v>
      </c>
      <c r="Z176" t="s">
        <v>3469</v>
      </c>
      <c r="AA176" t="s">
        <v>2526</v>
      </c>
      <c r="AB176">
        <v>10</v>
      </c>
      <c r="AC176" t="s">
        <v>2405</v>
      </c>
      <c r="AD176" t="s">
        <v>2406</v>
      </c>
      <c r="AE176">
        <v>5</v>
      </c>
      <c r="AF176" t="s">
        <v>2407</v>
      </c>
      <c r="AG176" t="s">
        <v>2408</v>
      </c>
      <c r="AH176">
        <v>0</v>
      </c>
      <c r="AI176">
        <v>0</v>
      </c>
      <c r="AJ176">
        <v>0</v>
      </c>
      <c r="AK176">
        <v>0</v>
      </c>
    </row>
    <row r="177" spans="1:37" x14ac:dyDescent="0.25">
      <c r="A177">
        <v>2011</v>
      </c>
      <c r="B177">
        <v>8042</v>
      </c>
      <c r="C177" t="s">
        <v>3470</v>
      </c>
      <c r="D177" t="s">
        <v>3470</v>
      </c>
      <c r="E177" t="s">
        <v>3471</v>
      </c>
      <c r="G177" t="s">
        <v>3472</v>
      </c>
      <c r="H177" t="s">
        <v>661</v>
      </c>
      <c r="I177" t="s">
        <v>3473</v>
      </c>
      <c r="K177" t="s">
        <v>3474</v>
      </c>
      <c r="L177">
        <v>46.163499999999999</v>
      </c>
      <c r="M177">
        <v>-64.586100000000002</v>
      </c>
      <c r="N177">
        <v>1983</v>
      </c>
      <c r="O177">
        <v>418110</v>
      </c>
      <c r="P177">
        <v>19</v>
      </c>
      <c r="Q177" t="s">
        <v>2552</v>
      </c>
      <c r="R177" t="s">
        <v>2553</v>
      </c>
      <c r="S177">
        <v>1307</v>
      </c>
      <c r="T177" t="s">
        <v>3475</v>
      </c>
      <c r="U177">
        <v>1307016</v>
      </c>
      <c r="V177" t="s">
        <v>3476</v>
      </c>
      <c r="X177" t="s">
        <v>2402</v>
      </c>
      <c r="Y177">
        <v>1320</v>
      </c>
      <c r="Z177" t="s">
        <v>3477</v>
      </c>
      <c r="AA177" t="s">
        <v>3478</v>
      </c>
      <c r="AB177">
        <v>7</v>
      </c>
      <c r="AC177" t="s">
        <v>2996</v>
      </c>
      <c r="AD177" t="s">
        <v>2997</v>
      </c>
      <c r="AE177">
        <v>1</v>
      </c>
      <c r="AF177" t="s">
        <v>3479</v>
      </c>
      <c r="AG177" t="s">
        <v>3480</v>
      </c>
      <c r="AH177">
        <v>1</v>
      </c>
      <c r="AI177">
        <v>0</v>
      </c>
      <c r="AJ177">
        <v>0</v>
      </c>
      <c r="AK177">
        <v>0</v>
      </c>
    </row>
    <row r="178" spans="1:37" x14ac:dyDescent="0.25">
      <c r="A178">
        <v>2008</v>
      </c>
      <c r="B178">
        <v>22437</v>
      </c>
      <c r="C178" t="s">
        <v>3481</v>
      </c>
      <c r="D178" t="s">
        <v>3482</v>
      </c>
      <c r="E178" t="s">
        <v>3483</v>
      </c>
      <c r="H178" t="s">
        <v>85</v>
      </c>
      <c r="J178" t="s">
        <v>3484</v>
      </c>
      <c r="K178" t="s">
        <v>3485</v>
      </c>
      <c r="L178">
        <v>50.264400000000002</v>
      </c>
      <c r="M178">
        <v>-111.4448</v>
      </c>
      <c r="N178">
        <v>1983</v>
      </c>
      <c r="O178">
        <v>211113</v>
      </c>
      <c r="P178">
        <v>4</v>
      </c>
      <c r="Q178" t="s">
        <v>2398</v>
      </c>
      <c r="R178" t="s">
        <v>2399</v>
      </c>
      <c r="S178">
        <v>4802</v>
      </c>
      <c r="T178" t="s">
        <v>2696</v>
      </c>
      <c r="U178">
        <v>4802031</v>
      </c>
      <c r="V178" t="s">
        <v>2905</v>
      </c>
      <c r="W178">
        <v>806</v>
      </c>
      <c r="X178" t="s">
        <v>2906</v>
      </c>
      <c r="Y178">
        <v>4810</v>
      </c>
      <c r="Z178" t="s">
        <v>2603</v>
      </c>
      <c r="AA178" t="s">
        <v>2671</v>
      </c>
      <c r="AB178">
        <v>10</v>
      </c>
      <c r="AC178" t="s">
        <v>2405</v>
      </c>
      <c r="AD178" t="s">
        <v>2406</v>
      </c>
      <c r="AE178">
        <v>5</v>
      </c>
      <c r="AF178" t="s">
        <v>2407</v>
      </c>
      <c r="AG178" t="s">
        <v>2408</v>
      </c>
      <c r="AH178">
        <v>0</v>
      </c>
      <c r="AI178">
        <v>0</v>
      </c>
      <c r="AJ178">
        <v>0</v>
      </c>
      <c r="AK178">
        <v>0</v>
      </c>
    </row>
    <row r="179" spans="1:37" x14ac:dyDescent="0.25">
      <c r="A179">
        <v>2022</v>
      </c>
      <c r="B179">
        <v>33451</v>
      </c>
      <c r="C179" t="s">
        <v>1791</v>
      </c>
      <c r="D179" t="s">
        <v>3486</v>
      </c>
      <c r="H179" t="s">
        <v>243</v>
      </c>
      <c r="J179" t="s">
        <v>3487</v>
      </c>
      <c r="K179" t="s">
        <v>3488</v>
      </c>
      <c r="L179">
        <v>49.099499999999999</v>
      </c>
      <c r="M179">
        <v>-103.48412500000001</v>
      </c>
      <c r="N179">
        <v>1983</v>
      </c>
      <c r="O179">
        <v>211110</v>
      </c>
      <c r="P179">
        <v>4</v>
      </c>
      <c r="Q179" t="s">
        <v>2398</v>
      </c>
      <c r="R179" t="s">
        <v>2399</v>
      </c>
      <c r="S179">
        <v>4702</v>
      </c>
      <c r="T179" t="s">
        <v>2696</v>
      </c>
      <c r="U179">
        <v>4702001</v>
      </c>
      <c r="V179" t="s">
        <v>2788</v>
      </c>
      <c r="X179" t="s">
        <v>2402</v>
      </c>
      <c r="Y179">
        <v>4710</v>
      </c>
      <c r="Z179" t="s">
        <v>2525</v>
      </c>
      <c r="AA179" t="s">
        <v>2655</v>
      </c>
      <c r="AB179">
        <v>10</v>
      </c>
      <c r="AC179" t="s">
        <v>2405</v>
      </c>
      <c r="AD179" t="s">
        <v>2406</v>
      </c>
      <c r="AE179">
        <v>5</v>
      </c>
      <c r="AF179" t="s">
        <v>2407</v>
      </c>
      <c r="AG179" t="s">
        <v>2408</v>
      </c>
      <c r="AH179">
        <v>0</v>
      </c>
      <c r="AI179">
        <v>0</v>
      </c>
      <c r="AJ179">
        <v>0</v>
      </c>
      <c r="AK179">
        <v>0</v>
      </c>
    </row>
    <row r="180" spans="1:37" x14ac:dyDescent="0.25">
      <c r="A180">
        <v>2023</v>
      </c>
      <c r="B180">
        <v>31555</v>
      </c>
      <c r="C180" t="s">
        <v>3489</v>
      </c>
      <c r="D180" t="s">
        <v>3490</v>
      </c>
      <c r="E180" t="s">
        <v>3491</v>
      </c>
      <c r="G180" t="s">
        <v>3492</v>
      </c>
      <c r="H180" t="s">
        <v>79</v>
      </c>
      <c r="I180" t="s">
        <v>3493</v>
      </c>
      <c r="K180" t="s">
        <v>3494</v>
      </c>
      <c r="L180">
        <v>45.637520000000002</v>
      </c>
      <c r="M180">
        <v>-72.914159999999995</v>
      </c>
      <c r="N180">
        <v>1983</v>
      </c>
      <c r="O180">
        <v>311615</v>
      </c>
      <c r="P180">
        <v>11</v>
      </c>
      <c r="Q180" t="s">
        <v>2532</v>
      </c>
      <c r="R180" t="s">
        <v>2533</v>
      </c>
      <c r="S180">
        <v>2454</v>
      </c>
      <c r="T180" t="s">
        <v>3495</v>
      </c>
      <c r="U180">
        <v>2454048</v>
      </c>
      <c r="V180" t="s">
        <v>3496</v>
      </c>
      <c r="W180">
        <v>452</v>
      </c>
      <c r="X180" t="s">
        <v>3496</v>
      </c>
      <c r="Y180">
        <v>2435</v>
      </c>
      <c r="Z180" t="s">
        <v>2451</v>
      </c>
      <c r="AA180" t="s">
        <v>3497</v>
      </c>
      <c r="AB180">
        <v>8</v>
      </c>
      <c r="AC180" t="s">
        <v>2420</v>
      </c>
      <c r="AD180" t="s">
        <v>2421</v>
      </c>
      <c r="AE180">
        <v>2</v>
      </c>
      <c r="AF180" t="s">
        <v>2422</v>
      </c>
      <c r="AG180" t="s">
        <v>2423</v>
      </c>
      <c r="AH180">
        <v>1</v>
      </c>
      <c r="AI180">
        <v>0</v>
      </c>
      <c r="AJ180">
        <v>1</v>
      </c>
      <c r="AK180">
        <v>1</v>
      </c>
    </row>
    <row r="181" spans="1:37" x14ac:dyDescent="0.25">
      <c r="A181">
        <v>2009</v>
      </c>
      <c r="B181">
        <v>5709</v>
      </c>
      <c r="C181" t="s">
        <v>3498</v>
      </c>
      <c r="D181" t="s">
        <v>3499</v>
      </c>
      <c r="E181" t="s">
        <v>3500</v>
      </c>
      <c r="G181" t="s">
        <v>3501</v>
      </c>
      <c r="H181" t="s">
        <v>21</v>
      </c>
      <c r="I181" t="s">
        <v>3502</v>
      </c>
      <c r="K181" t="s">
        <v>3503</v>
      </c>
      <c r="L181">
        <v>43.849699999999999</v>
      </c>
      <c r="M181">
        <v>-79.031099999999995</v>
      </c>
      <c r="N181">
        <v>1983</v>
      </c>
      <c r="O181">
        <v>326198</v>
      </c>
      <c r="P181">
        <v>13</v>
      </c>
      <c r="Q181" t="s">
        <v>2447</v>
      </c>
      <c r="R181" t="s">
        <v>2448</v>
      </c>
      <c r="S181">
        <v>3518</v>
      </c>
      <c r="T181" t="s">
        <v>3504</v>
      </c>
      <c r="U181">
        <v>3518005</v>
      </c>
      <c r="V181" t="s">
        <v>3505</v>
      </c>
      <c r="W181">
        <v>535</v>
      </c>
      <c r="X181" t="s">
        <v>2439</v>
      </c>
      <c r="Y181">
        <v>3530</v>
      </c>
      <c r="Z181" t="s">
        <v>2439</v>
      </c>
      <c r="AA181" t="s">
        <v>3506</v>
      </c>
      <c r="AB181">
        <v>8</v>
      </c>
      <c r="AC181" t="s">
        <v>2420</v>
      </c>
      <c r="AD181" t="s">
        <v>2421</v>
      </c>
      <c r="AE181">
        <v>2</v>
      </c>
      <c r="AF181" t="s">
        <v>2422</v>
      </c>
      <c r="AG181" t="s">
        <v>2423</v>
      </c>
      <c r="AH181">
        <v>1</v>
      </c>
      <c r="AI181">
        <v>1</v>
      </c>
      <c r="AJ181">
        <v>0</v>
      </c>
      <c r="AK181">
        <v>1</v>
      </c>
    </row>
    <row r="182" spans="1:37" x14ac:dyDescent="0.25">
      <c r="A182">
        <v>2008</v>
      </c>
      <c r="B182">
        <v>8003</v>
      </c>
      <c r="C182" t="s">
        <v>3507</v>
      </c>
      <c r="D182" t="s">
        <v>3508</v>
      </c>
      <c r="E182" t="s">
        <v>3509</v>
      </c>
      <c r="G182" t="s">
        <v>3510</v>
      </c>
      <c r="H182" t="s">
        <v>661</v>
      </c>
      <c r="I182" t="s">
        <v>3511</v>
      </c>
      <c r="K182" t="s">
        <v>3512</v>
      </c>
      <c r="L182">
        <v>45.275700000000001</v>
      </c>
      <c r="M182">
        <v>-66.026899999999998</v>
      </c>
      <c r="N182">
        <v>1983</v>
      </c>
      <c r="O182">
        <v>221112</v>
      </c>
      <c r="P182">
        <v>5</v>
      </c>
      <c r="Q182" t="s">
        <v>2836</v>
      </c>
      <c r="R182" t="s">
        <v>2837</v>
      </c>
      <c r="S182">
        <v>1301</v>
      </c>
      <c r="T182" t="s">
        <v>3513</v>
      </c>
      <c r="U182">
        <v>1301006</v>
      </c>
      <c r="V182" t="s">
        <v>3513</v>
      </c>
      <c r="W182">
        <v>310</v>
      </c>
      <c r="X182" t="s">
        <v>3513</v>
      </c>
      <c r="Y182">
        <v>1330</v>
      </c>
      <c r="Z182" t="s">
        <v>3514</v>
      </c>
      <c r="AA182" t="s">
        <v>3515</v>
      </c>
      <c r="AB182">
        <v>7</v>
      </c>
      <c r="AC182" t="s">
        <v>2996</v>
      </c>
      <c r="AD182" t="s">
        <v>2997</v>
      </c>
      <c r="AE182">
        <v>1</v>
      </c>
      <c r="AF182" t="s">
        <v>3479</v>
      </c>
      <c r="AG182" t="s">
        <v>3480</v>
      </c>
      <c r="AH182">
        <v>1</v>
      </c>
      <c r="AI182">
        <v>0</v>
      </c>
      <c r="AJ182">
        <v>0</v>
      </c>
      <c r="AK182">
        <v>0</v>
      </c>
    </row>
    <row r="183" spans="1:37" x14ac:dyDescent="0.25">
      <c r="A183">
        <v>2010</v>
      </c>
      <c r="B183">
        <v>15446</v>
      </c>
      <c r="C183" t="s">
        <v>3516</v>
      </c>
      <c r="D183" t="s">
        <v>3517</v>
      </c>
      <c r="E183" t="s">
        <v>3518</v>
      </c>
      <c r="G183" t="s">
        <v>3517</v>
      </c>
      <c r="H183" t="s">
        <v>85</v>
      </c>
      <c r="J183" t="s">
        <v>3518</v>
      </c>
      <c r="K183" t="s">
        <v>3519</v>
      </c>
      <c r="L183">
        <v>55.305700000000002</v>
      </c>
      <c r="M183">
        <v>-115.0461</v>
      </c>
      <c r="N183">
        <v>1983</v>
      </c>
      <c r="O183">
        <v>211113</v>
      </c>
      <c r="P183">
        <v>4</v>
      </c>
      <c r="Q183" t="s">
        <v>2398</v>
      </c>
      <c r="R183" t="s">
        <v>2399</v>
      </c>
      <c r="S183">
        <v>4817</v>
      </c>
      <c r="T183" t="s">
        <v>2471</v>
      </c>
      <c r="U183">
        <v>4817033</v>
      </c>
      <c r="V183" t="s">
        <v>3520</v>
      </c>
      <c r="X183" t="s">
        <v>2402</v>
      </c>
      <c r="Y183">
        <v>4870</v>
      </c>
      <c r="Z183" t="s">
        <v>2473</v>
      </c>
      <c r="AA183" t="s">
        <v>2719</v>
      </c>
      <c r="AB183">
        <v>9</v>
      </c>
      <c r="AC183" t="s">
        <v>2475</v>
      </c>
      <c r="AD183" t="s">
        <v>2476</v>
      </c>
      <c r="AE183">
        <v>7</v>
      </c>
      <c r="AF183" t="s">
        <v>2477</v>
      </c>
      <c r="AG183" t="s">
        <v>2478</v>
      </c>
      <c r="AH183">
        <v>0</v>
      </c>
      <c r="AI183">
        <v>0</v>
      </c>
      <c r="AJ183">
        <v>0</v>
      </c>
      <c r="AK183">
        <v>0</v>
      </c>
    </row>
    <row r="184" spans="1:37" x14ac:dyDescent="0.25">
      <c r="A184">
        <v>2012</v>
      </c>
      <c r="B184">
        <v>15124</v>
      </c>
      <c r="C184" t="s">
        <v>231</v>
      </c>
      <c r="D184" t="s">
        <v>3521</v>
      </c>
      <c r="H184" t="s">
        <v>85</v>
      </c>
      <c r="J184" t="s">
        <v>3522</v>
      </c>
      <c r="K184" t="s">
        <v>3523</v>
      </c>
      <c r="L184">
        <v>52.555700000000002</v>
      </c>
      <c r="M184">
        <v>-111.8053</v>
      </c>
      <c r="N184">
        <v>1983</v>
      </c>
      <c r="O184">
        <v>211113</v>
      </c>
      <c r="P184">
        <v>4</v>
      </c>
      <c r="Q184" t="s">
        <v>2398</v>
      </c>
      <c r="R184" t="s">
        <v>2399</v>
      </c>
      <c r="S184">
        <v>4807</v>
      </c>
      <c r="T184" t="s">
        <v>2611</v>
      </c>
      <c r="U184">
        <v>4807031</v>
      </c>
      <c r="V184" t="s">
        <v>2650</v>
      </c>
      <c r="X184" t="s">
        <v>2402</v>
      </c>
      <c r="Y184">
        <v>4820</v>
      </c>
      <c r="Z184" t="s">
        <v>2508</v>
      </c>
      <c r="AA184" t="s">
        <v>2572</v>
      </c>
      <c r="AB184">
        <v>10</v>
      </c>
      <c r="AC184" t="s">
        <v>2405</v>
      </c>
      <c r="AD184" t="s">
        <v>2406</v>
      </c>
      <c r="AE184">
        <v>5</v>
      </c>
      <c r="AF184" t="s">
        <v>2407</v>
      </c>
      <c r="AG184" t="s">
        <v>2408</v>
      </c>
      <c r="AH184">
        <v>0</v>
      </c>
      <c r="AI184">
        <v>0</v>
      </c>
      <c r="AJ184">
        <v>0</v>
      </c>
      <c r="AK184">
        <v>0</v>
      </c>
    </row>
    <row r="185" spans="1:37" x14ac:dyDescent="0.25">
      <c r="A185">
        <v>2023</v>
      </c>
      <c r="B185">
        <v>32490</v>
      </c>
      <c r="C185" t="s">
        <v>3524</v>
      </c>
      <c r="D185" t="s">
        <v>3525</v>
      </c>
      <c r="E185" t="s">
        <v>3526</v>
      </c>
      <c r="G185" t="s">
        <v>3527</v>
      </c>
      <c r="H185" t="s">
        <v>243</v>
      </c>
      <c r="I185" t="s">
        <v>3528</v>
      </c>
      <c r="J185" t="s">
        <v>3529</v>
      </c>
      <c r="K185" t="s">
        <v>3530</v>
      </c>
      <c r="L185">
        <v>52.132420000000003</v>
      </c>
      <c r="M185">
        <v>-106.66369</v>
      </c>
      <c r="N185">
        <v>1983</v>
      </c>
      <c r="O185">
        <v>812330</v>
      </c>
      <c r="P185">
        <v>19</v>
      </c>
      <c r="Q185" t="s">
        <v>2552</v>
      </c>
      <c r="R185" t="s">
        <v>2553</v>
      </c>
      <c r="S185">
        <v>4711</v>
      </c>
      <c r="T185" t="s">
        <v>2643</v>
      </c>
      <c r="U185">
        <v>4711066</v>
      </c>
      <c r="V185" t="s">
        <v>3527</v>
      </c>
      <c r="W185">
        <v>725</v>
      </c>
      <c r="X185" t="s">
        <v>3527</v>
      </c>
      <c r="Y185">
        <v>4730</v>
      </c>
      <c r="Z185" t="s">
        <v>2430</v>
      </c>
      <c r="AA185" t="s">
        <v>3531</v>
      </c>
      <c r="AB185">
        <v>10</v>
      </c>
      <c r="AC185" t="s">
        <v>2405</v>
      </c>
      <c r="AD185" t="s">
        <v>2406</v>
      </c>
      <c r="AE185">
        <v>5</v>
      </c>
      <c r="AF185" t="s">
        <v>2407</v>
      </c>
      <c r="AG185" t="s">
        <v>2408</v>
      </c>
      <c r="AH185">
        <v>0</v>
      </c>
      <c r="AI185">
        <v>0</v>
      </c>
      <c r="AJ185">
        <v>0</v>
      </c>
      <c r="AK185">
        <v>0</v>
      </c>
    </row>
    <row r="186" spans="1:37" x14ac:dyDescent="0.25">
      <c r="A186">
        <v>2023</v>
      </c>
      <c r="B186">
        <v>438</v>
      </c>
      <c r="C186" t="s">
        <v>3532</v>
      </c>
      <c r="D186" t="s">
        <v>3533</v>
      </c>
      <c r="G186" t="s">
        <v>3534</v>
      </c>
      <c r="H186" t="s">
        <v>85</v>
      </c>
      <c r="J186" t="s">
        <v>3535</v>
      </c>
      <c r="K186" t="s">
        <v>3536</v>
      </c>
      <c r="L186">
        <v>53.9527</v>
      </c>
      <c r="M186">
        <v>-113.078</v>
      </c>
      <c r="N186">
        <v>1983</v>
      </c>
      <c r="O186">
        <v>211110</v>
      </c>
      <c r="P186">
        <v>4</v>
      </c>
      <c r="Q186" t="s">
        <v>2398</v>
      </c>
      <c r="R186" t="s">
        <v>2399</v>
      </c>
      <c r="S186">
        <v>4811</v>
      </c>
      <c r="T186" t="s">
        <v>2643</v>
      </c>
      <c r="U186">
        <v>4811065</v>
      </c>
      <c r="V186" t="s">
        <v>3534</v>
      </c>
      <c r="W186">
        <v>835</v>
      </c>
      <c r="X186" t="s">
        <v>2645</v>
      </c>
      <c r="Y186">
        <v>4860</v>
      </c>
      <c r="Z186" t="s">
        <v>2645</v>
      </c>
      <c r="AA186" t="s">
        <v>2727</v>
      </c>
      <c r="AB186">
        <v>9</v>
      </c>
      <c r="AC186" t="s">
        <v>2475</v>
      </c>
      <c r="AD186" t="s">
        <v>2476</v>
      </c>
      <c r="AE186">
        <v>5</v>
      </c>
      <c r="AF186" t="s">
        <v>2407</v>
      </c>
      <c r="AG186" t="s">
        <v>2408</v>
      </c>
      <c r="AH186">
        <v>0</v>
      </c>
      <c r="AI186">
        <v>0</v>
      </c>
      <c r="AJ186">
        <v>0</v>
      </c>
      <c r="AK186">
        <v>0</v>
      </c>
    </row>
    <row r="187" spans="1:37" x14ac:dyDescent="0.25">
      <c r="A187">
        <v>2003</v>
      </c>
      <c r="B187">
        <v>10634</v>
      </c>
      <c r="C187" t="s">
        <v>3537</v>
      </c>
      <c r="D187" t="s">
        <v>3538</v>
      </c>
      <c r="E187" t="s">
        <v>3539</v>
      </c>
      <c r="G187" t="s">
        <v>3538</v>
      </c>
      <c r="H187" t="s">
        <v>21</v>
      </c>
      <c r="I187" t="s">
        <v>3540</v>
      </c>
      <c r="K187" t="s">
        <v>3541</v>
      </c>
      <c r="L187">
        <v>44.198900000000002</v>
      </c>
      <c r="M187">
        <v>-77.367500000000007</v>
      </c>
      <c r="N187">
        <v>1983</v>
      </c>
      <c r="O187">
        <v>311990</v>
      </c>
      <c r="P187">
        <v>11</v>
      </c>
      <c r="Q187" t="s">
        <v>2532</v>
      </c>
      <c r="R187" t="s">
        <v>2533</v>
      </c>
      <c r="S187">
        <v>3512</v>
      </c>
      <c r="T187" t="s">
        <v>3542</v>
      </c>
      <c r="U187">
        <v>3512005</v>
      </c>
      <c r="V187" t="s">
        <v>3543</v>
      </c>
      <c r="W187">
        <v>522</v>
      </c>
      <c r="X187" t="s">
        <v>3543</v>
      </c>
      <c r="Y187">
        <v>3515</v>
      </c>
      <c r="Z187" t="s">
        <v>3544</v>
      </c>
      <c r="AA187" t="s">
        <v>3545</v>
      </c>
      <c r="AB187">
        <v>8</v>
      </c>
      <c r="AC187" t="s">
        <v>2420</v>
      </c>
      <c r="AD187" t="s">
        <v>2421</v>
      </c>
      <c r="AE187">
        <v>2</v>
      </c>
      <c r="AF187" t="s">
        <v>2422</v>
      </c>
      <c r="AG187" t="s">
        <v>2423</v>
      </c>
      <c r="AH187">
        <v>1</v>
      </c>
      <c r="AI187">
        <v>1</v>
      </c>
      <c r="AJ187">
        <v>0</v>
      </c>
      <c r="AK187">
        <v>1</v>
      </c>
    </row>
    <row r="188" spans="1:37" x14ac:dyDescent="0.25">
      <c r="A188">
        <v>2005</v>
      </c>
      <c r="B188">
        <v>19774</v>
      </c>
      <c r="C188" t="s">
        <v>1569</v>
      </c>
      <c r="D188" t="s">
        <v>3546</v>
      </c>
      <c r="E188" t="s">
        <v>3547</v>
      </c>
      <c r="H188" t="s">
        <v>243</v>
      </c>
      <c r="J188" t="s">
        <v>3548</v>
      </c>
      <c r="K188" t="s">
        <v>3549</v>
      </c>
      <c r="L188">
        <v>52.974899999999998</v>
      </c>
      <c r="M188">
        <v>-109.92610000000001</v>
      </c>
      <c r="N188">
        <v>1983</v>
      </c>
      <c r="O188">
        <v>211113</v>
      </c>
      <c r="P188">
        <v>4</v>
      </c>
      <c r="Q188" t="s">
        <v>2398</v>
      </c>
      <c r="R188" t="s">
        <v>2399</v>
      </c>
      <c r="S188">
        <v>4717</v>
      </c>
      <c r="T188" t="s">
        <v>2471</v>
      </c>
      <c r="U188">
        <v>4717022</v>
      </c>
      <c r="V188" t="s">
        <v>3396</v>
      </c>
      <c r="W188">
        <v>840</v>
      </c>
      <c r="X188" t="s">
        <v>3397</v>
      </c>
      <c r="Y188">
        <v>4750</v>
      </c>
      <c r="Z188" t="s">
        <v>3003</v>
      </c>
      <c r="AA188" t="s">
        <v>3238</v>
      </c>
      <c r="AB188">
        <v>10</v>
      </c>
      <c r="AC188" t="s">
        <v>2405</v>
      </c>
      <c r="AD188" t="s">
        <v>2406</v>
      </c>
      <c r="AE188">
        <v>5</v>
      </c>
      <c r="AF188" t="s">
        <v>2407</v>
      </c>
      <c r="AG188" t="s">
        <v>2408</v>
      </c>
      <c r="AH188">
        <v>0</v>
      </c>
      <c r="AI188">
        <v>0</v>
      </c>
      <c r="AJ188">
        <v>0</v>
      </c>
      <c r="AK188">
        <v>0</v>
      </c>
    </row>
    <row r="189" spans="1:37" x14ac:dyDescent="0.25">
      <c r="A189">
        <v>2008</v>
      </c>
      <c r="B189">
        <v>11112</v>
      </c>
      <c r="C189" t="s">
        <v>3550</v>
      </c>
      <c r="D189" t="s">
        <v>3551</v>
      </c>
      <c r="E189" t="s">
        <v>3552</v>
      </c>
      <c r="G189" t="s">
        <v>3553</v>
      </c>
      <c r="H189" t="s">
        <v>21</v>
      </c>
      <c r="I189" t="s">
        <v>3554</v>
      </c>
      <c r="K189" t="s">
        <v>3555</v>
      </c>
      <c r="L189">
        <v>44.898200000000003</v>
      </c>
      <c r="M189">
        <v>-75.9983</v>
      </c>
      <c r="N189">
        <v>1983</v>
      </c>
      <c r="O189">
        <v>331529</v>
      </c>
      <c r="P189">
        <v>7</v>
      </c>
      <c r="Q189" t="s">
        <v>2620</v>
      </c>
      <c r="R189" t="s">
        <v>2621</v>
      </c>
      <c r="S189">
        <v>3509</v>
      </c>
      <c r="T189" t="s">
        <v>3556</v>
      </c>
      <c r="U189">
        <v>3509004</v>
      </c>
      <c r="V189" t="s">
        <v>3557</v>
      </c>
      <c r="X189" t="s">
        <v>2402</v>
      </c>
      <c r="Y189">
        <v>3510</v>
      </c>
      <c r="Z189" t="s">
        <v>2939</v>
      </c>
      <c r="AA189" t="s">
        <v>3558</v>
      </c>
      <c r="AB189">
        <v>8</v>
      </c>
      <c r="AC189" t="s">
        <v>2420</v>
      </c>
      <c r="AD189" t="s">
        <v>2421</v>
      </c>
      <c r="AE189">
        <v>2</v>
      </c>
      <c r="AF189" t="s">
        <v>2422</v>
      </c>
      <c r="AG189" t="s">
        <v>2423</v>
      </c>
      <c r="AH189">
        <v>1</v>
      </c>
      <c r="AI189">
        <v>1</v>
      </c>
      <c r="AJ189">
        <v>0</v>
      </c>
      <c r="AK189">
        <v>1</v>
      </c>
    </row>
    <row r="190" spans="1:37" x14ac:dyDescent="0.25">
      <c r="A190">
        <v>2003</v>
      </c>
      <c r="B190">
        <v>5947</v>
      </c>
      <c r="C190" t="s">
        <v>3559</v>
      </c>
      <c r="E190" t="s">
        <v>3560</v>
      </c>
      <c r="F190" t="s">
        <v>3561</v>
      </c>
      <c r="G190" t="s">
        <v>3562</v>
      </c>
      <c r="H190" t="s">
        <v>21</v>
      </c>
      <c r="I190" t="s">
        <v>3563</v>
      </c>
      <c r="K190" t="s">
        <v>3564</v>
      </c>
      <c r="L190">
        <v>43.752299999999998</v>
      </c>
      <c r="M190">
        <v>-79.556399999999996</v>
      </c>
      <c r="N190">
        <v>1983</v>
      </c>
      <c r="O190">
        <v>332810</v>
      </c>
      <c r="P190">
        <v>11</v>
      </c>
      <c r="Q190" t="s">
        <v>2532</v>
      </c>
      <c r="R190" t="s">
        <v>2533</v>
      </c>
      <c r="S190">
        <v>3520</v>
      </c>
      <c r="T190" t="s">
        <v>2439</v>
      </c>
      <c r="U190">
        <v>3520005</v>
      </c>
      <c r="V190" t="s">
        <v>2439</v>
      </c>
      <c r="W190">
        <v>535</v>
      </c>
      <c r="X190" t="s">
        <v>2439</v>
      </c>
      <c r="Y190">
        <v>3530</v>
      </c>
      <c r="Z190" t="s">
        <v>2439</v>
      </c>
      <c r="AA190" t="s">
        <v>3565</v>
      </c>
      <c r="AB190">
        <v>8</v>
      </c>
      <c r="AC190" t="s">
        <v>2420</v>
      </c>
      <c r="AD190" t="s">
        <v>2421</v>
      </c>
      <c r="AE190">
        <v>2</v>
      </c>
      <c r="AF190" t="s">
        <v>2422</v>
      </c>
      <c r="AG190" t="s">
        <v>2423</v>
      </c>
      <c r="AH190">
        <v>1</v>
      </c>
      <c r="AI190">
        <v>1</v>
      </c>
      <c r="AJ190">
        <v>0</v>
      </c>
      <c r="AK190">
        <v>1</v>
      </c>
    </row>
    <row r="191" spans="1:37" x14ac:dyDescent="0.25">
      <c r="A191">
        <v>2003</v>
      </c>
      <c r="B191">
        <v>15972</v>
      </c>
      <c r="C191" t="s">
        <v>2164</v>
      </c>
      <c r="D191" t="s">
        <v>3566</v>
      </c>
      <c r="E191" t="s">
        <v>3567</v>
      </c>
      <c r="H191" t="s">
        <v>85</v>
      </c>
      <c r="J191" t="s">
        <v>3568</v>
      </c>
      <c r="K191" t="s">
        <v>3569</v>
      </c>
      <c r="L191">
        <v>54.494500000000002</v>
      </c>
      <c r="M191">
        <v>-112.2671</v>
      </c>
      <c r="N191">
        <v>1983</v>
      </c>
      <c r="O191">
        <v>211113</v>
      </c>
      <c r="P191">
        <v>4</v>
      </c>
      <c r="Q191" t="s">
        <v>2398</v>
      </c>
      <c r="R191" t="s">
        <v>2399</v>
      </c>
      <c r="S191">
        <v>4812</v>
      </c>
      <c r="T191" t="s">
        <v>2724</v>
      </c>
      <c r="U191">
        <v>4812022</v>
      </c>
      <c r="V191" t="s">
        <v>3570</v>
      </c>
      <c r="X191" t="s">
        <v>2402</v>
      </c>
      <c r="Y191">
        <v>4880</v>
      </c>
      <c r="Z191" t="s">
        <v>2726</v>
      </c>
      <c r="AA191" t="s">
        <v>2727</v>
      </c>
      <c r="AB191">
        <v>9</v>
      </c>
      <c r="AC191" t="s">
        <v>2475</v>
      </c>
      <c r="AD191" t="s">
        <v>2476</v>
      </c>
      <c r="AE191">
        <v>6</v>
      </c>
      <c r="AF191" t="s">
        <v>2728</v>
      </c>
      <c r="AG191" t="s">
        <v>2729</v>
      </c>
      <c r="AH191">
        <v>0</v>
      </c>
      <c r="AI191">
        <v>0</v>
      </c>
      <c r="AJ191">
        <v>0</v>
      </c>
      <c r="AK191">
        <v>0</v>
      </c>
    </row>
    <row r="192" spans="1:37" x14ac:dyDescent="0.25">
      <c r="A192">
        <v>2006</v>
      </c>
      <c r="B192">
        <v>11409</v>
      </c>
      <c r="C192" t="s">
        <v>3571</v>
      </c>
      <c r="D192" t="s">
        <v>3572</v>
      </c>
      <c r="E192" t="s">
        <v>3573</v>
      </c>
      <c r="G192" t="s">
        <v>3574</v>
      </c>
      <c r="H192" t="s">
        <v>21</v>
      </c>
      <c r="K192" t="s">
        <v>3575</v>
      </c>
      <c r="L192">
        <v>44.5</v>
      </c>
      <c r="M192">
        <v>-76.2</v>
      </c>
      <c r="N192">
        <v>1983</v>
      </c>
      <c r="O192">
        <v>212323</v>
      </c>
      <c r="P192">
        <v>8</v>
      </c>
      <c r="Q192" t="s">
        <v>2862</v>
      </c>
      <c r="R192" t="s">
        <v>2863</v>
      </c>
      <c r="S192">
        <v>3507</v>
      </c>
      <c r="T192" t="s">
        <v>2937</v>
      </c>
      <c r="U192">
        <v>3507021</v>
      </c>
      <c r="V192" t="s">
        <v>3576</v>
      </c>
      <c r="X192" t="s">
        <v>2402</v>
      </c>
      <c r="Y192">
        <v>3510</v>
      </c>
      <c r="Z192" t="s">
        <v>2939</v>
      </c>
      <c r="AA192" t="s">
        <v>3577</v>
      </c>
      <c r="AB192">
        <v>8</v>
      </c>
      <c r="AC192" t="s">
        <v>2420</v>
      </c>
      <c r="AD192" t="s">
        <v>2421</v>
      </c>
      <c r="AE192">
        <v>2</v>
      </c>
      <c r="AF192" t="s">
        <v>2422</v>
      </c>
      <c r="AG192" t="s">
        <v>2423</v>
      </c>
      <c r="AH192">
        <v>1</v>
      </c>
      <c r="AI192">
        <v>1</v>
      </c>
      <c r="AJ192">
        <v>0</v>
      </c>
      <c r="AK192">
        <v>1</v>
      </c>
    </row>
    <row r="193" spans="1:37" x14ac:dyDescent="0.25">
      <c r="A193">
        <v>2023</v>
      </c>
      <c r="B193">
        <v>6154</v>
      </c>
      <c r="C193" t="s">
        <v>227</v>
      </c>
      <c r="D193" t="s">
        <v>3578</v>
      </c>
      <c r="E193" t="s">
        <v>3579</v>
      </c>
      <c r="G193" t="s">
        <v>3580</v>
      </c>
      <c r="H193" t="s">
        <v>79</v>
      </c>
      <c r="I193" t="s">
        <v>3581</v>
      </c>
      <c r="K193" t="s">
        <v>3582</v>
      </c>
      <c r="L193">
        <v>48.825620000000001</v>
      </c>
      <c r="M193">
        <v>-64.447903999999994</v>
      </c>
      <c r="N193">
        <v>1983</v>
      </c>
      <c r="O193">
        <v>412110</v>
      </c>
      <c r="P193">
        <v>10</v>
      </c>
      <c r="Q193" t="s">
        <v>2770</v>
      </c>
      <c r="R193" t="s">
        <v>2771</v>
      </c>
      <c r="S193">
        <v>2403</v>
      </c>
      <c r="T193" t="s">
        <v>3583</v>
      </c>
      <c r="U193">
        <v>2403005</v>
      </c>
      <c r="V193" t="s">
        <v>3580</v>
      </c>
      <c r="X193" t="s">
        <v>2402</v>
      </c>
      <c r="Y193">
        <v>2410</v>
      </c>
      <c r="Z193" t="s">
        <v>3584</v>
      </c>
      <c r="AA193" t="s">
        <v>3585</v>
      </c>
      <c r="AB193">
        <v>7</v>
      </c>
      <c r="AC193" t="s">
        <v>2996</v>
      </c>
      <c r="AD193" t="s">
        <v>2997</v>
      </c>
      <c r="AE193">
        <v>1</v>
      </c>
      <c r="AF193" t="s">
        <v>3479</v>
      </c>
      <c r="AG193" t="s">
        <v>3480</v>
      </c>
      <c r="AH193">
        <v>1</v>
      </c>
      <c r="AI193">
        <v>0</v>
      </c>
      <c r="AJ193">
        <v>0</v>
      </c>
      <c r="AK193">
        <v>0</v>
      </c>
    </row>
    <row r="194" spans="1:37" x14ac:dyDescent="0.25">
      <c r="A194">
        <v>1994</v>
      </c>
      <c r="B194">
        <v>4172</v>
      </c>
      <c r="C194" t="s">
        <v>3586</v>
      </c>
      <c r="E194" t="s">
        <v>3587</v>
      </c>
      <c r="G194" t="s">
        <v>1241</v>
      </c>
      <c r="H194" t="s">
        <v>21</v>
      </c>
      <c r="I194" t="s">
        <v>3588</v>
      </c>
      <c r="K194" t="s">
        <v>3589</v>
      </c>
      <c r="L194">
        <v>43.695700000000002</v>
      </c>
      <c r="M194">
        <v>-79.659199999999998</v>
      </c>
      <c r="N194">
        <v>1983</v>
      </c>
      <c r="O194">
        <v>332810</v>
      </c>
      <c r="P194">
        <v>11</v>
      </c>
      <c r="Q194" t="s">
        <v>2532</v>
      </c>
      <c r="R194" t="s">
        <v>2533</v>
      </c>
      <c r="S194">
        <v>3521</v>
      </c>
      <c r="T194" t="s">
        <v>2438</v>
      </c>
      <c r="U194">
        <v>3521005</v>
      </c>
      <c r="V194" t="s">
        <v>1346</v>
      </c>
      <c r="W194">
        <v>535</v>
      </c>
      <c r="X194" t="s">
        <v>2439</v>
      </c>
      <c r="Y194">
        <v>3530</v>
      </c>
      <c r="Z194" t="s">
        <v>2439</v>
      </c>
      <c r="AA194" t="s">
        <v>3305</v>
      </c>
      <c r="AB194">
        <v>8</v>
      </c>
      <c r="AC194" t="s">
        <v>2420</v>
      </c>
      <c r="AD194" t="s">
        <v>2421</v>
      </c>
      <c r="AE194">
        <v>2</v>
      </c>
      <c r="AF194" t="s">
        <v>2422</v>
      </c>
      <c r="AG194" t="s">
        <v>2423</v>
      </c>
      <c r="AH194">
        <v>1</v>
      </c>
      <c r="AI194">
        <v>1</v>
      </c>
      <c r="AJ194">
        <v>0</v>
      </c>
      <c r="AK194">
        <v>1</v>
      </c>
    </row>
    <row r="195" spans="1:37" x14ac:dyDescent="0.25">
      <c r="A195">
        <v>2023</v>
      </c>
      <c r="B195">
        <v>6039</v>
      </c>
      <c r="C195" t="s">
        <v>3590</v>
      </c>
      <c r="D195" t="s">
        <v>3591</v>
      </c>
      <c r="E195" t="s">
        <v>3592</v>
      </c>
      <c r="G195" t="s">
        <v>3593</v>
      </c>
      <c r="H195" t="s">
        <v>661</v>
      </c>
      <c r="I195" t="s">
        <v>3594</v>
      </c>
      <c r="K195" t="s">
        <v>3595</v>
      </c>
      <c r="L195">
        <v>47.246980000000001</v>
      </c>
      <c r="M195">
        <v>-68.620339999999999</v>
      </c>
      <c r="N195">
        <v>1983</v>
      </c>
      <c r="O195">
        <v>321111</v>
      </c>
      <c r="P195">
        <v>18</v>
      </c>
      <c r="Q195" t="s">
        <v>2459</v>
      </c>
      <c r="R195" t="s">
        <v>2460</v>
      </c>
      <c r="S195">
        <v>1313</v>
      </c>
      <c r="T195" t="s">
        <v>3596</v>
      </c>
      <c r="U195">
        <v>1313039</v>
      </c>
      <c r="V195" t="s">
        <v>3593</v>
      </c>
      <c r="X195" t="s">
        <v>2402</v>
      </c>
      <c r="Y195">
        <v>1350</v>
      </c>
      <c r="Z195" t="s">
        <v>3597</v>
      </c>
      <c r="AA195" t="s">
        <v>3598</v>
      </c>
      <c r="AB195">
        <v>7</v>
      </c>
      <c r="AC195" t="s">
        <v>2996</v>
      </c>
      <c r="AD195" t="s">
        <v>2997</v>
      </c>
      <c r="AE195">
        <v>1</v>
      </c>
      <c r="AF195" t="s">
        <v>3479</v>
      </c>
      <c r="AG195" t="s">
        <v>3480</v>
      </c>
      <c r="AH195">
        <v>1</v>
      </c>
      <c r="AI195">
        <v>0</v>
      </c>
      <c r="AJ195">
        <v>0</v>
      </c>
      <c r="AK195">
        <v>0</v>
      </c>
    </row>
    <row r="196" spans="1:37" x14ac:dyDescent="0.25">
      <c r="A196">
        <v>2009</v>
      </c>
      <c r="B196">
        <v>22793</v>
      </c>
      <c r="C196" t="s">
        <v>2510</v>
      </c>
      <c r="D196" t="s">
        <v>3599</v>
      </c>
      <c r="E196" t="s">
        <v>3600</v>
      </c>
      <c r="H196" t="s">
        <v>85</v>
      </c>
      <c r="J196" t="s">
        <v>3600</v>
      </c>
      <c r="K196" t="s">
        <v>3601</v>
      </c>
      <c r="L196">
        <v>52.954300000000003</v>
      </c>
      <c r="M196">
        <v>-115.92659999999999</v>
      </c>
      <c r="N196">
        <v>1983</v>
      </c>
      <c r="O196">
        <v>211113</v>
      </c>
      <c r="P196">
        <v>4</v>
      </c>
      <c r="Q196" t="s">
        <v>2398</v>
      </c>
      <c r="R196" t="s">
        <v>2399</v>
      </c>
      <c r="S196">
        <v>4814</v>
      </c>
      <c r="T196" t="s">
        <v>3256</v>
      </c>
      <c r="U196">
        <v>4814003</v>
      </c>
      <c r="V196" t="s">
        <v>3257</v>
      </c>
      <c r="X196" t="s">
        <v>2402</v>
      </c>
      <c r="Y196">
        <v>4840</v>
      </c>
      <c r="Z196" t="s">
        <v>2633</v>
      </c>
      <c r="AA196" t="s">
        <v>2839</v>
      </c>
      <c r="AB196">
        <v>9</v>
      </c>
      <c r="AC196" t="s">
        <v>2475</v>
      </c>
      <c r="AD196" t="s">
        <v>2476</v>
      </c>
      <c r="AE196">
        <v>5</v>
      </c>
      <c r="AF196" t="s">
        <v>2407</v>
      </c>
      <c r="AG196" t="s">
        <v>2408</v>
      </c>
      <c r="AH196">
        <v>0</v>
      </c>
      <c r="AI196">
        <v>0</v>
      </c>
      <c r="AJ196">
        <v>0</v>
      </c>
      <c r="AK196">
        <v>0</v>
      </c>
    </row>
    <row r="197" spans="1:37" x14ac:dyDescent="0.25">
      <c r="A197">
        <v>2007</v>
      </c>
      <c r="B197">
        <v>21393</v>
      </c>
      <c r="C197" t="s">
        <v>3602</v>
      </c>
      <c r="D197" t="s">
        <v>3603</v>
      </c>
      <c r="E197" t="s">
        <v>3604</v>
      </c>
      <c r="G197" t="s">
        <v>3605</v>
      </c>
      <c r="H197" t="s">
        <v>85</v>
      </c>
      <c r="J197" t="s">
        <v>3606</v>
      </c>
      <c r="K197" t="s">
        <v>3607</v>
      </c>
      <c r="L197">
        <v>53.225189</v>
      </c>
      <c r="M197">
        <v>-114.98281900000001</v>
      </c>
      <c r="N197">
        <v>1983</v>
      </c>
      <c r="O197">
        <v>324121</v>
      </c>
      <c r="P197">
        <v>12</v>
      </c>
      <c r="Q197" t="s">
        <v>2704</v>
      </c>
      <c r="R197" t="s">
        <v>2705</v>
      </c>
      <c r="S197">
        <v>4811</v>
      </c>
      <c r="T197" t="s">
        <v>2643</v>
      </c>
      <c r="U197">
        <v>4811032</v>
      </c>
      <c r="V197" t="s">
        <v>2644</v>
      </c>
      <c r="X197" t="s">
        <v>2402</v>
      </c>
      <c r="Y197">
        <v>4860</v>
      </c>
      <c r="Z197" t="s">
        <v>2645</v>
      </c>
      <c r="AA197" t="s">
        <v>2646</v>
      </c>
      <c r="AB197">
        <v>9</v>
      </c>
      <c r="AC197" t="s">
        <v>2475</v>
      </c>
      <c r="AD197" t="s">
        <v>2476</v>
      </c>
      <c r="AE197">
        <v>5</v>
      </c>
      <c r="AF197" t="s">
        <v>2407</v>
      </c>
      <c r="AG197" t="s">
        <v>2408</v>
      </c>
      <c r="AH197">
        <v>0</v>
      </c>
      <c r="AI197">
        <v>0</v>
      </c>
      <c r="AJ197">
        <v>0</v>
      </c>
      <c r="AK197">
        <v>0</v>
      </c>
    </row>
    <row r="198" spans="1:37" x14ac:dyDescent="0.25">
      <c r="A198">
        <v>2023</v>
      </c>
      <c r="B198">
        <v>6872</v>
      </c>
      <c r="C198" t="s">
        <v>3608</v>
      </c>
      <c r="D198" t="s">
        <v>3609</v>
      </c>
      <c r="H198" t="s">
        <v>85</v>
      </c>
      <c r="I198" t="s">
        <v>3610</v>
      </c>
      <c r="J198" t="s">
        <v>3611</v>
      </c>
      <c r="K198" t="s">
        <v>3612</v>
      </c>
      <c r="L198">
        <v>50.6768</v>
      </c>
      <c r="M198">
        <v>-110.018</v>
      </c>
      <c r="N198">
        <v>1983</v>
      </c>
      <c r="O198">
        <v>486210</v>
      </c>
      <c r="P198">
        <v>10</v>
      </c>
      <c r="Q198" t="s">
        <v>2770</v>
      </c>
      <c r="R198" t="s">
        <v>2771</v>
      </c>
      <c r="S198">
        <v>4801</v>
      </c>
      <c r="T198" t="s">
        <v>2523</v>
      </c>
      <c r="U198">
        <v>4801003</v>
      </c>
      <c r="V198" t="s">
        <v>3066</v>
      </c>
      <c r="W198">
        <v>805</v>
      </c>
      <c r="X198" t="s">
        <v>2688</v>
      </c>
      <c r="Y198">
        <v>4810</v>
      </c>
      <c r="Z198" t="s">
        <v>2603</v>
      </c>
      <c r="AA198" t="s">
        <v>2692</v>
      </c>
      <c r="AB198">
        <v>10</v>
      </c>
      <c r="AC198" t="s">
        <v>2405</v>
      </c>
      <c r="AD198" t="s">
        <v>2406</v>
      </c>
      <c r="AE198">
        <v>5</v>
      </c>
      <c r="AF198" t="s">
        <v>2407</v>
      </c>
      <c r="AG198" t="s">
        <v>2408</v>
      </c>
      <c r="AH198">
        <v>0</v>
      </c>
      <c r="AI198">
        <v>0</v>
      </c>
      <c r="AJ198">
        <v>0</v>
      </c>
      <c r="AK198">
        <v>0</v>
      </c>
    </row>
    <row r="199" spans="1:37" x14ac:dyDescent="0.25">
      <c r="A199">
        <v>2003</v>
      </c>
      <c r="B199">
        <v>15993</v>
      </c>
      <c r="C199" t="s">
        <v>2164</v>
      </c>
      <c r="D199" t="s">
        <v>3613</v>
      </c>
      <c r="E199" t="s">
        <v>3614</v>
      </c>
      <c r="H199" t="s">
        <v>85</v>
      </c>
      <c r="J199" t="s">
        <v>3615</v>
      </c>
      <c r="K199" t="s">
        <v>3616</v>
      </c>
      <c r="L199">
        <v>56.098700000000001</v>
      </c>
      <c r="M199">
        <v>-113.3503</v>
      </c>
      <c r="N199">
        <v>1983</v>
      </c>
      <c r="O199">
        <v>211113</v>
      </c>
      <c r="P199">
        <v>4</v>
      </c>
      <c r="Q199" t="s">
        <v>2398</v>
      </c>
      <c r="R199" t="s">
        <v>2399</v>
      </c>
      <c r="S199">
        <v>4817</v>
      </c>
      <c r="T199" t="s">
        <v>2471</v>
      </c>
      <c r="U199">
        <v>4817031</v>
      </c>
      <c r="V199" t="s">
        <v>2718</v>
      </c>
      <c r="X199" t="s">
        <v>2402</v>
      </c>
      <c r="Y199">
        <v>4870</v>
      </c>
      <c r="Z199" t="s">
        <v>2473</v>
      </c>
      <c r="AA199" t="s">
        <v>2719</v>
      </c>
      <c r="AB199">
        <v>9</v>
      </c>
      <c r="AC199" t="s">
        <v>2475</v>
      </c>
      <c r="AD199" t="s">
        <v>2476</v>
      </c>
      <c r="AE199">
        <v>7</v>
      </c>
      <c r="AF199" t="s">
        <v>2477</v>
      </c>
      <c r="AG199" t="s">
        <v>2478</v>
      </c>
      <c r="AH199">
        <v>0</v>
      </c>
      <c r="AI199">
        <v>0</v>
      </c>
      <c r="AJ199">
        <v>0</v>
      </c>
      <c r="AK199">
        <v>0</v>
      </c>
    </row>
    <row r="200" spans="1:37" x14ac:dyDescent="0.25">
      <c r="A200">
        <v>2016</v>
      </c>
      <c r="B200">
        <v>25112</v>
      </c>
      <c r="C200" t="s">
        <v>3617</v>
      </c>
      <c r="D200" t="s">
        <v>3618</v>
      </c>
      <c r="G200" t="s">
        <v>3619</v>
      </c>
      <c r="H200" t="s">
        <v>85</v>
      </c>
      <c r="J200" t="s">
        <v>3620</v>
      </c>
      <c r="K200" t="s">
        <v>3621</v>
      </c>
      <c r="L200">
        <v>53.137819999999998</v>
      </c>
      <c r="M200">
        <v>-110.54469</v>
      </c>
      <c r="N200">
        <v>1983</v>
      </c>
      <c r="O200">
        <v>211113</v>
      </c>
      <c r="P200">
        <v>4</v>
      </c>
      <c r="Q200" t="s">
        <v>2398</v>
      </c>
      <c r="R200" t="s">
        <v>2399</v>
      </c>
      <c r="S200">
        <v>4810</v>
      </c>
      <c r="T200" t="s">
        <v>2554</v>
      </c>
      <c r="U200">
        <v>4810036</v>
      </c>
      <c r="V200" t="s">
        <v>2571</v>
      </c>
      <c r="X200" t="s">
        <v>2402</v>
      </c>
      <c r="Y200">
        <v>4820</v>
      </c>
      <c r="Z200" t="s">
        <v>2508</v>
      </c>
      <c r="AA200" t="s">
        <v>2572</v>
      </c>
      <c r="AB200">
        <v>10</v>
      </c>
      <c r="AC200" t="s">
        <v>2405</v>
      </c>
      <c r="AD200" t="s">
        <v>2406</v>
      </c>
      <c r="AE200">
        <v>5</v>
      </c>
      <c r="AF200" t="s">
        <v>2407</v>
      </c>
      <c r="AG200" t="s">
        <v>2408</v>
      </c>
      <c r="AH200">
        <v>0</v>
      </c>
      <c r="AI200">
        <v>0</v>
      </c>
      <c r="AJ200">
        <v>0</v>
      </c>
      <c r="AK200">
        <v>0</v>
      </c>
    </row>
    <row r="201" spans="1:37" x14ac:dyDescent="0.25">
      <c r="A201">
        <v>2023</v>
      </c>
      <c r="B201">
        <v>30792</v>
      </c>
      <c r="C201" t="s">
        <v>3622</v>
      </c>
      <c r="D201" t="s">
        <v>3623</v>
      </c>
      <c r="E201" t="s">
        <v>3624</v>
      </c>
      <c r="G201" t="s">
        <v>2645</v>
      </c>
      <c r="H201" t="s">
        <v>85</v>
      </c>
      <c r="I201" t="s">
        <v>3625</v>
      </c>
      <c r="J201" t="s">
        <v>3626</v>
      </c>
      <c r="K201" t="s">
        <v>3627</v>
      </c>
      <c r="L201">
        <v>53.582659</v>
      </c>
      <c r="M201">
        <v>-113.59522800000001</v>
      </c>
      <c r="N201">
        <v>1983</v>
      </c>
      <c r="O201">
        <v>325181</v>
      </c>
      <c r="P201">
        <v>3</v>
      </c>
      <c r="Q201" t="s">
        <v>2822</v>
      </c>
      <c r="R201" t="s">
        <v>2823</v>
      </c>
      <c r="S201">
        <v>4811</v>
      </c>
      <c r="T201" t="s">
        <v>2643</v>
      </c>
      <c r="U201">
        <v>4811061</v>
      </c>
      <c r="V201" t="s">
        <v>2645</v>
      </c>
      <c r="W201">
        <v>835</v>
      </c>
      <c r="X201" t="s">
        <v>2645</v>
      </c>
      <c r="Y201">
        <v>4860</v>
      </c>
      <c r="Z201" t="s">
        <v>2645</v>
      </c>
      <c r="AA201" t="s">
        <v>3628</v>
      </c>
      <c r="AB201">
        <v>10</v>
      </c>
      <c r="AC201" t="s">
        <v>2405</v>
      </c>
      <c r="AD201" t="s">
        <v>2406</v>
      </c>
      <c r="AE201">
        <v>5</v>
      </c>
      <c r="AF201" t="s">
        <v>2407</v>
      </c>
      <c r="AG201" t="s">
        <v>2408</v>
      </c>
      <c r="AH201">
        <v>0</v>
      </c>
      <c r="AI201">
        <v>0</v>
      </c>
      <c r="AJ201">
        <v>0</v>
      </c>
      <c r="AK201">
        <v>0</v>
      </c>
    </row>
    <row r="202" spans="1:37" x14ac:dyDescent="0.25">
      <c r="A202">
        <v>2020</v>
      </c>
      <c r="B202">
        <v>30444</v>
      </c>
      <c r="C202" t="s">
        <v>1592</v>
      </c>
      <c r="D202" t="s">
        <v>3629</v>
      </c>
      <c r="H202" t="s">
        <v>85</v>
      </c>
      <c r="J202" t="s">
        <v>3630</v>
      </c>
      <c r="K202" t="s">
        <v>3631</v>
      </c>
      <c r="L202">
        <v>53.325180000000003</v>
      </c>
      <c r="M202">
        <v>-115.61989</v>
      </c>
      <c r="N202">
        <v>1983</v>
      </c>
      <c r="O202">
        <v>211110</v>
      </c>
      <c r="P202">
        <v>4</v>
      </c>
      <c r="Q202" t="s">
        <v>2398</v>
      </c>
      <c r="R202" t="s">
        <v>2399</v>
      </c>
      <c r="S202">
        <v>4814</v>
      </c>
      <c r="T202" t="s">
        <v>3256</v>
      </c>
      <c r="U202">
        <v>4814003</v>
      </c>
      <c r="V202" t="s">
        <v>3257</v>
      </c>
      <c r="X202" t="s">
        <v>2402</v>
      </c>
      <c r="Y202">
        <v>4840</v>
      </c>
      <c r="Z202" t="s">
        <v>2633</v>
      </c>
      <c r="AA202" t="s">
        <v>2839</v>
      </c>
      <c r="AB202">
        <v>9</v>
      </c>
      <c r="AC202" t="s">
        <v>2475</v>
      </c>
      <c r="AD202" t="s">
        <v>2476</v>
      </c>
      <c r="AE202">
        <v>7</v>
      </c>
      <c r="AF202" t="s">
        <v>2477</v>
      </c>
      <c r="AG202" t="s">
        <v>2478</v>
      </c>
      <c r="AH202">
        <v>0</v>
      </c>
      <c r="AI202">
        <v>0</v>
      </c>
      <c r="AJ202">
        <v>0</v>
      </c>
      <c r="AK202">
        <v>0</v>
      </c>
    </row>
    <row r="203" spans="1:37" x14ac:dyDescent="0.25">
      <c r="A203">
        <v>2016</v>
      </c>
      <c r="B203">
        <v>26066</v>
      </c>
      <c r="C203" t="s">
        <v>2176</v>
      </c>
      <c r="D203" t="s">
        <v>3632</v>
      </c>
      <c r="G203" t="s">
        <v>3633</v>
      </c>
      <c r="H203" t="s">
        <v>85</v>
      </c>
      <c r="J203" t="s">
        <v>3634</v>
      </c>
      <c r="K203" t="s">
        <v>3635</v>
      </c>
      <c r="L203">
        <v>52.517679000000001</v>
      </c>
      <c r="M203">
        <v>-114.63424500000001</v>
      </c>
      <c r="N203">
        <v>1983</v>
      </c>
      <c r="O203">
        <v>211113</v>
      </c>
      <c r="P203">
        <v>4</v>
      </c>
      <c r="Q203" t="s">
        <v>2398</v>
      </c>
      <c r="R203" t="s">
        <v>2399</v>
      </c>
      <c r="S203">
        <v>4809</v>
      </c>
      <c r="T203" t="s">
        <v>2631</v>
      </c>
      <c r="U203">
        <v>4809002</v>
      </c>
      <c r="V203" t="s">
        <v>2632</v>
      </c>
      <c r="X203" t="s">
        <v>2402</v>
      </c>
      <c r="Y203">
        <v>4840</v>
      </c>
      <c r="Z203" t="s">
        <v>2633</v>
      </c>
      <c r="AA203" t="s">
        <v>2793</v>
      </c>
      <c r="AB203">
        <v>9</v>
      </c>
      <c r="AC203" t="s">
        <v>2475</v>
      </c>
      <c r="AD203" t="s">
        <v>2476</v>
      </c>
      <c r="AE203">
        <v>5</v>
      </c>
      <c r="AF203" t="s">
        <v>2407</v>
      </c>
      <c r="AG203" t="s">
        <v>2408</v>
      </c>
      <c r="AH203">
        <v>0</v>
      </c>
      <c r="AI203">
        <v>0</v>
      </c>
      <c r="AJ203">
        <v>0</v>
      </c>
      <c r="AK203">
        <v>0</v>
      </c>
    </row>
    <row r="204" spans="1:37" x14ac:dyDescent="0.25">
      <c r="A204">
        <v>2023</v>
      </c>
      <c r="B204">
        <v>29907</v>
      </c>
      <c r="C204" t="s">
        <v>3166</v>
      </c>
      <c r="D204" t="s">
        <v>3636</v>
      </c>
      <c r="G204" t="s">
        <v>3637</v>
      </c>
      <c r="H204" t="s">
        <v>85</v>
      </c>
      <c r="I204" t="s">
        <v>3638</v>
      </c>
      <c r="J204" t="s">
        <v>3639</v>
      </c>
      <c r="K204" t="s">
        <v>3640</v>
      </c>
      <c r="L204">
        <v>52.275723999999997</v>
      </c>
      <c r="M204">
        <v>-113.56124199999999</v>
      </c>
      <c r="N204">
        <v>1983</v>
      </c>
      <c r="O204">
        <v>211110</v>
      </c>
      <c r="P204">
        <v>4</v>
      </c>
      <c r="Q204" t="s">
        <v>2398</v>
      </c>
      <c r="R204" t="s">
        <v>2399</v>
      </c>
      <c r="S204">
        <v>4808</v>
      </c>
      <c r="T204" t="s">
        <v>2400</v>
      </c>
      <c r="U204">
        <v>4808022</v>
      </c>
      <c r="V204" t="s">
        <v>3641</v>
      </c>
      <c r="X204" t="s">
        <v>2402</v>
      </c>
      <c r="Y204">
        <v>4850</v>
      </c>
      <c r="Z204" t="s">
        <v>1340</v>
      </c>
      <c r="AA204" t="s">
        <v>3642</v>
      </c>
      <c r="AB204">
        <v>10</v>
      </c>
      <c r="AC204" t="s">
        <v>2405</v>
      </c>
      <c r="AD204" t="s">
        <v>2406</v>
      </c>
      <c r="AE204">
        <v>5</v>
      </c>
      <c r="AF204" t="s">
        <v>2407</v>
      </c>
      <c r="AG204" t="s">
        <v>2408</v>
      </c>
      <c r="AH204">
        <v>0</v>
      </c>
      <c r="AI204">
        <v>0</v>
      </c>
      <c r="AJ204">
        <v>0</v>
      </c>
      <c r="AK204">
        <v>0</v>
      </c>
    </row>
    <row r="205" spans="1:37" x14ac:dyDescent="0.25">
      <c r="A205">
        <v>2008</v>
      </c>
      <c r="B205">
        <v>4769</v>
      </c>
      <c r="C205" t="s">
        <v>3643</v>
      </c>
      <c r="D205" t="s">
        <v>3644</v>
      </c>
      <c r="E205" t="s">
        <v>3645</v>
      </c>
      <c r="G205" t="s">
        <v>1241</v>
      </c>
      <c r="H205" t="s">
        <v>21</v>
      </c>
      <c r="I205" t="s">
        <v>3646</v>
      </c>
      <c r="K205" t="s">
        <v>3647</v>
      </c>
      <c r="L205">
        <v>43.621099999999998</v>
      </c>
      <c r="M205">
        <v>-79.683899999999994</v>
      </c>
      <c r="N205">
        <v>1983</v>
      </c>
      <c r="O205">
        <v>312110</v>
      </c>
      <c r="P205">
        <v>11</v>
      </c>
      <c r="Q205" t="s">
        <v>2532</v>
      </c>
      <c r="R205" t="s">
        <v>2533</v>
      </c>
      <c r="S205">
        <v>3521</v>
      </c>
      <c r="T205" t="s">
        <v>2438</v>
      </c>
      <c r="U205">
        <v>3521005</v>
      </c>
      <c r="V205" t="s">
        <v>1346</v>
      </c>
      <c r="W205">
        <v>535</v>
      </c>
      <c r="X205" t="s">
        <v>2439</v>
      </c>
      <c r="Y205">
        <v>3530</v>
      </c>
      <c r="Z205" t="s">
        <v>2439</v>
      </c>
      <c r="AA205" t="s">
        <v>3648</v>
      </c>
      <c r="AB205">
        <v>8</v>
      </c>
      <c r="AC205" t="s">
        <v>2420</v>
      </c>
      <c r="AD205" t="s">
        <v>2421</v>
      </c>
      <c r="AE205">
        <v>2</v>
      </c>
      <c r="AF205" t="s">
        <v>2422</v>
      </c>
      <c r="AG205" t="s">
        <v>2423</v>
      </c>
      <c r="AH205">
        <v>1</v>
      </c>
      <c r="AI205">
        <v>1</v>
      </c>
      <c r="AJ205">
        <v>0</v>
      </c>
      <c r="AK205">
        <v>1</v>
      </c>
    </row>
    <row r="206" spans="1:37" x14ac:dyDescent="0.25">
      <c r="A206">
        <v>2016</v>
      </c>
      <c r="B206">
        <v>29442</v>
      </c>
      <c r="C206" t="s">
        <v>3649</v>
      </c>
      <c r="D206" t="s">
        <v>3650</v>
      </c>
      <c r="E206" t="s">
        <v>3651</v>
      </c>
      <c r="G206" t="s">
        <v>2659</v>
      </c>
      <c r="H206" t="s">
        <v>243</v>
      </c>
      <c r="I206" t="s">
        <v>3652</v>
      </c>
      <c r="J206" t="s">
        <v>3653</v>
      </c>
      <c r="K206" t="s">
        <v>3654</v>
      </c>
      <c r="L206">
        <v>52.054310000000001</v>
      </c>
      <c r="M206">
        <v>-109.87441</v>
      </c>
      <c r="N206">
        <v>1983</v>
      </c>
      <c r="O206">
        <v>211113</v>
      </c>
      <c r="P206">
        <v>4</v>
      </c>
      <c r="Q206" t="s">
        <v>2398</v>
      </c>
      <c r="R206" t="s">
        <v>2399</v>
      </c>
      <c r="S206">
        <v>4713</v>
      </c>
      <c r="T206" t="s">
        <v>2428</v>
      </c>
      <c r="U206">
        <v>4713046</v>
      </c>
      <c r="V206" t="s">
        <v>3655</v>
      </c>
      <c r="X206" t="s">
        <v>2402</v>
      </c>
      <c r="Y206">
        <v>4730</v>
      </c>
      <c r="Z206" t="s">
        <v>2430</v>
      </c>
      <c r="AA206" t="s">
        <v>2431</v>
      </c>
      <c r="AB206">
        <v>10</v>
      </c>
      <c r="AC206" t="s">
        <v>2405</v>
      </c>
      <c r="AD206" t="s">
        <v>2406</v>
      </c>
      <c r="AE206">
        <v>5</v>
      </c>
      <c r="AF206" t="s">
        <v>2407</v>
      </c>
      <c r="AG206" t="s">
        <v>2408</v>
      </c>
      <c r="AH206">
        <v>0</v>
      </c>
      <c r="AI206">
        <v>0</v>
      </c>
      <c r="AJ206">
        <v>0</v>
      </c>
      <c r="AK206">
        <v>0</v>
      </c>
    </row>
    <row r="207" spans="1:37" x14ac:dyDescent="0.25">
      <c r="A207">
        <v>2017</v>
      </c>
      <c r="B207">
        <v>26023</v>
      </c>
      <c r="C207" t="s">
        <v>3656</v>
      </c>
      <c r="D207" t="s">
        <v>3657</v>
      </c>
      <c r="G207" t="s">
        <v>3658</v>
      </c>
      <c r="H207" t="s">
        <v>85</v>
      </c>
      <c r="J207" t="s">
        <v>3659</v>
      </c>
      <c r="K207" t="s">
        <v>3660</v>
      </c>
      <c r="L207">
        <v>54.656027999999999</v>
      </c>
      <c r="M207">
        <v>-115.80017700000001</v>
      </c>
      <c r="N207">
        <v>1983</v>
      </c>
      <c r="O207">
        <v>211110</v>
      </c>
      <c r="P207">
        <v>4</v>
      </c>
      <c r="Q207" t="s">
        <v>2398</v>
      </c>
      <c r="R207" t="s">
        <v>2399</v>
      </c>
      <c r="S207">
        <v>4817</v>
      </c>
      <c r="T207" t="s">
        <v>2471</v>
      </c>
      <c r="U207">
        <v>4817027</v>
      </c>
      <c r="V207" t="s">
        <v>3251</v>
      </c>
      <c r="X207" t="s">
        <v>2402</v>
      </c>
      <c r="Y207">
        <v>4870</v>
      </c>
      <c r="Z207" t="s">
        <v>2473</v>
      </c>
      <c r="AA207" t="s">
        <v>2719</v>
      </c>
      <c r="AB207">
        <v>9</v>
      </c>
      <c r="AC207" t="s">
        <v>2475</v>
      </c>
      <c r="AD207" t="s">
        <v>2476</v>
      </c>
      <c r="AE207">
        <v>7</v>
      </c>
      <c r="AF207" t="s">
        <v>2477</v>
      </c>
      <c r="AG207" t="s">
        <v>2478</v>
      </c>
      <c r="AH207">
        <v>0</v>
      </c>
      <c r="AI207">
        <v>0</v>
      </c>
      <c r="AJ207">
        <v>0</v>
      </c>
      <c r="AK207">
        <v>0</v>
      </c>
    </row>
    <row r="208" spans="1:37" x14ac:dyDescent="0.25">
      <c r="A208">
        <v>2006</v>
      </c>
      <c r="B208">
        <v>19914</v>
      </c>
      <c r="C208" t="s">
        <v>3661</v>
      </c>
      <c r="D208" t="s">
        <v>3662</v>
      </c>
      <c r="E208" t="s">
        <v>3663</v>
      </c>
      <c r="G208" t="s">
        <v>3663</v>
      </c>
      <c r="H208" t="s">
        <v>85</v>
      </c>
      <c r="I208" t="s">
        <v>3664</v>
      </c>
      <c r="J208" t="s">
        <v>3665</v>
      </c>
      <c r="K208" t="s">
        <v>3666</v>
      </c>
      <c r="L208">
        <v>52.508600000000001</v>
      </c>
      <c r="M208">
        <v>-113.2526</v>
      </c>
      <c r="N208">
        <v>1983</v>
      </c>
      <c r="O208">
        <v>211113</v>
      </c>
      <c r="P208">
        <v>4</v>
      </c>
      <c r="Q208" t="s">
        <v>2398</v>
      </c>
      <c r="R208" t="s">
        <v>2399</v>
      </c>
      <c r="S208">
        <v>4808</v>
      </c>
      <c r="T208" t="s">
        <v>2400</v>
      </c>
      <c r="U208">
        <v>4808022</v>
      </c>
      <c r="V208" t="s">
        <v>3641</v>
      </c>
      <c r="X208" t="s">
        <v>2402</v>
      </c>
      <c r="Y208">
        <v>4850</v>
      </c>
      <c r="Z208" t="s">
        <v>1340</v>
      </c>
      <c r="AA208" t="s">
        <v>2572</v>
      </c>
      <c r="AB208">
        <v>10</v>
      </c>
      <c r="AC208" t="s">
        <v>2405</v>
      </c>
      <c r="AD208" t="s">
        <v>2406</v>
      </c>
      <c r="AE208">
        <v>5</v>
      </c>
      <c r="AF208" t="s">
        <v>2407</v>
      </c>
      <c r="AG208" t="s">
        <v>2408</v>
      </c>
      <c r="AH208">
        <v>0</v>
      </c>
      <c r="AI208">
        <v>0</v>
      </c>
      <c r="AJ208">
        <v>0</v>
      </c>
      <c r="AK208">
        <v>0</v>
      </c>
    </row>
    <row r="209" spans="1:37" x14ac:dyDescent="0.25">
      <c r="A209">
        <v>2009</v>
      </c>
      <c r="B209">
        <v>1119</v>
      </c>
      <c r="C209" t="s">
        <v>3667</v>
      </c>
      <c r="D209" t="s">
        <v>3668</v>
      </c>
      <c r="E209" t="s">
        <v>3669</v>
      </c>
      <c r="G209" t="s">
        <v>3670</v>
      </c>
      <c r="H209" t="s">
        <v>85</v>
      </c>
      <c r="I209" t="s">
        <v>3671</v>
      </c>
      <c r="J209" t="s">
        <v>3672</v>
      </c>
      <c r="K209" t="s">
        <v>3673</v>
      </c>
      <c r="L209">
        <v>51.783299999999997</v>
      </c>
      <c r="M209">
        <v>-114.1</v>
      </c>
      <c r="N209">
        <v>1983</v>
      </c>
      <c r="O209">
        <v>325410</v>
      </c>
      <c r="P209">
        <v>3</v>
      </c>
      <c r="Q209" t="s">
        <v>2822</v>
      </c>
      <c r="R209" t="s">
        <v>2823</v>
      </c>
      <c r="S209">
        <v>4806</v>
      </c>
      <c r="T209" t="s">
        <v>2663</v>
      </c>
      <c r="U209">
        <v>4806034</v>
      </c>
      <c r="V209" t="s">
        <v>3674</v>
      </c>
      <c r="X209" t="s">
        <v>2402</v>
      </c>
      <c r="Y209">
        <v>4830</v>
      </c>
      <c r="Z209" t="s">
        <v>2664</v>
      </c>
      <c r="AA209" t="s">
        <v>3675</v>
      </c>
      <c r="AB209">
        <v>10</v>
      </c>
      <c r="AC209" t="s">
        <v>2405</v>
      </c>
      <c r="AD209" t="s">
        <v>2406</v>
      </c>
      <c r="AE209">
        <v>5</v>
      </c>
      <c r="AF209" t="s">
        <v>2407</v>
      </c>
      <c r="AG209" t="s">
        <v>2408</v>
      </c>
      <c r="AH209">
        <v>0</v>
      </c>
      <c r="AI209">
        <v>0</v>
      </c>
      <c r="AJ209">
        <v>0</v>
      </c>
      <c r="AK209">
        <v>0</v>
      </c>
    </row>
    <row r="210" spans="1:37" x14ac:dyDescent="0.25">
      <c r="A210">
        <v>2016</v>
      </c>
      <c r="B210">
        <v>8545</v>
      </c>
      <c r="C210" t="s">
        <v>3676</v>
      </c>
      <c r="D210" t="s">
        <v>3677</v>
      </c>
      <c r="E210" t="s">
        <v>3678</v>
      </c>
      <c r="G210" t="s">
        <v>3679</v>
      </c>
      <c r="H210" t="s">
        <v>79</v>
      </c>
      <c r="I210" t="s">
        <v>3680</v>
      </c>
      <c r="K210" t="s">
        <v>3681</v>
      </c>
      <c r="L210">
        <v>45.466700000000003</v>
      </c>
      <c r="M210">
        <v>-73.708500000000001</v>
      </c>
      <c r="N210">
        <v>1983</v>
      </c>
      <c r="O210">
        <v>323119</v>
      </c>
      <c r="P210">
        <v>11</v>
      </c>
      <c r="Q210" t="s">
        <v>2532</v>
      </c>
      <c r="R210" t="s">
        <v>2533</v>
      </c>
      <c r="S210">
        <v>2466</v>
      </c>
      <c r="T210" t="s">
        <v>2450</v>
      </c>
      <c r="U210">
        <v>2466023</v>
      </c>
      <c r="V210" t="s">
        <v>2450</v>
      </c>
      <c r="W210">
        <v>462</v>
      </c>
      <c r="X210" t="s">
        <v>2450</v>
      </c>
      <c r="Y210">
        <v>2440</v>
      </c>
      <c r="Z210" t="s">
        <v>2450</v>
      </c>
      <c r="AA210" t="s">
        <v>3682</v>
      </c>
      <c r="AB210">
        <v>8</v>
      </c>
      <c r="AC210" t="s">
        <v>2420</v>
      </c>
      <c r="AD210" t="s">
        <v>2421</v>
      </c>
      <c r="AE210">
        <v>2</v>
      </c>
      <c r="AF210" t="s">
        <v>2422</v>
      </c>
      <c r="AG210" t="s">
        <v>2423</v>
      </c>
      <c r="AH210">
        <v>1</v>
      </c>
      <c r="AI210">
        <v>0</v>
      </c>
      <c r="AJ210">
        <v>1</v>
      </c>
      <c r="AK210">
        <v>1</v>
      </c>
    </row>
    <row r="211" spans="1:37" x14ac:dyDescent="0.25">
      <c r="A211">
        <v>2017</v>
      </c>
      <c r="B211">
        <v>15570</v>
      </c>
      <c r="C211" t="s">
        <v>1027</v>
      </c>
      <c r="D211" t="s">
        <v>3683</v>
      </c>
      <c r="H211" t="s">
        <v>85</v>
      </c>
      <c r="J211" t="s">
        <v>3684</v>
      </c>
      <c r="K211" t="s">
        <v>3685</v>
      </c>
      <c r="L211">
        <v>57.1937</v>
      </c>
      <c r="M211">
        <v>-118.19970000000001</v>
      </c>
      <c r="N211">
        <v>1983</v>
      </c>
      <c r="O211">
        <v>211110</v>
      </c>
      <c r="P211">
        <v>4</v>
      </c>
      <c r="Q211" t="s">
        <v>2398</v>
      </c>
      <c r="R211" t="s">
        <v>2399</v>
      </c>
      <c r="S211">
        <v>4817</v>
      </c>
      <c r="T211" t="s">
        <v>2471</v>
      </c>
      <c r="U211">
        <v>4817062</v>
      </c>
      <c r="V211" t="s">
        <v>3686</v>
      </c>
      <c r="X211" t="s">
        <v>2402</v>
      </c>
      <c r="Y211">
        <v>4870</v>
      </c>
      <c r="Z211" t="s">
        <v>2473</v>
      </c>
      <c r="AA211" t="s">
        <v>2474</v>
      </c>
      <c r="AB211">
        <v>9</v>
      </c>
      <c r="AC211" t="s">
        <v>2475</v>
      </c>
      <c r="AD211" t="s">
        <v>2476</v>
      </c>
      <c r="AE211">
        <v>7</v>
      </c>
      <c r="AF211" t="s">
        <v>2477</v>
      </c>
      <c r="AG211" t="s">
        <v>2478</v>
      </c>
      <c r="AH211">
        <v>0</v>
      </c>
      <c r="AI211">
        <v>0</v>
      </c>
      <c r="AJ211">
        <v>0</v>
      </c>
      <c r="AK211">
        <v>0</v>
      </c>
    </row>
    <row r="212" spans="1:37" x14ac:dyDescent="0.25">
      <c r="A212">
        <v>2004</v>
      </c>
      <c r="B212">
        <v>18762</v>
      </c>
      <c r="C212" t="s">
        <v>3687</v>
      </c>
      <c r="D212" t="s">
        <v>3688</v>
      </c>
      <c r="E212" t="s">
        <v>3689</v>
      </c>
      <c r="H212" t="s">
        <v>85</v>
      </c>
      <c r="J212" t="s">
        <v>3690</v>
      </c>
      <c r="K212" t="s">
        <v>3691</v>
      </c>
      <c r="L212">
        <v>51.649799999999999</v>
      </c>
      <c r="M212">
        <v>-110.5305</v>
      </c>
      <c r="N212">
        <v>1983</v>
      </c>
      <c r="O212">
        <v>211113</v>
      </c>
      <c r="P212">
        <v>4</v>
      </c>
      <c r="Q212" t="s">
        <v>2398</v>
      </c>
      <c r="R212" t="s">
        <v>2399</v>
      </c>
      <c r="S212">
        <v>4804</v>
      </c>
      <c r="T212" t="s">
        <v>2506</v>
      </c>
      <c r="U212">
        <v>4804012</v>
      </c>
      <c r="V212" t="s">
        <v>3262</v>
      </c>
      <c r="X212" t="s">
        <v>2402</v>
      </c>
      <c r="Y212">
        <v>4820</v>
      </c>
      <c r="Z212" t="s">
        <v>2508</v>
      </c>
      <c r="AA212" t="s">
        <v>2671</v>
      </c>
      <c r="AB212">
        <v>10</v>
      </c>
      <c r="AC212" t="s">
        <v>2405</v>
      </c>
      <c r="AD212" t="s">
        <v>2406</v>
      </c>
      <c r="AE212">
        <v>5</v>
      </c>
      <c r="AF212" t="s">
        <v>2407</v>
      </c>
      <c r="AG212" t="s">
        <v>2408</v>
      </c>
      <c r="AH212">
        <v>0</v>
      </c>
      <c r="AI212">
        <v>0</v>
      </c>
      <c r="AJ212">
        <v>0</v>
      </c>
      <c r="AK212">
        <v>0</v>
      </c>
    </row>
    <row r="213" spans="1:37" x14ac:dyDescent="0.25">
      <c r="A213">
        <v>2017</v>
      </c>
      <c r="B213">
        <v>16093</v>
      </c>
      <c r="C213" t="s">
        <v>1027</v>
      </c>
      <c r="D213" t="s">
        <v>3692</v>
      </c>
      <c r="H213" t="s">
        <v>243</v>
      </c>
      <c r="J213" t="s">
        <v>3693</v>
      </c>
      <c r="K213" t="s">
        <v>3694</v>
      </c>
      <c r="L213">
        <v>53.3934</v>
      </c>
      <c r="M213">
        <v>-109.55370000000001</v>
      </c>
      <c r="N213">
        <v>1983</v>
      </c>
      <c r="O213">
        <v>211110</v>
      </c>
      <c r="P213">
        <v>4</v>
      </c>
      <c r="Q213" t="s">
        <v>2398</v>
      </c>
      <c r="R213" t="s">
        <v>2399</v>
      </c>
      <c r="S213">
        <v>4717</v>
      </c>
      <c r="T213" t="s">
        <v>2471</v>
      </c>
      <c r="U213">
        <v>4717028</v>
      </c>
      <c r="V213" t="s">
        <v>3002</v>
      </c>
      <c r="X213" t="s">
        <v>2402</v>
      </c>
      <c r="Y213">
        <v>4750</v>
      </c>
      <c r="Z213" t="s">
        <v>3003</v>
      </c>
      <c r="AA213" t="s">
        <v>3004</v>
      </c>
      <c r="AB213">
        <v>10</v>
      </c>
      <c r="AC213" t="s">
        <v>2405</v>
      </c>
      <c r="AD213" t="s">
        <v>2406</v>
      </c>
      <c r="AE213">
        <v>5</v>
      </c>
      <c r="AF213" t="s">
        <v>2407</v>
      </c>
      <c r="AG213" t="s">
        <v>2408</v>
      </c>
      <c r="AH213">
        <v>0</v>
      </c>
      <c r="AI213">
        <v>0</v>
      </c>
      <c r="AJ213">
        <v>0</v>
      </c>
      <c r="AK213">
        <v>0</v>
      </c>
    </row>
    <row r="214" spans="1:37" x14ac:dyDescent="0.25">
      <c r="A214">
        <v>2023</v>
      </c>
      <c r="B214">
        <v>31667</v>
      </c>
      <c r="C214" t="s">
        <v>3695</v>
      </c>
      <c r="D214" t="s">
        <v>3696</v>
      </c>
      <c r="E214" t="s">
        <v>3697</v>
      </c>
      <c r="G214" t="s">
        <v>2664</v>
      </c>
      <c r="H214" t="s">
        <v>85</v>
      </c>
      <c r="I214" t="s">
        <v>3698</v>
      </c>
      <c r="J214" t="s">
        <v>3699</v>
      </c>
      <c r="K214" t="s">
        <v>3700</v>
      </c>
      <c r="L214">
        <v>52.64134</v>
      </c>
      <c r="M214">
        <v>-115.15589</v>
      </c>
      <c r="N214">
        <v>1983</v>
      </c>
      <c r="O214">
        <v>211110</v>
      </c>
      <c r="P214">
        <v>4</v>
      </c>
      <c r="Q214" t="s">
        <v>2398</v>
      </c>
      <c r="R214" t="s">
        <v>2399</v>
      </c>
      <c r="S214">
        <v>4809</v>
      </c>
      <c r="T214" t="s">
        <v>2631</v>
      </c>
      <c r="U214">
        <v>4809002</v>
      </c>
      <c r="V214" t="s">
        <v>2632</v>
      </c>
      <c r="X214" t="s">
        <v>2402</v>
      </c>
      <c r="Y214">
        <v>4840</v>
      </c>
      <c r="Z214" t="s">
        <v>2633</v>
      </c>
      <c r="AA214" t="s">
        <v>2634</v>
      </c>
      <c r="AB214">
        <v>9</v>
      </c>
      <c r="AC214" t="s">
        <v>2475</v>
      </c>
      <c r="AD214" t="s">
        <v>2476</v>
      </c>
      <c r="AE214">
        <v>5</v>
      </c>
      <c r="AF214" t="s">
        <v>2407</v>
      </c>
      <c r="AG214" t="s">
        <v>2408</v>
      </c>
      <c r="AH214">
        <v>0</v>
      </c>
      <c r="AI214">
        <v>0</v>
      </c>
      <c r="AJ214">
        <v>0</v>
      </c>
      <c r="AK214">
        <v>0</v>
      </c>
    </row>
    <row r="215" spans="1:37" x14ac:dyDescent="0.25">
      <c r="A215">
        <v>2023</v>
      </c>
      <c r="B215">
        <v>28792</v>
      </c>
      <c r="C215" t="s">
        <v>3701</v>
      </c>
      <c r="D215" t="s">
        <v>3702</v>
      </c>
      <c r="G215" t="s">
        <v>2700</v>
      </c>
      <c r="H215" t="s">
        <v>85</v>
      </c>
      <c r="J215" t="s">
        <v>3703</v>
      </c>
      <c r="K215" t="s">
        <v>3704</v>
      </c>
      <c r="L215">
        <v>54.221198999999999</v>
      </c>
      <c r="M215">
        <v>-116.668317</v>
      </c>
      <c r="N215">
        <v>1983</v>
      </c>
      <c r="O215">
        <v>211110</v>
      </c>
      <c r="P215">
        <v>4</v>
      </c>
      <c r="Q215" t="s">
        <v>2398</v>
      </c>
      <c r="R215" t="s">
        <v>2399</v>
      </c>
      <c r="S215">
        <v>4818</v>
      </c>
      <c r="T215" t="s">
        <v>2545</v>
      </c>
      <c r="U215">
        <v>4818015</v>
      </c>
      <c r="V215" t="s">
        <v>2546</v>
      </c>
      <c r="X215" t="s">
        <v>2402</v>
      </c>
      <c r="Y215">
        <v>4870</v>
      </c>
      <c r="Z215" t="s">
        <v>2473</v>
      </c>
      <c r="AA215" t="s">
        <v>2474</v>
      </c>
      <c r="AB215">
        <v>9</v>
      </c>
      <c r="AC215" t="s">
        <v>2475</v>
      </c>
      <c r="AD215" t="s">
        <v>2476</v>
      </c>
      <c r="AE215">
        <v>7</v>
      </c>
      <c r="AF215" t="s">
        <v>2477</v>
      </c>
      <c r="AG215" t="s">
        <v>2478</v>
      </c>
      <c r="AH215">
        <v>0</v>
      </c>
      <c r="AI215">
        <v>0</v>
      </c>
      <c r="AJ215">
        <v>0</v>
      </c>
      <c r="AK215">
        <v>0</v>
      </c>
    </row>
    <row r="216" spans="1:37" x14ac:dyDescent="0.25">
      <c r="A216">
        <v>2015</v>
      </c>
      <c r="B216">
        <v>21517</v>
      </c>
      <c r="C216" t="s">
        <v>3705</v>
      </c>
      <c r="D216" t="s">
        <v>3706</v>
      </c>
      <c r="H216" t="s">
        <v>243</v>
      </c>
      <c r="J216" t="s">
        <v>3707</v>
      </c>
      <c r="K216" t="s">
        <v>3708</v>
      </c>
      <c r="L216">
        <v>50.744999999999997</v>
      </c>
      <c r="M216">
        <v>-108.4545</v>
      </c>
      <c r="N216">
        <v>1983</v>
      </c>
      <c r="O216">
        <v>211113</v>
      </c>
      <c r="P216">
        <v>4</v>
      </c>
      <c r="Q216" t="s">
        <v>2398</v>
      </c>
      <c r="R216" t="s">
        <v>2399</v>
      </c>
      <c r="S216">
        <v>4708</v>
      </c>
      <c r="T216" t="s">
        <v>2400</v>
      </c>
      <c r="U216">
        <v>4708031</v>
      </c>
      <c r="V216" t="s">
        <v>3709</v>
      </c>
      <c r="X216" t="s">
        <v>2402</v>
      </c>
      <c r="Y216">
        <v>4720</v>
      </c>
      <c r="Z216" t="s">
        <v>2403</v>
      </c>
      <c r="AA216" t="s">
        <v>2404</v>
      </c>
      <c r="AB216">
        <v>10</v>
      </c>
      <c r="AC216" t="s">
        <v>2405</v>
      </c>
      <c r="AD216" t="s">
        <v>2406</v>
      </c>
      <c r="AE216">
        <v>5</v>
      </c>
      <c r="AF216" t="s">
        <v>2407</v>
      </c>
      <c r="AG216" t="s">
        <v>2408</v>
      </c>
      <c r="AH216">
        <v>0</v>
      </c>
      <c r="AI216">
        <v>0</v>
      </c>
      <c r="AJ216">
        <v>0</v>
      </c>
      <c r="AK216">
        <v>0</v>
      </c>
    </row>
    <row r="217" spans="1:37" x14ac:dyDescent="0.25">
      <c r="A217">
        <v>2023</v>
      </c>
      <c r="B217">
        <v>31682</v>
      </c>
      <c r="C217" t="s">
        <v>1718</v>
      </c>
      <c r="D217" t="s">
        <v>3710</v>
      </c>
      <c r="H217" t="s">
        <v>85</v>
      </c>
      <c r="I217" t="s">
        <v>2568</v>
      </c>
      <c r="J217" t="s">
        <v>3711</v>
      </c>
      <c r="K217" t="s">
        <v>3712</v>
      </c>
      <c r="L217">
        <v>53.4435</v>
      </c>
      <c r="M217">
        <v>-110.91891</v>
      </c>
      <c r="N217">
        <v>1983</v>
      </c>
      <c r="O217">
        <v>211110</v>
      </c>
      <c r="P217">
        <v>4</v>
      </c>
      <c r="Q217" t="s">
        <v>2398</v>
      </c>
      <c r="R217" t="s">
        <v>2399</v>
      </c>
      <c r="S217">
        <v>4810</v>
      </c>
      <c r="T217" t="s">
        <v>2554</v>
      </c>
      <c r="U217">
        <v>4810036</v>
      </c>
      <c r="V217" t="s">
        <v>2571</v>
      </c>
      <c r="X217" t="s">
        <v>2402</v>
      </c>
      <c r="Y217">
        <v>4820</v>
      </c>
      <c r="Z217" t="s">
        <v>2508</v>
      </c>
      <c r="AA217" t="s">
        <v>3713</v>
      </c>
      <c r="AB217">
        <v>10</v>
      </c>
      <c r="AC217" t="s">
        <v>2405</v>
      </c>
      <c r="AD217" t="s">
        <v>2406</v>
      </c>
      <c r="AE217">
        <v>5</v>
      </c>
      <c r="AF217" t="s">
        <v>2407</v>
      </c>
      <c r="AG217" t="s">
        <v>2408</v>
      </c>
      <c r="AH217">
        <v>0</v>
      </c>
      <c r="AI217">
        <v>0</v>
      </c>
      <c r="AJ217">
        <v>0</v>
      </c>
      <c r="AK217">
        <v>0</v>
      </c>
    </row>
    <row r="218" spans="1:37" x14ac:dyDescent="0.25">
      <c r="A218">
        <v>2008</v>
      </c>
      <c r="B218">
        <v>10038</v>
      </c>
      <c r="C218" t="s">
        <v>3714</v>
      </c>
      <c r="D218" t="s">
        <v>3715</v>
      </c>
      <c r="E218" t="s">
        <v>3716</v>
      </c>
      <c r="G218" t="s">
        <v>3717</v>
      </c>
      <c r="H218" t="s">
        <v>21</v>
      </c>
      <c r="I218" t="s">
        <v>3718</v>
      </c>
      <c r="K218" t="s">
        <v>3719</v>
      </c>
      <c r="L218">
        <v>44.286999000000002</v>
      </c>
      <c r="M218">
        <v>-76.629097000000002</v>
      </c>
      <c r="N218">
        <v>1983</v>
      </c>
      <c r="O218">
        <v>324121</v>
      </c>
      <c r="P218">
        <v>12</v>
      </c>
      <c r="Q218" t="s">
        <v>2704</v>
      </c>
      <c r="R218" t="s">
        <v>2705</v>
      </c>
      <c r="S218">
        <v>3510</v>
      </c>
      <c r="T218" t="s">
        <v>3720</v>
      </c>
      <c r="U218">
        <v>3510010</v>
      </c>
      <c r="V218" t="s">
        <v>3721</v>
      </c>
      <c r="W218">
        <v>521</v>
      </c>
      <c r="X218" t="s">
        <v>3721</v>
      </c>
      <c r="Y218">
        <v>3515</v>
      </c>
      <c r="Z218" t="s">
        <v>3544</v>
      </c>
      <c r="AA218" t="s">
        <v>3722</v>
      </c>
      <c r="AB218">
        <v>8</v>
      </c>
      <c r="AC218" t="s">
        <v>2420</v>
      </c>
      <c r="AD218" t="s">
        <v>2421</v>
      </c>
      <c r="AE218">
        <v>2</v>
      </c>
      <c r="AF218" t="s">
        <v>2422</v>
      </c>
      <c r="AG218" t="s">
        <v>2423</v>
      </c>
      <c r="AH218">
        <v>1</v>
      </c>
      <c r="AI218">
        <v>1</v>
      </c>
      <c r="AJ218">
        <v>0</v>
      </c>
      <c r="AK218">
        <v>1</v>
      </c>
    </row>
    <row r="219" spans="1:37" x14ac:dyDescent="0.25">
      <c r="A219">
        <v>2023</v>
      </c>
      <c r="B219">
        <v>5317</v>
      </c>
      <c r="C219" t="s">
        <v>3723</v>
      </c>
      <c r="D219" t="s">
        <v>3724</v>
      </c>
      <c r="E219" t="s">
        <v>3725</v>
      </c>
      <c r="G219" t="s">
        <v>3726</v>
      </c>
      <c r="H219" t="s">
        <v>54</v>
      </c>
      <c r="I219" t="s">
        <v>3727</v>
      </c>
      <c r="J219" t="s">
        <v>3728</v>
      </c>
      <c r="K219" t="s">
        <v>3729</v>
      </c>
      <c r="L219">
        <v>49.832099999999997</v>
      </c>
      <c r="M219">
        <v>-99.854929999999996</v>
      </c>
      <c r="N219">
        <v>1983</v>
      </c>
      <c r="O219">
        <v>311617</v>
      </c>
      <c r="P219">
        <v>11</v>
      </c>
      <c r="Q219" t="s">
        <v>2532</v>
      </c>
      <c r="R219" t="s">
        <v>2533</v>
      </c>
      <c r="S219">
        <v>4607</v>
      </c>
      <c r="T219" t="s">
        <v>2611</v>
      </c>
      <c r="U219">
        <v>4607062</v>
      </c>
      <c r="V219" t="s">
        <v>3726</v>
      </c>
      <c r="W219">
        <v>610</v>
      </c>
      <c r="X219" t="s">
        <v>3726</v>
      </c>
      <c r="Y219">
        <v>4630</v>
      </c>
      <c r="Z219" t="s">
        <v>3441</v>
      </c>
      <c r="AA219" t="s">
        <v>3730</v>
      </c>
      <c r="AB219">
        <v>10</v>
      </c>
      <c r="AC219" t="s">
        <v>2405</v>
      </c>
      <c r="AD219" t="s">
        <v>2406</v>
      </c>
      <c r="AE219">
        <v>5</v>
      </c>
      <c r="AF219" t="s">
        <v>2407</v>
      </c>
      <c r="AG219" t="s">
        <v>2408</v>
      </c>
      <c r="AH219">
        <v>0</v>
      </c>
      <c r="AI219">
        <v>0</v>
      </c>
      <c r="AJ219">
        <v>0</v>
      </c>
      <c r="AK219">
        <v>0</v>
      </c>
    </row>
    <row r="220" spans="1:37" x14ac:dyDescent="0.25">
      <c r="A220">
        <v>2001</v>
      </c>
      <c r="B220">
        <v>2469</v>
      </c>
      <c r="C220" t="s">
        <v>3731</v>
      </c>
      <c r="D220" t="s">
        <v>3732</v>
      </c>
      <c r="E220" t="s">
        <v>3733</v>
      </c>
      <c r="G220" t="s">
        <v>3562</v>
      </c>
      <c r="H220" t="s">
        <v>21</v>
      </c>
      <c r="I220" t="s">
        <v>3734</v>
      </c>
      <c r="K220" t="s">
        <v>3735</v>
      </c>
      <c r="L220">
        <v>43.769500000000001</v>
      </c>
      <c r="M220">
        <v>-79.266499999999994</v>
      </c>
      <c r="N220">
        <v>1983</v>
      </c>
      <c r="O220">
        <v>325410</v>
      </c>
      <c r="P220">
        <v>3</v>
      </c>
      <c r="Q220" t="s">
        <v>2822</v>
      </c>
      <c r="R220" t="s">
        <v>2823</v>
      </c>
      <c r="S220">
        <v>3520</v>
      </c>
      <c r="T220" t="s">
        <v>2439</v>
      </c>
      <c r="U220">
        <v>3520005</v>
      </c>
      <c r="V220" t="s">
        <v>2439</v>
      </c>
      <c r="W220">
        <v>535</v>
      </c>
      <c r="X220" t="s">
        <v>2439</v>
      </c>
      <c r="Y220">
        <v>3530</v>
      </c>
      <c r="Z220" t="s">
        <v>2439</v>
      </c>
      <c r="AA220" t="s">
        <v>3736</v>
      </c>
      <c r="AB220">
        <v>8</v>
      </c>
      <c r="AC220" t="s">
        <v>2420</v>
      </c>
      <c r="AD220" t="s">
        <v>2421</v>
      </c>
      <c r="AE220">
        <v>2</v>
      </c>
      <c r="AF220" t="s">
        <v>2422</v>
      </c>
      <c r="AG220" t="s">
        <v>2423</v>
      </c>
      <c r="AH220">
        <v>1</v>
      </c>
      <c r="AI220">
        <v>1</v>
      </c>
      <c r="AJ220">
        <v>0</v>
      </c>
      <c r="AK220">
        <v>1</v>
      </c>
    </row>
    <row r="221" spans="1:37" x14ac:dyDescent="0.25">
      <c r="A221">
        <v>2003</v>
      </c>
      <c r="B221">
        <v>16919</v>
      </c>
      <c r="C221" t="s">
        <v>3737</v>
      </c>
      <c r="D221" t="s">
        <v>3738</v>
      </c>
      <c r="E221" t="s">
        <v>3739</v>
      </c>
      <c r="H221" t="s">
        <v>85</v>
      </c>
      <c r="J221" t="s">
        <v>3740</v>
      </c>
      <c r="K221" t="s">
        <v>3741</v>
      </c>
      <c r="L221">
        <v>51.479199999999999</v>
      </c>
      <c r="M221">
        <v>-114.1861</v>
      </c>
      <c r="N221">
        <v>1983</v>
      </c>
      <c r="O221">
        <v>211113</v>
      </c>
      <c r="P221">
        <v>4</v>
      </c>
      <c r="Q221" t="s">
        <v>2398</v>
      </c>
      <c r="R221" t="s">
        <v>2399</v>
      </c>
      <c r="S221">
        <v>4806</v>
      </c>
      <c r="T221" t="s">
        <v>2663</v>
      </c>
      <c r="U221">
        <v>4806028</v>
      </c>
      <c r="V221" t="s">
        <v>3742</v>
      </c>
      <c r="X221" t="s">
        <v>2402</v>
      </c>
      <c r="Y221">
        <v>4830</v>
      </c>
      <c r="Z221" t="s">
        <v>2664</v>
      </c>
      <c r="AA221" t="s">
        <v>2634</v>
      </c>
      <c r="AB221">
        <v>10</v>
      </c>
      <c r="AC221" t="s">
        <v>2405</v>
      </c>
      <c r="AD221" t="s">
        <v>2406</v>
      </c>
      <c r="AE221">
        <v>5</v>
      </c>
      <c r="AF221" t="s">
        <v>2407</v>
      </c>
      <c r="AG221" t="s">
        <v>2408</v>
      </c>
      <c r="AH221">
        <v>0</v>
      </c>
      <c r="AI221">
        <v>0</v>
      </c>
      <c r="AJ221">
        <v>0</v>
      </c>
      <c r="AK221">
        <v>0</v>
      </c>
    </row>
    <row r="222" spans="1:37" x14ac:dyDescent="0.25">
      <c r="A222">
        <v>2023</v>
      </c>
      <c r="B222">
        <v>3775</v>
      </c>
      <c r="C222" t="s">
        <v>3743</v>
      </c>
      <c r="D222" t="s">
        <v>3744</v>
      </c>
      <c r="E222" t="s">
        <v>3745</v>
      </c>
      <c r="G222" t="s">
        <v>2664</v>
      </c>
      <c r="H222" t="s">
        <v>85</v>
      </c>
      <c r="I222" t="s">
        <v>3746</v>
      </c>
      <c r="J222" t="s">
        <v>3747</v>
      </c>
      <c r="K222" t="s">
        <v>3748</v>
      </c>
      <c r="L222">
        <v>51.000729999999997</v>
      </c>
      <c r="M222">
        <v>-114.03439</v>
      </c>
      <c r="N222">
        <v>1983</v>
      </c>
      <c r="O222">
        <v>562920</v>
      </c>
      <c r="P222">
        <v>16</v>
      </c>
      <c r="Q222" t="s">
        <v>52</v>
      </c>
      <c r="R222" t="s">
        <v>3749</v>
      </c>
      <c r="S222">
        <v>4806</v>
      </c>
      <c r="T222" t="s">
        <v>2663</v>
      </c>
      <c r="U222">
        <v>4806016</v>
      </c>
      <c r="V222" t="s">
        <v>2664</v>
      </c>
      <c r="W222">
        <v>825</v>
      </c>
      <c r="X222" t="s">
        <v>2664</v>
      </c>
      <c r="Y222">
        <v>4830</v>
      </c>
      <c r="Z222" t="s">
        <v>2664</v>
      </c>
      <c r="AA222" t="s">
        <v>3750</v>
      </c>
      <c r="AB222">
        <v>10</v>
      </c>
      <c r="AC222" t="s">
        <v>2405</v>
      </c>
      <c r="AD222" t="s">
        <v>2406</v>
      </c>
      <c r="AE222">
        <v>5</v>
      </c>
      <c r="AF222" t="s">
        <v>2407</v>
      </c>
      <c r="AG222" t="s">
        <v>2408</v>
      </c>
      <c r="AH222">
        <v>0</v>
      </c>
      <c r="AI222">
        <v>0</v>
      </c>
      <c r="AJ222">
        <v>0</v>
      </c>
      <c r="AK222">
        <v>0</v>
      </c>
    </row>
    <row r="223" spans="1:37" x14ac:dyDescent="0.25">
      <c r="A223">
        <v>2005</v>
      </c>
      <c r="B223">
        <v>2381</v>
      </c>
      <c r="C223" t="s">
        <v>3751</v>
      </c>
      <c r="D223" t="s">
        <v>3752</v>
      </c>
      <c r="E223" t="s">
        <v>3753</v>
      </c>
      <c r="G223" t="s">
        <v>3754</v>
      </c>
      <c r="H223" t="s">
        <v>21</v>
      </c>
      <c r="I223" t="s">
        <v>3755</v>
      </c>
      <c r="K223" t="s">
        <v>3756</v>
      </c>
      <c r="L223">
        <v>43.175699999999999</v>
      </c>
      <c r="M223">
        <v>-80.350099999999998</v>
      </c>
      <c r="N223">
        <v>1983</v>
      </c>
      <c r="O223">
        <v>331511</v>
      </c>
      <c r="P223">
        <v>6</v>
      </c>
      <c r="Q223" t="s">
        <v>2415</v>
      </c>
      <c r="R223" t="s">
        <v>2416</v>
      </c>
      <c r="S223">
        <v>3529</v>
      </c>
      <c r="T223" t="s">
        <v>3757</v>
      </c>
      <c r="U223">
        <v>3529005</v>
      </c>
      <c r="V223" t="s">
        <v>3757</v>
      </c>
      <c r="W223">
        <v>543</v>
      </c>
      <c r="X223" t="s">
        <v>3758</v>
      </c>
      <c r="Y223">
        <v>3550</v>
      </c>
      <c r="Z223" t="s">
        <v>2680</v>
      </c>
      <c r="AA223" t="s">
        <v>3759</v>
      </c>
      <c r="AB223">
        <v>8</v>
      </c>
      <c r="AC223" t="s">
        <v>2420</v>
      </c>
      <c r="AD223" t="s">
        <v>2421</v>
      </c>
      <c r="AE223">
        <v>2</v>
      </c>
      <c r="AF223" t="s">
        <v>2422</v>
      </c>
      <c r="AG223" t="s">
        <v>2423</v>
      </c>
      <c r="AH223">
        <v>1</v>
      </c>
      <c r="AI223">
        <v>1</v>
      </c>
      <c r="AJ223">
        <v>0</v>
      </c>
      <c r="AK223">
        <v>1</v>
      </c>
    </row>
    <row r="224" spans="1:37" x14ac:dyDescent="0.25">
      <c r="A224">
        <v>2023</v>
      </c>
      <c r="B224">
        <v>33559</v>
      </c>
      <c r="C224" t="s">
        <v>3760</v>
      </c>
      <c r="D224" t="s">
        <v>3761</v>
      </c>
      <c r="E224" t="s">
        <v>3762</v>
      </c>
      <c r="H224" t="s">
        <v>85</v>
      </c>
      <c r="I224" t="s">
        <v>3763</v>
      </c>
      <c r="J224" t="s">
        <v>3764</v>
      </c>
      <c r="K224" t="s">
        <v>3765</v>
      </c>
      <c r="L224">
        <v>50.952415999999999</v>
      </c>
      <c r="M224">
        <v>-112.536863</v>
      </c>
      <c r="N224">
        <v>1983</v>
      </c>
      <c r="O224">
        <v>211110</v>
      </c>
      <c r="P224">
        <v>4</v>
      </c>
      <c r="Q224" t="s">
        <v>2398</v>
      </c>
      <c r="R224" t="s">
        <v>2399</v>
      </c>
      <c r="S224">
        <v>4805</v>
      </c>
      <c r="T224" t="s">
        <v>2669</v>
      </c>
      <c r="U224">
        <v>4805012</v>
      </c>
      <c r="V224" t="s">
        <v>2670</v>
      </c>
      <c r="X224" t="s">
        <v>2402</v>
      </c>
      <c r="Y224">
        <v>4820</v>
      </c>
      <c r="Z224" t="s">
        <v>2508</v>
      </c>
      <c r="AA224" t="s">
        <v>2671</v>
      </c>
      <c r="AB224">
        <v>10</v>
      </c>
      <c r="AC224" t="s">
        <v>2405</v>
      </c>
      <c r="AD224" t="s">
        <v>2406</v>
      </c>
      <c r="AE224">
        <v>5</v>
      </c>
      <c r="AF224" t="s">
        <v>2407</v>
      </c>
      <c r="AG224" t="s">
        <v>2408</v>
      </c>
      <c r="AH224">
        <v>0</v>
      </c>
      <c r="AI224">
        <v>0</v>
      </c>
      <c r="AJ224">
        <v>0</v>
      </c>
      <c r="AK224">
        <v>0</v>
      </c>
    </row>
    <row r="225" spans="1:37" x14ac:dyDescent="0.25">
      <c r="A225">
        <v>2011</v>
      </c>
      <c r="B225">
        <v>18218</v>
      </c>
      <c r="C225" t="s">
        <v>3766</v>
      </c>
      <c r="D225" t="s">
        <v>3767</v>
      </c>
      <c r="E225" t="s">
        <v>3768</v>
      </c>
      <c r="G225" t="s">
        <v>3769</v>
      </c>
      <c r="H225" t="s">
        <v>85</v>
      </c>
      <c r="I225" t="s">
        <v>3770</v>
      </c>
      <c r="J225" t="s">
        <v>3771</v>
      </c>
      <c r="K225" t="s">
        <v>3772</v>
      </c>
      <c r="L225">
        <v>52.292200000000001</v>
      </c>
      <c r="M225">
        <v>-113.8169</v>
      </c>
      <c r="N225">
        <v>1983</v>
      </c>
      <c r="O225">
        <v>332710</v>
      </c>
      <c r="P225">
        <v>11</v>
      </c>
      <c r="Q225" t="s">
        <v>2532</v>
      </c>
      <c r="R225" t="s">
        <v>2533</v>
      </c>
      <c r="S225">
        <v>4808</v>
      </c>
      <c r="T225" t="s">
        <v>2400</v>
      </c>
      <c r="U225">
        <v>4808011</v>
      </c>
      <c r="V225" t="s">
        <v>1340</v>
      </c>
      <c r="W225">
        <v>830</v>
      </c>
      <c r="X225" t="s">
        <v>1340</v>
      </c>
      <c r="Y225">
        <v>4850</v>
      </c>
      <c r="Z225" t="s">
        <v>1340</v>
      </c>
      <c r="AA225" t="s">
        <v>3773</v>
      </c>
      <c r="AB225">
        <v>10</v>
      </c>
      <c r="AC225" t="s">
        <v>2405</v>
      </c>
      <c r="AD225" t="s">
        <v>2406</v>
      </c>
      <c r="AE225">
        <v>5</v>
      </c>
      <c r="AF225" t="s">
        <v>2407</v>
      </c>
      <c r="AG225" t="s">
        <v>2408</v>
      </c>
      <c r="AH225">
        <v>0</v>
      </c>
      <c r="AI225">
        <v>0</v>
      </c>
      <c r="AJ225">
        <v>0</v>
      </c>
      <c r="AK225">
        <v>0</v>
      </c>
    </row>
    <row r="226" spans="1:37" x14ac:dyDescent="0.25">
      <c r="A226">
        <v>2007</v>
      </c>
      <c r="B226">
        <v>17000</v>
      </c>
      <c r="C226" t="s">
        <v>2296</v>
      </c>
      <c r="D226" t="s">
        <v>3774</v>
      </c>
      <c r="E226" t="s">
        <v>3775</v>
      </c>
      <c r="G226" t="s">
        <v>3776</v>
      </c>
      <c r="H226" t="s">
        <v>85</v>
      </c>
      <c r="J226" t="s">
        <v>3777</v>
      </c>
      <c r="K226" t="s">
        <v>3778</v>
      </c>
      <c r="L226">
        <v>54.494500000000002</v>
      </c>
      <c r="M226">
        <v>-111.047</v>
      </c>
      <c r="N226">
        <v>1983</v>
      </c>
      <c r="O226">
        <v>211113</v>
      </c>
      <c r="P226">
        <v>4</v>
      </c>
      <c r="Q226" t="s">
        <v>2398</v>
      </c>
      <c r="R226" t="s">
        <v>2399</v>
      </c>
      <c r="S226">
        <v>4812</v>
      </c>
      <c r="T226" t="s">
        <v>2724</v>
      </c>
      <c r="U226">
        <v>4812004</v>
      </c>
      <c r="V226" t="s">
        <v>2725</v>
      </c>
      <c r="X226" t="s">
        <v>2402</v>
      </c>
      <c r="Y226">
        <v>4880</v>
      </c>
      <c r="Z226" t="s">
        <v>2726</v>
      </c>
      <c r="AA226" t="s">
        <v>2727</v>
      </c>
      <c r="AB226">
        <v>9</v>
      </c>
      <c r="AC226" t="s">
        <v>2475</v>
      </c>
      <c r="AD226" t="s">
        <v>2476</v>
      </c>
      <c r="AE226">
        <v>6</v>
      </c>
      <c r="AF226" t="s">
        <v>2728</v>
      </c>
      <c r="AG226" t="s">
        <v>2729</v>
      </c>
      <c r="AH226">
        <v>0</v>
      </c>
      <c r="AI226">
        <v>0</v>
      </c>
      <c r="AJ226">
        <v>0</v>
      </c>
      <c r="AK226">
        <v>0</v>
      </c>
    </row>
    <row r="227" spans="1:37" x14ac:dyDescent="0.25">
      <c r="A227">
        <v>2023</v>
      </c>
      <c r="B227">
        <v>5499</v>
      </c>
      <c r="C227" t="s">
        <v>3779</v>
      </c>
      <c r="D227" t="s">
        <v>3780</v>
      </c>
      <c r="E227" t="s">
        <v>3781</v>
      </c>
      <c r="G227" t="s">
        <v>2807</v>
      </c>
      <c r="H227" t="s">
        <v>79</v>
      </c>
      <c r="I227" t="s">
        <v>3782</v>
      </c>
      <c r="K227" t="s">
        <v>3783</v>
      </c>
      <c r="L227">
        <v>45.880600000000001</v>
      </c>
      <c r="M227">
        <v>-72.519199999999998</v>
      </c>
      <c r="N227">
        <v>1983</v>
      </c>
      <c r="O227">
        <v>324190</v>
      </c>
      <c r="P227">
        <v>12</v>
      </c>
      <c r="Q227" t="s">
        <v>2704</v>
      </c>
      <c r="R227" t="s">
        <v>2705</v>
      </c>
      <c r="S227">
        <v>2449</v>
      </c>
      <c r="T227" t="s">
        <v>2806</v>
      </c>
      <c r="U227">
        <v>2449058</v>
      </c>
      <c r="V227" t="s">
        <v>2807</v>
      </c>
      <c r="W227">
        <v>447</v>
      </c>
      <c r="X227" t="s">
        <v>2807</v>
      </c>
      <c r="Y227">
        <v>2433</v>
      </c>
      <c r="Z227" t="s">
        <v>2808</v>
      </c>
      <c r="AA227" t="s">
        <v>3784</v>
      </c>
      <c r="AB227">
        <v>8</v>
      </c>
      <c r="AC227" t="s">
        <v>2420</v>
      </c>
      <c r="AD227" t="s">
        <v>2421</v>
      </c>
      <c r="AE227">
        <v>2</v>
      </c>
      <c r="AF227" t="s">
        <v>2422</v>
      </c>
      <c r="AG227" t="s">
        <v>2423</v>
      </c>
      <c r="AH227">
        <v>1</v>
      </c>
      <c r="AI227">
        <v>0</v>
      </c>
      <c r="AJ227">
        <v>1</v>
      </c>
      <c r="AK227">
        <v>1</v>
      </c>
    </row>
    <row r="228" spans="1:37" x14ac:dyDescent="0.25">
      <c r="A228">
        <v>2009</v>
      </c>
      <c r="B228">
        <v>18621</v>
      </c>
      <c r="C228" t="s">
        <v>2510</v>
      </c>
      <c r="D228" t="s">
        <v>3785</v>
      </c>
      <c r="E228" t="s">
        <v>3786</v>
      </c>
      <c r="H228" t="s">
        <v>85</v>
      </c>
      <c r="J228" t="s">
        <v>3787</v>
      </c>
      <c r="K228" t="s">
        <v>3788</v>
      </c>
      <c r="L228">
        <v>51.624499999999998</v>
      </c>
      <c r="M228">
        <v>-113.0416</v>
      </c>
      <c r="N228">
        <v>1983</v>
      </c>
      <c r="O228">
        <v>211113</v>
      </c>
      <c r="P228">
        <v>4</v>
      </c>
      <c r="Q228" t="s">
        <v>2398</v>
      </c>
      <c r="R228" t="s">
        <v>2399</v>
      </c>
      <c r="S228">
        <v>4805</v>
      </c>
      <c r="T228" t="s">
        <v>2669</v>
      </c>
      <c r="U228">
        <v>4805041</v>
      </c>
      <c r="V228" t="s">
        <v>3026</v>
      </c>
      <c r="X228" t="s">
        <v>2402</v>
      </c>
      <c r="Y228">
        <v>4820</v>
      </c>
      <c r="Z228" t="s">
        <v>2508</v>
      </c>
      <c r="AA228" t="s">
        <v>2634</v>
      </c>
      <c r="AB228">
        <v>10</v>
      </c>
      <c r="AC228" t="s">
        <v>2405</v>
      </c>
      <c r="AD228" t="s">
        <v>2406</v>
      </c>
      <c r="AE228">
        <v>5</v>
      </c>
      <c r="AF228" t="s">
        <v>2407</v>
      </c>
      <c r="AG228" t="s">
        <v>2408</v>
      </c>
      <c r="AH228">
        <v>0</v>
      </c>
      <c r="AI228">
        <v>0</v>
      </c>
      <c r="AJ228">
        <v>0</v>
      </c>
      <c r="AK228">
        <v>0</v>
      </c>
    </row>
    <row r="229" spans="1:37" x14ac:dyDescent="0.25">
      <c r="A229">
        <v>2009</v>
      </c>
      <c r="B229">
        <v>4845</v>
      </c>
      <c r="C229" t="s">
        <v>3789</v>
      </c>
      <c r="D229" t="s">
        <v>3790</v>
      </c>
      <c r="E229" t="s">
        <v>3791</v>
      </c>
      <c r="F229" t="s">
        <v>3792</v>
      </c>
      <c r="G229" t="s">
        <v>3790</v>
      </c>
      <c r="H229" t="s">
        <v>483</v>
      </c>
      <c r="I229" t="s">
        <v>3793</v>
      </c>
      <c r="K229" t="s">
        <v>3794</v>
      </c>
      <c r="L229">
        <v>45.422600000000003</v>
      </c>
      <c r="M229">
        <v>-64.341499999999996</v>
      </c>
      <c r="N229">
        <v>1983</v>
      </c>
      <c r="O229">
        <v>332999</v>
      </c>
      <c r="P229">
        <v>11</v>
      </c>
      <c r="Q229" t="s">
        <v>2532</v>
      </c>
      <c r="R229" t="s">
        <v>2533</v>
      </c>
      <c r="S229">
        <v>1211</v>
      </c>
      <c r="T229" t="s">
        <v>3795</v>
      </c>
      <c r="U229">
        <v>1211001</v>
      </c>
      <c r="V229" t="s">
        <v>3796</v>
      </c>
      <c r="X229" t="s">
        <v>2402</v>
      </c>
      <c r="Y229">
        <v>1220</v>
      </c>
      <c r="Z229" t="s">
        <v>3797</v>
      </c>
      <c r="AA229" t="s">
        <v>3798</v>
      </c>
      <c r="AB229">
        <v>7</v>
      </c>
      <c r="AC229" t="s">
        <v>2996</v>
      </c>
      <c r="AD229" t="s">
        <v>2997</v>
      </c>
      <c r="AE229">
        <v>1</v>
      </c>
      <c r="AF229" t="s">
        <v>3479</v>
      </c>
      <c r="AG229" t="s">
        <v>3480</v>
      </c>
      <c r="AH229">
        <v>1</v>
      </c>
      <c r="AI229">
        <v>0</v>
      </c>
      <c r="AJ229">
        <v>0</v>
      </c>
      <c r="AK229">
        <v>0</v>
      </c>
    </row>
    <row r="230" spans="1:37" x14ac:dyDescent="0.25">
      <c r="A230">
        <v>2023</v>
      </c>
      <c r="B230">
        <v>28167</v>
      </c>
      <c r="C230" t="s">
        <v>3799</v>
      </c>
      <c r="D230" t="s">
        <v>3800</v>
      </c>
      <c r="E230" t="s">
        <v>3801</v>
      </c>
      <c r="G230" t="s">
        <v>3802</v>
      </c>
      <c r="H230" t="s">
        <v>85</v>
      </c>
      <c r="I230" t="s">
        <v>3803</v>
      </c>
      <c r="J230" t="s">
        <v>3804</v>
      </c>
      <c r="K230" t="s">
        <v>3805</v>
      </c>
      <c r="L230">
        <v>55.78687</v>
      </c>
      <c r="M230">
        <v>-119.66484199999999</v>
      </c>
      <c r="N230">
        <v>1983</v>
      </c>
      <c r="O230">
        <v>211110</v>
      </c>
      <c r="P230">
        <v>4</v>
      </c>
      <c r="Q230" t="s">
        <v>2398</v>
      </c>
      <c r="R230" t="s">
        <v>2399</v>
      </c>
      <c r="S230">
        <v>4819</v>
      </c>
      <c r="T230" t="s">
        <v>2565</v>
      </c>
      <c r="U230">
        <v>4819059</v>
      </c>
      <c r="V230" t="s">
        <v>2566</v>
      </c>
      <c r="X230" t="s">
        <v>2402</v>
      </c>
      <c r="Y230">
        <v>4870</v>
      </c>
      <c r="Z230" t="s">
        <v>2473</v>
      </c>
      <c r="AA230" t="s">
        <v>2474</v>
      </c>
      <c r="AB230">
        <v>9</v>
      </c>
      <c r="AC230" t="s">
        <v>2475</v>
      </c>
      <c r="AD230" t="s">
        <v>2476</v>
      </c>
      <c r="AE230">
        <v>7</v>
      </c>
      <c r="AF230" t="s">
        <v>2477</v>
      </c>
      <c r="AG230" t="s">
        <v>2478</v>
      </c>
      <c r="AH230">
        <v>0</v>
      </c>
      <c r="AI230">
        <v>0</v>
      </c>
      <c r="AJ230">
        <v>0</v>
      </c>
      <c r="AK230">
        <v>0</v>
      </c>
    </row>
    <row r="231" spans="1:37" x14ac:dyDescent="0.25">
      <c r="A231">
        <v>2005</v>
      </c>
      <c r="B231">
        <v>10723</v>
      </c>
      <c r="C231" t="s">
        <v>3806</v>
      </c>
      <c r="D231" t="s">
        <v>3807</v>
      </c>
      <c r="E231" t="s">
        <v>3808</v>
      </c>
      <c r="G231" t="s">
        <v>3562</v>
      </c>
      <c r="H231" t="s">
        <v>21</v>
      </c>
      <c r="I231" t="s">
        <v>3809</v>
      </c>
      <c r="K231" t="s">
        <v>3810</v>
      </c>
      <c r="L231">
        <v>43.779800000000002</v>
      </c>
      <c r="M231">
        <v>-79.286600000000007</v>
      </c>
      <c r="N231">
        <v>1983</v>
      </c>
      <c r="O231">
        <v>531120</v>
      </c>
      <c r="P231">
        <v>19</v>
      </c>
      <c r="Q231" t="s">
        <v>2552</v>
      </c>
      <c r="R231" t="s">
        <v>2553</v>
      </c>
      <c r="S231">
        <v>3520</v>
      </c>
      <c r="T231" t="s">
        <v>2439</v>
      </c>
      <c r="U231">
        <v>3520005</v>
      </c>
      <c r="V231" t="s">
        <v>2439</v>
      </c>
      <c r="W231">
        <v>535</v>
      </c>
      <c r="X231" t="s">
        <v>2439</v>
      </c>
      <c r="Y231">
        <v>3530</v>
      </c>
      <c r="Z231" t="s">
        <v>2439</v>
      </c>
      <c r="AA231" t="s">
        <v>3811</v>
      </c>
      <c r="AB231">
        <v>8</v>
      </c>
      <c r="AC231" t="s">
        <v>2420</v>
      </c>
      <c r="AD231" t="s">
        <v>2421</v>
      </c>
      <c r="AE231">
        <v>2</v>
      </c>
      <c r="AF231" t="s">
        <v>2422</v>
      </c>
      <c r="AG231" t="s">
        <v>2423</v>
      </c>
      <c r="AH231">
        <v>1</v>
      </c>
      <c r="AI231">
        <v>1</v>
      </c>
      <c r="AJ231">
        <v>0</v>
      </c>
      <c r="AK231">
        <v>1</v>
      </c>
    </row>
    <row r="232" spans="1:37" x14ac:dyDescent="0.25">
      <c r="A232">
        <v>2006</v>
      </c>
      <c r="B232">
        <v>21680</v>
      </c>
      <c r="C232" t="s">
        <v>3812</v>
      </c>
      <c r="D232" t="s">
        <v>3813</v>
      </c>
      <c r="E232" t="s">
        <v>3814</v>
      </c>
      <c r="H232" t="s">
        <v>85</v>
      </c>
      <c r="J232" t="s">
        <v>3815</v>
      </c>
      <c r="K232" t="s">
        <v>3816</v>
      </c>
      <c r="L232">
        <v>55.524500000000003</v>
      </c>
      <c r="M232">
        <v>-113.8711</v>
      </c>
      <c r="N232">
        <v>1983</v>
      </c>
      <c r="O232">
        <v>211113</v>
      </c>
      <c r="P232">
        <v>4</v>
      </c>
      <c r="Q232" t="s">
        <v>2398</v>
      </c>
      <c r="R232" t="s">
        <v>2399</v>
      </c>
      <c r="S232">
        <v>4817</v>
      </c>
      <c r="T232" t="s">
        <v>2471</v>
      </c>
      <c r="U232">
        <v>4817033</v>
      </c>
      <c r="V232" t="s">
        <v>3520</v>
      </c>
      <c r="X232" t="s">
        <v>2402</v>
      </c>
      <c r="Y232">
        <v>4870</v>
      </c>
      <c r="Z232" t="s">
        <v>2473</v>
      </c>
      <c r="AA232" t="s">
        <v>2719</v>
      </c>
      <c r="AB232">
        <v>9</v>
      </c>
      <c r="AC232" t="s">
        <v>2475</v>
      </c>
      <c r="AD232" t="s">
        <v>2476</v>
      </c>
      <c r="AE232">
        <v>7</v>
      </c>
      <c r="AF232" t="s">
        <v>2477</v>
      </c>
      <c r="AG232" t="s">
        <v>2478</v>
      </c>
      <c r="AH232">
        <v>0</v>
      </c>
      <c r="AI232">
        <v>0</v>
      </c>
      <c r="AJ232">
        <v>0</v>
      </c>
      <c r="AK232">
        <v>0</v>
      </c>
    </row>
    <row r="233" spans="1:37" x14ac:dyDescent="0.25">
      <c r="A233">
        <v>2019</v>
      </c>
      <c r="B233">
        <v>30249</v>
      </c>
      <c r="C233" t="s">
        <v>1027</v>
      </c>
      <c r="D233" t="s">
        <v>3817</v>
      </c>
      <c r="H233" t="s">
        <v>85</v>
      </c>
      <c r="J233" t="s">
        <v>3818</v>
      </c>
      <c r="K233" t="s">
        <v>3819</v>
      </c>
      <c r="L233">
        <v>53.1342</v>
      </c>
      <c r="M233">
        <v>-110.831</v>
      </c>
      <c r="N233">
        <v>1983</v>
      </c>
      <c r="O233">
        <v>211110</v>
      </c>
      <c r="P233">
        <v>4</v>
      </c>
      <c r="Q233" t="s">
        <v>2398</v>
      </c>
      <c r="R233" t="s">
        <v>2399</v>
      </c>
      <c r="S233">
        <v>4810</v>
      </c>
      <c r="T233" t="s">
        <v>2554</v>
      </c>
      <c r="U233">
        <v>4810036</v>
      </c>
      <c r="V233" t="s">
        <v>2571</v>
      </c>
      <c r="X233" t="s">
        <v>2402</v>
      </c>
      <c r="Y233">
        <v>4820</v>
      </c>
      <c r="Z233" t="s">
        <v>2508</v>
      </c>
      <c r="AA233" t="s">
        <v>2572</v>
      </c>
      <c r="AB233">
        <v>10</v>
      </c>
      <c r="AC233" t="s">
        <v>2405</v>
      </c>
      <c r="AD233" t="s">
        <v>2406</v>
      </c>
      <c r="AE233">
        <v>5</v>
      </c>
      <c r="AF233" t="s">
        <v>2407</v>
      </c>
      <c r="AG233" t="s">
        <v>2408</v>
      </c>
      <c r="AH233">
        <v>0</v>
      </c>
      <c r="AI233">
        <v>0</v>
      </c>
      <c r="AJ233">
        <v>0</v>
      </c>
      <c r="AK233">
        <v>0</v>
      </c>
    </row>
    <row r="234" spans="1:37" x14ac:dyDescent="0.25">
      <c r="A234">
        <v>2023</v>
      </c>
      <c r="B234">
        <v>30696</v>
      </c>
      <c r="C234" t="s">
        <v>489</v>
      </c>
      <c r="D234" t="s">
        <v>3820</v>
      </c>
      <c r="H234" t="s">
        <v>85</v>
      </c>
      <c r="J234" t="s">
        <v>3821</v>
      </c>
      <c r="K234" t="s">
        <v>3822</v>
      </c>
      <c r="L234">
        <v>54.6325</v>
      </c>
      <c r="M234">
        <v>-118.6262</v>
      </c>
      <c r="N234">
        <v>1983</v>
      </c>
      <c r="O234">
        <v>211110</v>
      </c>
      <c r="P234">
        <v>4</v>
      </c>
      <c r="Q234" t="s">
        <v>2398</v>
      </c>
      <c r="R234" t="s">
        <v>2399</v>
      </c>
      <c r="S234">
        <v>4818</v>
      </c>
      <c r="T234" t="s">
        <v>2545</v>
      </c>
      <c r="U234">
        <v>4818015</v>
      </c>
      <c r="V234" t="s">
        <v>2546</v>
      </c>
      <c r="X234" t="s">
        <v>2402</v>
      </c>
      <c r="Y234">
        <v>4870</v>
      </c>
      <c r="Z234" t="s">
        <v>2473</v>
      </c>
      <c r="AA234" t="s">
        <v>2474</v>
      </c>
      <c r="AB234">
        <v>9</v>
      </c>
      <c r="AC234" t="s">
        <v>2475</v>
      </c>
      <c r="AD234" t="s">
        <v>2476</v>
      </c>
      <c r="AE234">
        <v>7</v>
      </c>
      <c r="AF234" t="s">
        <v>2477</v>
      </c>
      <c r="AG234" t="s">
        <v>2478</v>
      </c>
      <c r="AH234">
        <v>0</v>
      </c>
      <c r="AI234">
        <v>0</v>
      </c>
      <c r="AJ234">
        <v>0</v>
      </c>
      <c r="AK234">
        <v>0</v>
      </c>
    </row>
    <row r="235" spans="1:37" x14ac:dyDescent="0.25">
      <c r="A235">
        <v>2023</v>
      </c>
      <c r="B235">
        <v>34556</v>
      </c>
      <c r="C235" t="s">
        <v>1112</v>
      </c>
      <c r="D235" t="s">
        <v>3823</v>
      </c>
      <c r="H235" t="s">
        <v>69</v>
      </c>
      <c r="I235" t="s">
        <v>3824</v>
      </c>
      <c r="J235" t="s">
        <v>3825</v>
      </c>
      <c r="K235" t="s">
        <v>3826</v>
      </c>
      <c r="L235">
        <v>55.769210000000001</v>
      </c>
      <c r="M235">
        <v>-120.50554</v>
      </c>
      <c r="N235">
        <v>1983</v>
      </c>
      <c r="O235">
        <v>211110</v>
      </c>
      <c r="P235">
        <v>4</v>
      </c>
      <c r="Q235" t="s">
        <v>2398</v>
      </c>
      <c r="R235" t="s">
        <v>2399</v>
      </c>
      <c r="S235">
        <v>5955</v>
      </c>
      <c r="T235" t="s">
        <v>2492</v>
      </c>
      <c r="U235">
        <v>5955021</v>
      </c>
      <c r="V235" t="s">
        <v>2778</v>
      </c>
      <c r="X235" t="s">
        <v>2402</v>
      </c>
      <c r="Y235">
        <v>5980</v>
      </c>
      <c r="Z235" t="s">
        <v>2494</v>
      </c>
      <c r="AA235" t="s">
        <v>2495</v>
      </c>
      <c r="AB235">
        <v>9</v>
      </c>
      <c r="AC235" t="s">
        <v>2475</v>
      </c>
      <c r="AD235" t="s">
        <v>2476</v>
      </c>
      <c r="AE235">
        <v>7</v>
      </c>
      <c r="AF235" t="s">
        <v>2477</v>
      </c>
      <c r="AG235" t="s">
        <v>2478</v>
      </c>
      <c r="AH235">
        <v>0</v>
      </c>
      <c r="AI235">
        <v>0</v>
      </c>
      <c r="AJ235">
        <v>0</v>
      </c>
      <c r="AK235">
        <v>0</v>
      </c>
    </row>
    <row r="236" spans="1:37" x14ac:dyDescent="0.25">
      <c r="A236">
        <v>2023</v>
      </c>
      <c r="B236">
        <v>30595</v>
      </c>
      <c r="C236" t="s">
        <v>3827</v>
      </c>
      <c r="D236" t="s">
        <v>3828</v>
      </c>
      <c r="H236" t="s">
        <v>85</v>
      </c>
      <c r="I236" t="s">
        <v>2636</v>
      </c>
      <c r="J236" t="s">
        <v>3829</v>
      </c>
      <c r="K236" t="s">
        <v>3830</v>
      </c>
      <c r="L236">
        <v>54.459780000000002</v>
      </c>
      <c r="M236">
        <v>-117.29259</v>
      </c>
      <c r="N236">
        <v>1983</v>
      </c>
      <c r="O236">
        <v>211110</v>
      </c>
      <c r="P236">
        <v>4</v>
      </c>
      <c r="Q236" t="s">
        <v>2398</v>
      </c>
      <c r="R236" t="s">
        <v>2399</v>
      </c>
      <c r="S236">
        <v>4818</v>
      </c>
      <c r="T236" t="s">
        <v>2545</v>
      </c>
      <c r="U236">
        <v>4818015</v>
      </c>
      <c r="V236" t="s">
        <v>2546</v>
      </c>
      <c r="X236" t="s">
        <v>2402</v>
      </c>
      <c r="Y236">
        <v>4870</v>
      </c>
      <c r="Z236" t="s">
        <v>2473</v>
      </c>
      <c r="AA236" t="s">
        <v>2474</v>
      </c>
      <c r="AB236">
        <v>9</v>
      </c>
      <c r="AC236" t="s">
        <v>2475</v>
      </c>
      <c r="AD236" t="s">
        <v>2476</v>
      </c>
      <c r="AE236">
        <v>7</v>
      </c>
      <c r="AF236" t="s">
        <v>2477</v>
      </c>
      <c r="AG236" t="s">
        <v>2478</v>
      </c>
      <c r="AH236">
        <v>0</v>
      </c>
      <c r="AI236">
        <v>0</v>
      </c>
      <c r="AJ236">
        <v>0</v>
      </c>
      <c r="AK236">
        <v>0</v>
      </c>
    </row>
    <row r="237" spans="1:37" x14ac:dyDescent="0.25">
      <c r="A237">
        <v>2022</v>
      </c>
      <c r="B237">
        <v>33587</v>
      </c>
      <c r="C237" t="s">
        <v>1027</v>
      </c>
      <c r="D237" t="s">
        <v>3831</v>
      </c>
      <c r="H237" t="s">
        <v>69</v>
      </c>
      <c r="J237" t="s">
        <v>3832</v>
      </c>
      <c r="K237" t="s">
        <v>3833</v>
      </c>
      <c r="L237">
        <v>57.010416999999997</v>
      </c>
      <c r="M237">
        <v>-122.159375</v>
      </c>
      <c r="N237">
        <v>1983</v>
      </c>
      <c r="O237">
        <v>211110</v>
      </c>
      <c r="P237">
        <v>4</v>
      </c>
      <c r="Q237" t="s">
        <v>2398</v>
      </c>
      <c r="R237" t="s">
        <v>2399</v>
      </c>
      <c r="S237">
        <v>5955</v>
      </c>
      <c r="T237" t="s">
        <v>2492</v>
      </c>
      <c r="U237">
        <v>5955040</v>
      </c>
      <c r="V237" t="s">
        <v>2493</v>
      </c>
      <c r="X237" t="s">
        <v>2402</v>
      </c>
      <c r="Y237">
        <v>5980</v>
      </c>
      <c r="Z237" t="s">
        <v>2494</v>
      </c>
      <c r="AA237" t="s">
        <v>2495</v>
      </c>
      <c r="AB237">
        <v>9</v>
      </c>
      <c r="AC237" t="s">
        <v>2475</v>
      </c>
      <c r="AD237" t="s">
        <v>2476</v>
      </c>
      <c r="AE237">
        <v>7</v>
      </c>
      <c r="AF237" t="s">
        <v>2477</v>
      </c>
      <c r="AG237" t="s">
        <v>2478</v>
      </c>
      <c r="AH237">
        <v>0</v>
      </c>
      <c r="AI237">
        <v>0</v>
      </c>
      <c r="AJ237">
        <v>0</v>
      </c>
      <c r="AK237">
        <v>0</v>
      </c>
    </row>
    <row r="238" spans="1:37" x14ac:dyDescent="0.25">
      <c r="A238">
        <v>2014</v>
      </c>
      <c r="B238">
        <v>3875</v>
      </c>
      <c r="C238" t="s">
        <v>1382</v>
      </c>
      <c r="D238" t="s">
        <v>3834</v>
      </c>
      <c r="E238" t="s">
        <v>3835</v>
      </c>
      <c r="G238" t="s">
        <v>3836</v>
      </c>
      <c r="H238" t="s">
        <v>79</v>
      </c>
      <c r="I238" t="s">
        <v>3837</v>
      </c>
      <c r="K238" t="s">
        <v>3838</v>
      </c>
      <c r="L238">
        <v>45.482700000000001</v>
      </c>
      <c r="M238">
        <v>-71.664000000000001</v>
      </c>
      <c r="N238">
        <v>1983</v>
      </c>
      <c r="O238">
        <v>322121</v>
      </c>
      <c r="P238">
        <v>14</v>
      </c>
      <c r="Q238" t="s">
        <v>2484</v>
      </c>
      <c r="R238" t="s">
        <v>2485</v>
      </c>
      <c r="S238">
        <v>2441</v>
      </c>
      <c r="T238" t="s">
        <v>3839</v>
      </c>
      <c r="U238">
        <v>2441060</v>
      </c>
      <c r="V238" t="s">
        <v>3840</v>
      </c>
      <c r="X238" t="s">
        <v>2402</v>
      </c>
      <c r="Y238">
        <v>2430</v>
      </c>
      <c r="Z238" t="s">
        <v>2994</v>
      </c>
      <c r="AA238" t="s">
        <v>3841</v>
      </c>
      <c r="AB238">
        <v>7</v>
      </c>
      <c r="AC238" t="s">
        <v>2996</v>
      </c>
      <c r="AD238" t="s">
        <v>2997</v>
      </c>
      <c r="AE238">
        <v>2</v>
      </c>
      <c r="AF238" t="s">
        <v>2422</v>
      </c>
      <c r="AG238" t="s">
        <v>2423</v>
      </c>
      <c r="AH238">
        <v>1</v>
      </c>
      <c r="AI238">
        <v>0</v>
      </c>
      <c r="AJ238">
        <v>1</v>
      </c>
      <c r="AK238">
        <v>1</v>
      </c>
    </row>
    <row r="239" spans="1:37" x14ac:dyDescent="0.25">
      <c r="A239">
        <v>2023</v>
      </c>
      <c r="B239">
        <v>33594</v>
      </c>
      <c r="C239" t="s">
        <v>1027</v>
      </c>
      <c r="D239" t="s">
        <v>3842</v>
      </c>
      <c r="H239" t="s">
        <v>85</v>
      </c>
      <c r="J239" t="s">
        <v>3843</v>
      </c>
      <c r="K239" t="s">
        <v>3844</v>
      </c>
      <c r="L239">
        <v>49.995640000000002</v>
      </c>
      <c r="M239">
        <v>-113.569638</v>
      </c>
      <c r="N239">
        <v>1983</v>
      </c>
      <c r="O239">
        <v>211110</v>
      </c>
      <c r="P239">
        <v>4</v>
      </c>
      <c r="Q239" t="s">
        <v>2398</v>
      </c>
      <c r="R239" t="s">
        <v>2399</v>
      </c>
      <c r="S239">
        <v>4803</v>
      </c>
      <c r="T239" t="s">
        <v>2601</v>
      </c>
      <c r="U239">
        <v>4803018</v>
      </c>
      <c r="V239" t="s">
        <v>2602</v>
      </c>
      <c r="X239" t="s">
        <v>2402</v>
      </c>
      <c r="Y239">
        <v>4810</v>
      </c>
      <c r="Z239" t="s">
        <v>2603</v>
      </c>
      <c r="AA239" t="s">
        <v>2604</v>
      </c>
      <c r="AB239">
        <v>10</v>
      </c>
      <c r="AC239" t="s">
        <v>2405</v>
      </c>
      <c r="AD239" t="s">
        <v>2406</v>
      </c>
      <c r="AE239">
        <v>5</v>
      </c>
      <c r="AF239" t="s">
        <v>2407</v>
      </c>
      <c r="AG239" t="s">
        <v>2408</v>
      </c>
      <c r="AH239">
        <v>0</v>
      </c>
      <c r="AI239">
        <v>0</v>
      </c>
      <c r="AJ239">
        <v>0</v>
      </c>
      <c r="AK239">
        <v>0</v>
      </c>
    </row>
    <row r="240" spans="1:37" x14ac:dyDescent="0.25">
      <c r="A240">
        <v>2023</v>
      </c>
      <c r="B240">
        <v>34780</v>
      </c>
      <c r="C240" t="s">
        <v>1653</v>
      </c>
      <c r="D240" t="s">
        <v>3845</v>
      </c>
      <c r="G240" t="s">
        <v>3846</v>
      </c>
      <c r="H240" t="s">
        <v>85</v>
      </c>
      <c r="I240" t="s">
        <v>3847</v>
      </c>
      <c r="J240" t="s">
        <v>3848</v>
      </c>
      <c r="K240" t="s">
        <v>3849</v>
      </c>
      <c r="L240">
        <v>52.333970999999998</v>
      </c>
      <c r="M240">
        <v>-110.21778</v>
      </c>
      <c r="N240">
        <v>1983</v>
      </c>
      <c r="O240">
        <v>211110</v>
      </c>
      <c r="P240">
        <v>4</v>
      </c>
      <c r="Q240" t="s">
        <v>2398</v>
      </c>
      <c r="R240" t="s">
        <v>2399</v>
      </c>
      <c r="S240">
        <v>4807</v>
      </c>
      <c r="T240" t="s">
        <v>2611</v>
      </c>
      <c r="U240">
        <v>4807001</v>
      </c>
      <c r="V240" t="s">
        <v>2784</v>
      </c>
      <c r="X240" t="s">
        <v>2402</v>
      </c>
      <c r="Y240">
        <v>4820</v>
      </c>
      <c r="Z240" t="s">
        <v>2508</v>
      </c>
      <c r="AA240" t="s">
        <v>2572</v>
      </c>
      <c r="AB240">
        <v>10</v>
      </c>
      <c r="AC240" t="s">
        <v>2405</v>
      </c>
      <c r="AD240" t="s">
        <v>2406</v>
      </c>
      <c r="AE240">
        <v>5</v>
      </c>
      <c r="AF240" t="s">
        <v>2407</v>
      </c>
      <c r="AG240" t="s">
        <v>2408</v>
      </c>
      <c r="AH240">
        <v>0</v>
      </c>
      <c r="AI240">
        <v>0</v>
      </c>
      <c r="AJ240">
        <v>0</v>
      </c>
      <c r="AK240">
        <v>0</v>
      </c>
    </row>
    <row r="241" spans="1:37" x14ac:dyDescent="0.25">
      <c r="A241">
        <v>2010</v>
      </c>
      <c r="B241">
        <v>6707</v>
      </c>
      <c r="C241" t="s">
        <v>3850</v>
      </c>
      <c r="D241" t="s">
        <v>3851</v>
      </c>
      <c r="E241" t="s">
        <v>3852</v>
      </c>
      <c r="H241" t="s">
        <v>85</v>
      </c>
      <c r="J241" t="s">
        <v>3853</v>
      </c>
      <c r="K241" t="s">
        <v>3854</v>
      </c>
      <c r="L241">
        <v>56.031399999999998</v>
      </c>
      <c r="M241">
        <v>-117.9761</v>
      </c>
      <c r="N241">
        <v>1983</v>
      </c>
      <c r="O241">
        <v>486210</v>
      </c>
      <c r="P241">
        <v>10</v>
      </c>
      <c r="Q241" t="s">
        <v>2770</v>
      </c>
      <c r="R241" t="s">
        <v>2771</v>
      </c>
      <c r="S241">
        <v>4819</v>
      </c>
      <c r="T241" t="s">
        <v>2565</v>
      </c>
      <c r="U241">
        <v>4819071</v>
      </c>
      <c r="V241" t="s">
        <v>3855</v>
      </c>
      <c r="X241" t="s">
        <v>2402</v>
      </c>
      <c r="Y241">
        <v>4870</v>
      </c>
      <c r="Z241" t="s">
        <v>2473</v>
      </c>
      <c r="AA241" t="s">
        <v>2474</v>
      </c>
      <c r="AB241">
        <v>9</v>
      </c>
      <c r="AC241" t="s">
        <v>2475</v>
      </c>
      <c r="AD241" t="s">
        <v>2476</v>
      </c>
      <c r="AE241">
        <v>7</v>
      </c>
      <c r="AF241" t="s">
        <v>2477</v>
      </c>
      <c r="AG241" t="s">
        <v>2478</v>
      </c>
      <c r="AH241">
        <v>0</v>
      </c>
      <c r="AI241">
        <v>0</v>
      </c>
      <c r="AJ241">
        <v>0</v>
      </c>
      <c r="AK241">
        <v>0</v>
      </c>
    </row>
    <row r="242" spans="1:37" x14ac:dyDescent="0.25">
      <c r="A242">
        <v>2006</v>
      </c>
      <c r="B242">
        <v>7420</v>
      </c>
      <c r="C242" t="s">
        <v>3856</v>
      </c>
      <c r="D242" t="s">
        <v>3856</v>
      </c>
      <c r="E242" t="s">
        <v>3857</v>
      </c>
      <c r="G242" t="s">
        <v>3858</v>
      </c>
      <c r="H242" t="s">
        <v>21</v>
      </c>
      <c r="I242" t="s">
        <v>3859</v>
      </c>
      <c r="J242" t="s">
        <v>3860</v>
      </c>
      <c r="K242" t="s">
        <v>3861</v>
      </c>
      <c r="L242">
        <v>49.008000000000003</v>
      </c>
      <c r="M242">
        <v>-88.261799999999994</v>
      </c>
      <c r="N242">
        <v>1983</v>
      </c>
      <c r="O242">
        <v>321211</v>
      </c>
      <c r="P242">
        <v>18</v>
      </c>
      <c r="Q242" t="s">
        <v>2459</v>
      </c>
      <c r="R242" t="s">
        <v>2460</v>
      </c>
      <c r="S242">
        <v>3558</v>
      </c>
      <c r="T242" t="s">
        <v>3275</v>
      </c>
      <c r="U242">
        <v>3558044</v>
      </c>
      <c r="V242" t="s">
        <v>3862</v>
      </c>
      <c r="X242" t="s">
        <v>2402</v>
      </c>
      <c r="Y242">
        <v>3595</v>
      </c>
      <c r="Z242" t="s">
        <v>3277</v>
      </c>
      <c r="AA242" t="s">
        <v>3278</v>
      </c>
      <c r="AB242">
        <v>6</v>
      </c>
      <c r="AC242" t="s">
        <v>2465</v>
      </c>
      <c r="AD242" t="s">
        <v>2466</v>
      </c>
      <c r="AE242">
        <v>2</v>
      </c>
      <c r="AF242" t="s">
        <v>2422</v>
      </c>
      <c r="AG242" t="s">
        <v>2423</v>
      </c>
      <c r="AH242">
        <v>0</v>
      </c>
      <c r="AI242">
        <v>0</v>
      </c>
      <c r="AJ242">
        <v>0</v>
      </c>
      <c r="AK242">
        <v>0</v>
      </c>
    </row>
    <row r="243" spans="1:37" x14ac:dyDescent="0.25">
      <c r="A243">
        <v>2023</v>
      </c>
      <c r="B243">
        <v>17557</v>
      </c>
      <c r="C243" t="s">
        <v>2780</v>
      </c>
      <c r="D243" t="s">
        <v>3863</v>
      </c>
      <c r="H243" t="s">
        <v>85</v>
      </c>
      <c r="J243" t="s">
        <v>3864</v>
      </c>
      <c r="K243" t="s">
        <v>3865</v>
      </c>
      <c r="L243">
        <v>52.519399999999997</v>
      </c>
      <c r="M243">
        <v>-110.0852</v>
      </c>
      <c r="N243">
        <v>1983</v>
      </c>
      <c r="O243">
        <v>211110</v>
      </c>
      <c r="P243">
        <v>4</v>
      </c>
      <c r="Q243" t="s">
        <v>2398</v>
      </c>
      <c r="R243" t="s">
        <v>2399</v>
      </c>
      <c r="S243">
        <v>4807</v>
      </c>
      <c r="T243" t="s">
        <v>2611</v>
      </c>
      <c r="U243">
        <v>4807001</v>
      </c>
      <c r="V243" t="s">
        <v>2784</v>
      </c>
      <c r="X243" t="s">
        <v>2402</v>
      </c>
      <c r="Y243">
        <v>4820</v>
      </c>
      <c r="Z243" t="s">
        <v>2508</v>
      </c>
      <c r="AA243" t="s">
        <v>2572</v>
      </c>
      <c r="AB243">
        <v>10</v>
      </c>
      <c r="AC243" t="s">
        <v>2405</v>
      </c>
      <c r="AD243" t="s">
        <v>2406</v>
      </c>
      <c r="AE243">
        <v>5</v>
      </c>
      <c r="AF243" t="s">
        <v>2407</v>
      </c>
      <c r="AG243" t="s">
        <v>2408</v>
      </c>
      <c r="AH243">
        <v>0</v>
      </c>
      <c r="AI243">
        <v>0</v>
      </c>
      <c r="AJ243">
        <v>0</v>
      </c>
      <c r="AK243">
        <v>0</v>
      </c>
    </row>
    <row r="244" spans="1:37" x14ac:dyDescent="0.25">
      <c r="A244">
        <v>2022</v>
      </c>
      <c r="B244">
        <v>33405</v>
      </c>
      <c r="C244" t="s">
        <v>3866</v>
      </c>
      <c r="D244" t="s">
        <v>3867</v>
      </c>
      <c r="H244" t="s">
        <v>243</v>
      </c>
      <c r="J244" t="s">
        <v>3868</v>
      </c>
      <c r="K244" t="s">
        <v>3869</v>
      </c>
      <c r="L244">
        <v>53.123381999999999</v>
      </c>
      <c r="M244">
        <v>-109.579905</v>
      </c>
      <c r="N244">
        <v>1983</v>
      </c>
      <c r="O244">
        <v>211110</v>
      </c>
      <c r="P244">
        <v>4</v>
      </c>
      <c r="Q244" t="s">
        <v>2398</v>
      </c>
      <c r="R244" t="s">
        <v>2399</v>
      </c>
      <c r="S244">
        <v>4717</v>
      </c>
      <c r="T244" t="s">
        <v>2471</v>
      </c>
      <c r="U244">
        <v>4717022</v>
      </c>
      <c r="V244" t="s">
        <v>3396</v>
      </c>
      <c r="W244">
        <v>840</v>
      </c>
      <c r="X244" t="s">
        <v>3397</v>
      </c>
      <c r="Y244">
        <v>4750</v>
      </c>
      <c r="Z244" t="s">
        <v>3003</v>
      </c>
      <c r="AA244" t="s">
        <v>3238</v>
      </c>
      <c r="AB244">
        <v>10</v>
      </c>
      <c r="AC244" t="s">
        <v>2405</v>
      </c>
      <c r="AD244" t="s">
        <v>2406</v>
      </c>
      <c r="AE244">
        <v>5</v>
      </c>
      <c r="AF244" t="s">
        <v>2407</v>
      </c>
      <c r="AG244" t="s">
        <v>2408</v>
      </c>
      <c r="AH244">
        <v>0</v>
      </c>
      <c r="AI244">
        <v>0</v>
      </c>
      <c r="AJ244">
        <v>0</v>
      </c>
      <c r="AK244">
        <v>0</v>
      </c>
    </row>
    <row r="245" spans="1:37" x14ac:dyDescent="0.25">
      <c r="A245">
        <v>2015</v>
      </c>
      <c r="B245">
        <v>22000</v>
      </c>
      <c r="C245" t="s">
        <v>2708</v>
      </c>
      <c r="D245" t="s">
        <v>3870</v>
      </c>
      <c r="G245" t="s">
        <v>2088</v>
      </c>
      <c r="H245" t="s">
        <v>69</v>
      </c>
      <c r="J245" t="s">
        <v>3871</v>
      </c>
      <c r="K245" t="s">
        <v>3872</v>
      </c>
      <c r="L245">
        <v>56.485399999999998</v>
      </c>
      <c r="M245">
        <v>-120.63679999999999</v>
      </c>
      <c r="N245">
        <v>1983</v>
      </c>
      <c r="O245">
        <v>211113</v>
      </c>
      <c r="P245">
        <v>4</v>
      </c>
      <c r="Q245" t="s">
        <v>2398</v>
      </c>
      <c r="R245" t="s">
        <v>2399</v>
      </c>
      <c r="S245">
        <v>5955</v>
      </c>
      <c r="T245" t="s">
        <v>2492</v>
      </c>
      <c r="U245">
        <v>5955040</v>
      </c>
      <c r="V245" t="s">
        <v>2493</v>
      </c>
      <c r="X245" t="s">
        <v>2402</v>
      </c>
      <c r="Y245">
        <v>5980</v>
      </c>
      <c r="Z245" t="s">
        <v>2494</v>
      </c>
      <c r="AA245" t="s">
        <v>2495</v>
      </c>
      <c r="AB245">
        <v>9</v>
      </c>
      <c r="AC245" t="s">
        <v>2475</v>
      </c>
      <c r="AD245" t="s">
        <v>2476</v>
      </c>
      <c r="AE245">
        <v>7</v>
      </c>
      <c r="AF245" t="s">
        <v>2477</v>
      </c>
      <c r="AG245" t="s">
        <v>2478</v>
      </c>
      <c r="AH245">
        <v>0</v>
      </c>
      <c r="AI245">
        <v>0</v>
      </c>
      <c r="AJ245">
        <v>0</v>
      </c>
      <c r="AK245">
        <v>0</v>
      </c>
    </row>
    <row r="246" spans="1:37" x14ac:dyDescent="0.25">
      <c r="A246">
        <v>2009</v>
      </c>
      <c r="B246">
        <v>16193</v>
      </c>
      <c r="C246" t="s">
        <v>3873</v>
      </c>
      <c r="D246" t="s">
        <v>3874</v>
      </c>
      <c r="E246" t="s">
        <v>3875</v>
      </c>
      <c r="H246" t="s">
        <v>85</v>
      </c>
      <c r="J246" t="s">
        <v>3876</v>
      </c>
      <c r="K246" t="s">
        <v>3877</v>
      </c>
      <c r="L246">
        <v>50.553600000000003</v>
      </c>
      <c r="M246">
        <v>-113.553</v>
      </c>
      <c r="N246">
        <v>1983</v>
      </c>
      <c r="O246">
        <v>211113</v>
      </c>
      <c r="P246">
        <v>4</v>
      </c>
      <c r="Q246" t="s">
        <v>2398</v>
      </c>
      <c r="R246" t="s">
        <v>2399</v>
      </c>
      <c r="S246">
        <v>4805</v>
      </c>
      <c r="T246" t="s">
        <v>2669</v>
      </c>
      <c r="U246">
        <v>4805001</v>
      </c>
      <c r="V246" t="s">
        <v>3878</v>
      </c>
      <c r="X246" t="s">
        <v>2402</v>
      </c>
      <c r="Y246">
        <v>4820</v>
      </c>
      <c r="Z246" t="s">
        <v>2508</v>
      </c>
      <c r="AA246" t="s">
        <v>2604</v>
      </c>
      <c r="AB246">
        <v>10</v>
      </c>
      <c r="AC246" t="s">
        <v>2405</v>
      </c>
      <c r="AD246" t="s">
        <v>2406</v>
      </c>
      <c r="AE246">
        <v>5</v>
      </c>
      <c r="AF246" t="s">
        <v>2407</v>
      </c>
      <c r="AG246" t="s">
        <v>2408</v>
      </c>
      <c r="AH246">
        <v>0</v>
      </c>
      <c r="AI246">
        <v>0</v>
      </c>
      <c r="AJ246">
        <v>0</v>
      </c>
      <c r="AK246">
        <v>0</v>
      </c>
    </row>
    <row r="247" spans="1:37" x14ac:dyDescent="0.25">
      <c r="A247">
        <v>2023</v>
      </c>
      <c r="B247">
        <v>27120</v>
      </c>
      <c r="C247" t="s">
        <v>1573</v>
      </c>
      <c r="D247" t="s">
        <v>3879</v>
      </c>
      <c r="E247" t="s">
        <v>3880</v>
      </c>
      <c r="G247" t="s">
        <v>3881</v>
      </c>
      <c r="H247" t="s">
        <v>69</v>
      </c>
      <c r="I247" t="s">
        <v>3882</v>
      </c>
      <c r="K247" t="s">
        <v>3883</v>
      </c>
      <c r="L247">
        <v>48.866250000000001</v>
      </c>
      <c r="M247">
        <v>-123.64288000000001</v>
      </c>
      <c r="N247">
        <v>1983</v>
      </c>
      <c r="O247">
        <v>221320</v>
      </c>
      <c r="P247">
        <v>17</v>
      </c>
      <c r="Q247" t="s">
        <v>2804</v>
      </c>
      <c r="R247" t="s">
        <v>2805</v>
      </c>
      <c r="S247">
        <v>5919</v>
      </c>
      <c r="T247" t="s">
        <v>3884</v>
      </c>
      <c r="U247">
        <v>5919008</v>
      </c>
      <c r="V247" t="s">
        <v>3885</v>
      </c>
      <c r="W247">
        <v>937</v>
      </c>
      <c r="X247" t="s">
        <v>3886</v>
      </c>
      <c r="Y247">
        <v>5910</v>
      </c>
      <c r="Z247" t="s">
        <v>3887</v>
      </c>
      <c r="AA247" t="s">
        <v>3888</v>
      </c>
      <c r="AB247">
        <v>13</v>
      </c>
      <c r="AC247" t="s">
        <v>2626</v>
      </c>
      <c r="AD247" t="s">
        <v>2627</v>
      </c>
      <c r="AE247">
        <v>8</v>
      </c>
      <c r="AF247" t="s">
        <v>2584</v>
      </c>
      <c r="AG247" t="s">
        <v>2585</v>
      </c>
      <c r="AH247">
        <v>0</v>
      </c>
      <c r="AI247">
        <v>0</v>
      </c>
      <c r="AJ247">
        <v>0</v>
      </c>
      <c r="AK247">
        <v>0</v>
      </c>
    </row>
    <row r="248" spans="1:37" x14ac:dyDescent="0.25">
      <c r="A248">
        <v>2023</v>
      </c>
      <c r="B248">
        <v>33544</v>
      </c>
      <c r="C248" t="s">
        <v>3075</v>
      </c>
      <c r="D248" t="s">
        <v>3889</v>
      </c>
      <c r="E248" t="s">
        <v>3890</v>
      </c>
      <c r="G248" t="s">
        <v>3891</v>
      </c>
      <c r="H248" t="s">
        <v>85</v>
      </c>
      <c r="I248" t="s">
        <v>3892</v>
      </c>
      <c r="J248" t="s">
        <v>3893</v>
      </c>
      <c r="K248" t="s">
        <v>3894</v>
      </c>
      <c r="L248">
        <v>51.271920000000001</v>
      </c>
      <c r="M248">
        <v>-113.62554</v>
      </c>
      <c r="N248">
        <v>1983</v>
      </c>
      <c r="O248">
        <v>411120</v>
      </c>
      <c r="P248">
        <v>19</v>
      </c>
      <c r="Q248" t="s">
        <v>2552</v>
      </c>
      <c r="R248" t="s">
        <v>2553</v>
      </c>
      <c r="S248">
        <v>4806</v>
      </c>
      <c r="T248" t="s">
        <v>2663</v>
      </c>
      <c r="U248">
        <v>4806014</v>
      </c>
      <c r="V248" t="s">
        <v>3895</v>
      </c>
      <c r="W248">
        <v>825</v>
      </c>
      <c r="X248" t="s">
        <v>2664</v>
      </c>
      <c r="Y248">
        <v>4830</v>
      </c>
      <c r="Z248" t="s">
        <v>2664</v>
      </c>
      <c r="AA248" t="s">
        <v>2634</v>
      </c>
      <c r="AB248">
        <v>10</v>
      </c>
      <c r="AC248" t="s">
        <v>2405</v>
      </c>
      <c r="AD248" t="s">
        <v>2406</v>
      </c>
      <c r="AE248">
        <v>5</v>
      </c>
      <c r="AF248" t="s">
        <v>2407</v>
      </c>
      <c r="AG248" t="s">
        <v>2408</v>
      </c>
      <c r="AH248">
        <v>0</v>
      </c>
      <c r="AI248">
        <v>0</v>
      </c>
      <c r="AJ248">
        <v>0</v>
      </c>
      <c r="AK248">
        <v>0</v>
      </c>
    </row>
    <row r="249" spans="1:37" x14ac:dyDescent="0.25">
      <c r="A249">
        <v>2020</v>
      </c>
      <c r="B249">
        <v>30845</v>
      </c>
      <c r="C249" t="s">
        <v>1043</v>
      </c>
      <c r="D249" t="s">
        <v>3896</v>
      </c>
      <c r="E249" t="s">
        <v>3897</v>
      </c>
      <c r="G249" t="s">
        <v>3898</v>
      </c>
      <c r="H249" t="s">
        <v>243</v>
      </c>
      <c r="I249" t="s">
        <v>3899</v>
      </c>
      <c r="J249" t="s">
        <v>3900</v>
      </c>
      <c r="K249" t="s">
        <v>3901</v>
      </c>
      <c r="L249">
        <v>53.308900000000001</v>
      </c>
      <c r="M249">
        <v>-109.6467</v>
      </c>
      <c r="N249">
        <v>1983</v>
      </c>
      <c r="O249">
        <v>493190</v>
      </c>
      <c r="P249">
        <v>19</v>
      </c>
      <c r="Q249" t="s">
        <v>2552</v>
      </c>
      <c r="R249" t="s">
        <v>2553</v>
      </c>
      <c r="S249">
        <v>4717</v>
      </c>
      <c r="T249" t="s">
        <v>2471</v>
      </c>
      <c r="U249">
        <v>4717028</v>
      </c>
      <c r="V249" t="s">
        <v>3002</v>
      </c>
      <c r="X249" t="s">
        <v>2402</v>
      </c>
      <c r="Y249">
        <v>4750</v>
      </c>
      <c r="Z249" t="s">
        <v>3003</v>
      </c>
      <c r="AA249" t="s">
        <v>3004</v>
      </c>
      <c r="AB249">
        <v>10</v>
      </c>
      <c r="AC249" t="s">
        <v>2405</v>
      </c>
      <c r="AD249" t="s">
        <v>2406</v>
      </c>
      <c r="AE249">
        <v>5</v>
      </c>
      <c r="AF249" t="s">
        <v>2407</v>
      </c>
      <c r="AG249" t="s">
        <v>2408</v>
      </c>
      <c r="AH249">
        <v>0</v>
      </c>
      <c r="AI249">
        <v>0</v>
      </c>
      <c r="AJ249">
        <v>0</v>
      </c>
      <c r="AK249">
        <v>0</v>
      </c>
    </row>
    <row r="250" spans="1:37" x14ac:dyDescent="0.25">
      <c r="A250">
        <v>2022</v>
      </c>
      <c r="B250">
        <v>30121</v>
      </c>
      <c r="C250" t="s">
        <v>3297</v>
      </c>
      <c r="D250" t="s">
        <v>3902</v>
      </c>
      <c r="G250" t="s">
        <v>2664</v>
      </c>
      <c r="H250" t="s">
        <v>85</v>
      </c>
      <c r="J250" t="s">
        <v>3903</v>
      </c>
      <c r="K250" t="s">
        <v>3904</v>
      </c>
      <c r="L250">
        <v>52.361040000000003</v>
      </c>
      <c r="M250">
        <v>-115.12513</v>
      </c>
      <c r="N250">
        <v>1983</v>
      </c>
      <c r="O250">
        <v>211110</v>
      </c>
      <c r="P250">
        <v>4</v>
      </c>
      <c r="Q250" t="s">
        <v>2398</v>
      </c>
      <c r="R250" t="s">
        <v>2399</v>
      </c>
      <c r="S250">
        <v>4809</v>
      </c>
      <c r="T250" t="s">
        <v>2631</v>
      </c>
      <c r="U250">
        <v>4809002</v>
      </c>
      <c r="V250" t="s">
        <v>2632</v>
      </c>
      <c r="X250" t="s">
        <v>2402</v>
      </c>
      <c r="Y250">
        <v>4840</v>
      </c>
      <c r="Z250" t="s">
        <v>2633</v>
      </c>
      <c r="AA250" t="s">
        <v>2793</v>
      </c>
      <c r="AB250">
        <v>9</v>
      </c>
      <c r="AC250" t="s">
        <v>2475</v>
      </c>
      <c r="AD250" t="s">
        <v>2476</v>
      </c>
      <c r="AE250">
        <v>5</v>
      </c>
      <c r="AF250" t="s">
        <v>2407</v>
      </c>
      <c r="AG250" t="s">
        <v>2408</v>
      </c>
      <c r="AH250">
        <v>0</v>
      </c>
      <c r="AI250">
        <v>0</v>
      </c>
      <c r="AJ250">
        <v>0</v>
      </c>
      <c r="AK250">
        <v>0</v>
      </c>
    </row>
    <row r="251" spans="1:37" x14ac:dyDescent="0.25">
      <c r="A251">
        <v>2015</v>
      </c>
      <c r="B251">
        <v>28382</v>
      </c>
      <c r="C251" t="s">
        <v>3905</v>
      </c>
      <c r="D251" t="s">
        <v>3906</v>
      </c>
      <c r="H251" t="s">
        <v>69</v>
      </c>
      <c r="J251" t="s">
        <v>3907</v>
      </c>
      <c r="K251" t="s">
        <v>3908</v>
      </c>
      <c r="L251">
        <v>56.313712000000002</v>
      </c>
      <c r="M251">
        <v>-121.048102</v>
      </c>
      <c r="N251">
        <v>1983</v>
      </c>
      <c r="O251">
        <v>211113</v>
      </c>
      <c r="P251">
        <v>4</v>
      </c>
      <c r="Q251" t="s">
        <v>2398</v>
      </c>
      <c r="R251" t="s">
        <v>2399</v>
      </c>
      <c r="S251">
        <v>5955</v>
      </c>
      <c r="T251" t="s">
        <v>2492</v>
      </c>
      <c r="U251">
        <v>5955042</v>
      </c>
      <c r="V251" t="s">
        <v>3118</v>
      </c>
      <c r="W251">
        <v>977</v>
      </c>
      <c r="X251" t="s">
        <v>3119</v>
      </c>
      <c r="Y251">
        <v>5980</v>
      </c>
      <c r="Z251" t="s">
        <v>2494</v>
      </c>
      <c r="AA251" t="s">
        <v>2495</v>
      </c>
      <c r="AB251">
        <v>9</v>
      </c>
      <c r="AC251" t="s">
        <v>2475</v>
      </c>
      <c r="AD251" t="s">
        <v>2476</v>
      </c>
      <c r="AE251">
        <v>7</v>
      </c>
      <c r="AF251" t="s">
        <v>2477</v>
      </c>
      <c r="AG251" t="s">
        <v>2478</v>
      </c>
      <c r="AH251">
        <v>0</v>
      </c>
      <c r="AI251">
        <v>0</v>
      </c>
      <c r="AJ251">
        <v>0</v>
      </c>
      <c r="AK251">
        <v>0</v>
      </c>
    </row>
    <row r="252" spans="1:37" x14ac:dyDescent="0.25">
      <c r="A252">
        <v>2014</v>
      </c>
      <c r="B252">
        <v>28565</v>
      </c>
      <c r="C252" t="s">
        <v>3909</v>
      </c>
      <c r="D252" t="s">
        <v>3910</v>
      </c>
      <c r="G252" t="s">
        <v>3911</v>
      </c>
      <c r="H252" t="s">
        <v>69</v>
      </c>
      <c r="J252" t="s">
        <v>3912</v>
      </c>
      <c r="K252" t="s">
        <v>3913</v>
      </c>
      <c r="L252">
        <v>58.868749999999999</v>
      </c>
      <c r="M252">
        <v>-121.28437</v>
      </c>
      <c r="N252">
        <v>1983</v>
      </c>
      <c r="O252">
        <v>211113</v>
      </c>
      <c r="P252">
        <v>4</v>
      </c>
      <c r="Q252" t="s">
        <v>2398</v>
      </c>
      <c r="R252" t="s">
        <v>2399</v>
      </c>
      <c r="S252">
        <v>5959</v>
      </c>
      <c r="T252" t="s">
        <v>3914</v>
      </c>
      <c r="U252">
        <v>5959007</v>
      </c>
      <c r="V252" t="s">
        <v>3914</v>
      </c>
      <c r="X252" t="s">
        <v>2402</v>
      </c>
      <c r="Y252">
        <v>5980</v>
      </c>
      <c r="Z252" t="s">
        <v>2494</v>
      </c>
      <c r="AA252" t="s">
        <v>2495</v>
      </c>
      <c r="AB252">
        <v>4</v>
      </c>
      <c r="AC252" t="s">
        <v>2496</v>
      </c>
      <c r="AD252" t="s">
        <v>2497</v>
      </c>
      <c r="AE252">
        <v>7</v>
      </c>
      <c r="AF252" t="s">
        <v>2477</v>
      </c>
      <c r="AG252" t="s">
        <v>2478</v>
      </c>
      <c r="AH252">
        <v>0</v>
      </c>
      <c r="AI252">
        <v>0</v>
      </c>
      <c r="AJ252">
        <v>0</v>
      </c>
      <c r="AK252">
        <v>0</v>
      </c>
    </row>
    <row r="253" spans="1:37" x14ac:dyDescent="0.25">
      <c r="A253">
        <v>2005</v>
      </c>
      <c r="B253">
        <v>17506</v>
      </c>
      <c r="C253" t="s">
        <v>2126</v>
      </c>
      <c r="D253" t="s">
        <v>3915</v>
      </c>
      <c r="E253" t="s">
        <v>3916</v>
      </c>
      <c r="G253" t="s">
        <v>3917</v>
      </c>
      <c r="H253" t="s">
        <v>85</v>
      </c>
      <c r="J253" t="s">
        <v>3918</v>
      </c>
      <c r="K253" t="s">
        <v>3919</v>
      </c>
      <c r="L253">
        <v>53.515900000000002</v>
      </c>
      <c r="M253">
        <v>-114.7253</v>
      </c>
      <c r="N253">
        <v>1983</v>
      </c>
      <c r="O253">
        <v>213118</v>
      </c>
      <c r="P253">
        <v>19</v>
      </c>
      <c r="Q253" t="s">
        <v>2552</v>
      </c>
      <c r="R253" t="s">
        <v>2553</v>
      </c>
      <c r="S253">
        <v>4811</v>
      </c>
      <c r="T253" t="s">
        <v>2643</v>
      </c>
      <c r="U253">
        <v>4811034</v>
      </c>
      <c r="V253" t="s">
        <v>3920</v>
      </c>
      <c r="W253">
        <v>835</v>
      </c>
      <c r="X253" t="s">
        <v>2645</v>
      </c>
      <c r="Y253">
        <v>4860</v>
      </c>
      <c r="Z253" t="s">
        <v>2645</v>
      </c>
      <c r="AA253" t="s">
        <v>2839</v>
      </c>
      <c r="AB253">
        <v>9</v>
      </c>
      <c r="AC253" t="s">
        <v>2475</v>
      </c>
      <c r="AD253" t="s">
        <v>2476</v>
      </c>
      <c r="AE253">
        <v>5</v>
      </c>
      <c r="AF253" t="s">
        <v>2407</v>
      </c>
      <c r="AG253" t="s">
        <v>2408</v>
      </c>
      <c r="AH253">
        <v>0</v>
      </c>
      <c r="AI253">
        <v>0</v>
      </c>
      <c r="AJ253">
        <v>0</v>
      </c>
      <c r="AK253">
        <v>0</v>
      </c>
    </row>
    <row r="254" spans="1:37" x14ac:dyDescent="0.25">
      <c r="A254">
        <v>2023</v>
      </c>
      <c r="B254">
        <v>15024</v>
      </c>
      <c r="C254" t="s">
        <v>3921</v>
      </c>
      <c r="D254" t="s">
        <v>3922</v>
      </c>
      <c r="G254" t="s">
        <v>2664</v>
      </c>
      <c r="H254" t="s">
        <v>85</v>
      </c>
      <c r="J254" t="s">
        <v>3923</v>
      </c>
      <c r="K254" t="s">
        <v>3924</v>
      </c>
      <c r="L254">
        <v>52.4129</v>
      </c>
      <c r="M254">
        <v>-114.4076</v>
      </c>
      <c r="N254">
        <v>1983</v>
      </c>
      <c r="O254">
        <v>211110</v>
      </c>
      <c r="P254">
        <v>4</v>
      </c>
      <c r="Q254" t="s">
        <v>2398</v>
      </c>
      <c r="R254" t="s">
        <v>2399</v>
      </c>
      <c r="S254">
        <v>4808</v>
      </c>
      <c r="T254" t="s">
        <v>2400</v>
      </c>
      <c r="U254">
        <v>4808022</v>
      </c>
      <c r="V254" t="s">
        <v>3641</v>
      </c>
      <c r="X254" t="s">
        <v>2402</v>
      </c>
      <c r="Y254">
        <v>4850</v>
      </c>
      <c r="Z254" t="s">
        <v>1340</v>
      </c>
      <c r="AA254" t="s">
        <v>2634</v>
      </c>
      <c r="AB254">
        <v>9</v>
      </c>
      <c r="AC254" t="s">
        <v>2475</v>
      </c>
      <c r="AD254" t="s">
        <v>2476</v>
      </c>
      <c r="AE254">
        <v>5</v>
      </c>
      <c r="AF254" t="s">
        <v>2407</v>
      </c>
      <c r="AG254" t="s">
        <v>2408</v>
      </c>
      <c r="AH254">
        <v>0</v>
      </c>
      <c r="AI254">
        <v>0</v>
      </c>
      <c r="AJ254">
        <v>0</v>
      </c>
      <c r="AK254">
        <v>0</v>
      </c>
    </row>
    <row r="255" spans="1:37" x14ac:dyDescent="0.25">
      <c r="A255">
        <v>2020</v>
      </c>
      <c r="B255">
        <v>28827</v>
      </c>
      <c r="C255" t="s">
        <v>3925</v>
      </c>
      <c r="D255" t="s">
        <v>3926</v>
      </c>
      <c r="H255" t="s">
        <v>85</v>
      </c>
      <c r="J255" t="s">
        <v>3927</v>
      </c>
      <c r="K255" t="s">
        <v>3928</v>
      </c>
      <c r="L255">
        <v>53.437474000000002</v>
      </c>
      <c r="M255">
        <v>-116.559714</v>
      </c>
      <c r="N255">
        <v>1983</v>
      </c>
      <c r="O255">
        <v>211110</v>
      </c>
      <c r="P255">
        <v>4</v>
      </c>
      <c r="Q255" t="s">
        <v>2398</v>
      </c>
      <c r="R255" t="s">
        <v>2399</v>
      </c>
      <c r="S255">
        <v>4814</v>
      </c>
      <c r="T255" t="s">
        <v>3256</v>
      </c>
      <c r="U255">
        <v>4814003</v>
      </c>
      <c r="V255" t="s">
        <v>3257</v>
      </c>
      <c r="X255" t="s">
        <v>2402</v>
      </c>
      <c r="Y255">
        <v>4840</v>
      </c>
      <c r="Z255" t="s">
        <v>2633</v>
      </c>
      <c r="AA255" t="s">
        <v>3929</v>
      </c>
      <c r="AB255">
        <v>9</v>
      </c>
      <c r="AC255" t="s">
        <v>2475</v>
      </c>
      <c r="AD255" t="s">
        <v>2476</v>
      </c>
      <c r="AE255">
        <v>7</v>
      </c>
      <c r="AF255" t="s">
        <v>2477</v>
      </c>
      <c r="AG255" t="s">
        <v>2478</v>
      </c>
      <c r="AH255">
        <v>0</v>
      </c>
      <c r="AI255">
        <v>0</v>
      </c>
      <c r="AJ255">
        <v>0</v>
      </c>
      <c r="AK255">
        <v>0</v>
      </c>
    </row>
    <row r="256" spans="1:37" x14ac:dyDescent="0.25">
      <c r="A256">
        <v>2021</v>
      </c>
      <c r="B256">
        <v>32582</v>
      </c>
      <c r="C256" t="s">
        <v>1791</v>
      </c>
      <c r="D256" t="s">
        <v>3930</v>
      </c>
      <c r="H256" t="s">
        <v>243</v>
      </c>
      <c r="J256" t="s">
        <v>3931</v>
      </c>
      <c r="K256" t="s">
        <v>3932</v>
      </c>
      <c r="L256">
        <v>49.088951999999999</v>
      </c>
      <c r="M256">
        <v>-104.014673</v>
      </c>
      <c r="N256">
        <v>1983</v>
      </c>
      <c r="O256">
        <v>211110</v>
      </c>
      <c r="P256">
        <v>4</v>
      </c>
      <c r="Q256" t="s">
        <v>2398</v>
      </c>
      <c r="R256" t="s">
        <v>2399</v>
      </c>
      <c r="S256">
        <v>4702</v>
      </c>
      <c r="T256" t="s">
        <v>2696</v>
      </c>
      <c r="U256">
        <v>4702011</v>
      </c>
      <c r="V256" t="s">
        <v>3933</v>
      </c>
      <c r="X256" t="s">
        <v>2402</v>
      </c>
      <c r="Y256">
        <v>4710</v>
      </c>
      <c r="Z256" t="s">
        <v>2525</v>
      </c>
      <c r="AA256" t="s">
        <v>2655</v>
      </c>
      <c r="AB256">
        <v>10</v>
      </c>
      <c r="AC256" t="s">
        <v>2405</v>
      </c>
      <c r="AD256" t="s">
        <v>2406</v>
      </c>
      <c r="AE256">
        <v>5</v>
      </c>
      <c r="AF256" t="s">
        <v>2407</v>
      </c>
      <c r="AG256" t="s">
        <v>2408</v>
      </c>
      <c r="AH256">
        <v>0</v>
      </c>
      <c r="AI256">
        <v>0</v>
      </c>
      <c r="AJ256">
        <v>0</v>
      </c>
      <c r="AK256">
        <v>0</v>
      </c>
    </row>
    <row r="257" spans="1:37" x14ac:dyDescent="0.25">
      <c r="A257">
        <v>2010</v>
      </c>
      <c r="B257">
        <v>1708</v>
      </c>
      <c r="C257" t="s">
        <v>3934</v>
      </c>
      <c r="D257" t="s">
        <v>3935</v>
      </c>
      <c r="E257" t="s">
        <v>3936</v>
      </c>
      <c r="G257" t="s">
        <v>3937</v>
      </c>
      <c r="H257" t="s">
        <v>661</v>
      </c>
      <c r="I257" t="s">
        <v>3938</v>
      </c>
      <c r="K257" t="s">
        <v>3939</v>
      </c>
      <c r="L257">
        <v>46.057200000000002</v>
      </c>
      <c r="M257">
        <v>-66.005099999999999</v>
      </c>
      <c r="N257">
        <v>1983</v>
      </c>
      <c r="O257">
        <v>221112</v>
      </c>
      <c r="P257">
        <v>5</v>
      </c>
      <c r="Q257" t="s">
        <v>2836</v>
      </c>
      <c r="R257" t="s">
        <v>2837</v>
      </c>
      <c r="S257">
        <v>1304</v>
      </c>
      <c r="T257" t="s">
        <v>3940</v>
      </c>
      <c r="U257">
        <v>1304021</v>
      </c>
      <c r="V257" t="s">
        <v>3941</v>
      </c>
      <c r="X257" t="s">
        <v>2402</v>
      </c>
      <c r="Y257">
        <v>1340</v>
      </c>
      <c r="Z257" t="s">
        <v>3942</v>
      </c>
      <c r="AA257" t="s">
        <v>3943</v>
      </c>
      <c r="AB257">
        <v>7</v>
      </c>
      <c r="AC257" t="s">
        <v>2996</v>
      </c>
      <c r="AD257" t="s">
        <v>2997</v>
      </c>
      <c r="AE257">
        <v>1</v>
      </c>
      <c r="AF257" t="s">
        <v>3479</v>
      </c>
      <c r="AG257" t="s">
        <v>3480</v>
      </c>
      <c r="AH257">
        <v>1</v>
      </c>
      <c r="AI257">
        <v>0</v>
      </c>
      <c r="AJ257">
        <v>0</v>
      </c>
      <c r="AK257">
        <v>0</v>
      </c>
    </row>
    <row r="258" spans="1:37" x14ac:dyDescent="0.25">
      <c r="A258">
        <v>2013</v>
      </c>
      <c r="B258">
        <v>27896</v>
      </c>
      <c r="C258" t="s">
        <v>676</v>
      </c>
      <c r="D258" t="s">
        <v>3944</v>
      </c>
      <c r="E258" t="s">
        <v>3945</v>
      </c>
      <c r="G258" t="s">
        <v>3562</v>
      </c>
      <c r="H258" t="s">
        <v>21</v>
      </c>
      <c r="I258" t="s">
        <v>3946</v>
      </c>
      <c r="K258" t="s">
        <v>3947</v>
      </c>
      <c r="L258">
        <v>43.754939999999998</v>
      </c>
      <c r="M258">
        <v>-79.288970000000006</v>
      </c>
      <c r="N258">
        <v>1983</v>
      </c>
      <c r="O258">
        <v>336410</v>
      </c>
      <c r="P258">
        <v>15</v>
      </c>
      <c r="Q258" t="s">
        <v>2592</v>
      </c>
      <c r="R258" t="s">
        <v>2593</v>
      </c>
      <c r="S258">
        <v>3520</v>
      </c>
      <c r="T258" t="s">
        <v>2439</v>
      </c>
      <c r="U258">
        <v>3520005</v>
      </c>
      <c r="V258" t="s">
        <v>2439</v>
      </c>
      <c r="W258">
        <v>535</v>
      </c>
      <c r="X258" t="s">
        <v>2439</v>
      </c>
      <c r="Y258">
        <v>3530</v>
      </c>
      <c r="Z258" t="s">
        <v>2439</v>
      </c>
      <c r="AA258" t="s">
        <v>3948</v>
      </c>
      <c r="AB258">
        <v>8</v>
      </c>
      <c r="AC258" t="s">
        <v>2420</v>
      </c>
      <c r="AD258" t="s">
        <v>2421</v>
      </c>
      <c r="AE258">
        <v>2</v>
      </c>
      <c r="AF258" t="s">
        <v>2422</v>
      </c>
      <c r="AG258" t="s">
        <v>2423</v>
      </c>
      <c r="AH258">
        <v>1</v>
      </c>
      <c r="AI258">
        <v>1</v>
      </c>
      <c r="AJ258">
        <v>0</v>
      </c>
      <c r="AK258">
        <v>1</v>
      </c>
    </row>
    <row r="259" spans="1:37" x14ac:dyDescent="0.25">
      <c r="A259">
        <v>2013</v>
      </c>
      <c r="B259">
        <v>19483</v>
      </c>
      <c r="C259" t="s">
        <v>2840</v>
      </c>
      <c r="D259" t="s">
        <v>3949</v>
      </c>
      <c r="G259" t="s">
        <v>3950</v>
      </c>
      <c r="H259" t="s">
        <v>85</v>
      </c>
      <c r="I259" t="s">
        <v>3951</v>
      </c>
      <c r="J259" t="s">
        <v>3952</v>
      </c>
      <c r="K259" t="s">
        <v>3953</v>
      </c>
      <c r="L259">
        <v>57.211799999999997</v>
      </c>
      <c r="M259">
        <v>-118.0108</v>
      </c>
      <c r="N259">
        <v>1983</v>
      </c>
      <c r="O259">
        <v>211113</v>
      </c>
      <c r="P259">
        <v>4</v>
      </c>
      <c r="Q259" t="s">
        <v>2398</v>
      </c>
      <c r="R259" t="s">
        <v>2399</v>
      </c>
      <c r="S259">
        <v>4817</v>
      </c>
      <c r="T259" t="s">
        <v>2471</v>
      </c>
      <c r="U259">
        <v>4817076</v>
      </c>
      <c r="V259" t="s">
        <v>3954</v>
      </c>
      <c r="X259" t="s">
        <v>2402</v>
      </c>
      <c r="Y259">
        <v>4870</v>
      </c>
      <c r="Z259" t="s">
        <v>2473</v>
      </c>
      <c r="AA259" t="s">
        <v>2474</v>
      </c>
      <c r="AB259">
        <v>9</v>
      </c>
      <c r="AC259" t="s">
        <v>2475</v>
      </c>
      <c r="AD259" t="s">
        <v>2476</v>
      </c>
      <c r="AE259">
        <v>7</v>
      </c>
      <c r="AF259" t="s">
        <v>2477</v>
      </c>
      <c r="AG259" t="s">
        <v>2478</v>
      </c>
      <c r="AH259">
        <v>0</v>
      </c>
      <c r="AI259">
        <v>0</v>
      </c>
      <c r="AJ259">
        <v>0</v>
      </c>
      <c r="AK259">
        <v>0</v>
      </c>
    </row>
    <row r="260" spans="1:37" x14ac:dyDescent="0.25">
      <c r="A260">
        <v>2023</v>
      </c>
      <c r="B260">
        <v>34732</v>
      </c>
      <c r="C260" t="s">
        <v>3955</v>
      </c>
      <c r="D260" t="s">
        <v>3956</v>
      </c>
      <c r="H260" t="s">
        <v>85</v>
      </c>
      <c r="I260" t="s">
        <v>3957</v>
      </c>
      <c r="J260" t="s">
        <v>3958</v>
      </c>
      <c r="K260" t="s">
        <v>3959</v>
      </c>
      <c r="L260">
        <v>52.082878000000001</v>
      </c>
      <c r="M260">
        <v>-110.388963</v>
      </c>
      <c r="N260">
        <v>1983</v>
      </c>
      <c r="O260">
        <v>211110</v>
      </c>
      <c r="P260">
        <v>4</v>
      </c>
      <c r="Q260" t="s">
        <v>2398</v>
      </c>
      <c r="R260" t="s">
        <v>2399</v>
      </c>
      <c r="S260">
        <v>4804</v>
      </c>
      <c r="T260" t="s">
        <v>2506</v>
      </c>
      <c r="U260">
        <v>4804020</v>
      </c>
      <c r="V260" t="s">
        <v>2507</v>
      </c>
      <c r="X260" t="s">
        <v>2402</v>
      </c>
      <c r="Y260">
        <v>4820</v>
      </c>
      <c r="Z260" t="s">
        <v>2508</v>
      </c>
      <c r="AA260" t="s">
        <v>2509</v>
      </c>
      <c r="AB260">
        <v>10</v>
      </c>
      <c r="AC260" t="s">
        <v>2405</v>
      </c>
      <c r="AD260" t="s">
        <v>2406</v>
      </c>
      <c r="AE260">
        <v>5</v>
      </c>
      <c r="AF260" t="s">
        <v>2407</v>
      </c>
      <c r="AG260" t="s">
        <v>2408</v>
      </c>
      <c r="AH260">
        <v>0</v>
      </c>
      <c r="AI260">
        <v>0</v>
      </c>
      <c r="AJ260">
        <v>0</v>
      </c>
      <c r="AK260">
        <v>0</v>
      </c>
    </row>
    <row r="261" spans="1:37" x14ac:dyDescent="0.25">
      <c r="A261">
        <v>2023</v>
      </c>
      <c r="B261">
        <v>21580</v>
      </c>
      <c r="C261" t="s">
        <v>3960</v>
      </c>
      <c r="D261" t="s">
        <v>3961</v>
      </c>
      <c r="H261" t="s">
        <v>243</v>
      </c>
      <c r="I261" t="s">
        <v>3962</v>
      </c>
      <c r="J261" t="s">
        <v>3963</v>
      </c>
      <c r="K261" t="s">
        <v>3964</v>
      </c>
      <c r="L261">
        <v>49.615900000000003</v>
      </c>
      <c r="M261">
        <v>-103.20180000000001</v>
      </c>
      <c r="N261">
        <v>1983</v>
      </c>
      <c r="O261">
        <v>211110</v>
      </c>
      <c r="P261">
        <v>4</v>
      </c>
      <c r="Q261" t="s">
        <v>2398</v>
      </c>
      <c r="R261" t="s">
        <v>2399</v>
      </c>
      <c r="S261">
        <v>4701</v>
      </c>
      <c r="T261" t="s">
        <v>2523</v>
      </c>
      <c r="U261">
        <v>4701063</v>
      </c>
      <c r="V261" t="s">
        <v>2524</v>
      </c>
      <c r="X261" t="s">
        <v>2402</v>
      </c>
      <c r="Y261">
        <v>4710</v>
      </c>
      <c r="Z261" t="s">
        <v>2525</v>
      </c>
      <c r="AA261" t="s">
        <v>2526</v>
      </c>
      <c r="AB261">
        <v>10</v>
      </c>
      <c r="AC261" t="s">
        <v>2405</v>
      </c>
      <c r="AD261" t="s">
        <v>2406</v>
      </c>
      <c r="AE261">
        <v>5</v>
      </c>
      <c r="AF261" t="s">
        <v>2407</v>
      </c>
      <c r="AG261" t="s">
        <v>2408</v>
      </c>
      <c r="AH261">
        <v>0</v>
      </c>
      <c r="AI261">
        <v>0</v>
      </c>
      <c r="AJ261">
        <v>0</v>
      </c>
      <c r="AK261">
        <v>0</v>
      </c>
    </row>
    <row r="262" spans="1:37" x14ac:dyDescent="0.25">
      <c r="A262">
        <v>2023</v>
      </c>
      <c r="B262">
        <v>5445</v>
      </c>
      <c r="C262" t="s">
        <v>3965</v>
      </c>
      <c r="D262" t="s">
        <v>3966</v>
      </c>
      <c r="E262" t="s">
        <v>3967</v>
      </c>
      <c r="G262" t="s">
        <v>3968</v>
      </c>
      <c r="H262" t="s">
        <v>79</v>
      </c>
      <c r="I262" t="s">
        <v>3969</v>
      </c>
      <c r="K262" t="s">
        <v>3970</v>
      </c>
      <c r="L262">
        <v>46.110799999999998</v>
      </c>
      <c r="M262">
        <v>-71.295500000000004</v>
      </c>
      <c r="N262">
        <v>1983</v>
      </c>
      <c r="O262">
        <v>339990</v>
      </c>
      <c r="P262">
        <v>11</v>
      </c>
      <c r="Q262" t="s">
        <v>2532</v>
      </c>
      <c r="R262" t="s">
        <v>2533</v>
      </c>
      <c r="S262">
        <v>2431</v>
      </c>
      <c r="T262" t="s">
        <v>3971</v>
      </c>
      <c r="U262">
        <v>2431084</v>
      </c>
      <c r="V262" t="s">
        <v>3968</v>
      </c>
      <c r="W262">
        <v>430</v>
      </c>
      <c r="X262" t="s">
        <v>3968</v>
      </c>
      <c r="Y262">
        <v>2425</v>
      </c>
      <c r="Z262" t="s">
        <v>3972</v>
      </c>
      <c r="AA262" t="s">
        <v>3973</v>
      </c>
      <c r="AB262">
        <v>7</v>
      </c>
      <c r="AC262" t="s">
        <v>2996</v>
      </c>
      <c r="AD262" t="s">
        <v>2997</v>
      </c>
      <c r="AE262">
        <v>2</v>
      </c>
      <c r="AF262" t="s">
        <v>2422</v>
      </c>
      <c r="AG262" t="s">
        <v>2423</v>
      </c>
      <c r="AH262">
        <v>1</v>
      </c>
      <c r="AI262">
        <v>0</v>
      </c>
      <c r="AJ262">
        <v>1</v>
      </c>
      <c r="AK262">
        <v>1</v>
      </c>
    </row>
    <row r="263" spans="1:37" x14ac:dyDescent="0.25">
      <c r="A263">
        <v>2018</v>
      </c>
      <c r="B263">
        <v>25151</v>
      </c>
      <c r="C263" t="s">
        <v>3974</v>
      </c>
      <c r="D263" t="s">
        <v>3975</v>
      </c>
      <c r="E263" t="s">
        <v>3976</v>
      </c>
      <c r="G263" t="s">
        <v>3977</v>
      </c>
      <c r="H263" t="s">
        <v>85</v>
      </c>
      <c r="I263" t="s">
        <v>3978</v>
      </c>
      <c r="J263" t="s">
        <v>3979</v>
      </c>
      <c r="K263" t="s">
        <v>3980</v>
      </c>
      <c r="L263">
        <v>52.330159999999999</v>
      </c>
      <c r="M263">
        <v>-113.51795</v>
      </c>
      <c r="N263">
        <v>1983</v>
      </c>
      <c r="O263">
        <v>493130</v>
      </c>
      <c r="P263">
        <v>19</v>
      </c>
      <c r="Q263" t="s">
        <v>2552</v>
      </c>
      <c r="R263" t="s">
        <v>2553</v>
      </c>
      <c r="S263">
        <v>4808</v>
      </c>
      <c r="T263" t="s">
        <v>2400</v>
      </c>
      <c r="U263">
        <v>4808022</v>
      </c>
      <c r="V263" t="s">
        <v>3641</v>
      </c>
      <c r="X263" t="s">
        <v>2402</v>
      </c>
      <c r="Y263">
        <v>4850</v>
      </c>
      <c r="Z263" t="s">
        <v>1340</v>
      </c>
      <c r="AA263" t="s">
        <v>3642</v>
      </c>
      <c r="AB263">
        <v>10</v>
      </c>
      <c r="AC263" t="s">
        <v>2405</v>
      </c>
      <c r="AD263" t="s">
        <v>2406</v>
      </c>
      <c r="AE263">
        <v>5</v>
      </c>
      <c r="AF263" t="s">
        <v>2407</v>
      </c>
      <c r="AG263" t="s">
        <v>2408</v>
      </c>
      <c r="AH263">
        <v>0</v>
      </c>
      <c r="AI263">
        <v>0</v>
      </c>
      <c r="AJ263">
        <v>0</v>
      </c>
      <c r="AK263">
        <v>0</v>
      </c>
    </row>
    <row r="264" spans="1:37" x14ac:dyDescent="0.25">
      <c r="A264">
        <v>2023</v>
      </c>
      <c r="B264">
        <v>26275</v>
      </c>
      <c r="C264" t="s">
        <v>3981</v>
      </c>
      <c r="D264" t="s">
        <v>3982</v>
      </c>
      <c r="G264" t="s">
        <v>3983</v>
      </c>
      <c r="H264" t="s">
        <v>85</v>
      </c>
      <c r="J264" t="s">
        <v>3984</v>
      </c>
      <c r="K264" t="s">
        <v>3985</v>
      </c>
      <c r="L264">
        <v>52.022959999999998</v>
      </c>
      <c r="M264">
        <v>-112.60499</v>
      </c>
      <c r="N264">
        <v>1983</v>
      </c>
      <c r="O264">
        <v>211110</v>
      </c>
      <c r="P264">
        <v>4</v>
      </c>
      <c r="Q264" t="s">
        <v>2398</v>
      </c>
      <c r="R264" t="s">
        <v>2399</v>
      </c>
      <c r="S264">
        <v>4807</v>
      </c>
      <c r="T264" t="s">
        <v>2611</v>
      </c>
      <c r="U264">
        <v>4807019</v>
      </c>
      <c r="V264" t="s">
        <v>2713</v>
      </c>
      <c r="X264" t="s">
        <v>2402</v>
      </c>
      <c r="Y264">
        <v>4820</v>
      </c>
      <c r="Z264" t="s">
        <v>2508</v>
      </c>
      <c r="AA264" t="s">
        <v>2671</v>
      </c>
      <c r="AB264">
        <v>10</v>
      </c>
      <c r="AC264" t="s">
        <v>2405</v>
      </c>
      <c r="AD264" t="s">
        <v>2406</v>
      </c>
      <c r="AE264">
        <v>5</v>
      </c>
      <c r="AF264" t="s">
        <v>2407</v>
      </c>
      <c r="AG264" t="s">
        <v>2408</v>
      </c>
      <c r="AH264">
        <v>0</v>
      </c>
      <c r="AI264">
        <v>0</v>
      </c>
      <c r="AJ264">
        <v>0</v>
      </c>
      <c r="AK264">
        <v>0</v>
      </c>
    </row>
    <row r="265" spans="1:37" x14ac:dyDescent="0.25">
      <c r="A265">
        <v>2021</v>
      </c>
      <c r="B265">
        <v>24278</v>
      </c>
      <c r="C265" t="s">
        <v>1592</v>
      </c>
      <c r="D265" t="s">
        <v>3986</v>
      </c>
      <c r="G265" t="s">
        <v>2664</v>
      </c>
      <c r="H265" t="s">
        <v>85</v>
      </c>
      <c r="J265" t="s">
        <v>3987</v>
      </c>
      <c r="K265" t="s">
        <v>3988</v>
      </c>
      <c r="L265">
        <v>56.28828</v>
      </c>
      <c r="M265">
        <v>-116.851</v>
      </c>
      <c r="N265">
        <v>1983</v>
      </c>
      <c r="O265">
        <v>211110</v>
      </c>
      <c r="P265">
        <v>4</v>
      </c>
      <c r="Q265" t="s">
        <v>2398</v>
      </c>
      <c r="R265" t="s">
        <v>2399</v>
      </c>
      <c r="S265">
        <v>4817</v>
      </c>
      <c r="T265" t="s">
        <v>2471</v>
      </c>
      <c r="U265">
        <v>4817026</v>
      </c>
      <c r="V265" t="s">
        <v>3989</v>
      </c>
      <c r="X265" t="s">
        <v>2402</v>
      </c>
      <c r="Y265">
        <v>4870</v>
      </c>
      <c r="Z265" t="s">
        <v>2473</v>
      </c>
      <c r="AA265" t="s">
        <v>2474</v>
      </c>
      <c r="AB265">
        <v>9</v>
      </c>
      <c r="AC265" t="s">
        <v>2475</v>
      </c>
      <c r="AD265" t="s">
        <v>2476</v>
      </c>
      <c r="AE265">
        <v>7</v>
      </c>
      <c r="AF265" t="s">
        <v>2477</v>
      </c>
      <c r="AG265" t="s">
        <v>2478</v>
      </c>
      <c r="AH265">
        <v>0</v>
      </c>
      <c r="AI265">
        <v>0</v>
      </c>
      <c r="AJ265">
        <v>0</v>
      </c>
      <c r="AK265">
        <v>0</v>
      </c>
    </row>
    <row r="266" spans="1:37" x14ac:dyDescent="0.25">
      <c r="A266">
        <v>2012</v>
      </c>
      <c r="B266">
        <v>22404</v>
      </c>
      <c r="C266" t="s">
        <v>1608</v>
      </c>
      <c r="D266" t="s">
        <v>3990</v>
      </c>
      <c r="G266" t="s">
        <v>3991</v>
      </c>
      <c r="H266" t="s">
        <v>69</v>
      </c>
      <c r="J266" t="s">
        <v>3992</v>
      </c>
      <c r="K266" t="s">
        <v>3993</v>
      </c>
      <c r="L266">
        <v>56.981200000000001</v>
      </c>
      <c r="M266">
        <v>-120.5531</v>
      </c>
      <c r="N266">
        <v>1983</v>
      </c>
      <c r="O266">
        <v>211113</v>
      </c>
      <c r="P266">
        <v>4</v>
      </c>
      <c r="Q266" t="s">
        <v>2398</v>
      </c>
      <c r="R266" t="s">
        <v>2399</v>
      </c>
      <c r="S266">
        <v>5955</v>
      </c>
      <c r="T266" t="s">
        <v>2492</v>
      </c>
      <c r="U266">
        <v>5955040</v>
      </c>
      <c r="V266" t="s">
        <v>2493</v>
      </c>
      <c r="X266" t="s">
        <v>2402</v>
      </c>
      <c r="Y266">
        <v>5980</v>
      </c>
      <c r="Z266" t="s">
        <v>2494</v>
      </c>
      <c r="AA266" t="s">
        <v>2495</v>
      </c>
      <c r="AB266">
        <v>9</v>
      </c>
      <c r="AC266" t="s">
        <v>2475</v>
      </c>
      <c r="AD266" t="s">
        <v>2476</v>
      </c>
      <c r="AE266">
        <v>7</v>
      </c>
      <c r="AF266" t="s">
        <v>2477</v>
      </c>
      <c r="AG266" t="s">
        <v>2478</v>
      </c>
      <c r="AH266">
        <v>0</v>
      </c>
      <c r="AI266">
        <v>0</v>
      </c>
      <c r="AJ266">
        <v>0</v>
      </c>
      <c r="AK266">
        <v>0</v>
      </c>
    </row>
    <row r="267" spans="1:37" x14ac:dyDescent="0.25">
      <c r="A267">
        <v>2006</v>
      </c>
      <c r="B267">
        <v>15838</v>
      </c>
      <c r="C267" t="s">
        <v>2164</v>
      </c>
      <c r="D267" t="s">
        <v>3994</v>
      </c>
      <c r="E267" t="s">
        <v>3995</v>
      </c>
      <c r="H267" t="s">
        <v>85</v>
      </c>
      <c r="J267" t="s">
        <v>3996</v>
      </c>
      <c r="K267" t="s">
        <v>3997</v>
      </c>
      <c r="L267">
        <v>55.727499999999999</v>
      </c>
      <c r="M267">
        <v>-112.0992</v>
      </c>
      <c r="N267">
        <v>1983</v>
      </c>
      <c r="O267">
        <v>211113</v>
      </c>
      <c r="P267">
        <v>4</v>
      </c>
      <c r="Q267" t="s">
        <v>2398</v>
      </c>
      <c r="R267" t="s">
        <v>2399</v>
      </c>
      <c r="S267">
        <v>4812</v>
      </c>
      <c r="T267" t="s">
        <v>2724</v>
      </c>
      <c r="U267">
        <v>4812037</v>
      </c>
      <c r="V267" t="s">
        <v>3435</v>
      </c>
      <c r="X267" t="s">
        <v>2402</v>
      </c>
      <c r="Y267">
        <v>4880</v>
      </c>
      <c r="Z267" t="s">
        <v>2726</v>
      </c>
      <c r="AA267" t="s">
        <v>2727</v>
      </c>
      <c r="AB267">
        <v>9</v>
      </c>
      <c r="AC267" t="s">
        <v>2475</v>
      </c>
      <c r="AD267" t="s">
        <v>2476</v>
      </c>
      <c r="AE267">
        <v>7</v>
      </c>
      <c r="AF267" t="s">
        <v>2477</v>
      </c>
      <c r="AG267" t="s">
        <v>2478</v>
      </c>
      <c r="AH267">
        <v>0</v>
      </c>
      <c r="AI267">
        <v>0</v>
      </c>
      <c r="AJ267">
        <v>0</v>
      </c>
      <c r="AK267">
        <v>0</v>
      </c>
    </row>
    <row r="268" spans="1:37" x14ac:dyDescent="0.25">
      <c r="A268">
        <v>2023</v>
      </c>
      <c r="B268">
        <v>25411</v>
      </c>
      <c r="C268" t="s">
        <v>3998</v>
      </c>
      <c r="D268" t="s">
        <v>3999</v>
      </c>
      <c r="E268" t="s">
        <v>4000</v>
      </c>
      <c r="G268" t="s">
        <v>2535</v>
      </c>
      <c r="H268" t="s">
        <v>21</v>
      </c>
      <c r="I268" t="s">
        <v>4001</v>
      </c>
      <c r="K268" t="s">
        <v>4002</v>
      </c>
      <c r="L268">
        <v>43.829036000000002</v>
      </c>
      <c r="M268">
        <v>-79.359577999999999</v>
      </c>
      <c r="N268">
        <v>1983</v>
      </c>
      <c r="O268">
        <v>326191</v>
      </c>
      <c r="P268">
        <v>13</v>
      </c>
      <c r="Q268" t="s">
        <v>2447</v>
      </c>
      <c r="R268" t="s">
        <v>2448</v>
      </c>
      <c r="S268">
        <v>3519</v>
      </c>
      <c r="T268" t="s">
        <v>2534</v>
      </c>
      <c r="U268">
        <v>3519036</v>
      </c>
      <c r="V268" t="s">
        <v>2535</v>
      </c>
      <c r="W268">
        <v>535</v>
      </c>
      <c r="X268" t="s">
        <v>2439</v>
      </c>
      <c r="Y268">
        <v>3530</v>
      </c>
      <c r="Z268" t="s">
        <v>2439</v>
      </c>
      <c r="AA268" t="s">
        <v>2536</v>
      </c>
      <c r="AB268">
        <v>8</v>
      </c>
      <c r="AC268" t="s">
        <v>2420</v>
      </c>
      <c r="AD268" t="s">
        <v>2421</v>
      </c>
      <c r="AE268">
        <v>2</v>
      </c>
      <c r="AF268" t="s">
        <v>2422</v>
      </c>
      <c r="AG268" t="s">
        <v>2423</v>
      </c>
      <c r="AH268">
        <v>1</v>
      </c>
      <c r="AI268">
        <v>1</v>
      </c>
      <c r="AJ268">
        <v>0</v>
      </c>
      <c r="AK268">
        <v>1</v>
      </c>
    </row>
    <row r="269" spans="1:37" x14ac:dyDescent="0.25">
      <c r="A269">
        <v>2018</v>
      </c>
      <c r="B269">
        <v>15841</v>
      </c>
      <c r="C269" t="s">
        <v>1027</v>
      </c>
      <c r="D269" t="s">
        <v>4003</v>
      </c>
      <c r="H269" t="s">
        <v>85</v>
      </c>
      <c r="J269" t="s">
        <v>4004</v>
      </c>
      <c r="K269" t="s">
        <v>4005</v>
      </c>
      <c r="L269">
        <v>54.345300000000002</v>
      </c>
      <c r="M269">
        <v>-112.905</v>
      </c>
      <c r="N269">
        <v>1983</v>
      </c>
      <c r="O269">
        <v>211110</v>
      </c>
      <c r="P269">
        <v>4</v>
      </c>
      <c r="Q269" t="s">
        <v>2398</v>
      </c>
      <c r="R269" t="s">
        <v>2399</v>
      </c>
      <c r="S269">
        <v>4813</v>
      </c>
      <c r="T269" t="s">
        <v>2428</v>
      </c>
      <c r="U269">
        <v>4813036</v>
      </c>
      <c r="V269" t="s">
        <v>4006</v>
      </c>
      <c r="X269" t="s">
        <v>2402</v>
      </c>
      <c r="Y269">
        <v>4870</v>
      </c>
      <c r="Z269" t="s">
        <v>2473</v>
      </c>
      <c r="AA269" t="s">
        <v>2727</v>
      </c>
      <c r="AB269">
        <v>9</v>
      </c>
      <c r="AC269" t="s">
        <v>2475</v>
      </c>
      <c r="AD269" t="s">
        <v>2476</v>
      </c>
      <c r="AE269">
        <v>5</v>
      </c>
      <c r="AF269" t="s">
        <v>2407</v>
      </c>
      <c r="AG269" t="s">
        <v>2408</v>
      </c>
      <c r="AH269">
        <v>0</v>
      </c>
      <c r="AI269">
        <v>0</v>
      </c>
      <c r="AJ269">
        <v>0</v>
      </c>
      <c r="AK269">
        <v>0</v>
      </c>
    </row>
    <row r="270" spans="1:37" x14ac:dyDescent="0.25">
      <c r="A270">
        <v>2010</v>
      </c>
      <c r="B270">
        <v>21527</v>
      </c>
      <c r="C270" t="s">
        <v>3705</v>
      </c>
      <c r="D270" t="s">
        <v>4007</v>
      </c>
      <c r="E270" t="s">
        <v>4008</v>
      </c>
      <c r="H270" t="s">
        <v>243</v>
      </c>
      <c r="J270" t="s">
        <v>4008</v>
      </c>
      <c r="K270" t="s">
        <v>4009</v>
      </c>
      <c r="L270">
        <v>50.795999999999999</v>
      </c>
      <c r="M270">
        <v>-108.24679999999999</v>
      </c>
      <c r="N270">
        <v>1983</v>
      </c>
      <c r="O270">
        <v>211113</v>
      </c>
      <c r="P270">
        <v>4</v>
      </c>
      <c r="Q270" t="s">
        <v>2398</v>
      </c>
      <c r="R270" t="s">
        <v>2399</v>
      </c>
      <c r="S270">
        <v>4708</v>
      </c>
      <c r="T270" t="s">
        <v>2400</v>
      </c>
      <c r="U270">
        <v>4708042</v>
      </c>
      <c r="V270" t="s">
        <v>4010</v>
      </c>
      <c r="X270" t="s">
        <v>2402</v>
      </c>
      <c r="Y270">
        <v>4720</v>
      </c>
      <c r="Z270" t="s">
        <v>2403</v>
      </c>
      <c r="AA270" t="s">
        <v>2431</v>
      </c>
      <c r="AB270">
        <v>10</v>
      </c>
      <c r="AC270" t="s">
        <v>2405</v>
      </c>
      <c r="AD270" t="s">
        <v>2406</v>
      </c>
      <c r="AE270">
        <v>5</v>
      </c>
      <c r="AF270" t="s">
        <v>2407</v>
      </c>
      <c r="AG270" t="s">
        <v>2408</v>
      </c>
      <c r="AH270">
        <v>0</v>
      </c>
      <c r="AI270">
        <v>0</v>
      </c>
      <c r="AJ270">
        <v>0</v>
      </c>
      <c r="AK270">
        <v>0</v>
      </c>
    </row>
    <row r="271" spans="1:37" x14ac:dyDescent="0.25">
      <c r="A271">
        <v>2011</v>
      </c>
      <c r="B271">
        <v>15312</v>
      </c>
      <c r="C271" t="s">
        <v>4011</v>
      </c>
      <c r="D271" t="s">
        <v>4012</v>
      </c>
      <c r="G271" t="s">
        <v>2088</v>
      </c>
      <c r="H271" t="s">
        <v>69</v>
      </c>
      <c r="J271" t="s">
        <v>4013</v>
      </c>
      <c r="K271" t="s">
        <v>4014</v>
      </c>
      <c r="L271">
        <v>57.185600000000001</v>
      </c>
      <c r="M271">
        <v>-121.0301</v>
      </c>
      <c r="N271">
        <v>1983</v>
      </c>
      <c r="O271">
        <v>211113</v>
      </c>
      <c r="P271">
        <v>4</v>
      </c>
      <c r="Q271" t="s">
        <v>2398</v>
      </c>
      <c r="R271" t="s">
        <v>2399</v>
      </c>
      <c r="S271">
        <v>5955</v>
      </c>
      <c r="T271" t="s">
        <v>2492</v>
      </c>
      <c r="U271">
        <v>5955040</v>
      </c>
      <c r="V271" t="s">
        <v>2493</v>
      </c>
      <c r="X271" t="s">
        <v>2402</v>
      </c>
      <c r="Y271">
        <v>5980</v>
      </c>
      <c r="Z271" t="s">
        <v>2494</v>
      </c>
      <c r="AA271" t="s">
        <v>2495</v>
      </c>
      <c r="AB271">
        <v>9</v>
      </c>
      <c r="AC271" t="s">
        <v>2475</v>
      </c>
      <c r="AD271" t="s">
        <v>2476</v>
      </c>
      <c r="AE271">
        <v>7</v>
      </c>
      <c r="AF271" t="s">
        <v>2477</v>
      </c>
      <c r="AG271" t="s">
        <v>2478</v>
      </c>
      <c r="AH271">
        <v>0</v>
      </c>
      <c r="AI271">
        <v>0</v>
      </c>
      <c r="AJ271">
        <v>0</v>
      </c>
      <c r="AK271">
        <v>0</v>
      </c>
    </row>
    <row r="272" spans="1:37" x14ac:dyDescent="0.25">
      <c r="A272">
        <v>2023</v>
      </c>
      <c r="B272">
        <v>7147</v>
      </c>
      <c r="C272" t="s">
        <v>4015</v>
      </c>
      <c r="D272" t="s">
        <v>4016</v>
      </c>
      <c r="E272" t="s">
        <v>4017</v>
      </c>
      <c r="G272" t="s">
        <v>1346</v>
      </c>
      <c r="H272" t="s">
        <v>21</v>
      </c>
      <c r="I272" t="s">
        <v>4018</v>
      </c>
      <c r="K272" t="s">
        <v>4019</v>
      </c>
      <c r="L272">
        <v>43.662199999999999</v>
      </c>
      <c r="M272">
        <v>-79.651200000000003</v>
      </c>
      <c r="N272">
        <v>1983</v>
      </c>
      <c r="O272">
        <v>331210</v>
      </c>
      <c r="P272">
        <v>6</v>
      </c>
      <c r="Q272" t="s">
        <v>2415</v>
      </c>
      <c r="R272" t="s">
        <v>2416</v>
      </c>
      <c r="S272">
        <v>3521</v>
      </c>
      <c r="T272" t="s">
        <v>2438</v>
      </c>
      <c r="U272">
        <v>3521005</v>
      </c>
      <c r="V272" t="s">
        <v>1346</v>
      </c>
      <c r="W272">
        <v>535</v>
      </c>
      <c r="X272" t="s">
        <v>2439</v>
      </c>
      <c r="Y272">
        <v>3530</v>
      </c>
      <c r="Z272" t="s">
        <v>2439</v>
      </c>
      <c r="AA272" t="s">
        <v>3305</v>
      </c>
      <c r="AB272">
        <v>8</v>
      </c>
      <c r="AC272" t="s">
        <v>2420</v>
      </c>
      <c r="AD272" t="s">
        <v>2421</v>
      </c>
      <c r="AE272">
        <v>2</v>
      </c>
      <c r="AF272" t="s">
        <v>2422</v>
      </c>
      <c r="AG272" t="s">
        <v>2423</v>
      </c>
      <c r="AH272">
        <v>1</v>
      </c>
      <c r="AI272">
        <v>1</v>
      </c>
      <c r="AJ272">
        <v>0</v>
      </c>
      <c r="AK272">
        <v>1</v>
      </c>
    </row>
    <row r="273" spans="1:37" x14ac:dyDescent="0.25">
      <c r="A273">
        <v>2009</v>
      </c>
      <c r="B273">
        <v>10800</v>
      </c>
      <c r="C273" t="s">
        <v>4020</v>
      </c>
      <c r="D273" t="s">
        <v>4021</v>
      </c>
      <c r="E273" t="s">
        <v>4022</v>
      </c>
      <c r="G273" t="s">
        <v>3562</v>
      </c>
      <c r="H273" t="s">
        <v>21</v>
      </c>
      <c r="I273" t="s">
        <v>4023</v>
      </c>
      <c r="K273" t="s">
        <v>4024</v>
      </c>
      <c r="L273">
        <v>43.682099999999998</v>
      </c>
      <c r="M273">
        <v>-79.592799999999997</v>
      </c>
      <c r="N273">
        <v>1983</v>
      </c>
      <c r="O273">
        <v>332810</v>
      </c>
      <c r="P273">
        <v>11</v>
      </c>
      <c r="Q273" t="s">
        <v>2532</v>
      </c>
      <c r="R273" t="s">
        <v>2533</v>
      </c>
      <c r="S273">
        <v>3520</v>
      </c>
      <c r="T273" t="s">
        <v>2439</v>
      </c>
      <c r="U273">
        <v>3520005</v>
      </c>
      <c r="V273" t="s">
        <v>2439</v>
      </c>
      <c r="W273">
        <v>535</v>
      </c>
      <c r="X273" t="s">
        <v>2439</v>
      </c>
      <c r="Y273">
        <v>3530</v>
      </c>
      <c r="Z273" t="s">
        <v>2439</v>
      </c>
      <c r="AA273" t="s">
        <v>3201</v>
      </c>
      <c r="AB273">
        <v>8</v>
      </c>
      <c r="AC273" t="s">
        <v>2420</v>
      </c>
      <c r="AD273" t="s">
        <v>2421</v>
      </c>
      <c r="AE273">
        <v>2</v>
      </c>
      <c r="AF273" t="s">
        <v>2422</v>
      </c>
      <c r="AG273" t="s">
        <v>2423</v>
      </c>
      <c r="AH273">
        <v>1</v>
      </c>
      <c r="AI273">
        <v>1</v>
      </c>
      <c r="AJ273">
        <v>0</v>
      </c>
      <c r="AK273">
        <v>1</v>
      </c>
    </row>
    <row r="274" spans="1:37" x14ac:dyDescent="0.25">
      <c r="A274">
        <v>2023</v>
      </c>
      <c r="B274">
        <v>22252</v>
      </c>
      <c r="C274" t="s">
        <v>3617</v>
      </c>
      <c r="D274" t="s">
        <v>4025</v>
      </c>
      <c r="G274" t="s">
        <v>4026</v>
      </c>
      <c r="H274" t="s">
        <v>85</v>
      </c>
      <c r="J274" t="s">
        <v>4027</v>
      </c>
      <c r="K274" t="s">
        <v>4028</v>
      </c>
      <c r="L274">
        <v>53.272399999999998</v>
      </c>
      <c r="M274">
        <v>-110.59350000000001</v>
      </c>
      <c r="N274">
        <v>1983</v>
      </c>
      <c r="O274">
        <v>211110</v>
      </c>
      <c r="P274">
        <v>4</v>
      </c>
      <c r="Q274" t="s">
        <v>2398</v>
      </c>
      <c r="R274" t="s">
        <v>2399</v>
      </c>
      <c r="S274">
        <v>4810</v>
      </c>
      <c r="T274" t="s">
        <v>2554</v>
      </c>
      <c r="U274">
        <v>4810036</v>
      </c>
      <c r="V274" t="s">
        <v>2571</v>
      </c>
      <c r="X274" t="s">
        <v>2402</v>
      </c>
      <c r="Y274">
        <v>4820</v>
      </c>
      <c r="Z274" t="s">
        <v>2508</v>
      </c>
      <c r="AA274" t="s">
        <v>2572</v>
      </c>
      <c r="AB274">
        <v>10</v>
      </c>
      <c r="AC274" t="s">
        <v>2405</v>
      </c>
      <c r="AD274" t="s">
        <v>2406</v>
      </c>
      <c r="AE274">
        <v>5</v>
      </c>
      <c r="AF274" t="s">
        <v>2407</v>
      </c>
      <c r="AG274" t="s">
        <v>2408</v>
      </c>
      <c r="AH274">
        <v>0</v>
      </c>
      <c r="AI274">
        <v>0</v>
      </c>
      <c r="AJ274">
        <v>0</v>
      </c>
      <c r="AK274">
        <v>0</v>
      </c>
    </row>
    <row r="275" spans="1:37" x14ac:dyDescent="0.25">
      <c r="A275">
        <v>2022</v>
      </c>
      <c r="B275">
        <v>33313</v>
      </c>
      <c r="C275" t="s">
        <v>2148</v>
      </c>
      <c r="D275" t="s">
        <v>4029</v>
      </c>
      <c r="H275" t="s">
        <v>85</v>
      </c>
      <c r="J275" t="s">
        <v>4030</v>
      </c>
      <c r="K275" t="s">
        <v>4031</v>
      </c>
      <c r="L275">
        <v>50.562983000000003</v>
      </c>
      <c r="M275">
        <v>-112.17802</v>
      </c>
      <c r="N275">
        <v>1983</v>
      </c>
      <c r="O275">
        <v>211110</v>
      </c>
      <c r="P275">
        <v>4</v>
      </c>
      <c r="Q275" t="s">
        <v>2398</v>
      </c>
      <c r="R275" t="s">
        <v>2399</v>
      </c>
      <c r="S275">
        <v>4802</v>
      </c>
      <c r="T275" t="s">
        <v>2696</v>
      </c>
      <c r="U275">
        <v>4802031</v>
      </c>
      <c r="V275" t="s">
        <v>2905</v>
      </c>
      <c r="W275">
        <v>806</v>
      </c>
      <c r="X275" t="s">
        <v>2906</v>
      </c>
      <c r="Y275">
        <v>4810</v>
      </c>
      <c r="Z275" t="s">
        <v>2603</v>
      </c>
      <c r="AA275" t="s">
        <v>2671</v>
      </c>
      <c r="AB275">
        <v>10</v>
      </c>
      <c r="AC275" t="s">
        <v>2405</v>
      </c>
      <c r="AD275" t="s">
        <v>2406</v>
      </c>
      <c r="AE275">
        <v>5</v>
      </c>
      <c r="AF275" t="s">
        <v>2407</v>
      </c>
      <c r="AG275" t="s">
        <v>2408</v>
      </c>
      <c r="AH275">
        <v>0</v>
      </c>
      <c r="AI275">
        <v>0</v>
      </c>
      <c r="AJ275">
        <v>0</v>
      </c>
      <c r="AK275">
        <v>0</v>
      </c>
    </row>
    <row r="276" spans="1:37" x14ac:dyDescent="0.25">
      <c r="A276">
        <v>2018</v>
      </c>
      <c r="B276">
        <v>15147</v>
      </c>
      <c r="C276" t="s">
        <v>231</v>
      </c>
      <c r="D276" t="s">
        <v>4032</v>
      </c>
      <c r="H276" t="s">
        <v>85</v>
      </c>
      <c r="J276" t="s">
        <v>4033</v>
      </c>
      <c r="K276" t="s">
        <v>4034</v>
      </c>
      <c r="L276">
        <v>54.025399999999998</v>
      </c>
      <c r="M276">
        <v>-110.6812</v>
      </c>
      <c r="N276">
        <v>1983</v>
      </c>
      <c r="O276">
        <v>211110</v>
      </c>
      <c r="P276">
        <v>4</v>
      </c>
      <c r="Q276" t="s">
        <v>2398</v>
      </c>
      <c r="R276" t="s">
        <v>2399</v>
      </c>
      <c r="S276">
        <v>4812</v>
      </c>
      <c r="T276" t="s">
        <v>2724</v>
      </c>
      <c r="U276">
        <v>4812014</v>
      </c>
      <c r="V276" t="s">
        <v>4035</v>
      </c>
      <c r="X276" t="s">
        <v>2402</v>
      </c>
      <c r="Y276">
        <v>4880</v>
      </c>
      <c r="Z276" t="s">
        <v>2726</v>
      </c>
      <c r="AA276" t="s">
        <v>2727</v>
      </c>
      <c r="AB276">
        <v>9</v>
      </c>
      <c r="AC276" t="s">
        <v>2475</v>
      </c>
      <c r="AD276" t="s">
        <v>2476</v>
      </c>
      <c r="AE276">
        <v>5</v>
      </c>
      <c r="AF276" t="s">
        <v>2407</v>
      </c>
      <c r="AG276" t="s">
        <v>2408</v>
      </c>
      <c r="AH276">
        <v>0</v>
      </c>
      <c r="AI276">
        <v>0</v>
      </c>
      <c r="AJ276">
        <v>0</v>
      </c>
      <c r="AK276">
        <v>0</v>
      </c>
    </row>
    <row r="277" spans="1:37" x14ac:dyDescent="0.25">
      <c r="A277">
        <v>2023</v>
      </c>
      <c r="B277">
        <v>18733</v>
      </c>
      <c r="C277" t="s">
        <v>1027</v>
      </c>
      <c r="D277" t="s">
        <v>4036</v>
      </c>
      <c r="H277" t="s">
        <v>85</v>
      </c>
      <c r="J277" t="s">
        <v>4037</v>
      </c>
      <c r="K277" t="s">
        <v>4038</v>
      </c>
      <c r="L277">
        <v>56.271845999999996</v>
      </c>
      <c r="M277">
        <v>-111.49889</v>
      </c>
      <c r="N277">
        <v>1983</v>
      </c>
      <c r="O277">
        <v>211110</v>
      </c>
      <c r="P277">
        <v>4</v>
      </c>
      <c r="Q277" t="s">
        <v>2398</v>
      </c>
      <c r="R277" t="s">
        <v>2399</v>
      </c>
      <c r="S277">
        <v>4816</v>
      </c>
      <c r="T277" t="s">
        <v>2744</v>
      </c>
      <c r="U277">
        <v>4816037</v>
      </c>
      <c r="V277" t="s">
        <v>2745</v>
      </c>
      <c r="W277">
        <v>860</v>
      </c>
      <c r="X277" t="s">
        <v>2745</v>
      </c>
      <c r="Y277">
        <v>4880</v>
      </c>
      <c r="Z277" t="s">
        <v>2726</v>
      </c>
      <c r="AA277" t="s">
        <v>2898</v>
      </c>
      <c r="AB277">
        <v>9</v>
      </c>
      <c r="AC277" t="s">
        <v>2475</v>
      </c>
      <c r="AD277" t="s">
        <v>2476</v>
      </c>
      <c r="AE277">
        <v>7</v>
      </c>
      <c r="AF277" t="s">
        <v>2477</v>
      </c>
      <c r="AG277" t="s">
        <v>2478</v>
      </c>
      <c r="AH277">
        <v>0</v>
      </c>
      <c r="AI277">
        <v>0</v>
      </c>
      <c r="AJ277">
        <v>0</v>
      </c>
      <c r="AK277">
        <v>0</v>
      </c>
    </row>
    <row r="278" spans="1:37" x14ac:dyDescent="0.25">
      <c r="A278">
        <v>2006</v>
      </c>
      <c r="B278">
        <v>15735</v>
      </c>
      <c r="C278" t="s">
        <v>2596</v>
      </c>
      <c r="D278" t="s">
        <v>4039</v>
      </c>
      <c r="E278" t="s">
        <v>4040</v>
      </c>
      <c r="H278" t="s">
        <v>69</v>
      </c>
      <c r="J278" t="s">
        <v>4041</v>
      </c>
      <c r="K278" t="s">
        <v>4042</v>
      </c>
      <c r="L278">
        <v>58.301699999999997</v>
      </c>
      <c r="M278">
        <v>-121.2289</v>
      </c>
      <c r="N278">
        <v>1983</v>
      </c>
      <c r="O278">
        <v>211113</v>
      </c>
      <c r="P278">
        <v>4</v>
      </c>
      <c r="Q278" t="s">
        <v>2398</v>
      </c>
      <c r="R278" t="s">
        <v>2399</v>
      </c>
      <c r="S278">
        <v>5959</v>
      </c>
      <c r="T278" t="s">
        <v>3914</v>
      </c>
      <c r="U278">
        <v>5959007</v>
      </c>
      <c r="V278" t="s">
        <v>3914</v>
      </c>
      <c r="X278" t="s">
        <v>2402</v>
      </c>
      <c r="Y278">
        <v>5980</v>
      </c>
      <c r="Z278" t="s">
        <v>2494</v>
      </c>
      <c r="AA278" t="s">
        <v>2495</v>
      </c>
      <c r="AB278">
        <v>4</v>
      </c>
      <c r="AC278" t="s">
        <v>2496</v>
      </c>
      <c r="AD278" t="s">
        <v>2497</v>
      </c>
      <c r="AE278">
        <v>10</v>
      </c>
      <c r="AF278" t="s">
        <v>4043</v>
      </c>
      <c r="AG278" t="s">
        <v>4044</v>
      </c>
      <c r="AH278">
        <v>0</v>
      </c>
      <c r="AI278">
        <v>0</v>
      </c>
      <c r="AJ278">
        <v>0</v>
      </c>
      <c r="AK278">
        <v>0</v>
      </c>
    </row>
    <row r="279" spans="1:37" x14ac:dyDescent="0.25">
      <c r="A279">
        <v>2022</v>
      </c>
      <c r="B279">
        <v>33264</v>
      </c>
      <c r="C279" t="s">
        <v>1928</v>
      </c>
      <c r="D279" t="s">
        <v>4045</v>
      </c>
      <c r="H279" t="s">
        <v>243</v>
      </c>
      <c r="J279" t="s">
        <v>4046</v>
      </c>
      <c r="K279" t="s">
        <v>4047</v>
      </c>
      <c r="L279">
        <v>51.788708</v>
      </c>
      <c r="M279">
        <v>-109.882431</v>
      </c>
      <c r="N279">
        <v>1983</v>
      </c>
      <c r="O279">
        <v>211110</v>
      </c>
      <c r="P279">
        <v>4</v>
      </c>
      <c r="Q279" t="s">
        <v>2398</v>
      </c>
      <c r="R279" t="s">
        <v>2399</v>
      </c>
      <c r="S279">
        <v>4713</v>
      </c>
      <c r="T279" t="s">
        <v>2428</v>
      </c>
      <c r="U279">
        <v>4713016</v>
      </c>
      <c r="V279" t="s">
        <v>4048</v>
      </c>
      <c r="X279" t="s">
        <v>2402</v>
      </c>
      <c r="Y279">
        <v>4730</v>
      </c>
      <c r="Z279" t="s">
        <v>2430</v>
      </c>
      <c r="AA279" t="s">
        <v>2431</v>
      </c>
      <c r="AB279">
        <v>10</v>
      </c>
      <c r="AC279" t="s">
        <v>2405</v>
      </c>
      <c r="AD279" t="s">
        <v>2406</v>
      </c>
      <c r="AE279">
        <v>5</v>
      </c>
      <c r="AF279" t="s">
        <v>2407</v>
      </c>
      <c r="AG279" t="s">
        <v>2408</v>
      </c>
      <c r="AH279">
        <v>0</v>
      </c>
      <c r="AI279">
        <v>0</v>
      </c>
      <c r="AJ279">
        <v>0</v>
      </c>
      <c r="AK279">
        <v>0</v>
      </c>
    </row>
    <row r="280" spans="1:37" x14ac:dyDescent="0.25">
      <c r="A280">
        <v>2018</v>
      </c>
      <c r="B280">
        <v>22298</v>
      </c>
      <c r="C280" t="s">
        <v>3166</v>
      </c>
      <c r="D280" t="s">
        <v>4049</v>
      </c>
      <c r="H280" t="s">
        <v>85</v>
      </c>
      <c r="J280" t="s">
        <v>4050</v>
      </c>
      <c r="K280" t="s">
        <v>4051</v>
      </c>
      <c r="L280">
        <v>51.249400000000001</v>
      </c>
      <c r="M280">
        <v>-112.9171</v>
      </c>
      <c r="N280">
        <v>1983</v>
      </c>
      <c r="O280">
        <v>211110</v>
      </c>
      <c r="P280">
        <v>4</v>
      </c>
      <c r="Q280" t="s">
        <v>2398</v>
      </c>
      <c r="R280" t="s">
        <v>2399</v>
      </c>
      <c r="S280">
        <v>4805</v>
      </c>
      <c r="T280" t="s">
        <v>2669</v>
      </c>
      <c r="U280">
        <v>4805012</v>
      </c>
      <c r="V280" t="s">
        <v>2670</v>
      </c>
      <c r="X280" t="s">
        <v>2402</v>
      </c>
      <c r="Y280">
        <v>4820</v>
      </c>
      <c r="Z280" t="s">
        <v>2508</v>
      </c>
      <c r="AA280" t="s">
        <v>2671</v>
      </c>
      <c r="AB280">
        <v>10</v>
      </c>
      <c r="AC280" t="s">
        <v>2405</v>
      </c>
      <c r="AD280" t="s">
        <v>2406</v>
      </c>
      <c r="AE280">
        <v>5</v>
      </c>
      <c r="AF280" t="s">
        <v>2407</v>
      </c>
      <c r="AG280" t="s">
        <v>2408</v>
      </c>
      <c r="AH280">
        <v>0</v>
      </c>
      <c r="AI280">
        <v>0</v>
      </c>
      <c r="AJ280">
        <v>0</v>
      </c>
      <c r="AK280">
        <v>0</v>
      </c>
    </row>
    <row r="281" spans="1:37" x14ac:dyDescent="0.25">
      <c r="A281">
        <v>2008</v>
      </c>
      <c r="B281">
        <v>22598</v>
      </c>
      <c r="C281" t="s">
        <v>1576</v>
      </c>
      <c r="D281" t="s">
        <v>4052</v>
      </c>
      <c r="E281" t="s">
        <v>4053</v>
      </c>
      <c r="H281" t="s">
        <v>243</v>
      </c>
      <c r="J281" t="s">
        <v>4054</v>
      </c>
      <c r="K281" t="s">
        <v>4055</v>
      </c>
      <c r="L281">
        <v>51.6723</v>
      </c>
      <c r="M281">
        <v>-108.9307</v>
      </c>
      <c r="N281">
        <v>1983</v>
      </c>
      <c r="O281">
        <v>211113</v>
      </c>
      <c r="P281">
        <v>4</v>
      </c>
      <c r="Q281" t="s">
        <v>2398</v>
      </c>
      <c r="R281" t="s">
        <v>2399</v>
      </c>
      <c r="S281">
        <v>4713</v>
      </c>
      <c r="T281" t="s">
        <v>2428</v>
      </c>
      <c r="U281">
        <v>4713028</v>
      </c>
      <c r="V281" t="s">
        <v>3319</v>
      </c>
      <c r="X281" t="s">
        <v>2402</v>
      </c>
      <c r="Y281">
        <v>4730</v>
      </c>
      <c r="Z281" t="s">
        <v>2430</v>
      </c>
      <c r="AA281" t="s">
        <v>2431</v>
      </c>
      <c r="AB281">
        <v>10</v>
      </c>
      <c r="AC281" t="s">
        <v>2405</v>
      </c>
      <c r="AD281" t="s">
        <v>2406</v>
      </c>
      <c r="AE281">
        <v>5</v>
      </c>
      <c r="AF281" t="s">
        <v>2407</v>
      </c>
      <c r="AG281" t="s">
        <v>2408</v>
      </c>
      <c r="AH281">
        <v>0</v>
      </c>
      <c r="AI281">
        <v>0</v>
      </c>
      <c r="AJ281">
        <v>0</v>
      </c>
      <c r="AK281">
        <v>0</v>
      </c>
    </row>
    <row r="282" spans="1:37" x14ac:dyDescent="0.25">
      <c r="A282">
        <v>2023</v>
      </c>
      <c r="B282">
        <v>17438</v>
      </c>
      <c r="C282" t="s">
        <v>1027</v>
      </c>
      <c r="D282" t="s">
        <v>4056</v>
      </c>
      <c r="H282" t="s">
        <v>85</v>
      </c>
      <c r="J282" t="s">
        <v>4057</v>
      </c>
      <c r="K282" t="s">
        <v>4058</v>
      </c>
      <c r="L282">
        <v>54.792900000000003</v>
      </c>
      <c r="M282">
        <v>-115.5217</v>
      </c>
      <c r="N282">
        <v>1983</v>
      </c>
      <c r="O282">
        <v>211110</v>
      </c>
      <c r="P282">
        <v>4</v>
      </c>
      <c r="Q282" t="s">
        <v>2398</v>
      </c>
      <c r="R282" t="s">
        <v>2399</v>
      </c>
      <c r="S282">
        <v>4817</v>
      </c>
      <c r="T282" t="s">
        <v>2471</v>
      </c>
      <c r="U282">
        <v>4817027</v>
      </c>
      <c r="V282" t="s">
        <v>3251</v>
      </c>
      <c r="X282" t="s">
        <v>2402</v>
      </c>
      <c r="Y282">
        <v>4870</v>
      </c>
      <c r="Z282" t="s">
        <v>2473</v>
      </c>
      <c r="AA282" t="s">
        <v>2719</v>
      </c>
      <c r="AB282">
        <v>9</v>
      </c>
      <c r="AC282" t="s">
        <v>2475</v>
      </c>
      <c r="AD282" t="s">
        <v>2476</v>
      </c>
      <c r="AE282">
        <v>7</v>
      </c>
      <c r="AF282" t="s">
        <v>2477</v>
      </c>
      <c r="AG282" t="s">
        <v>2478</v>
      </c>
      <c r="AH282">
        <v>0</v>
      </c>
      <c r="AI282">
        <v>0</v>
      </c>
      <c r="AJ282">
        <v>0</v>
      </c>
      <c r="AK282">
        <v>0</v>
      </c>
    </row>
    <row r="283" spans="1:37" x14ac:dyDescent="0.25">
      <c r="A283">
        <v>2023</v>
      </c>
      <c r="B283">
        <v>34140</v>
      </c>
      <c r="C283" t="s">
        <v>3120</v>
      </c>
      <c r="D283" t="s">
        <v>4059</v>
      </c>
      <c r="H283" t="s">
        <v>85</v>
      </c>
      <c r="J283" t="s">
        <v>4060</v>
      </c>
      <c r="K283" t="s">
        <v>4061</v>
      </c>
      <c r="L283">
        <v>53.085102999999997</v>
      </c>
      <c r="M283">
        <v>-115.60739599999999</v>
      </c>
      <c r="N283">
        <v>1983</v>
      </c>
      <c r="O283">
        <v>211110</v>
      </c>
      <c r="P283">
        <v>4</v>
      </c>
      <c r="Q283" t="s">
        <v>2398</v>
      </c>
      <c r="R283" t="s">
        <v>2399</v>
      </c>
      <c r="S283">
        <v>4811</v>
      </c>
      <c r="T283" t="s">
        <v>2643</v>
      </c>
      <c r="U283">
        <v>4811032</v>
      </c>
      <c r="V283" t="s">
        <v>2644</v>
      </c>
      <c r="X283" t="s">
        <v>2402</v>
      </c>
      <c r="Y283">
        <v>4860</v>
      </c>
      <c r="Z283" t="s">
        <v>2645</v>
      </c>
      <c r="AA283" t="s">
        <v>2646</v>
      </c>
      <c r="AB283">
        <v>9</v>
      </c>
      <c r="AC283" t="s">
        <v>2475</v>
      </c>
      <c r="AD283" t="s">
        <v>2476</v>
      </c>
      <c r="AE283">
        <v>7</v>
      </c>
      <c r="AF283" t="s">
        <v>2477</v>
      </c>
      <c r="AG283" t="s">
        <v>2478</v>
      </c>
      <c r="AH283">
        <v>0</v>
      </c>
      <c r="AI283">
        <v>0</v>
      </c>
      <c r="AJ283">
        <v>0</v>
      </c>
      <c r="AK283">
        <v>0</v>
      </c>
    </row>
    <row r="284" spans="1:37" x14ac:dyDescent="0.25">
      <c r="A284">
        <v>2022</v>
      </c>
      <c r="B284">
        <v>33020</v>
      </c>
      <c r="C284" t="s">
        <v>1976</v>
      </c>
      <c r="D284" t="s">
        <v>4062</v>
      </c>
      <c r="G284" t="s">
        <v>4063</v>
      </c>
      <c r="H284" t="s">
        <v>243</v>
      </c>
      <c r="J284" t="s">
        <v>4064</v>
      </c>
      <c r="K284" t="s">
        <v>4065</v>
      </c>
      <c r="L284">
        <v>51.727815</v>
      </c>
      <c r="M284">
        <v>-109.30225299999999</v>
      </c>
      <c r="N284">
        <v>1983</v>
      </c>
      <c r="O284">
        <v>211110</v>
      </c>
      <c r="P284">
        <v>4</v>
      </c>
      <c r="Q284" t="s">
        <v>2398</v>
      </c>
      <c r="R284" t="s">
        <v>2399</v>
      </c>
      <c r="S284">
        <v>4713</v>
      </c>
      <c r="T284" t="s">
        <v>2428</v>
      </c>
      <c r="U284">
        <v>4713024</v>
      </c>
      <c r="V284" t="s">
        <v>2429</v>
      </c>
      <c r="X284" t="s">
        <v>2402</v>
      </c>
      <c r="Y284">
        <v>4730</v>
      </c>
      <c r="Z284" t="s">
        <v>2430</v>
      </c>
      <c r="AA284" t="s">
        <v>2431</v>
      </c>
      <c r="AB284">
        <v>10</v>
      </c>
      <c r="AC284" t="s">
        <v>2405</v>
      </c>
      <c r="AD284" t="s">
        <v>2406</v>
      </c>
      <c r="AE284">
        <v>5</v>
      </c>
      <c r="AF284" t="s">
        <v>2407</v>
      </c>
      <c r="AG284" t="s">
        <v>2408</v>
      </c>
      <c r="AH284">
        <v>0</v>
      </c>
      <c r="AI284">
        <v>0</v>
      </c>
      <c r="AJ284">
        <v>0</v>
      </c>
      <c r="AK284">
        <v>0</v>
      </c>
    </row>
    <row r="285" spans="1:37" x14ac:dyDescent="0.25">
      <c r="A285">
        <v>2019</v>
      </c>
      <c r="B285">
        <v>30915</v>
      </c>
      <c r="C285" t="s">
        <v>1529</v>
      </c>
      <c r="D285" t="s">
        <v>4066</v>
      </c>
      <c r="H285" t="s">
        <v>85</v>
      </c>
      <c r="J285" t="s">
        <v>4067</v>
      </c>
      <c r="K285" t="s">
        <v>4068</v>
      </c>
      <c r="L285">
        <v>54.332349999999998</v>
      </c>
      <c r="M285">
        <v>-116.54834</v>
      </c>
      <c r="N285">
        <v>1983</v>
      </c>
      <c r="O285">
        <v>211110</v>
      </c>
      <c r="P285">
        <v>4</v>
      </c>
      <c r="Q285" t="s">
        <v>2398</v>
      </c>
      <c r="R285" t="s">
        <v>2399</v>
      </c>
      <c r="S285">
        <v>4818</v>
      </c>
      <c r="T285" t="s">
        <v>2545</v>
      </c>
      <c r="U285">
        <v>4818015</v>
      </c>
      <c r="V285" t="s">
        <v>2546</v>
      </c>
      <c r="X285" t="s">
        <v>2402</v>
      </c>
      <c r="Y285">
        <v>4870</v>
      </c>
      <c r="Z285" t="s">
        <v>2473</v>
      </c>
      <c r="AA285" t="s">
        <v>2474</v>
      </c>
      <c r="AB285">
        <v>9</v>
      </c>
      <c r="AC285" t="s">
        <v>2475</v>
      </c>
      <c r="AD285" t="s">
        <v>2476</v>
      </c>
      <c r="AE285">
        <v>7</v>
      </c>
      <c r="AF285" t="s">
        <v>2477</v>
      </c>
      <c r="AG285" t="s">
        <v>2478</v>
      </c>
      <c r="AH285">
        <v>0</v>
      </c>
      <c r="AI285">
        <v>0</v>
      </c>
      <c r="AJ285">
        <v>0</v>
      </c>
      <c r="AK285">
        <v>0</v>
      </c>
    </row>
    <row r="286" spans="1:37" x14ac:dyDescent="0.25">
      <c r="A286">
        <v>2016</v>
      </c>
      <c r="B286">
        <v>29099</v>
      </c>
      <c r="C286" t="s">
        <v>1653</v>
      </c>
      <c r="D286" t="s">
        <v>4069</v>
      </c>
      <c r="H286" t="s">
        <v>85</v>
      </c>
      <c r="J286" t="s">
        <v>4070</v>
      </c>
      <c r="K286" t="s">
        <v>4071</v>
      </c>
      <c r="L286">
        <v>52.284599999999998</v>
      </c>
      <c r="M286">
        <v>-113.11060000000001</v>
      </c>
      <c r="N286">
        <v>1983</v>
      </c>
      <c r="O286">
        <v>211113</v>
      </c>
      <c r="P286">
        <v>4</v>
      </c>
      <c r="Q286" t="s">
        <v>2398</v>
      </c>
      <c r="R286" t="s">
        <v>2399</v>
      </c>
      <c r="S286">
        <v>4808</v>
      </c>
      <c r="T286" t="s">
        <v>2400</v>
      </c>
      <c r="U286">
        <v>4808001</v>
      </c>
      <c r="V286" t="s">
        <v>3086</v>
      </c>
      <c r="X286" t="s">
        <v>2402</v>
      </c>
      <c r="Y286">
        <v>4850</v>
      </c>
      <c r="Z286" t="s">
        <v>1340</v>
      </c>
      <c r="AA286" t="s">
        <v>2634</v>
      </c>
      <c r="AB286">
        <v>10</v>
      </c>
      <c r="AC286" t="s">
        <v>2405</v>
      </c>
      <c r="AD286" t="s">
        <v>2406</v>
      </c>
      <c r="AE286">
        <v>5</v>
      </c>
      <c r="AF286" t="s">
        <v>2407</v>
      </c>
      <c r="AG286" t="s">
        <v>2408</v>
      </c>
      <c r="AH286">
        <v>0</v>
      </c>
      <c r="AI286">
        <v>0</v>
      </c>
      <c r="AJ286">
        <v>0</v>
      </c>
      <c r="AK286">
        <v>0</v>
      </c>
    </row>
    <row r="287" spans="1:37" x14ac:dyDescent="0.25">
      <c r="A287">
        <v>2022</v>
      </c>
      <c r="B287">
        <v>32151</v>
      </c>
      <c r="C287" t="s">
        <v>1928</v>
      </c>
      <c r="D287" t="s">
        <v>4072</v>
      </c>
      <c r="H287" t="s">
        <v>243</v>
      </c>
      <c r="J287" t="s">
        <v>4073</v>
      </c>
      <c r="K287" t="s">
        <v>4074</v>
      </c>
      <c r="L287">
        <v>51.137999999999998</v>
      </c>
      <c r="M287">
        <v>-107.87909999999999</v>
      </c>
      <c r="N287">
        <v>1983</v>
      </c>
      <c r="O287">
        <v>211110</v>
      </c>
      <c r="P287">
        <v>4</v>
      </c>
      <c r="Q287" t="s">
        <v>2398</v>
      </c>
      <c r="R287" t="s">
        <v>2399</v>
      </c>
      <c r="S287">
        <v>4708</v>
      </c>
      <c r="T287" t="s">
        <v>2400</v>
      </c>
      <c r="U287">
        <v>4708092</v>
      </c>
      <c r="V287" t="s">
        <v>3242</v>
      </c>
      <c r="X287" t="s">
        <v>2402</v>
      </c>
      <c r="Y287">
        <v>4720</v>
      </c>
      <c r="Z287" t="s">
        <v>2403</v>
      </c>
      <c r="AA287" t="s">
        <v>2431</v>
      </c>
      <c r="AB287">
        <v>10</v>
      </c>
      <c r="AC287" t="s">
        <v>2405</v>
      </c>
      <c r="AD287" t="s">
        <v>2406</v>
      </c>
      <c r="AE287">
        <v>5</v>
      </c>
      <c r="AF287" t="s">
        <v>2407</v>
      </c>
      <c r="AG287" t="s">
        <v>2408</v>
      </c>
      <c r="AH287">
        <v>0</v>
      </c>
      <c r="AI287">
        <v>0</v>
      </c>
      <c r="AJ287">
        <v>0</v>
      </c>
      <c r="AK287">
        <v>0</v>
      </c>
    </row>
    <row r="288" spans="1:37" x14ac:dyDescent="0.25">
      <c r="A288">
        <v>2011</v>
      </c>
      <c r="B288">
        <v>24361</v>
      </c>
      <c r="C288" t="s">
        <v>4075</v>
      </c>
      <c r="D288" t="s">
        <v>4076</v>
      </c>
      <c r="H288" t="s">
        <v>243</v>
      </c>
      <c r="J288" t="s">
        <v>4077</v>
      </c>
      <c r="K288" t="s">
        <v>4078</v>
      </c>
      <c r="L288">
        <v>49.072361999999998</v>
      </c>
      <c r="M288">
        <v>-102.956</v>
      </c>
      <c r="N288">
        <v>1983</v>
      </c>
      <c r="O288">
        <v>211113</v>
      </c>
      <c r="P288">
        <v>4</v>
      </c>
      <c r="Q288" t="s">
        <v>2398</v>
      </c>
      <c r="R288" t="s">
        <v>2399</v>
      </c>
      <c r="S288">
        <v>4701</v>
      </c>
      <c r="T288" t="s">
        <v>2523</v>
      </c>
      <c r="U288">
        <v>4701022</v>
      </c>
      <c r="V288" t="s">
        <v>4079</v>
      </c>
      <c r="W288">
        <v>750</v>
      </c>
      <c r="X288" t="s">
        <v>4080</v>
      </c>
      <c r="Y288">
        <v>4710</v>
      </c>
      <c r="Z288" t="s">
        <v>2525</v>
      </c>
      <c r="AA288" t="s">
        <v>4081</v>
      </c>
      <c r="AB288">
        <v>10</v>
      </c>
      <c r="AC288" t="s">
        <v>2405</v>
      </c>
      <c r="AD288" t="s">
        <v>2406</v>
      </c>
      <c r="AE288">
        <v>5</v>
      </c>
      <c r="AF288" t="s">
        <v>2407</v>
      </c>
      <c r="AG288" t="s">
        <v>2408</v>
      </c>
      <c r="AH288">
        <v>0</v>
      </c>
      <c r="AI288">
        <v>0</v>
      </c>
      <c r="AJ288">
        <v>0</v>
      </c>
      <c r="AK288">
        <v>0</v>
      </c>
    </row>
    <row r="289" spans="1:37" x14ac:dyDescent="0.25">
      <c r="A289">
        <v>2011</v>
      </c>
      <c r="B289">
        <v>22634</v>
      </c>
      <c r="C289" t="s">
        <v>1928</v>
      </c>
      <c r="D289" t="s">
        <v>4082</v>
      </c>
      <c r="G289" t="s">
        <v>4083</v>
      </c>
      <c r="H289" t="s">
        <v>85</v>
      </c>
      <c r="J289" t="s">
        <v>4084</v>
      </c>
      <c r="K289" t="s">
        <v>4085</v>
      </c>
      <c r="L289">
        <v>49.940600000000003</v>
      </c>
      <c r="M289">
        <v>-112.40730000000001</v>
      </c>
      <c r="N289">
        <v>1983</v>
      </c>
      <c r="O289">
        <v>211113</v>
      </c>
      <c r="P289">
        <v>4</v>
      </c>
      <c r="Q289" t="s">
        <v>2398</v>
      </c>
      <c r="R289" t="s">
        <v>2399</v>
      </c>
      <c r="S289">
        <v>4802</v>
      </c>
      <c r="T289" t="s">
        <v>2696</v>
      </c>
      <c r="U289">
        <v>4802021</v>
      </c>
      <c r="V289" t="s">
        <v>2845</v>
      </c>
      <c r="X289" t="s">
        <v>2402</v>
      </c>
      <c r="Y289">
        <v>4810</v>
      </c>
      <c r="Z289" t="s">
        <v>2603</v>
      </c>
      <c r="AA289" t="s">
        <v>4086</v>
      </c>
      <c r="AB289">
        <v>10</v>
      </c>
      <c r="AC289" t="s">
        <v>2405</v>
      </c>
      <c r="AD289" t="s">
        <v>2406</v>
      </c>
      <c r="AE289">
        <v>5</v>
      </c>
      <c r="AF289" t="s">
        <v>2407</v>
      </c>
      <c r="AG289" t="s">
        <v>2408</v>
      </c>
      <c r="AH289">
        <v>0</v>
      </c>
      <c r="AI289">
        <v>0</v>
      </c>
      <c r="AJ289">
        <v>0</v>
      </c>
      <c r="AK289">
        <v>0</v>
      </c>
    </row>
    <row r="290" spans="1:37" x14ac:dyDescent="0.25">
      <c r="A290">
        <v>2008</v>
      </c>
      <c r="B290">
        <v>7430</v>
      </c>
      <c r="C290" t="s">
        <v>4087</v>
      </c>
      <c r="D290" t="s">
        <v>4088</v>
      </c>
      <c r="E290" t="s">
        <v>4089</v>
      </c>
      <c r="F290" t="s">
        <v>4090</v>
      </c>
      <c r="G290" t="s">
        <v>4091</v>
      </c>
      <c r="H290" t="s">
        <v>21</v>
      </c>
      <c r="I290" t="s">
        <v>4092</v>
      </c>
      <c r="J290" t="s">
        <v>4093</v>
      </c>
      <c r="K290" t="s">
        <v>4094</v>
      </c>
      <c r="L290">
        <v>49.766800000000003</v>
      </c>
      <c r="M290">
        <v>-86.543350000000004</v>
      </c>
      <c r="N290">
        <v>1983</v>
      </c>
      <c r="O290">
        <v>321111</v>
      </c>
      <c r="P290">
        <v>18</v>
      </c>
      <c r="Q290" t="s">
        <v>2459</v>
      </c>
      <c r="R290" t="s">
        <v>2460</v>
      </c>
      <c r="S290">
        <v>3558</v>
      </c>
      <c r="T290" t="s">
        <v>3275</v>
      </c>
      <c r="U290">
        <v>3558075</v>
      </c>
      <c r="V290" t="s">
        <v>3276</v>
      </c>
      <c r="X290" t="s">
        <v>2402</v>
      </c>
      <c r="Y290">
        <v>3595</v>
      </c>
      <c r="Z290" t="s">
        <v>3277</v>
      </c>
      <c r="AA290" t="s">
        <v>3278</v>
      </c>
      <c r="AB290">
        <v>6</v>
      </c>
      <c r="AC290" t="s">
        <v>2465</v>
      </c>
      <c r="AD290" t="s">
        <v>2466</v>
      </c>
      <c r="AE290">
        <v>4</v>
      </c>
      <c r="AF290" t="s">
        <v>2867</v>
      </c>
      <c r="AG290" t="s">
        <v>2868</v>
      </c>
      <c r="AH290">
        <v>0</v>
      </c>
      <c r="AI290">
        <v>0</v>
      </c>
      <c r="AJ290">
        <v>0</v>
      </c>
      <c r="AK290">
        <v>0</v>
      </c>
    </row>
    <row r="291" spans="1:37" x14ac:dyDescent="0.25">
      <c r="A291">
        <v>2023</v>
      </c>
      <c r="B291">
        <v>6905</v>
      </c>
      <c r="C291" t="s">
        <v>2064</v>
      </c>
      <c r="D291" t="s">
        <v>4095</v>
      </c>
      <c r="G291" t="s">
        <v>4096</v>
      </c>
      <c r="H291" t="s">
        <v>54</v>
      </c>
      <c r="I291" t="s">
        <v>4097</v>
      </c>
      <c r="J291" t="s">
        <v>4098</v>
      </c>
      <c r="K291" t="s">
        <v>4099</v>
      </c>
      <c r="L291">
        <v>49.7333</v>
      </c>
      <c r="M291">
        <v>-101.081</v>
      </c>
      <c r="N291">
        <v>1983</v>
      </c>
      <c r="O291">
        <v>486110</v>
      </c>
      <c r="P291">
        <v>10</v>
      </c>
      <c r="Q291" t="s">
        <v>2770</v>
      </c>
      <c r="R291" t="s">
        <v>2771</v>
      </c>
      <c r="S291">
        <v>4606</v>
      </c>
      <c r="T291" t="s">
        <v>2663</v>
      </c>
      <c r="U291">
        <v>4606023</v>
      </c>
      <c r="V291" t="s">
        <v>4100</v>
      </c>
      <c r="X291" t="s">
        <v>2402</v>
      </c>
      <c r="Y291">
        <v>4630</v>
      </c>
      <c r="Z291" t="s">
        <v>3441</v>
      </c>
      <c r="AA291" t="s">
        <v>3442</v>
      </c>
      <c r="AB291">
        <v>10</v>
      </c>
      <c r="AC291" t="s">
        <v>2405</v>
      </c>
      <c r="AD291" t="s">
        <v>2406</v>
      </c>
      <c r="AE291">
        <v>5</v>
      </c>
      <c r="AF291" t="s">
        <v>2407</v>
      </c>
      <c r="AG291" t="s">
        <v>2408</v>
      </c>
      <c r="AH291">
        <v>0</v>
      </c>
      <c r="AI291">
        <v>0</v>
      </c>
      <c r="AJ291">
        <v>0</v>
      </c>
      <c r="AK291">
        <v>0</v>
      </c>
    </row>
    <row r="292" spans="1:37" x14ac:dyDescent="0.25">
      <c r="A292">
        <v>2023</v>
      </c>
      <c r="B292">
        <v>26540</v>
      </c>
      <c r="C292" t="s">
        <v>3960</v>
      </c>
      <c r="D292" t="s">
        <v>4101</v>
      </c>
      <c r="H292" t="s">
        <v>243</v>
      </c>
      <c r="I292" t="s">
        <v>4102</v>
      </c>
      <c r="J292" t="s">
        <v>4103</v>
      </c>
      <c r="K292" t="s">
        <v>4104</v>
      </c>
      <c r="L292">
        <v>49.670101000000003</v>
      </c>
      <c r="M292">
        <v>-102.63011400000001</v>
      </c>
      <c r="N292">
        <v>1983</v>
      </c>
      <c r="O292">
        <v>211110</v>
      </c>
      <c r="P292">
        <v>4</v>
      </c>
      <c r="Q292" t="s">
        <v>2398</v>
      </c>
      <c r="R292" t="s">
        <v>2399</v>
      </c>
      <c r="S292">
        <v>4701</v>
      </c>
      <c r="T292" t="s">
        <v>2523</v>
      </c>
      <c r="U292">
        <v>4701058</v>
      </c>
      <c r="V292" t="s">
        <v>3330</v>
      </c>
      <c r="X292" t="s">
        <v>2402</v>
      </c>
      <c r="Y292">
        <v>4710</v>
      </c>
      <c r="Z292" t="s">
        <v>2525</v>
      </c>
      <c r="AA292" t="s">
        <v>2655</v>
      </c>
      <c r="AB292">
        <v>10</v>
      </c>
      <c r="AC292" t="s">
        <v>2405</v>
      </c>
      <c r="AD292" t="s">
        <v>2406</v>
      </c>
      <c r="AE292">
        <v>5</v>
      </c>
      <c r="AF292" t="s">
        <v>2407</v>
      </c>
      <c r="AG292" t="s">
        <v>2408</v>
      </c>
      <c r="AH292">
        <v>0</v>
      </c>
      <c r="AI292">
        <v>0</v>
      </c>
      <c r="AJ292">
        <v>0</v>
      </c>
      <c r="AK292">
        <v>0</v>
      </c>
    </row>
    <row r="293" spans="1:37" x14ac:dyDescent="0.25">
      <c r="A293">
        <v>2023</v>
      </c>
      <c r="B293">
        <v>34122</v>
      </c>
      <c r="C293" t="s">
        <v>1529</v>
      </c>
      <c r="D293" t="s">
        <v>4105</v>
      </c>
      <c r="H293" t="s">
        <v>85</v>
      </c>
      <c r="J293" t="s">
        <v>4106</v>
      </c>
      <c r="K293" t="s">
        <v>4107</v>
      </c>
      <c r="L293">
        <v>54.601633</v>
      </c>
      <c r="M293">
        <v>-118.79016</v>
      </c>
      <c r="N293">
        <v>1983</v>
      </c>
      <c r="O293">
        <v>211110</v>
      </c>
      <c r="P293">
        <v>4</v>
      </c>
      <c r="Q293" t="s">
        <v>2398</v>
      </c>
      <c r="R293" t="s">
        <v>2399</v>
      </c>
      <c r="S293">
        <v>4818</v>
      </c>
      <c r="T293" t="s">
        <v>2545</v>
      </c>
      <c r="U293">
        <v>4818015</v>
      </c>
      <c r="V293" t="s">
        <v>2546</v>
      </c>
      <c r="X293" t="s">
        <v>2402</v>
      </c>
      <c r="Y293">
        <v>4870</v>
      </c>
      <c r="Z293" t="s">
        <v>2473</v>
      </c>
      <c r="AA293" t="s">
        <v>2474</v>
      </c>
      <c r="AB293">
        <v>9</v>
      </c>
      <c r="AC293" t="s">
        <v>2475</v>
      </c>
      <c r="AD293" t="s">
        <v>2476</v>
      </c>
      <c r="AE293">
        <v>7</v>
      </c>
      <c r="AF293" t="s">
        <v>2477</v>
      </c>
      <c r="AG293" t="s">
        <v>2478</v>
      </c>
      <c r="AH293">
        <v>0</v>
      </c>
      <c r="AI293">
        <v>0</v>
      </c>
      <c r="AJ293">
        <v>0</v>
      </c>
      <c r="AK293">
        <v>0</v>
      </c>
    </row>
    <row r="294" spans="1:37" x14ac:dyDescent="0.25">
      <c r="A294">
        <v>2013</v>
      </c>
      <c r="B294">
        <v>27973</v>
      </c>
      <c r="C294" t="s">
        <v>1608</v>
      </c>
      <c r="D294" t="s">
        <v>4108</v>
      </c>
      <c r="G294" t="s">
        <v>4109</v>
      </c>
      <c r="H294" t="s">
        <v>85</v>
      </c>
      <c r="I294" t="s">
        <v>4110</v>
      </c>
      <c r="J294" t="s">
        <v>4111</v>
      </c>
      <c r="K294" t="s">
        <v>4112</v>
      </c>
      <c r="L294">
        <v>53.769269999999999</v>
      </c>
      <c r="M294">
        <v>-116.743917</v>
      </c>
      <c r="N294">
        <v>1983</v>
      </c>
      <c r="O294">
        <v>211113</v>
      </c>
      <c r="P294">
        <v>4</v>
      </c>
      <c r="Q294" t="s">
        <v>2398</v>
      </c>
      <c r="R294" t="s">
        <v>2399</v>
      </c>
      <c r="S294">
        <v>4814</v>
      </c>
      <c r="T294" t="s">
        <v>3256</v>
      </c>
      <c r="U294">
        <v>4814003</v>
      </c>
      <c r="V294" t="s">
        <v>3257</v>
      </c>
      <c r="X294" t="s">
        <v>2402</v>
      </c>
      <c r="Y294">
        <v>4840</v>
      </c>
      <c r="Z294" t="s">
        <v>2633</v>
      </c>
      <c r="AA294" t="s">
        <v>3929</v>
      </c>
      <c r="AB294">
        <v>9</v>
      </c>
      <c r="AC294" t="s">
        <v>2475</v>
      </c>
      <c r="AD294" t="s">
        <v>2476</v>
      </c>
      <c r="AE294">
        <v>7</v>
      </c>
      <c r="AF294" t="s">
        <v>2477</v>
      </c>
      <c r="AG294" t="s">
        <v>2478</v>
      </c>
      <c r="AH294">
        <v>0</v>
      </c>
      <c r="AI294">
        <v>0</v>
      </c>
      <c r="AJ294">
        <v>0</v>
      </c>
      <c r="AK294">
        <v>0</v>
      </c>
    </row>
    <row r="295" spans="1:37" x14ac:dyDescent="0.25">
      <c r="A295">
        <v>2001</v>
      </c>
      <c r="B295">
        <v>5001</v>
      </c>
      <c r="C295" t="s">
        <v>4113</v>
      </c>
      <c r="D295" t="s">
        <v>4114</v>
      </c>
      <c r="E295" t="s">
        <v>4115</v>
      </c>
      <c r="G295" t="s">
        <v>4116</v>
      </c>
      <c r="H295" t="s">
        <v>483</v>
      </c>
      <c r="I295" t="s">
        <v>4117</v>
      </c>
      <c r="K295" t="s">
        <v>4118</v>
      </c>
      <c r="L295">
        <v>44.653550000000003</v>
      </c>
      <c r="M295">
        <v>-63.630918000000001</v>
      </c>
      <c r="N295">
        <v>1983</v>
      </c>
      <c r="O295">
        <v>485210</v>
      </c>
      <c r="P295">
        <v>19</v>
      </c>
      <c r="Q295" t="s">
        <v>2552</v>
      </c>
      <c r="R295" t="s">
        <v>2553</v>
      </c>
      <c r="S295">
        <v>1209</v>
      </c>
      <c r="T295" t="s">
        <v>4119</v>
      </c>
      <c r="U295">
        <v>1209034</v>
      </c>
      <c r="V295" t="s">
        <v>4119</v>
      </c>
      <c r="W295">
        <v>205</v>
      </c>
      <c r="X295" t="s">
        <v>4119</v>
      </c>
      <c r="Y295">
        <v>1250</v>
      </c>
      <c r="Z295" t="s">
        <v>4119</v>
      </c>
      <c r="AA295" t="s">
        <v>4120</v>
      </c>
      <c r="AB295">
        <v>7</v>
      </c>
      <c r="AC295" t="s">
        <v>2996</v>
      </c>
      <c r="AD295" t="s">
        <v>2997</v>
      </c>
      <c r="AE295">
        <v>1</v>
      </c>
      <c r="AF295" t="s">
        <v>3479</v>
      </c>
      <c r="AG295" t="s">
        <v>3480</v>
      </c>
      <c r="AH295">
        <v>1</v>
      </c>
      <c r="AI295">
        <v>0</v>
      </c>
      <c r="AJ295">
        <v>0</v>
      </c>
      <c r="AK295">
        <v>0</v>
      </c>
    </row>
    <row r="296" spans="1:37" x14ac:dyDescent="0.25">
      <c r="A296">
        <v>2006</v>
      </c>
      <c r="B296">
        <v>21049</v>
      </c>
      <c r="C296" t="s">
        <v>4121</v>
      </c>
      <c r="D296" t="s">
        <v>4122</v>
      </c>
      <c r="H296" t="s">
        <v>85</v>
      </c>
      <c r="J296" t="s">
        <v>4123</v>
      </c>
      <c r="K296" t="s">
        <v>4124</v>
      </c>
      <c r="L296">
        <v>54.302999999999997</v>
      </c>
      <c r="M296">
        <v>-116.8344</v>
      </c>
      <c r="N296">
        <v>1983</v>
      </c>
      <c r="O296">
        <v>211113</v>
      </c>
      <c r="P296">
        <v>4</v>
      </c>
      <c r="Q296" t="s">
        <v>2398</v>
      </c>
      <c r="R296" t="s">
        <v>2399</v>
      </c>
      <c r="S296">
        <v>4818</v>
      </c>
      <c r="T296" t="s">
        <v>2545</v>
      </c>
      <c r="U296">
        <v>4818015</v>
      </c>
      <c r="V296" t="s">
        <v>2546</v>
      </c>
      <c r="X296" t="s">
        <v>2402</v>
      </c>
      <c r="Y296">
        <v>4870</v>
      </c>
      <c r="Z296" t="s">
        <v>2473</v>
      </c>
      <c r="AA296" t="s">
        <v>2474</v>
      </c>
      <c r="AB296">
        <v>9</v>
      </c>
      <c r="AC296" t="s">
        <v>2475</v>
      </c>
      <c r="AD296" t="s">
        <v>2476</v>
      </c>
      <c r="AE296">
        <v>7</v>
      </c>
      <c r="AF296" t="s">
        <v>2477</v>
      </c>
      <c r="AG296" t="s">
        <v>2478</v>
      </c>
      <c r="AH296">
        <v>0</v>
      </c>
      <c r="AI296">
        <v>0</v>
      </c>
      <c r="AJ296">
        <v>0</v>
      </c>
      <c r="AK296">
        <v>0</v>
      </c>
    </row>
    <row r="297" spans="1:37" x14ac:dyDescent="0.25">
      <c r="A297">
        <v>2014</v>
      </c>
      <c r="B297">
        <v>19337</v>
      </c>
      <c r="C297" t="s">
        <v>4125</v>
      </c>
      <c r="D297" t="s">
        <v>4126</v>
      </c>
      <c r="H297" t="s">
        <v>243</v>
      </c>
      <c r="J297" t="s">
        <v>4127</v>
      </c>
      <c r="K297" t="s">
        <v>4128</v>
      </c>
      <c r="L297">
        <v>49.549900000000001</v>
      </c>
      <c r="M297">
        <v>-103.3699</v>
      </c>
      <c r="N297">
        <v>1983</v>
      </c>
      <c r="O297">
        <v>211113</v>
      </c>
      <c r="P297">
        <v>4</v>
      </c>
      <c r="Q297" t="s">
        <v>2398</v>
      </c>
      <c r="R297" t="s">
        <v>2399</v>
      </c>
      <c r="S297">
        <v>4702</v>
      </c>
      <c r="T297" t="s">
        <v>2696</v>
      </c>
      <c r="U297">
        <v>4702042</v>
      </c>
      <c r="V297" t="s">
        <v>4129</v>
      </c>
      <c r="X297" t="s">
        <v>2402</v>
      </c>
      <c r="Y297">
        <v>4710</v>
      </c>
      <c r="Z297" t="s">
        <v>2525</v>
      </c>
      <c r="AA297" t="s">
        <v>2655</v>
      </c>
      <c r="AB297">
        <v>10</v>
      </c>
      <c r="AC297" t="s">
        <v>2405</v>
      </c>
      <c r="AD297" t="s">
        <v>2406</v>
      </c>
      <c r="AE297">
        <v>5</v>
      </c>
      <c r="AF297" t="s">
        <v>2407</v>
      </c>
      <c r="AG297" t="s">
        <v>2408</v>
      </c>
      <c r="AH297">
        <v>0</v>
      </c>
      <c r="AI297">
        <v>0</v>
      </c>
      <c r="AJ297">
        <v>0</v>
      </c>
      <c r="AK297">
        <v>0</v>
      </c>
    </row>
    <row r="298" spans="1:37" x14ac:dyDescent="0.25">
      <c r="A298">
        <v>2012</v>
      </c>
      <c r="B298">
        <v>22867</v>
      </c>
      <c r="C298" t="s">
        <v>1999</v>
      </c>
      <c r="D298" t="s">
        <v>4130</v>
      </c>
      <c r="H298" t="s">
        <v>85</v>
      </c>
      <c r="J298" t="s">
        <v>4131</v>
      </c>
      <c r="K298" t="s">
        <v>4132</v>
      </c>
      <c r="L298">
        <v>49.9514</v>
      </c>
      <c r="M298">
        <v>-112.70869999999999</v>
      </c>
      <c r="N298">
        <v>1983</v>
      </c>
      <c r="O298">
        <v>211113</v>
      </c>
      <c r="P298">
        <v>4</v>
      </c>
      <c r="Q298" t="s">
        <v>2398</v>
      </c>
      <c r="R298" t="s">
        <v>2399</v>
      </c>
      <c r="S298">
        <v>4802</v>
      </c>
      <c r="T298" t="s">
        <v>2696</v>
      </c>
      <c r="U298">
        <v>4802011</v>
      </c>
      <c r="V298" t="s">
        <v>3135</v>
      </c>
      <c r="W298">
        <v>810</v>
      </c>
      <c r="X298" t="s">
        <v>767</v>
      </c>
      <c r="Y298">
        <v>4810</v>
      </c>
      <c r="Z298" t="s">
        <v>2603</v>
      </c>
      <c r="AA298" t="s">
        <v>2846</v>
      </c>
      <c r="AB298">
        <v>10</v>
      </c>
      <c r="AC298" t="s">
        <v>2405</v>
      </c>
      <c r="AD298" t="s">
        <v>2406</v>
      </c>
      <c r="AE298">
        <v>5</v>
      </c>
      <c r="AF298" t="s">
        <v>2407</v>
      </c>
      <c r="AG298" t="s">
        <v>2408</v>
      </c>
      <c r="AH298">
        <v>0</v>
      </c>
      <c r="AI298">
        <v>0</v>
      </c>
      <c r="AJ298">
        <v>0</v>
      </c>
      <c r="AK298">
        <v>0</v>
      </c>
    </row>
    <row r="299" spans="1:37" x14ac:dyDescent="0.25">
      <c r="A299">
        <v>2023</v>
      </c>
      <c r="B299">
        <v>6665</v>
      </c>
      <c r="C299" t="s">
        <v>4133</v>
      </c>
      <c r="D299" t="s">
        <v>4134</v>
      </c>
      <c r="E299" t="s">
        <v>4135</v>
      </c>
      <c r="G299" t="s">
        <v>4134</v>
      </c>
      <c r="H299" t="s">
        <v>54</v>
      </c>
      <c r="I299" t="s">
        <v>4136</v>
      </c>
      <c r="J299" t="s">
        <v>4137</v>
      </c>
      <c r="K299" t="s">
        <v>4138</v>
      </c>
      <c r="L299">
        <v>49.9664</v>
      </c>
      <c r="M299">
        <v>-98.352999999999994</v>
      </c>
      <c r="N299">
        <v>1983</v>
      </c>
      <c r="O299">
        <v>311230</v>
      </c>
      <c r="P299">
        <v>11</v>
      </c>
      <c r="Q299" t="s">
        <v>2532</v>
      </c>
      <c r="R299" t="s">
        <v>2533</v>
      </c>
      <c r="S299">
        <v>4609</v>
      </c>
      <c r="T299" t="s">
        <v>2631</v>
      </c>
      <c r="U299">
        <v>4609024</v>
      </c>
      <c r="V299" t="s">
        <v>4139</v>
      </c>
      <c r="X299" t="s">
        <v>2402</v>
      </c>
      <c r="Y299">
        <v>4640</v>
      </c>
      <c r="Z299" t="s">
        <v>4140</v>
      </c>
      <c r="AA299" t="s">
        <v>4141</v>
      </c>
      <c r="AB299">
        <v>10</v>
      </c>
      <c r="AC299" t="s">
        <v>2405</v>
      </c>
      <c r="AD299" t="s">
        <v>2406</v>
      </c>
      <c r="AE299">
        <v>5</v>
      </c>
      <c r="AF299" t="s">
        <v>2407</v>
      </c>
      <c r="AG299" t="s">
        <v>2408</v>
      </c>
      <c r="AH299">
        <v>0</v>
      </c>
      <c r="AI299">
        <v>0</v>
      </c>
      <c r="AJ299">
        <v>0</v>
      </c>
      <c r="AK299">
        <v>0</v>
      </c>
    </row>
    <row r="300" spans="1:37" x14ac:dyDescent="0.25">
      <c r="A300">
        <v>2011</v>
      </c>
      <c r="B300">
        <v>15572</v>
      </c>
      <c r="C300" t="s">
        <v>1653</v>
      </c>
      <c r="D300" t="s">
        <v>4142</v>
      </c>
      <c r="G300" t="s">
        <v>2659</v>
      </c>
      <c r="H300" t="s">
        <v>85</v>
      </c>
      <c r="J300" t="s">
        <v>4143</v>
      </c>
      <c r="K300" t="s">
        <v>4144</v>
      </c>
      <c r="L300">
        <v>57.120899999999999</v>
      </c>
      <c r="M300">
        <v>-118.1392</v>
      </c>
      <c r="N300">
        <v>1983</v>
      </c>
      <c r="O300">
        <v>211113</v>
      </c>
      <c r="P300">
        <v>4</v>
      </c>
      <c r="Q300" t="s">
        <v>2398</v>
      </c>
      <c r="R300" t="s">
        <v>2399</v>
      </c>
      <c r="S300">
        <v>4817</v>
      </c>
      <c r="T300" t="s">
        <v>2471</v>
      </c>
      <c r="U300">
        <v>4817076</v>
      </c>
      <c r="V300" t="s">
        <v>3954</v>
      </c>
      <c r="X300" t="s">
        <v>2402</v>
      </c>
      <c r="Y300">
        <v>4870</v>
      </c>
      <c r="Z300" t="s">
        <v>2473</v>
      </c>
      <c r="AA300" t="s">
        <v>2474</v>
      </c>
      <c r="AB300">
        <v>9</v>
      </c>
      <c r="AC300" t="s">
        <v>2475</v>
      </c>
      <c r="AD300" t="s">
        <v>2476</v>
      </c>
      <c r="AE300">
        <v>7</v>
      </c>
      <c r="AF300" t="s">
        <v>2477</v>
      </c>
      <c r="AG300" t="s">
        <v>2478</v>
      </c>
      <c r="AH300">
        <v>0</v>
      </c>
      <c r="AI300">
        <v>0</v>
      </c>
      <c r="AJ300">
        <v>0</v>
      </c>
      <c r="AK300">
        <v>0</v>
      </c>
    </row>
    <row r="301" spans="1:37" x14ac:dyDescent="0.25">
      <c r="A301">
        <v>2006</v>
      </c>
      <c r="B301">
        <v>21156</v>
      </c>
      <c r="C301" t="s">
        <v>4145</v>
      </c>
      <c r="D301" t="s">
        <v>4146</v>
      </c>
      <c r="E301" t="s">
        <v>4147</v>
      </c>
      <c r="G301" t="s">
        <v>4148</v>
      </c>
      <c r="H301" t="s">
        <v>69</v>
      </c>
      <c r="J301" t="s">
        <v>3907</v>
      </c>
      <c r="K301" t="s">
        <v>3908</v>
      </c>
      <c r="L301">
        <v>56.313699999999997</v>
      </c>
      <c r="M301">
        <v>-121.04810000000001</v>
      </c>
      <c r="N301">
        <v>1983</v>
      </c>
      <c r="O301">
        <v>211113</v>
      </c>
      <c r="P301">
        <v>4</v>
      </c>
      <c r="Q301" t="s">
        <v>2398</v>
      </c>
      <c r="R301" t="s">
        <v>2399</v>
      </c>
      <c r="S301">
        <v>5955</v>
      </c>
      <c r="T301" t="s">
        <v>2492</v>
      </c>
      <c r="U301">
        <v>5955042</v>
      </c>
      <c r="V301" t="s">
        <v>3118</v>
      </c>
      <c r="W301">
        <v>977</v>
      </c>
      <c r="X301" t="s">
        <v>3119</v>
      </c>
      <c r="Y301">
        <v>5980</v>
      </c>
      <c r="Z301" t="s">
        <v>2494</v>
      </c>
      <c r="AA301" t="s">
        <v>2495</v>
      </c>
      <c r="AB301">
        <v>9</v>
      </c>
      <c r="AC301" t="s">
        <v>2475</v>
      </c>
      <c r="AD301" t="s">
        <v>2476</v>
      </c>
      <c r="AE301">
        <v>7</v>
      </c>
      <c r="AF301" t="s">
        <v>2477</v>
      </c>
      <c r="AG301" t="s">
        <v>2478</v>
      </c>
      <c r="AH301">
        <v>0</v>
      </c>
      <c r="AI301">
        <v>0</v>
      </c>
      <c r="AJ301">
        <v>0</v>
      </c>
      <c r="AK301">
        <v>0</v>
      </c>
    </row>
    <row r="302" spans="1:37" x14ac:dyDescent="0.25">
      <c r="A302">
        <v>2010</v>
      </c>
      <c r="B302">
        <v>23900</v>
      </c>
      <c r="C302" t="s">
        <v>2518</v>
      </c>
      <c r="D302" t="s">
        <v>4149</v>
      </c>
      <c r="E302" t="s">
        <v>4150</v>
      </c>
      <c r="H302" t="s">
        <v>85</v>
      </c>
      <c r="J302" t="s">
        <v>4151</v>
      </c>
      <c r="K302" t="s">
        <v>4152</v>
      </c>
      <c r="L302">
        <v>53.310600000000001</v>
      </c>
      <c r="M302">
        <v>-115.2966</v>
      </c>
      <c r="N302">
        <v>1983</v>
      </c>
      <c r="O302">
        <v>211113</v>
      </c>
      <c r="P302">
        <v>4</v>
      </c>
      <c r="Q302" t="s">
        <v>2398</v>
      </c>
      <c r="R302" t="s">
        <v>2399</v>
      </c>
      <c r="S302">
        <v>4811</v>
      </c>
      <c r="T302" t="s">
        <v>2643</v>
      </c>
      <c r="U302">
        <v>4811032</v>
      </c>
      <c r="V302" t="s">
        <v>2644</v>
      </c>
      <c r="X302" t="s">
        <v>2402</v>
      </c>
      <c r="Y302">
        <v>4860</v>
      </c>
      <c r="Z302" t="s">
        <v>2645</v>
      </c>
      <c r="AA302" t="s">
        <v>2646</v>
      </c>
      <c r="AB302">
        <v>9</v>
      </c>
      <c r="AC302" t="s">
        <v>2475</v>
      </c>
      <c r="AD302" t="s">
        <v>2476</v>
      </c>
      <c r="AE302">
        <v>7</v>
      </c>
      <c r="AF302" t="s">
        <v>2477</v>
      </c>
      <c r="AG302" t="s">
        <v>2478</v>
      </c>
      <c r="AH302">
        <v>0</v>
      </c>
      <c r="AI302">
        <v>0</v>
      </c>
      <c r="AJ302">
        <v>0</v>
      </c>
      <c r="AK302">
        <v>0</v>
      </c>
    </row>
    <row r="303" spans="1:37" x14ac:dyDescent="0.25">
      <c r="A303">
        <v>2024</v>
      </c>
      <c r="B303">
        <v>32440</v>
      </c>
      <c r="C303" t="s">
        <v>4153</v>
      </c>
      <c r="D303" t="s">
        <v>4153</v>
      </c>
      <c r="E303" t="s">
        <v>4154</v>
      </c>
      <c r="G303" t="s">
        <v>4155</v>
      </c>
      <c r="H303" t="s">
        <v>21</v>
      </c>
      <c r="I303" t="s">
        <v>4156</v>
      </c>
      <c r="K303" t="s">
        <v>4157</v>
      </c>
      <c r="L303">
        <v>42.084119999999999</v>
      </c>
      <c r="M303">
        <v>-82.596779999999995</v>
      </c>
      <c r="N303">
        <v>1983</v>
      </c>
      <c r="O303">
        <v>327320</v>
      </c>
      <c r="P303">
        <v>2</v>
      </c>
      <c r="Q303" t="s">
        <v>2742</v>
      </c>
      <c r="R303" t="s">
        <v>2743</v>
      </c>
      <c r="S303">
        <v>3537</v>
      </c>
      <c r="T303" t="s">
        <v>2417</v>
      </c>
      <c r="U303">
        <v>3537003</v>
      </c>
      <c r="V303" t="s">
        <v>4155</v>
      </c>
      <c r="W303">
        <v>557</v>
      </c>
      <c r="X303" t="s">
        <v>4155</v>
      </c>
      <c r="Y303">
        <v>3570</v>
      </c>
      <c r="Z303" t="s">
        <v>2418</v>
      </c>
      <c r="AA303" t="s">
        <v>4158</v>
      </c>
      <c r="AB303">
        <v>8</v>
      </c>
      <c r="AC303" t="s">
        <v>2420</v>
      </c>
      <c r="AD303" t="s">
        <v>2421</v>
      </c>
      <c r="AE303">
        <v>2</v>
      </c>
      <c r="AF303" t="s">
        <v>2422</v>
      </c>
      <c r="AG303" t="s">
        <v>2423</v>
      </c>
      <c r="AH303">
        <v>1</v>
      </c>
      <c r="AI303">
        <v>1</v>
      </c>
      <c r="AJ303">
        <v>0</v>
      </c>
      <c r="AK303">
        <v>1</v>
      </c>
    </row>
    <row r="304" spans="1:37" x14ac:dyDescent="0.25">
      <c r="A304">
        <v>2003</v>
      </c>
      <c r="B304">
        <v>16843</v>
      </c>
      <c r="C304" t="s">
        <v>4159</v>
      </c>
      <c r="D304" t="s">
        <v>4160</v>
      </c>
      <c r="E304" t="s">
        <v>4161</v>
      </c>
      <c r="H304" t="s">
        <v>85</v>
      </c>
      <c r="J304" t="s">
        <v>4162</v>
      </c>
      <c r="K304" t="s">
        <v>4163</v>
      </c>
      <c r="L304">
        <v>52.2973</v>
      </c>
      <c r="M304">
        <v>-114.5291</v>
      </c>
      <c r="N304">
        <v>1983</v>
      </c>
      <c r="O304">
        <v>211113</v>
      </c>
      <c r="P304">
        <v>4</v>
      </c>
      <c r="Q304" t="s">
        <v>2398</v>
      </c>
      <c r="R304" t="s">
        <v>2399</v>
      </c>
      <c r="S304">
        <v>4809</v>
      </c>
      <c r="T304" t="s">
        <v>2631</v>
      </c>
      <c r="U304">
        <v>4809002</v>
      </c>
      <c r="V304" t="s">
        <v>2632</v>
      </c>
      <c r="X304" t="s">
        <v>2402</v>
      </c>
      <c r="Y304">
        <v>4840</v>
      </c>
      <c r="Z304" t="s">
        <v>2633</v>
      </c>
      <c r="AA304" t="s">
        <v>2634</v>
      </c>
      <c r="AB304">
        <v>9</v>
      </c>
      <c r="AC304" t="s">
        <v>2475</v>
      </c>
      <c r="AD304" t="s">
        <v>2476</v>
      </c>
      <c r="AE304">
        <v>5</v>
      </c>
      <c r="AF304" t="s">
        <v>2407</v>
      </c>
      <c r="AG304" t="s">
        <v>2408</v>
      </c>
      <c r="AH304">
        <v>0</v>
      </c>
      <c r="AI304">
        <v>0</v>
      </c>
      <c r="AJ304">
        <v>0</v>
      </c>
      <c r="AK304">
        <v>0</v>
      </c>
    </row>
    <row r="305" spans="1:37" x14ac:dyDescent="0.25">
      <c r="A305">
        <v>2020</v>
      </c>
      <c r="B305">
        <v>15753</v>
      </c>
      <c r="C305" t="s">
        <v>2043</v>
      </c>
      <c r="D305" t="s">
        <v>4164</v>
      </c>
      <c r="E305" t="s">
        <v>4165</v>
      </c>
      <c r="G305" t="s">
        <v>4166</v>
      </c>
      <c r="H305" t="s">
        <v>85</v>
      </c>
      <c r="J305" t="s">
        <v>4167</v>
      </c>
      <c r="K305" t="s">
        <v>4168</v>
      </c>
      <c r="L305">
        <v>50.805799999999998</v>
      </c>
      <c r="M305">
        <v>-111.50749999999999</v>
      </c>
      <c r="N305">
        <v>1983</v>
      </c>
      <c r="O305">
        <v>211110</v>
      </c>
      <c r="P305">
        <v>4</v>
      </c>
      <c r="Q305" t="s">
        <v>2398</v>
      </c>
      <c r="R305" t="s">
        <v>2399</v>
      </c>
      <c r="S305">
        <v>4804</v>
      </c>
      <c r="T305" t="s">
        <v>2506</v>
      </c>
      <c r="U305">
        <v>4804004</v>
      </c>
      <c r="V305" t="s">
        <v>3348</v>
      </c>
      <c r="X305" t="s">
        <v>2402</v>
      </c>
      <c r="Y305">
        <v>4820</v>
      </c>
      <c r="Z305" t="s">
        <v>2508</v>
      </c>
      <c r="AA305" t="s">
        <v>2671</v>
      </c>
      <c r="AB305">
        <v>10</v>
      </c>
      <c r="AC305" t="s">
        <v>2405</v>
      </c>
      <c r="AD305" t="s">
        <v>2406</v>
      </c>
      <c r="AE305">
        <v>5</v>
      </c>
      <c r="AF305" t="s">
        <v>2407</v>
      </c>
      <c r="AG305" t="s">
        <v>2408</v>
      </c>
      <c r="AH305">
        <v>0</v>
      </c>
      <c r="AI305">
        <v>0</v>
      </c>
      <c r="AJ305">
        <v>0</v>
      </c>
      <c r="AK305">
        <v>0</v>
      </c>
    </row>
    <row r="306" spans="1:37" x14ac:dyDescent="0.25">
      <c r="A306">
        <v>2023</v>
      </c>
      <c r="B306">
        <v>15389</v>
      </c>
      <c r="C306" t="s">
        <v>3955</v>
      </c>
      <c r="D306" t="s">
        <v>4169</v>
      </c>
      <c r="G306" t="s">
        <v>4170</v>
      </c>
      <c r="H306" t="s">
        <v>85</v>
      </c>
      <c r="I306" t="s">
        <v>3957</v>
      </c>
      <c r="J306" t="s">
        <v>4171</v>
      </c>
      <c r="K306" t="s">
        <v>4172</v>
      </c>
      <c r="L306">
        <v>52.020899999999997</v>
      </c>
      <c r="M306">
        <v>-110.8094</v>
      </c>
      <c r="N306">
        <v>1983</v>
      </c>
      <c r="O306">
        <v>211110</v>
      </c>
      <c r="P306">
        <v>4</v>
      </c>
      <c r="Q306" t="s">
        <v>2398</v>
      </c>
      <c r="R306" t="s">
        <v>2399</v>
      </c>
      <c r="S306">
        <v>4804</v>
      </c>
      <c r="T306" t="s">
        <v>2506</v>
      </c>
      <c r="U306">
        <v>4804020</v>
      </c>
      <c r="V306" t="s">
        <v>2507</v>
      </c>
      <c r="X306" t="s">
        <v>2402</v>
      </c>
      <c r="Y306">
        <v>4820</v>
      </c>
      <c r="Z306" t="s">
        <v>2508</v>
      </c>
      <c r="AA306" t="s">
        <v>2509</v>
      </c>
      <c r="AB306">
        <v>10</v>
      </c>
      <c r="AC306" t="s">
        <v>2405</v>
      </c>
      <c r="AD306" t="s">
        <v>2406</v>
      </c>
      <c r="AE306">
        <v>5</v>
      </c>
      <c r="AF306" t="s">
        <v>2407</v>
      </c>
      <c r="AG306" t="s">
        <v>2408</v>
      </c>
      <c r="AH306">
        <v>0</v>
      </c>
      <c r="AI306">
        <v>0</v>
      </c>
      <c r="AJ306">
        <v>0</v>
      </c>
      <c r="AK306">
        <v>0</v>
      </c>
    </row>
    <row r="307" spans="1:37" x14ac:dyDescent="0.25">
      <c r="A307">
        <v>2023</v>
      </c>
      <c r="B307">
        <v>33270</v>
      </c>
      <c r="C307" t="s">
        <v>1791</v>
      </c>
      <c r="D307" t="s">
        <v>4173</v>
      </c>
      <c r="H307" t="s">
        <v>243</v>
      </c>
      <c r="J307" t="s">
        <v>4174</v>
      </c>
      <c r="K307" t="s">
        <v>4175</v>
      </c>
      <c r="L307">
        <v>51.094234999999998</v>
      </c>
      <c r="M307">
        <v>-107.890888</v>
      </c>
      <c r="N307">
        <v>1983</v>
      </c>
      <c r="O307">
        <v>211110</v>
      </c>
      <c r="P307">
        <v>4</v>
      </c>
      <c r="Q307" t="s">
        <v>2398</v>
      </c>
      <c r="R307" t="s">
        <v>2399</v>
      </c>
      <c r="S307">
        <v>4708</v>
      </c>
      <c r="T307" t="s">
        <v>2400</v>
      </c>
      <c r="U307">
        <v>4708092</v>
      </c>
      <c r="V307" t="s">
        <v>3242</v>
      </c>
      <c r="X307" t="s">
        <v>2402</v>
      </c>
      <c r="Y307">
        <v>4720</v>
      </c>
      <c r="Z307" t="s">
        <v>2403</v>
      </c>
      <c r="AA307" t="s">
        <v>2431</v>
      </c>
      <c r="AB307">
        <v>10</v>
      </c>
      <c r="AC307" t="s">
        <v>2405</v>
      </c>
      <c r="AD307" t="s">
        <v>2406</v>
      </c>
      <c r="AE307">
        <v>5</v>
      </c>
      <c r="AF307" t="s">
        <v>2407</v>
      </c>
      <c r="AG307" t="s">
        <v>2408</v>
      </c>
      <c r="AH307">
        <v>0</v>
      </c>
      <c r="AI307">
        <v>0</v>
      </c>
      <c r="AJ307">
        <v>0</v>
      </c>
      <c r="AK307">
        <v>0</v>
      </c>
    </row>
    <row r="308" spans="1:37" x14ac:dyDescent="0.25">
      <c r="A308">
        <v>2023</v>
      </c>
      <c r="B308">
        <v>19536</v>
      </c>
      <c r="C308" t="s">
        <v>1027</v>
      </c>
      <c r="D308" t="s">
        <v>4176</v>
      </c>
      <c r="H308" t="s">
        <v>85</v>
      </c>
      <c r="J308" t="s">
        <v>4177</v>
      </c>
      <c r="K308" t="s">
        <v>4178</v>
      </c>
      <c r="L308">
        <v>52.401200000000003</v>
      </c>
      <c r="M308">
        <v>-114.0179</v>
      </c>
      <c r="N308">
        <v>1983</v>
      </c>
      <c r="O308">
        <v>211110</v>
      </c>
      <c r="P308">
        <v>4</v>
      </c>
      <c r="Q308" t="s">
        <v>2398</v>
      </c>
      <c r="R308" t="s">
        <v>2399</v>
      </c>
      <c r="S308">
        <v>4808</v>
      </c>
      <c r="T308" t="s">
        <v>2400</v>
      </c>
      <c r="U308">
        <v>4808022</v>
      </c>
      <c r="V308" t="s">
        <v>3641</v>
      </c>
      <c r="X308" t="s">
        <v>2402</v>
      </c>
      <c r="Y308">
        <v>4850</v>
      </c>
      <c r="Z308" t="s">
        <v>1340</v>
      </c>
      <c r="AA308" t="s">
        <v>2509</v>
      </c>
      <c r="AB308">
        <v>10</v>
      </c>
      <c r="AC308" t="s">
        <v>2405</v>
      </c>
      <c r="AD308" t="s">
        <v>2406</v>
      </c>
      <c r="AE308">
        <v>5</v>
      </c>
      <c r="AF308" t="s">
        <v>2407</v>
      </c>
      <c r="AG308" t="s">
        <v>2408</v>
      </c>
      <c r="AH308">
        <v>0</v>
      </c>
      <c r="AI308">
        <v>0</v>
      </c>
      <c r="AJ308">
        <v>0</v>
      </c>
      <c r="AK308">
        <v>0</v>
      </c>
    </row>
    <row r="309" spans="1:37" x14ac:dyDescent="0.25">
      <c r="A309">
        <v>2023</v>
      </c>
      <c r="B309">
        <v>34153</v>
      </c>
      <c r="C309" t="s">
        <v>1411</v>
      </c>
      <c r="D309" t="s">
        <v>4179</v>
      </c>
      <c r="H309" t="s">
        <v>85</v>
      </c>
      <c r="J309" t="s">
        <v>4180</v>
      </c>
      <c r="K309" t="s">
        <v>4181</v>
      </c>
      <c r="L309">
        <v>55.267339999999997</v>
      </c>
      <c r="M309">
        <v>-119.40236</v>
      </c>
      <c r="N309">
        <v>1983</v>
      </c>
      <c r="O309">
        <v>211110</v>
      </c>
      <c r="P309">
        <v>4</v>
      </c>
      <c r="Q309" t="s">
        <v>2398</v>
      </c>
      <c r="R309" t="s">
        <v>2399</v>
      </c>
      <c r="S309">
        <v>4819</v>
      </c>
      <c r="T309" t="s">
        <v>2565</v>
      </c>
      <c r="U309">
        <v>4819006</v>
      </c>
      <c r="V309" t="s">
        <v>2639</v>
      </c>
      <c r="X309" t="s">
        <v>2402</v>
      </c>
      <c r="Y309">
        <v>4870</v>
      </c>
      <c r="Z309" t="s">
        <v>2473</v>
      </c>
      <c r="AA309" t="s">
        <v>2474</v>
      </c>
      <c r="AB309">
        <v>9</v>
      </c>
      <c r="AC309" t="s">
        <v>2475</v>
      </c>
      <c r="AD309" t="s">
        <v>2476</v>
      </c>
      <c r="AE309">
        <v>7</v>
      </c>
      <c r="AF309" t="s">
        <v>2477</v>
      </c>
      <c r="AG309" t="s">
        <v>2478</v>
      </c>
      <c r="AH309">
        <v>0</v>
      </c>
      <c r="AI309">
        <v>0</v>
      </c>
      <c r="AJ309">
        <v>0</v>
      </c>
      <c r="AK309">
        <v>0</v>
      </c>
    </row>
    <row r="310" spans="1:37" x14ac:dyDescent="0.25">
      <c r="A310">
        <v>2008</v>
      </c>
      <c r="B310">
        <v>22825</v>
      </c>
      <c r="C310" t="s">
        <v>4182</v>
      </c>
      <c r="D310" t="s">
        <v>4183</v>
      </c>
      <c r="E310" t="s">
        <v>4184</v>
      </c>
      <c r="H310" t="s">
        <v>243</v>
      </c>
      <c r="J310" t="s">
        <v>4185</v>
      </c>
      <c r="K310" t="s">
        <v>4186</v>
      </c>
      <c r="L310">
        <v>49.497</v>
      </c>
      <c r="M310">
        <v>-101.68340000000001</v>
      </c>
      <c r="N310">
        <v>1983</v>
      </c>
      <c r="O310">
        <v>211113</v>
      </c>
      <c r="P310">
        <v>4</v>
      </c>
      <c r="Q310" t="s">
        <v>2398</v>
      </c>
      <c r="R310" t="s">
        <v>2399</v>
      </c>
      <c r="S310">
        <v>4701</v>
      </c>
      <c r="T310" t="s">
        <v>2523</v>
      </c>
      <c r="U310">
        <v>4701039</v>
      </c>
      <c r="V310" t="s">
        <v>2772</v>
      </c>
      <c r="X310" t="s">
        <v>2402</v>
      </c>
      <c r="Y310">
        <v>4710</v>
      </c>
      <c r="Z310" t="s">
        <v>2525</v>
      </c>
      <c r="AA310" t="s">
        <v>2655</v>
      </c>
      <c r="AB310">
        <v>10</v>
      </c>
      <c r="AC310" t="s">
        <v>2405</v>
      </c>
      <c r="AD310" t="s">
        <v>2406</v>
      </c>
      <c r="AE310">
        <v>5</v>
      </c>
      <c r="AF310" t="s">
        <v>2407</v>
      </c>
      <c r="AG310" t="s">
        <v>2408</v>
      </c>
      <c r="AH310">
        <v>0</v>
      </c>
      <c r="AI310">
        <v>0</v>
      </c>
      <c r="AJ310">
        <v>0</v>
      </c>
      <c r="AK310">
        <v>0</v>
      </c>
    </row>
    <row r="311" spans="1:37" x14ac:dyDescent="0.25">
      <c r="A311">
        <v>2023</v>
      </c>
      <c r="B311">
        <v>5310</v>
      </c>
      <c r="C311" t="s">
        <v>294</v>
      </c>
      <c r="D311" t="s">
        <v>295</v>
      </c>
      <c r="E311" t="s">
        <v>4187</v>
      </c>
      <c r="G311" t="s">
        <v>4188</v>
      </c>
      <c r="H311" t="s">
        <v>54</v>
      </c>
      <c r="I311" t="s">
        <v>4189</v>
      </c>
      <c r="J311" t="s">
        <v>4190</v>
      </c>
      <c r="K311" t="s">
        <v>4191</v>
      </c>
      <c r="L311">
        <v>49.184699999999999</v>
      </c>
      <c r="M311">
        <v>-98.093209999999999</v>
      </c>
      <c r="N311">
        <v>1983</v>
      </c>
      <c r="O311">
        <v>321999</v>
      </c>
      <c r="P311">
        <v>18</v>
      </c>
      <c r="Q311" t="s">
        <v>2459</v>
      </c>
      <c r="R311" t="s">
        <v>2460</v>
      </c>
      <c r="S311">
        <v>4603</v>
      </c>
      <c r="T311" t="s">
        <v>2601</v>
      </c>
      <c r="U311">
        <v>4603053</v>
      </c>
      <c r="V311" t="s">
        <v>4188</v>
      </c>
      <c r="W311">
        <v>603</v>
      </c>
      <c r="X311" t="s">
        <v>4192</v>
      </c>
      <c r="Y311">
        <v>4620</v>
      </c>
      <c r="Z311" t="s">
        <v>4193</v>
      </c>
      <c r="AA311" t="s">
        <v>4194</v>
      </c>
      <c r="AB311">
        <v>10</v>
      </c>
      <c r="AC311" t="s">
        <v>2405</v>
      </c>
      <c r="AD311" t="s">
        <v>2406</v>
      </c>
      <c r="AE311">
        <v>5</v>
      </c>
      <c r="AF311" t="s">
        <v>2407</v>
      </c>
      <c r="AG311" t="s">
        <v>2408</v>
      </c>
      <c r="AH311">
        <v>0</v>
      </c>
      <c r="AI311">
        <v>0</v>
      </c>
      <c r="AJ311">
        <v>0</v>
      </c>
      <c r="AK311">
        <v>0</v>
      </c>
    </row>
    <row r="312" spans="1:37" x14ac:dyDescent="0.25">
      <c r="A312">
        <v>2005</v>
      </c>
      <c r="B312">
        <v>19570</v>
      </c>
      <c r="C312" t="s">
        <v>1753</v>
      </c>
      <c r="D312" t="s">
        <v>4195</v>
      </c>
      <c r="E312" t="s">
        <v>4196</v>
      </c>
      <c r="H312" t="s">
        <v>85</v>
      </c>
      <c r="J312" t="s">
        <v>4197</v>
      </c>
      <c r="K312" t="s">
        <v>4198</v>
      </c>
      <c r="L312">
        <v>58.017600000000002</v>
      </c>
      <c r="M312">
        <v>-119.4791</v>
      </c>
      <c r="N312">
        <v>1983</v>
      </c>
      <c r="O312">
        <v>211113</v>
      </c>
      <c r="P312">
        <v>4</v>
      </c>
      <c r="Q312" t="s">
        <v>2398</v>
      </c>
      <c r="R312" t="s">
        <v>2399</v>
      </c>
      <c r="S312">
        <v>4817</v>
      </c>
      <c r="T312" t="s">
        <v>2471</v>
      </c>
      <c r="U312">
        <v>4817076</v>
      </c>
      <c r="V312" t="s">
        <v>3954</v>
      </c>
      <c r="X312" t="s">
        <v>2402</v>
      </c>
      <c r="Y312">
        <v>4870</v>
      </c>
      <c r="Z312" t="s">
        <v>2473</v>
      </c>
      <c r="AA312" t="s">
        <v>2474</v>
      </c>
      <c r="AB312">
        <v>9</v>
      </c>
      <c r="AC312" t="s">
        <v>2475</v>
      </c>
      <c r="AD312" t="s">
        <v>2476</v>
      </c>
      <c r="AE312">
        <v>7</v>
      </c>
      <c r="AF312" t="s">
        <v>2477</v>
      </c>
      <c r="AG312" t="s">
        <v>2478</v>
      </c>
      <c r="AH312">
        <v>0</v>
      </c>
      <c r="AI312">
        <v>0</v>
      </c>
      <c r="AJ312">
        <v>0</v>
      </c>
      <c r="AK312">
        <v>0</v>
      </c>
    </row>
    <row r="313" spans="1:37" x14ac:dyDescent="0.25">
      <c r="A313">
        <v>2021</v>
      </c>
      <c r="B313">
        <v>24433</v>
      </c>
      <c r="C313" t="s">
        <v>1718</v>
      </c>
      <c r="D313" t="s">
        <v>4199</v>
      </c>
      <c r="H313" t="s">
        <v>85</v>
      </c>
      <c r="J313" t="s">
        <v>4200</v>
      </c>
      <c r="K313" t="s">
        <v>4201</v>
      </c>
      <c r="L313">
        <v>52.765273999999998</v>
      </c>
      <c r="M313">
        <v>-114.185866</v>
      </c>
      <c r="N313">
        <v>1983</v>
      </c>
      <c r="O313">
        <v>211110</v>
      </c>
      <c r="P313">
        <v>4</v>
      </c>
      <c r="Q313" t="s">
        <v>2398</v>
      </c>
      <c r="R313" t="s">
        <v>2399</v>
      </c>
      <c r="S313">
        <v>4808</v>
      </c>
      <c r="T313" t="s">
        <v>2400</v>
      </c>
      <c r="U313">
        <v>4808038</v>
      </c>
      <c r="V313" t="s">
        <v>2541</v>
      </c>
      <c r="X313" t="s">
        <v>2402</v>
      </c>
      <c r="Y313">
        <v>4850</v>
      </c>
      <c r="Z313" t="s">
        <v>1340</v>
      </c>
      <c r="AA313" t="s">
        <v>2509</v>
      </c>
      <c r="AB313">
        <v>9</v>
      </c>
      <c r="AC313" t="s">
        <v>2475</v>
      </c>
      <c r="AD313" t="s">
        <v>2476</v>
      </c>
      <c r="AE313">
        <v>5</v>
      </c>
      <c r="AF313" t="s">
        <v>2407</v>
      </c>
      <c r="AG313" t="s">
        <v>2408</v>
      </c>
      <c r="AH313">
        <v>0</v>
      </c>
      <c r="AI313">
        <v>0</v>
      </c>
      <c r="AJ313">
        <v>0</v>
      </c>
      <c r="AK313">
        <v>0</v>
      </c>
    </row>
    <row r="314" spans="1:37" x14ac:dyDescent="0.25">
      <c r="A314">
        <v>2023</v>
      </c>
      <c r="B314">
        <v>32608</v>
      </c>
      <c r="C314" t="s">
        <v>4202</v>
      </c>
      <c r="D314" t="s">
        <v>4203</v>
      </c>
      <c r="E314" t="s">
        <v>4204</v>
      </c>
      <c r="G314" t="s">
        <v>3452</v>
      </c>
      <c r="H314" t="s">
        <v>21</v>
      </c>
      <c r="I314" t="s">
        <v>4205</v>
      </c>
      <c r="K314" t="s">
        <v>4206</v>
      </c>
      <c r="L314">
        <v>43.266370000000002</v>
      </c>
      <c r="M314">
        <v>-79.831440000000001</v>
      </c>
      <c r="N314">
        <v>1983</v>
      </c>
      <c r="O314">
        <v>332311</v>
      </c>
      <c r="P314">
        <v>11</v>
      </c>
      <c r="Q314" t="s">
        <v>2532</v>
      </c>
      <c r="R314" t="s">
        <v>2533</v>
      </c>
      <c r="S314">
        <v>3525</v>
      </c>
      <c r="T314" t="s">
        <v>3452</v>
      </c>
      <c r="U314">
        <v>3525005</v>
      </c>
      <c r="V314" t="s">
        <v>3452</v>
      </c>
      <c r="W314">
        <v>537</v>
      </c>
      <c r="X314" t="s">
        <v>3452</v>
      </c>
      <c r="Y314">
        <v>3550</v>
      </c>
      <c r="Z314" t="s">
        <v>2680</v>
      </c>
      <c r="AA314" t="s">
        <v>4207</v>
      </c>
      <c r="AB314">
        <v>8</v>
      </c>
      <c r="AC314" t="s">
        <v>2420</v>
      </c>
      <c r="AD314" t="s">
        <v>2421</v>
      </c>
      <c r="AE314">
        <v>2</v>
      </c>
      <c r="AF314" t="s">
        <v>2422</v>
      </c>
      <c r="AG314" t="s">
        <v>2423</v>
      </c>
      <c r="AH314">
        <v>1</v>
      </c>
      <c r="AI314">
        <v>1</v>
      </c>
      <c r="AJ314">
        <v>0</v>
      </c>
      <c r="AK314">
        <v>1</v>
      </c>
    </row>
    <row r="315" spans="1:37" x14ac:dyDescent="0.25">
      <c r="A315">
        <v>2023</v>
      </c>
      <c r="B315">
        <v>10211</v>
      </c>
      <c r="C315" t="s">
        <v>125</v>
      </c>
      <c r="D315" t="s">
        <v>2125</v>
      </c>
      <c r="E315" t="s">
        <v>4208</v>
      </c>
      <c r="G315" t="s">
        <v>176</v>
      </c>
      <c r="H315" t="s">
        <v>69</v>
      </c>
      <c r="I315" t="s">
        <v>4209</v>
      </c>
      <c r="J315" t="s">
        <v>4210</v>
      </c>
      <c r="K315" t="s">
        <v>4211</v>
      </c>
      <c r="L315">
        <v>49.192349999999998</v>
      </c>
      <c r="M315">
        <v>-123.95010000000001</v>
      </c>
      <c r="N315">
        <v>1983</v>
      </c>
      <c r="O315">
        <v>412110</v>
      </c>
      <c r="P315">
        <v>10</v>
      </c>
      <c r="Q315" t="s">
        <v>2770</v>
      </c>
      <c r="R315" t="s">
        <v>2771</v>
      </c>
      <c r="S315">
        <v>5921</v>
      </c>
      <c r="T315" t="s">
        <v>176</v>
      </c>
      <c r="U315">
        <v>5921007</v>
      </c>
      <c r="V315" t="s">
        <v>176</v>
      </c>
      <c r="W315">
        <v>938</v>
      </c>
      <c r="X315" t="s">
        <v>176</v>
      </c>
      <c r="Y315">
        <v>5910</v>
      </c>
      <c r="Z315" t="s">
        <v>3887</v>
      </c>
      <c r="AA315" t="s">
        <v>4212</v>
      </c>
      <c r="AB315">
        <v>13</v>
      </c>
      <c r="AC315" t="s">
        <v>2626</v>
      </c>
      <c r="AD315" t="s">
        <v>2627</v>
      </c>
      <c r="AE315">
        <v>8</v>
      </c>
      <c r="AF315" t="s">
        <v>2584</v>
      </c>
      <c r="AG315" t="s">
        <v>2585</v>
      </c>
      <c r="AH315">
        <v>0</v>
      </c>
      <c r="AI315">
        <v>0</v>
      </c>
      <c r="AJ315">
        <v>0</v>
      </c>
      <c r="AK315">
        <v>0</v>
      </c>
    </row>
    <row r="316" spans="1:37" x14ac:dyDescent="0.25">
      <c r="A316">
        <v>2013</v>
      </c>
      <c r="B316">
        <v>27641</v>
      </c>
      <c r="C316" t="s">
        <v>1559</v>
      </c>
      <c r="D316" t="s">
        <v>4213</v>
      </c>
      <c r="H316" t="s">
        <v>85</v>
      </c>
      <c r="J316" t="s">
        <v>4214</v>
      </c>
      <c r="K316" t="s">
        <v>4215</v>
      </c>
      <c r="L316">
        <v>52.856164</v>
      </c>
      <c r="M316">
        <v>-115.33445</v>
      </c>
      <c r="N316">
        <v>1983</v>
      </c>
      <c r="O316">
        <v>211113</v>
      </c>
      <c r="P316">
        <v>4</v>
      </c>
      <c r="Q316" t="s">
        <v>2398</v>
      </c>
      <c r="R316" t="s">
        <v>2399</v>
      </c>
      <c r="S316">
        <v>4809</v>
      </c>
      <c r="T316" t="s">
        <v>2631</v>
      </c>
      <c r="U316">
        <v>4809806</v>
      </c>
      <c r="V316" t="s">
        <v>4216</v>
      </c>
      <c r="X316" t="s">
        <v>2402</v>
      </c>
      <c r="Y316">
        <v>4840</v>
      </c>
      <c r="Z316" t="s">
        <v>2633</v>
      </c>
      <c r="AA316" t="s">
        <v>2793</v>
      </c>
      <c r="AB316">
        <v>9</v>
      </c>
      <c r="AC316" t="s">
        <v>2475</v>
      </c>
      <c r="AD316" t="s">
        <v>2476</v>
      </c>
      <c r="AE316">
        <v>5</v>
      </c>
      <c r="AF316" t="s">
        <v>2407</v>
      </c>
      <c r="AG316" t="s">
        <v>2408</v>
      </c>
      <c r="AH316">
        <v>0</v>
      </c>
      <c r="AI316">
        <v>0</v>
      </c>
      <c r="AJ316">
        <v>0</v>
      </c>
      <c r="AK316">
        <v>0</v>
      </c>
    </row>
    <row r="317" spans="1:37" x14ac:dyDescent="0.25">
      <c r="A317">
        <v>2021</v>
      </c>
      <c r="B317">
        <v>33004</v>
      </c>
      <c r="C317" t="s">
        <v>3297</v>
      </c>
      <c r="D317" t="s">
        <v>4217</v>
      </c>
      <c r="G317" t="s">
        <v>4218</v>
      </c>
      <c r="H317" t="s">
        <v>85</v>
      </c>
      <c r="J317" t="s">
        <v>4219</v>
      </c>
      <c r="K317" t="s">
        <v>4220</v>
      </c>
      <c r="L317">
        <v>52.302140000000001</v>
      </c>
      <c r="M317">
        <v>-115.180988</v>
      </c>
      <c r="N317">
        <v>1983</v>
      </c>
      <c r="O317">
        <v>211110</v>
      </c>
      <c r="P317">
        <v>4</v>
      </c>
      <c r="Q317" t="s">
        <v>2398</v>
      </c>
      <c r="R317" t="s">
        <v>2399</v>
      </c>
      <c r="S317">
        <v>4809</v>
      </c>
      <c r="T317" t="s">
        <v>2631</v>
      </c>
      <c r="U317">
        <v>4809002</v>
      </c>
      <c r="V317" t="s">
        <v>2632</v>
      </c>
      <c r="X317" t="s">
        <v>2402</v>
      </c>
      <c r="Y317">
        <v>4840</v>
      </c>
      <c r="Z317" t="s">
        <v>2633</v>
      </c>
      <c r="AA317" t="s">
        <v>2793</v>
      </c>
      <c r="AB317">
        <v>9</v>
      </c>
      <c r="AC317" t="s">
        <v>2475</v>
      </c>
      <c r="AD317" t="s">
        <v>2476</v>
      </c>
      <c r="AE317">
        <v>5</v>
      </c>
      <c r="AF317" t="s">
        <v>2407</v>
      </c>
      <c r="AG317" t="s">
        <v>2408</v>
      </c>
      <c r="AH317">
        <v>0</v>
      </c>
      <c r="AI317">
        <v>0</v>
      </c>
      <c r="AJ317">
        <v>0</v>
      </c>
      <c r="AK317">
        <v>0</v>
      </c>
    </row>
    <row r="318" spans="1:37" x14ac:dyDescent="0.25">
      <c r="A318">
        <v>2021</v>
      </c>
      <c r="B318">
        <v>32996</v>
      </c>
      <c r="C318" t="s">
        <v>1112</v>
      </c>
      <c r="D318" t="s">
        <v>4221</v>
      </c>
      <c r="H318" t="s">
        <v>69</v>
      </c>
      <c r="J318" t="s">
        <v>4222</v>
      </c>
      <c r="K318" t="s">
        <v>4223</v>
      </c>
      <c r="L318">
        <v>55.808669999999999</v>
      </c>
      <c r="M318">
        <v>-120.58329999999999</v>
      </c>
      <c r="N318">
        <v>1983</v>
      </c>
      <c r="O318">
        <v>211110</v>
      </c>
      <c r="P318">
        <v>4</v>
      </c>
      <c r="Q318" t="s">
        <v>2398</v>
      </c>
      <c r="R318" t="s">
        <v>2399</v>
      </c>
      <c r="S318">
        <v>5955</v>
      </c>
      <c r="T318" t="s">
        <v>2492</v>
      </c>
      <c r="U318">
        <v>5955021</v>
      </c>
      <c r="V318" t="s">
        <v>2778</v>
      </c>
      <c r="X318" t="s">
        <v>2402</v>
      </c>
      <c r="Y318">
        <v>5980</v>
      </c>
      <c r="Z318" t="s">
        <v>2494</v>
      </c>
      <c r="AA318" t="s">
        <v>2495</v>
      </c>
      <c r="AB318">
        <v>9</v>
      </c>
      <c r="AC318" t="s">
        <v>2475</v>
      </c>
      <c r="AD318" t="s">
        <v>2476</v>
      </c>
      <c r="AE318">
        <v>7</v>
      </c>
      <c r="AF318" t="s">
        <v>2477</v>
      </c>
      <c r="AG318" t="s">
        <v>2478</v>
      </c>
      <c r="AH318">
        <v>0</v>
      </c>
      <c r="AI318">
        <v>0</v>
      </c>
      <c r="AJ318">
        <v>0</v>
      </c>
      <c r="AK318">
        <v>0</v>
      </c>
    </row>
    <row r="319" spans="1:37" x14ac:dyDescent="0.25">
      <c r="A319">
        <v>2019</v>
      </c>
      <c r="B319">
        <v>28254</v>
      </c>
      <c r="C319" t="s">
        <v>1027</v>
      </c>
      <c r="D319" t="s">
        <v>4224</v>
      </c>
      <c r="H319" t="s">
        <v>85</v>
      </c>
      <c r="J319" t="s">
        <v>4225</v>
      </c>
      <c r="K319" t="s">
        <v>4226</v>
      </c>
      <c r="L319">
        <v>55.586860999999999</v>
      </c>
      <c r="M319">
        <v>-119.432141</v>
      </c>
      <c r="N319">
        <v>1983</v>
      </c>
      <c r="O319">
        <v>211110</v>
      </c>
      <c r="P319">
        <v>4</v>
      </c>
      <c r="Q319" t="s">
        <v>2398</v>
      </c>
      <c r="R319" t="s">
        <v>2399</v>
      </c>
      <c r="S319">
        <v>4819</v>
      </c>
      <c r="T319" t="s">
        <v>2565</v>
      </c>
      <c r="U319">
        <v>4819059</v>
      </c>
      <c r="V319" t="s">
        <v>2566</v>
      </c>
      <c r="X319" t="s">
        <v>2402</v>
      </c>
      <c r="Y319">
        <v>4870</v>
      </c>
      <c r="Z319" t="s">
        <v>2473</v>
      </c>
      <c r="AA319" t="s">
        <v>2474</v>
      </c>
      <c r="AB319">
        <v>9</v>
      </c>
      <c r="AC319" t="s">
        <v>2475</v>
      </c>
      <c r="AD319" t="s">
        <v>2476</v>
      </c>
      <c r="AE319">
        <v>7</v>
      </c>
      <c r="AF319" t="s">
        <v>2477</v>
      </c>
      <c r="AG319" t="s">
        <v>2478</v>
      </c>
      <c r="AH319">
        <v>0</v>
      </c>
      <c r="AI319">
        <v>0</v>
      </c>
      <c r="AJ319">
        <v>0</v>
      </c>
      <c r="AK319">
        <v>0</v>
      </c>
    </row>
    <row r="320" spans="1:37" x14ac:dyDescent="0.25">
      <c r="A320">
        <v>1996</v>
      </c>
      <c r="B320">
        <v>4992</v>
      </c>
      <c r="C320" t="s">
        <v>4227</v>
      </c>
      <c r="D320" t="s">
        <v>4228</v>
      </c>
      <c r="E320" t="s">
        <v>4229</v>
      </c>
      <c r="G320" t="s">
        <v>4230</v>
      </c>
      <c r="H320" t="s">
        <v>4231</v>
      </c>
      <c r="I320" t="s">
        <v>4232</v>
      </c>
      <c r="J320" t="s">
        <v>4233</v>
      </c>
      <c r="K320" t="s">
        <v>4234</v>
      </c>
      <c r="L320">
        <v>62.05</v>
      </c>
      <c r="M320">
        <v>-137.15</v>
      </c>
      <c r="N320">
        <v>1983</v>
      </c>
      <c r="O320">
        <v>212220</v>
      </c>
      <c r="P320">
        <v>8</v>
      </c>
      <c r="Q320" t="s">
        <v>2862</v>
      </c>
      <c r="R320" t="s">
        <v>2863</v>
      </c>
      <c r="S320">
        <v>6001</v>
      </c>
      <c r="T320" t="s">
        <v>4235</v>
      </c>
      <c r="U320">
        <v>6001045</v>
      </c>
      <c r="V320" t="s">
        <v>4236</v>
      </c>
      <c r="X320" t="s">
        <v>2402</v>
      </c>
      <c r="Y320">
        <v>6010</v>
      </c>
      <c r="Z320" t="s">
        <v>4235</v>
      </c>
      <c r="AA320" t="s">
        <v>4237</v>
      </c>
      <c r="AB320">
        <v>12</v>
      </c>
      <c r="AC320" t="s">
        <v>4238</v>
      </c>
      <c r="AD320" t="s">
        <v>4239</v>
      </c>
      <c r="AE320">
        <v>9</v>
      </c>
      <c r="AF320" t="s">
        <v>4240</v>
      </c>
      <c r="AG320" t="s">
        <v>4241</v>
      </c>
      <c r="AH320">
        <v>0</v>
      </c>
      <c r="AI320">
        <v>0</v>
      </c>
      <c r="AJ320">
        <v>0</v>
      </c>
      <c r="AK320">
        <v>0</v>
      </c>
    </row>
    <row r="321" spans="1:37" x14ac:dyDescent="0.25">
      <c r="A321">
        <v>2007</v>
      </c>
      <c r="B321">
        <v>21979</v>
      </c>
      <c r="C321" t="s">
        <v>4242</v>
      </c>
      <c r="D321" t="s">
        <v>4243</v>
      </c>
      <c r="E321" t="s">
        <v>4244</v>
      </c>
      <c r="H321" t="s">
        <v>85</v>
      </c>
      <c r="J321" t="s">
        <v>4245</v>
      </c>
      <c r="K321" t="s">
        <v>4246</v>
      </c>
      <c r="L321">
        <v>52.363</v>
      </c>
      <c r="M321">
        <v>-113.4563</v>
      </c>
      <c r="N321">
        <v>1983</v>
      </c>
      <c r="O321">
        <v>211113</v>
      </c>
      <c r="P321">
        <v>4</v>
      </c>
      <c r="Q321" t="s">
        <v>2398</v>
      </c>
      <c r="R321" t="s">
        <v>2399</v>
      </c>
      <c r="S321">
        <v>4808</v>
      </c>
      <c r="T321" t="s">
        <v>2400</v>
      </c>
      <c r="U321">
        <v>4808022</v>
      </c>
      <c r="V321" t="s">
        <v>3641</v>
      </c>
      <c r="X321" t="s">
        <v>2402</v>
      </c>
      <c r="Y321">
        <v>4850</v>
      </c>
      <c r="Z321" t="s">
        <v>1340</v>
      </c>
      <c r="AA321" t="s">
        <v>2509</v>
      </c>
      <c r="AB321">
        <v>10</v>
      </c>
      <c r="AC321" t="s">
        <v>2405</v>
      </c>
      <c r="AD321" t="s">
        <v>2406</v>
      </c>
      <c r="AE321">
        <v>5</v>
      </c>
      <c r="AF321" t="s">
        <v>2407</v>
      </c>
      <c r="AG321" t="s">
        <v>2408</v>
      </c>
      <c r="AH321">
        <v>0</v>
      </c>
      <c r="AI321">
        <v>0</v>
      </c>
      <c r="AJ321">
        <v>0</v>
      </c>
      <c r="AK321">
        <v>0</v>
      </c>
    </row>
    <row r="322" spans="1:37" x14ac:dyDescent="0.25">
      <c r="A322">
        <v>2023</v>
      </c>
      <c r="B322">
        <v>34342</v>
      </c>
      <c r="C322" t="s">
        <v>1928</v>
      </c>
      <c r="D322" t="s">
        <v>4247</v>
      </c>
      <c r="H322" t="s">
        <v>243</v>
      </c>
      <c r="J322" t="s">
        <v>4248</v>
      </c>
      <c r="K322" t="s">
        <v>4249</v>
      </c>
      <c r="L322">
        <v>51.741484</v>
      </c>
      <c r="M322">
        <v>-109.994434</v>
      </c>
      <c r="N322">
        <v>1983</v>
      </c>
      <c r="O322">
        <v>211110</v>
      </c>
      <c r="P322">
        <v>4</v>
      </c>
      <c r="Q322" t="s">
        <v>2398</v>
      </c>
      <c r="R322" t="s">
        <v>2399</v>
      </c>
      <c r="S322">
        <v>4713</v>
      </c>
      <c r="T322" t="s">
        <v>2428</v>
      </c>
      <c r="U322">
        <v>4713016</v>
      </c>
      <c r="V322" t="s">
        <v>4048</v>
      </c>
      <c r="X322" t="s">
        <v>2402</v>
      </c>
      <c r="Y322">
        <v>4730</v>
      </c>
      <c r="Z322" t="s">
        <v>2430</v>
      </c>
      <c r="AA322" t="s">
        <v>2431</v>
      </c>
      <c r="AB322">
        <v>10</v>
      </c>
      <c r="AC322" t="s">
        <v>2405</v>
      </c>
      <c r="AD322" t="s">
        <v>2406</v>
      </c>
      <c r="AE322">
        <v>5</v>
      </c>
      <c r="AF322" t="s">
        <v>2407</v>
      </c>
      <c r="AG322" t="s">
        <v>2408</v>
      </c>
      <c r="AH322">
        <v>0</v>
      </c>
      <c r="AI322">
        <v>0</v>
      </c>
      <c r="AJ322">
        <v>0</v>
      </c>
      <c r="AK322">
        <v>0</v>
      </c>
    </row>
    <row r="323" spans="1:37" x14ac:dyDescent="0.25">
      <c r="A323">
        <v>2022</v>
      </c>
      <c r="B323">
        <v>33675</v>
      </c>
      <c r="C323" t="s">
        <v>4250</v>
      </c>
      <c r="D323" t="s">
        <v>4251</v>
      </c>
      <c r="E323" t="s">
        <v>4252</v>
      </c>
      <c r="G323" t="s">
        <v>4253</v>
      </c>
      <c r="H323" t="s">
        <v>85</v>
      </c>
      <c r="I323" t="s">
        <v>4254</v>
      </c>
      <c r="J323" t="s">
        <v>4255</v>
      </c>
      <c r="K323" t="s">
        <v>4256</v>
      </c>
      <c r="L323">
        <v>51.105215000000001</v>
      </c>
      <c r="M323">
        <v>-112.984729</v>
      </c>
      <c r="N323">
        <v>1983</v>
      </c>
      <c r="O323">
        <v>213118</v>
      </c>
      <c r="P323">
        <v>19</v>
      </c>
      <c r="Q323" t="s">
        <v>2552</v>
      </c>
      <c r="R323" t="s">
        <v>2553</v>
      </c>
      <c r="S323">
        <v>4805</v>
      </c>
      <c r="T323" t="s">
        <v>2669</v>
      </c>
      <c r="U323">
        <v>4805021</v>
      </c>
      <c r="V323" t="s">
        <v>4253</v>
      </c>
      <c r="X323" t="s">
        <v>2402</v>
      </c>
      <c r="Y323">
        <v>4820</v>
      </c>
      <c r="Z323" t="s">
        <v>2508</v>
      </c>
      <c r="AA323" t="s">
        <v>2671</v>
      </c>
      <c r="AB323">
        <v>10</v>
      </c>
      <c r="AC323" t="s">
        <v>2405</v>
      </c>
      <c r="AD323" t="s">
        <v>2406</v>
      </c>
      <c r="AE323">
        <v>5</v>
      </c>
      <c r="AF323" t="s">
        <v>2407</v>
      </c>
      <c r="AG323" t="s">
        <v>2408</v>
      </c>
      <c r="AH323">
        <v>0</v>
      </c>
      <c r="AI323">
        <v>0</v>
      </c>
      <c r="AJ323">
        <v>0</v>
      </c>
      <c r="AK323">
        <v>0</v>
      </c>
    </row>
    <row r="324" spans="1:37" x14ac:dyDescent="0.25">
      <c r="A324">
        <v>2023</v>
      </c>
      <c r="B324">
        <v>32020</v>
      </c>
      <c r="C324" t="s">
        <v>1411</v>
      </c>
      <c r="D324" t="s">
        <v>4257</v>
      </c>
      <c r="H324" t="s">
        <v>85</v>
      </c>
      <c r="J324" t="s">
        <v>4258</v>
      </c>
      <c r="K324" t="s">
        <v>4259</v>
      </c>
      <c r="L324">
        <v>54.411459999999998</v>
      </c>
      <c r="M324">
        <v>-112.98520000000001</v>
      </c>
      <c r="N324">
        <v>1983</v>
      </c>
      <c r="O324">
        <v>211110</v>
      </c>
      <c r="P324">
        <v>4</v>
      </c>
      <c r="Q324" t="s">
        <v>2398</v>
      </c>
      <c r="R324" t="s">
        <v>2399</v>
      </c>
      <c r="S324">
        <v>4813</v>
      </c>
      <c r="T324" t="s">
        <v>2428</v>
      </c>
      <c r="U324">
        <v>4813036</v>
      </c>
      <c r="V324" t="s">
        <v>4006</v>
      </c>
      <c r="X324" t="s">
        <v>2402</v>
      </c>
      <c r="Y324">
        <v>4870</v>
      </c>
      <c r="Z324" t="s">
        <v>2473</v>
      </c>
      <c r="AA324" t="s">
        <v>2727</v>
      </c>
      <c r="AB324">
        <v>9</v>
      </c>
      <c r="AC324" t="s">
        <v>2475</v>
      </c>
      <c r="AD324" t="s">
        <v>2476</v>
      </c>
      <c r="AE324">
        <v>7</v>
      </c>
      <c r="AF324" t="s">
        <v>2477</v>
      </c>
      <c r="AG324" t="s">
        <v>2478</v>
      </c>
      <c r="AH324">
        <v>0</v>
      </c>
      <c r="AI324">
        <v>0</v>
      </c>
      <c r="AJ324">
        <v>0</v>
      </c>
      <c r="AK324">
        <v>0</v>
      </c>
    </row>
    <row r="325" spans="1:37" x14ac:dyDescent="0.25">
      <c r="A325">
        <v>2023</v>
      </c>
      <c r="B325">
        <v>11616</v>
      </c>
      <c r="C325" t="s">
        <v>2346</v>
      </c>
      <c r="D325" t="s">
        <v>4260</v>
      </c>
      <c r="E325" t="s">
        <v>4261</v>
      </c>
      <c r="G325" t="s">
        <v>2444</v>
      </c>
      <c r="H325" t="s">
        <v>79</v>
      </c>
      <c r="I325" t="s">
        <v>4262</v>
      </c>
      <c r="K325" t="s">
        <v>4263</v>
      </c>
      <c r="L325">
        <v>45.707799999999999</v>
      </c>
      <c r="M325">
        <v>-73.424199999999999</v>
      </c>
      <c r="N325">
        <v>1983</v>
      </c>
      <c r="O325">
        <v>325190</v>
      </c>
      <c r="P325">
        <v>3</v>
      </c>
      <c r="Q325" t="s">
        <v>2822</v>
      </c>
      <c r="R325" t="s">
        <v>2823</v>
      </c>
      <c r="S325">
        <v>2459</v>
      </c>
      <c r="T325" t="s">
        <v>2449</v>
      </c>
      <c r="U325">
        <v>2459020</v>
      </c>
      <c r="V325" t="s">
        <v>2444</v>
      </c>
      <c r="W325">
        <v>462</v>
      </c>
      <c r="X325" t="s">
        <v>2450</v>
      </c>
      <c r="Y325">
        <v>2435</v>
      </c>
      <c r="Z325" t="s">
        <v>2451</v>
      </c>
      <c r="AA325" t="s">
        <v>2452</v>
      </c>
      <c r="AB325">
        <v>8</v>
      </c>
      <c r="AC325" t="s">
        <v>2420</v>
      </c>
      <c r="AD325" t="s">
        <v>2421</v>
      </c>
      <c r="AE325">
        <v>2</v>
      </c>
      <c r="AF325" t="s">
        <v>2422</v>
      </c>
      <c r="AG325" t="s">
        <v>2423</v>
      </c>
      <c r="AH325">
        <v>1</v>
      </c>
      <c r="AI325">
        <v>0</v>
      </c>
      <c r="AJ325">
        <v>1</v>
      </c>
      <c r="AK325">
        <v>1</v>
      </c>
    </row>
    <row r="326" spans="1:37" x14ac:dyDescent="0.25">
      <c r="A326">
        <v>2019</v>
      </c>
      <c r="B326">
        <v>31262</v>
      </c>
      <c r="C326" t="s">
        <v>4264</v>
      </c>
      <c r="D326" t="s">
        <v>4265</v>
      </c>
      <c r="E326" t="s">
        <v>4266</v>
      </c>
      <c r="G326" t="s">
        <v>4267</v>
      </c>
      <c r="H326" t="s">
        <v>243</v>
      </c>
      <c r="I326" t="s">
        <v>4268</v>
      </c>
      <c r="J326" t="s">
        <v>4269</v>
      </c>
      <c r="K326" t="s">
        <v>4270</v>
      </c>
      <c r="L326">
        <v>52.692430000000002</v>
      </c>
      <c r="M326">
        <v>-108.43158</v>
      </c>
      <c r="N326">
        <v>1983</v>
      </c>
      <c r="O326">
        <v>486210</v>
      </c>
      <c r="P326">
        <v>10</v>
      </c>
      <c r="Q326" t="s">
        <v>2770</v>
      </c>
      <c r="R326" t="s">
        <v>2771</v>
      </c>
      <c r="S326">
        <v>4712</v>
      </c>
      <c r="T326" t="s">
        <v>2724</v>
      </c>
      <c r="U326">
        <v>4712078</v>
      </c>
      <c r="V326" t="s">
        <v>4271</v>
      </c>
      <c r="X326" t="s">
        <v>2402</v>
      </c>
      <c r="Y326">
        <v>4730</v>
      </c>
      <c r="Z326" t="s">
        <v>2430</v>
      </c>
      <c r="AA326" t="s">
        <v>3238</v>
      </c>
      <c r="AB326">
        <v>10</v>
      </c>
      <c r="AC326" t="s">
        <v>2405</v>
      </c>
      <c r="AD326" t="s">
        <v>2406</v>
      </c>
      <c r="AE326">
        <v>5</v>
      </c>
      <c r="AF326" t="s">
        <v>2407</v>
      </c>
      <c r="AG326" t="s">
        <v>2408</v>
      </c>
      <c r="AH326">
        <v>0</v>
      </c>
      <c r="AI326">
        <v>0</v>
      </c>
      <c r="AJ326">
        <v>0</v>
      </c>
      <c r="AK326">
        <v>0</v>
      </c>
    </row>
    <row r="327" spans="1:37" x14ac:dyDescent="0.25">
      <c r="A327">
        <v>2009</v>
      </c>
      <c r="B327">
        <v>23308</v>
      </c>
      <c r="C327" t="s">
        <v>4272</v>
      </c>
      <c r="D327" t="s">
        <v>4273</v>
      </c>
      <c r="E327" t="s">
        <v>4274</v>
      </c>
      <c r="G327" t="s">
        <v>4275</v>
      </c>
      <c r="H327" t="s">
        <v>243</v>
      </c>
      <c r="J327" t="s">
        <v>4276</v>
      </c>
      <c r="K327" t="s">
        <v>4277</v>
      </c>
      <c r="L327">
        <v>53.213299999999997</v>
      </c>
      <c r="M327">
        <v>-109.2316</v>
      </c>
      <c r="N327">
        <v>1983</v>
      </c>
      <c r="O327">
        <v>211113</v>
      </c>
      <c r="P327">
        <v>4</v>
      </c>
      <c r="Q327" t="s">
        <v>2398</v>
      </c>
      <c r="R327" t="s">
        <v>2399</v>
      </c>
      <c r="S327">
        <v>4717</v>
      </c>
      <c r="T327" t="s">
        <v>2471</v>
      </c>
      <c r="U327">
        <v>4717017</v>
      </c>
      <c r="V327" t="s">
        <v>4278</v>
      </c>
      <c r="X327" t="s">
        <v>2402</v>
      </c>
      <c r="Y327">
        <v>4750</v>
      </c>
      <c r="Z327" t="s">
        <v>3003</v>
      </c>
      <c r="AA327" t="s">
        <v>3238</v>
      </c>
      <c r="AB327">
        <v>10</v>
      </c>
      <c r="AC327" t="s">
        <v>2405</v>
      </c>
      <c r="AD327" t="s">
        <v>2406</v>
      </c>
      <c r="AE327">
        <v>5</v>
      </c>
      <c r="AF327" t="s">
        <v>2407</v>
      </c>
      <c r="AG327" t="s">
        <v>2408</v>
      </c>
      <c r="AH327">
        <v>0</v>
      </c>
      <c r="AI327">
        <v>0</v>
      </c>
      <c r="AJ327">
        <v>0</v>
      </c>
      <c r="AK327">
        <v>0</v>
      </c>
    </row>
    <row r="328" spans="1:37" x14ac:dyDescent="0.25">
      <c r="A328">
        <v>2009</v>
      </c>
      <c r="B328">
        <v>23692</v>
      </c>
      <c r="C328" t="s">
        <v>2518</v>
      </c>
      <c r="D328" t="s">
        <v>4279</v>
      </c>
      <c r="E328" t="s">
        <v>4280</v>
      </c>
      <c r="G328" t="s">
        <v>4281</v>
      </c>
      <c r="H328" t="s">
        <v>243</v>
      </c>
      <c r="I328" t="s">
        <v>4282</v>
      </c>
      <c r="J328" t="s">
        <v>4283</v>
      </c>
      <c r="K328" t="s">
        <v>4284</v>
      </c>
      <c r="L328">
        <v>49.659500000000001</v>
      </c>
      <c r="M328">
        <v>-102.7979</v>
      </c>
      <c r="N328">
        <v>1983</v>
      </c>
      <c r="O328">
        <v>211113</v>
      </c>
      <c r="P328">
        <v>4</v>
      </c>
      <c r="Q328" t="s">
        <v>2398</v>
      </c>
      <c r="R328" t="s">
        <v>2399</v>
      </c>
      <c r="S328">
        <v>4701</v>
      </c>
      <c r="T328" t="s">
        <v>2523</v>
      </c>
      <c r="U328">
        <v>4701058</v>
      </c>
      <c r="V328" t="s">
        <v>3330</v>
      </c>
      <c r="X328" t="s">
        <v>2402</v>
      </c>
      <c r="Y328">
        <v>4710</v>
      </c>
      <c r="Z328" t="s">
        <v>2525</v>
      </c>
      <c r="AA328" t="s">
        <v>2655</v>
      </c>
      <c r="AB328">
        <v>10</v>
      </c>
      <c r="AC328" t="s">
        <v>2405</v>
      </c>
      <c r="AD328" t="s">
        <v>2406</v>
      </c>
      <c r="AE328">
        <v>5</v>
      </c>
      <c r="AF328" t="s">
        <v>2407</v>
      </c>
      <c r="AG328" t="s">
        <v>2408</v>
      </c>
      <c r="AH328">
        <v>0</v>
      </c>
      <c r="AI328">
        <v>0</v>
      </c>
      <c r="AJ328">
        <v>0</v>
      </c>
      <c r="AK328">
        <v>0</v>
      </c>
    </row>
    <row r="329" spans="1:37" x14ac:dyDescent="0.25">
      <c r="A329">
        <v>2005</v>
      </c>
      <c r="B329">
        <v>17203</v>
      </c>
      <c r="C329" t="s">
        <v>4285</v>
      </c>
      <c r="D329" t="s">
        <v>4286</v>
      </c>
      <c r="E329" t="s">
        <v>4286</v>
      </c>
      <c r="H329" t="s">
        <v>85</v>
      </c>
      <c r="J329" t="s">
        <v>4287</v>
      </c>
      <c r="K329" t="s">
        <v>4288</v>
      </c>
      <c r="L329">
        <v>50.7607</v>
      </c>
      <c r="M329">
        <v>-113.8207</v>
      </c>
      <c r="N329">
        <v>1983</v>
      </c>
      <c r="O329">
        <v>211113</v>
      </c>
      <c r="P329">
        <v>4</v>
      </c>
      <c r="Q329" t="s">
        <v>2398</v>
      </c>
      <c r="R329" t="s">
        <v>2399</v>
      </c>
      <c r="S329">
        <v>4806</v>
      </c>
      <c r="T329" t="s">
        <v>2663</v>
      </c>
      <c r="U329">
        <v>4806001</v>
      </c>
      <c r="V329" t="s">
        <v>4289</v>
      </c>
      <c r="X329" t="s">
        <v>2402</v>
      </c>
      <c r="Y329">
        <v>4830</v>
      </c>
      <c r="Z329" t="s">
        <v>2664</v>
      </c>
      <c r="AA329" t="s">
        <v>2604</v>
      </c>
      <c r="AB329">
        <v>10</v>
      </c>
      <c r="AC329" t="s">
        <v>2405</v>
      </c>
      <c r="AD329" t="s">
        <v>2406</v>
      </c>
      <c r="AE329">
        <v>5</v>
      </c>
      <c r="AF329" t="s">
        <v>2407</v>
      </c>
      <c r="AG329" t="s">
        <v>2408</v>
      </c>
      <c r="AH329">
        <v>0</v>
      </c>
      <c r="AI329">
        <v>0</v>
      </c>
      <c r="AJ329">
        <v>0</v>
      </c>
      <c r="AK329">
        <v>0</v>
      </c>
    </row>
    <row r="330" spans="1:37" x14ac:dyDescent="0.25">
      <c r="A330">
        <v>2011</v>
      </c>
      <c r="B330">
        <v>23310</v>
      </c>
      <c r="C330" t="s">
        <v>1928</v>
      </c>
      <c r="D330" t="s">
        <v>4290</v>
      </c>
      <c r="G330" t="s">
        <v>4291</v>
      </c>
      <c r="H330" t="s">
        <v>243</v>
      </c>
      <c r="J330" t="s">
        <v>4292</v>
      </c>
      <c r="K330" t="s">
        <v>4293</v>
      </c>
      <c r="L330">
        <v>53.232100000000003</v>
      </c>
      <c r="M330">
        <v>-109.5573</v>
      </c>
      <c r="N330">
        <v>1983</v>
      </c>
      <c r="O330">
        <v>211113</v>
      </c>
      <c r="P330">
        <v>4</v>
      </c>
      <c r="Q330" t="s">
        <v>2398</v>
      </c>
      <c r="R330" t="s">
        <v>2399</v>
      </c>
      <c r="S330">
        <v>4717</v>
      </c>
      <c r="T330" t="s">
        <v>2471</v>
      </c>
      <c r="U330">
        <v>4717022</v>
      </c>
      <c r="V330" t="s">
        <v>3396</v>
      </c>
      <c r="W330">
        <v>840</v>
      </c>
      <c r="X330" t="s">
        <v>3397</v>
      </c>
      <c r="Y330">
        <v>4750</v>
      </c>
      <c r="Z330" t="s">
        <v>3003</v>
      </c>
      <c r="AA330" t="s">
        <v>3238</v>
      </c>
      <c r="AB330">
        <v>10</v>
      </c>
      <c r="AC330" t="s">
        <v>2405</v>
      </c>
      <c r="AD330" t="s">
        <v>2406</v>
      </c>
      <c r="AE330">
        <v>5</v>
      </c>
      <c r="AF330" t="s">
        <v>2407</v>
      </c>
      <c r="AG330" t="s">
        <v>2408</v>
      </c>
      <c r="AH330">
        <v>0</v>
      </c>
      <c r="AI330">
        <v>0</v>
      </c>
      <c r="AJ330">
        <v>0</v>
      </c>
      <c r="AK330">
        <v>0</v>
      </c>
    </row>
    <row r="331" spans="1:37" x14ac:dyDescent="0.25">
      <c r="A331">
        <v>2011</v>
      </c>
      <c r="B331">
        <v>25403</v>
      </c>
      <c r="C331" t="s">
        <v>4294</v>
      </c>
      <c r="D331" t="s">
        <v>4295</v>
      </c>
      <c r="E331" t="s">
        <v>4296</v>
      </c>
      <c r="G331" t="s">
        <v>2659</v>
      </c>
      <c r="H331" t="s">
        <v>85</v>
      </c>
      <c r="I331" t="s">
        <v>4297</v>
      </c>
      <c r="J331" t="s">
        <v>4298</v>
      </c>
      <c r="K331" t="s">
        <v>4299</v>
      </c>
      <c r="L331">
        <v>51.047699999999999</v>
      </c>
      <c r="M331">
        <v>-114.07577000000001</v>
      </c>
      <c r="N331">
        <v>1983</v>
      </c>
      <c r="O331">
        <v>812330</v>
      </c>
      <c r="P331">
        <v>19</v>
      </c>
      <c r="Q331" t="s">
        <v>2552</v>
      </c>
      <c r="R331" t="s">
        <v>2553</v>
      </c>
      <c r="S331">
        <v>4806</v>
      </c>
      <c r="T331" t="s">
        <v>2663</v>
      </c>
      <c r="U331">
        <v>4806016</v>
      </c>
      <c r="V331" t="s">
        <v>2664</v>
      </c>
      <c r="W331">
        <v>825</v>
      </c>
      <c r="X331" t="s">
        <v>2664</v>
      </c>
      <c r="Y331">
        <v>4830</v>
      </c>
      <c r="Z331" t="s">
        <v>2664</v>
      </c>
      <c r="AA331" t="s">
        <v>4300</v>
      </c>
      <c r="AB331">
        <v>10</v>
      </c>
      <c r="AC331" t="s">
        <v>2405</v>
      </c>
      <c r="AD331" t="s">
        <v>2406</v>
      </c>
      <c r="AE331">
        <v>5</v>
      </c>
      <c r="AF331" t="s">
        <v>2407</v>
      </c>
      <c r="AG331" t="s">
        <v>2408</v>
      </c>
      <c r="AH331">
        <v>0</v>
      </c>
      <c r="AI331">
        <v>0</v>
      </c>
      <c r="AJ331">
        <v>0</v>
      </c>
      <c r="AK331">
        <v>0</v>
      </c>
    </row>
    <row r="332" spans="1:37" x14ac:dyDescent="0.25">
      <c r="A332">
        <v>2002</v>
      </c>
      <c r="B332">
        <v>7785</v>
      </c>
      <c r="C332" t="s">
        <v>1690</v>
      </c>
      <c r="D332" t="s">
        <v>4301</v>
      </c>
      <c r="E332" t="s">
        <v>4302</v>
      </c>
      <c r="G332" t="s">
        <v>4303</v>
      </c>
      <c r="H332" t="s">
        <v>69</v>
      </c>
      <c r="I332" t="s">
        <v>4304</v>
      </c>
      <c r="J332" t="s">
        <v>4305</v>
      </c>
      <c r="K332" t="s">
        <v>4306</v>
      </c>
      <c r="L332">
        <v>51.141399999999997</v>
      </c>
      <c r="M332">
        <v>-120.1177</v>
      </c>
      <c r="N332">
        <v>1983</v>
      </c>
      <c r="O332">
        <v>321111</v>
      </c>
      <c r="P332">
        <v>18</v>
      </c>
      <c r="Q332" t="s">
        <v>2459</v>
      </c>
      <c r="R332" t="s">
        <v>2460</v>
      </c>
      <c r="S332">
        <v>5933</v>
      </c>
      <c r="T332" t="s">
        <v>4307</v>
      </c>
      <c r="U332">
        <v>5933074</v>
      </c>
      <c r="V332" t="s">
        <v>4308</v>
      </c>
      <c r="X332" t="s">
        <v>2402</v>
      </c>
      <c r="Y332">
        <v>5930</v>
      </c>
      <c r="Z332" t="s">
        <v>3419</v>
      </c>
      <c r="AA332" t="s">
        <v>4309</v>
      </c>
      <c r="AB332">
        <v>14</v>
      </c>
      <c r="AC332" t="s">
        <v>2516</v>
      </c>
      <c r="AD332" t="s">
        <v>2517</v>
      </c>
      <c r="AE332">
        <v>8</v>
      </c>
      <c r="AF332" t="s">
        <v>2584</v>
      </c>
      <c r="AG332" t="s">
        <v>2585</v>
      </c>
      <c r="AH332">
        <v>0</v>
      </c>
      <c r="AI332">
        <v>0</v>
      </c>
      <c r="AJ332">
        <v>0</v>
      </c>
      <c r="AK332">
        <v>0</v>
      </c>
    </row>
    <row r="333" spans="1:37" x14ac:dyDescent="0.25">
      <c r="A333">
        <v>2023</v>
      </c>
      <c r="B333">
        <v>10614</v>
      </c>
      <c r="C333" t="s">
        <v>4310</v>
      </c>
      <c r="D333" t="s">
        <v>4310</v>
      </c>
      <c r="E333" t="s">
        <v>4311</v>
      </c>
      <c r="G333" t="s">
        <v>4312</v>
      </c>
      <c r="H333" t="s">
        <v>21</v>
      </c>
      <c r="I333" t="s">
        <v>4313</v>
      </c>
      <c r="K333" t="s">
        <v>4314</v>
      </c>
      <c r="L333">
        <v>43.7303</v>
      </c>
      <c r="M333">
        <v>-80.956199999999995</v>
      </c>
      <c r="N333">
        <v>1983</v>
      </c>
      <c r="O333">
        <v>313110</v>
      </c>
      <c r="P333">
        <v>11</v>
      </c>
      <c r="Q333" t="s">
        <v>2532</v>
      </c>
      <c r="R333" t="s">
        <v>2533</v>
      </c>
      <c r="S333">
        <v>3531</v>
      </c>
      <c r="T333" t="s">
        <v>4315</v>
      </c>
      <c r="U333">
        <v>3531040</v>
      </c>
      <c r="V333" t="s">
        <v>4316</v>
      </c>
      <c r="X333" t="s">
        <v>2402</v>
      </c>
      <c r="Y333">
        <v>3580</v>
      </c>
      <c r="Z333" t="s">
        <v>4317</v>
      </c>
      <c r="AA333" t="s">
        <v>4318</v>
      </c>
      <c r="AB333">
        <v>8</v>
      </c>
      <c r="AC333" t="s">
        <v>2420</v>
      </c>
      <c r="AD333" t="s">
        <v>2421</v>
      </c>
      <c r="AE333">
        <v>2</v>
      </c>
      <c r="AF333" t="s">
        <v>2422</v>
      </c>
      <c r="AG333" t="s">
        <v>2423</v>
      </c>
      <c r="AH333">
        <v>1</v>
      </c>
      <c r="AI333">
        <v>1</v>
      </c>
      <c r="AJ333">
        <v>0</v>
      </c>
      <c r="AK333">
        <v>1</v>
      </c>
    </row>
    <row r="334" spans="1:37" x14ac:dyDescent="0.25">
      <c r="A334">
        <v>2022</v>
      </c>
      <c r="B334">
        <v>30359</v>
      </c>
      <c r="C334" t="s">
        <v>1791</v>
      </c>
      <c r="D334" t="s">
        <v>4319</v>
      </c>
      <c r="H334" t="s">
        <v>243</v>
      </c>
      <c r="J334" t="s">
        <v>4320</v>
      </c>
      <c r="K334" t="s">
        <v>4321</v>
      </c>
      <c r="L334">
        <v>49.757510000000003</v>
      </c>
      <c r="M334">
        <v>-103.05929</v>
      </c>
      <c r="N334">
        <v>1983</v>
      </c>
      <c r="O334">
        <v>211110</v>
      </c>
      <c r="P334">
        <v>4</v>
      </c>
      <c r="Q334" t="s">
        <v>2398</v>
      </c>
      <c r="R334" t="s">
        <v>2399</v>
      </c>
      <c r="S334">
        <v>4701</v>
      </c>
      <c r="T334" t="s">
        <v>2523</v>
      </c>
      <c r="U334">
        <v>4701063</v>
      </c>
      <c r="V334" t="s">
        <v>2524</v>
      </c>
      <c r="X334" t="s">
        <v>2402</v>
      </c>
      <c r="Y334">
        <v>4710</v>
      </c>
      <c r="Z334" t="s">
        <v>2525</v>
      </c>
      <c r="AA334" t="s">
        <v>2526</v>
      </c>
      <c r="AB334">
        <v>10</v>
      </c>
      <c r="AC334" t="s">
        <v>2405</v>
      </c>
      <c r="AD334" t="s">
        <v>2406</v>
      </c>
      <c r="AE334">
        <v>5</v>
      </c>
      <c r="AF334" t="s">
        <v>2407</v>
      </c>
      <c r="AG334" t="s">
        <v>2408</v>
      </c>
      <c r="AH334">
        <v>0</v>
      </c>
      <c r="AI334">
        <v>0</v>
      </c>
      <c r="AJ334">
        <v>0</v>
      </c>
      <c r="AK334">
        <v>0</v>
      </c>
    </row>
    <row r="335" spans="1:37" x14ac:dyDescent="0.25">
      <c r="A335">
        <v>2023</v>
      </c>
      <c r="B335">
        <v>7959</v>
      </c>
      <c r="C335" t="s">
        <v>1704</v>
      </c>
      <c r="D335" t="s">
        <v>4322</v>
      </c>
      <c r="E335" t="s">
        <v>4323</v>
      </c>
      <c r="G335" t="s">
        <v>4324</v>
      </c>
      <c r="H335" t="s">
        <v>69</v>
      </c>
      <c r="I335" t="s">
        <v>4325</v>
      </c>
      <c r="J335" t="s">
        <v>4326</v>
      </c>
      <c r="K335" t="s">
        <v>4327</v>
      </c>
      <c r="L335">
        <v>56.146320000000003</v>
      </c>
      <c r="M335">
        <v>-120.67097</v>
      </c>
      <c r="N335">
        <v>1983</v>
      </c>
      <c r="O335">
        <v>221112</v>
      </c>
      <c r="P335">
        <v>5</v>
      </c>
      <c r="Q335" t="s">
        <v>2836</v>
      </c>
      <c r="R335" t="s">
        <v>2837</v>
      </c>
      <c r="S335">
        <v>5955</v>
      </c>
      <c r="T335" t="s">
        <v>2492</v>
      </c>
      <c r="U335">
        <v>5955030</v>
      </c>
      <c r="V335" t="s">
        <v>4324</v>
      </c>
      <c r="W335">
        <v>977</v>
      </c>
      <c r="X335" t="s">
        <v>3119</v>
      </c>
      <c r="Y335">
        <v>5980</v>
      </c>
      <c r="Z335" t="s">
        <v>2494</v>
      </c>
      <c r="AA335" t="s">
        <v>2495</v>
      </c>
      <c r="AB335">
        <v>9</v>
      </c>
      <c r="AC335" t="s">
        <v>2475</v>
      </c>
      <c r="AD335" t="s">
        <v>2476</v>
      </c>
      <c r="AE335">
        <v>7</v>
      </c>
      <c r="AF335" t="s">
        <v>2477</v>
      </c>
      <c r="AG335" t="s">
        <v>2478</v>
      </c>
      <c r="AH335">
        <v>0</v>
      </c>
      <c r="AI335">
        <v>0</v>
      </c>
      <c r="AJ335">
        <v>0</v>
      </c>
      <c r="AK335">
        <v>0</v>
      </c>
    </row>
    <row r="336" spans="1:37" x14ac:dyDescent="0.25">
      <c r="A336">
        <v>2023</v>
      </c>
      <c r="B336">
        <v>25010</v>
      </c>
      <c r="C336" t="s">
        <v>2337</v>
      </c>
      <c r="D336" t="s">
        <v>4328</v>
      </c>
      <c r="E336" t="s">
        <v>4329</v>
      </c>
      <c r="G336" t="s">
        <v>3209</v>
      </c>
      <c r="H336" t="s">
        <v>69</v>
      </c>
      <c r="I336" t="s">
        <v>4330</v>
      </c>
      <c r="J336" t="s">
        <v>4331</v>
      </c>
      <c r="K336" t="s">
        <v>4332</v>
      </c>
      <c r="L336">
        <v>49.098999999999997</v>
      </c>
      <c r="M336">
        <v>-123.024</v>
      </c>
      <c r="N336">
        <v>1983</v>
      </c>
      <c r="O336">
        <v>562210</v>
      </c>
      <c r="P336">
        <v>16</v>
      </c>
      <c r="Q336" t="s">
        <v>52</v>
      </c>
      <c r="R336" t="s">
        <v>3749</v>
      </c>
      <c r="S336">
        <v>5915</v>
      </c>
      <c r="T336" t="s">
        <v>2622</v>
      </c>
      <c r="U336">
        <v>5915011</v>
      </c>
      <c r="V336" t="s">
        <v>3209</v>
      </c>
      <c r="W336">
        <v>933</v>
      </c>
      <c r="X336" t="s">
        <v>2623</v>
      </c>
      <c r="Y336">
        <v>5920</v>
      </c>
      <c r="Z336" t="s">
        <v>2624</v>
      </c>
      <c r="AA336" t="s">
        <v>4333</v>
      </c>
      <c r="AB336">
        <v>13</v>
      </c>
      <c r="AC336" t="s">
        <v>2626</v>
      </c>
      <c r="AD336" t="s">
        <v>2627</v>
      </c>
      <c r="AE336">
        <v>8</v>
      </c>
      <c r="AF336" t="s">
        <v>2584</v>
      </c>
      <c r="AG336" t="s">
        <v>2585</v>
      </c>
      <c r="AH336">
        <v>0</v>
      </c>
      <c r="AI336">
        <v>0</v>
      </c>
      <c r="AJ336">
        <v>0</v>
      </c>
      <c r="AK336">
        <v>0</v>
      </c>
    </row>
    <row r="337" spans="1:37" x14ac:dyDescent="0.25">
      <c r="A337">
        <v>2021</v>
      </c>
      <c r="B337">
        <v>32645</v>
      </c>
      <c r="C337" t="s">
        <v>1043</v>
      </c>
      <c r="D337" t="s">
        <v>4334</v>
      </c>
      <c r="H337" t="s">
        <v>85</v>
      </c>
      <c r="J337" t="s">
        <v>4335</v>
      </c>
      <c r="K337" t="s">
        <v>4336</v>
      </c>
      <c r="L337">
        <v>55.259717999999999</v>
      </c>
      <c r="M337">
        <v>-119.406971</v>
      </c>
      <c r="N337">
        <v>1983</v>
      </c>
      <c r="O337">
        <v>211110</v>
      </c>
      <c r="P337">
        <v>4</v>
      </c>
      <c r="Q337" t="s">
        <v>2398</v>
      </c>
      <c r="R337" t="s">
        <v>2399</v>
      </c>
      <c r="S337">
        <v>4819</v>
      </c>
      <c r="T337" t="s">
        <v>2565</v>
      </c>
      <c r="U337">
        <v>4819006</v>
      </c>
      <c r="V337" t="s">
        <v>2639</v>
      </c>
      <c r="X337" t="s">
        <v>2402</v>
      </c>
      <c r="Y337">
        <v>4870</v>
      </c>
      <c r="Z337" t="s">
        <v>2473</v>
      </c>
      <c r="AA337" t="s">
        <v>2474</v>
      </c>
      <c r="AB337">
        <v>9</v>
      </c>
      <c r="AC337" t="s">
        <v>2475</v>
      </c>
      <c r="AD337" t="s">
        <v>2476</v>
      </c>
      <c r="AE337">
        <v>7</v>
      </c>
      <c r="AF337" t="s">
        <v>2477</v>
      </c>
      <c r="AG337" t="s">
        <v>2478</v>
      </c>
      <c r="AH337">
        <v>0</v>
      </c>
      <c r="AI337">
        <v>0</v>
      </c>
      <c r="AJ337">
        <v>0</v>
      </c>
      <c r="AK337">
        <v>0</v>
      </c>
    </row>
    <row r="338" spans="1:37" x14ac:dyDescent="0.25">
      <c r="A338">
        <v>2019</v>
      </c>
      <c r="B338">
        <v>31605</v>
      </c>
      <c r="C338" t="s">
        <v>1935</v>
      </c>
      <c r="D338" t="s">
        <v>4337</v>
      </c>
      <c r="G338" t="s">
        <v>3950</v>
      </c>
      <c r="H338" t="s">
        <v>85</v>
      </c>
      <c r="I338" t="s">
        <v>4338</v>
      </c>
      <c r="J338" t="s">
        <v>4339</v>
      </c>
      <c r="K338" t="s">
        <v>4340</v>
      </c>
      <c r="L338">
        <v>55.510449000000001</v>
      </c>
      <c r="M338">
        <v>-119.031221</v>
      </c>
      <c r="N338">
        <v>1983</v>
      </c>
      <c r="O338">
        <v>211110</v>
      </c>
      <c r="P338">
        <v>4</v>
      </c>
      <c r="Q338" t="s">
        <v>2398</v>
      </c>
      <c r="R338" t="s">
        <v>2399</v>
      </c>
      <c r="S338">
        <v>4819</v>
      </c>
      <c r="T338" t="s">
        <v>2565</v>
      </c>
      <c r="U338">
        <v>4819059</v>
      </c>
      <c r="V338" t="s">
        <v>2566</v>
      </c>
      <c r="X338" t="s">
        <v>2402</v>
      </c>
      <c r="Y338">
        <v>4870</v>
      </c>
      <c r="Z338" t="s">
        <v>2473</v>
      </c>
      <c r="AA338" t="s">
        <v>2474</v>
      </c>
      <c r="AB338">
        <v>9</v>
      </c>
      <c r="AC338" t="s">
        <v>2475</v>
      </c>
      <c r="AD338" t="s">
        <v>2476</v>
      </c>
      <c r="AE338">
        <v>7</v>
      </c>
      <c r="AF338" t="s">
        <v>2477</v>
      </c>
      <c r="AG338" t="s">
        <v>2478</v>
      </c>
      <c r="AH338">
        <v>0</v>
      </c>
      <c r="AI338">
        <v>0</v>
      </c>
      <c r="AJ338">
        <v>0</v>
      </c>
      <c r="AK338">
        <v>0</v>
      </c>
    </row>
    <row r="339" spans="1:37" x14ac:dyDescent="0.25">
      <c r="A339">
        <v>2023</v>
      </c>
      <c r="B339">
        <v>19562</v>
      </c>
      <c r="C339" t="s">
        <v>1112</v>
      </c>
      <c r="D339" t="s">
        <v>4341</v>
      </c>
      <c r="H339" t="s">
        <v>85</v>
      </c>
      <c r="I339" t="s">
        <v>2636</v>
      </c>
      <c r="J339" t="s">
        <v>4342</v>
      </c>
      <c r="K339" t="s">
        <v>4343</v>
      </c>
      <c r="L339">
        <v>55.460700000000003</v>
      </c>
      <c r="M339">
        <v>-119.9825</v>
      </c>
      <c r="N339">
        <v>1983</v>
      </c>
      <c r="O339">
        <v>211110</v>
      </c>
      <c r="P339">
        <v>4</v>
      </c>
      <c r="Q339" t="s">
        <v>2398</v>
      </c>
      <c r="R339" t="s">
        <v>2399</v>
      </c>
      <c r="S339">
        <v>4819</v>
      </c>
      <c r="T339" t="s">
        <v>2565</v>
      </c>
      <c r="U339">
        <v>4819006</v>
      </c>
      <c r="V339" t="s">
        <v>2639</v>
      </c>
      <c r="X339" t="s">
        <v>2402</v>
      </c>
      <c r="Y339">
        <v>4870</v>
      </c>
      <c r="Z339" t="s">
        <v>2473</v>
      </c>
      <c r="AA339" t="s">
        <v>2474</v>
      </c>
      <c r="AB339">
        <v>9</v>
      </c>
      <c r="AC339" t="s">
        <v>2475</v>
      </c>
      <c r="AD339" t="s">
        <v>2476</v>
      </c>
      <c r="AE339">
        <v>7</v>
      </c>
      <c r="AF339" t="s">
        <v>2477</v>
      </c>
      <c r="AG339" t="s">
        <v>2478</v>
      </c>
      <c r="AH339">
        <v>0</v>
      </c>
      <c r="AI339">
        <v>0</v>
      </c>
      <c r="AJ339">
        <v>0</v>
      </c>
      <c r="AK339">
        <v>0</v>
      </c>
    </row>
    <row r="340" spans="1:37" x14ac:dyDescent="0.25">
      <c r="A340">
        <v>2023</v>
      </c>
      <c r="B340">
        <v>22521</v>
      </c>
      <c r="C340" t="s">
        <v>1626</v>
      </c>
      <c r="D340" t="s">
        <v>4344</v>
      </c>
      <c r="H340" t="s">
        <v>85</v>
      </c>
      <c r="I340" t="s">
        <v>3610</v>
      </c>
      <c r="J340" t="s">
        <v>4345</v>
      </c>
      <c r="K340" t="s">
        <v>4346</v>
      </c>
      <c r="L340">
        <v>56.465699999999998</v>
      </c>
      <c r="M340">
        <v>-112.8449</v>
      </c>
      <c r="N340">
        <v>1983</v>
      </c>
      <c r="O340">
        <v>486210</v>
      </c>
      <c r="P340">
        <v>10</v>
      </c>
      <c r="Q340" t="s">
        <v>2770</v>
      </c>
      <c r="R340" t="s">
        <v>2771</v>
      </c>
      <c r="S340">
        <v>4817</v>
      </c>
      <c r="T340" t="s">
        <v>2471</v>
      </c>
      <c r="U340">
        <v>4817031</v>
      </c>
      <c r="V340" t="s">
        <v>2718</v>
      </c>
      <c r="X340" t="s">
        <v>2402</v>
      </c>
      <c r="Y340">
        <v>4870</v>
      </c>
      <c r="Z340" t="s">
        <v>2473</v>
      </c>
      <c r="AA340" t="s">
        <v>2719</v>
      </c>
      <c r="AB340">
        <v>9</v>
      </c>
      <c r="AC340" t="s">
        <v>2475</v>
      </c>
      <c r="AD340" t="s">
        <v>2476</v>
      </c>
      <c r="AE340">
        <v>7</v>
      </c>
      <c r="AF340" t="s">
        <v>2477</v>
      </c>
      <c r="AG340" t="s">
        <v>2478</v>
      </c>
      <c r="AH340">
        <v>0</v>
      </c>
      <c r="AI340">
        <v>0</v>
      </c>
      <c r="AJ340">
        <v>0</v>
      </c>
      <c r="AK340">
        <v>0</v>
      </c>
    </row>
    <row r="341" spans="1:37" x14ac:dyDescent="0.25">
      <c r="A341">
        <v>2023</v>
      </c>
      <c r="B341">
        <v>31950</v>
      </c>
      <c r="C341" t="s">
        <v>1027</v>
      </c>
      <c r="D341" t="s">
        <v>4347</v>
      </c>
      <c r="H341" t="s">
        <v>243</v>
      </c>
      <c r="J341" t="s">
        <v>4348</v>
      </c>
      <c r="K341" t="s">
        <v>4349</v>
      </c>
      <c r="L341">
        <v>52.378590000000003</v>
      </c>
      <c r="M341">
        <v>-109.3643</v>
      </c>
      <c r="N341">
        <v>1983</v>
      </c>
      <c r="O341">
        <v>211110</v>
      </c>
      <c r="P341">
        <v>4</v>
      </c>
      <c r="Q341" t="s">
        <v>2398</v>
      </c>
      <c r="R341" t="s">
        <v>2399</v>
      </c>
      <c r="S341">
        <v>4713</v>
      </c>
      <c r="T341" t="s">
        <v>2428</v>
      </c>
      <c r="U341">
        <v>4713056</v>
      </c>
      <c r="V341" t="s">
        <v>4350</v>
      </c>
      <c r="X341" t="s">
        <v>2402</v>
      </c>
      <c r="Y341">
        <v>4730</v>
      </c>
      <c r="Z341" t="s">
        <v>2430</v>
      </c>
      <c r="AA341" t="s">
        <v>4351</v>
      </c>
      <c r="AB341">
        <v>10</v>
      </c>
      <c r="AC341" t="s">
        <v>2405</v>
      </c>
      <c r="AD341" t="s">
        <v>2406</v>
      </c>
      <c r="AE341">
        <v>5</v>
      </c>
      <c r="AF341" t="s">
        <v>2407</v>
      </c>
      <c r="AG341" t="s">
        <v>2408</v>
      </c>
      <c r="AH341">
        <v>0</v>
      </c>
      <c r="AI341">
        <v>0</v>
      </c>
      <c r="AJ341">
        <v>0</v>
      </c>
      <c r="AK341">
        <v>0</v>
      </c>
    </row>
    <row r="342" spans="1:37" x14ac:dyDescent="0.25">
      <c r="A342">
        <v>2023</v>
      </c>
      <c r="B342">
        <v>3060</v>
      </c>
      <c r="C342" t="s">
        <v>4352</v>
      </c>
      <c r="D342" t="s">
        <v>4353</v>
      </c>
      <c r="E342" t="s">
        <v>4354</v>
      </c>
      <c r="G342" t="s">
        <v>4355</v>
      </c>
      <c r="H342" t="s">
        <v>79</v>
      </c>
      <c r="I342" t="s">
        <v>4356</v>
      </c>
      <c r="K342" t="s">
        <v>4357</v>
      </c>
      <c r="L342">
        <v>48.300699999999999</v>
      </c>
      <c r="M342">
        <v>-71.128900000000002</v>
      </c>
      <c r="N342">
        <v>1983</v>
      </c>
      <c r="O342">
        <v>331313</v>
      </c>
      <c r="P342">
        <v>1</v>
      </c>
      <c r="Q342" t="s">
        <v>4358</v>
      </c>
      <c r="R342" t="s">
        <v>4358</v>
      </c>
      <c r="S342">
        <v>2494</v>
      </c>
      <c r="T342" t="s">
        <v>4359</v>
      </c>
      <c r="U342">
        <v>2494068</v>
      </c>
      <c r="V342" t="s">
        <v>4360</v>
      </c>
      <c r="W342">
        <v>408</v>
      </c>
      <c r="X342" t="s">
        <v>4360</v>
      </c>
      <c r="Y342">
        <v>2475</v>
      </c>
      <c r="Z342" t="s">
        <v>4361</v>
      </c>
      <c r="AA342" t="s">
        <v>4362</v>
      </c>
      <c r="AB342">
        <v>6</v>
      </c>
      <c r="AC342" t="s">
        <v>2465</v>
      </c>
      <c r="AD342" t="s">
        <v>2466</v>
      </c>
      <c r="AE342">
        <v>2</v>
      </c>
      <c r="AF342" t="s">
        <v>2422</v>
      </c>
      <c r="AG342" t="s">
        <v>2423</v>
      </c>
      <c r="AH342">
        <v>1</v>
      </c>
      <c r="AI342">
        <v>0</v>
      </c>
      <c r="AJ342">
        <v>0</v>
      </c>
      <c r="AK342">
        <v>0</v>
      </c>
    </row>
    <row r="343" spans="1:37" x14ac:dyDescent="0.25">
      <c r="A343">
        <v>2023</v>
      </c>
      <c r="B343">
        <v>7111</v>
      </c>
      <c r="C343" t="s">
        <v>4363</v>
      </c>
      <c r="D343" t="s">
        <v>4364</v>
      </c>
      <c r="E343" t="s">
        <v>4365</v>
      </c>
      <c r="G343" t="s">
        <v>2753</v>
      </c>
      <c r="H343" t="s">
        <v>21</v>
      </c>
      <c r="I343" t="s">
        <v>4366</v>
      </c>
      <c r="K343" t="s">
        <v>4367</v>
      </c>
      <c r="L343">
        <v>43.402099999999997</v>
      </c>
      <c r="M343">
        <v>-80.303399999999996</v>
      </c>
      <c r="N343">
        <v>1983</v>
      </c>
      <c r="O343">
        <v>332810</v>
      </c>
      <c r="P343">
        <v>11</v>
      </c>
      <c r="Q343" t="s">
        <v>2532</v>
      </c>
      <c r="R343" t="s">
        <v>2533</v>
      </c>
      <c r="S343">
        <v>3530</v>
      </c>
      <c r="T343" t="s">
        <v>2752</v>
      </c>
      <c r="U343">
        <v>3530010</v>
      </c>
      <c r="V343" t="s">
        <v>2753</v>
      </c>
      <c r="W343">
        <v>541</v>
      </c>
      <c r="X343" t="s">
        <v>2754</v>
      </c>
      <c r="Y343">
        <v>3540</v>
      </c>
      <c r="Z343" t="s">
        <v>2755</v>
      </c>
      <c r="AA343" t="s">
        <v>4368</v>
      </c>
      <c r="AB343">
        <v>8</v>
      </c>
      <c r="AC343" t="s">
        <v>2420</v>
      </c>
      <c r="AD343" t="s">
        <v>2421</v>
      </c>
      <c r="AE343">
        <v>2</v>
      </c>
      <c r="AF343" t="s">
        <v>2422</v>
      </c>
      <c r="AG343" t="s">
        <v>2423</v>
      </c>
      <c r="AH343">
        <v>1</v>
      </c>
      <c r="AI343">
        <v>1</v>
      </c>
      <c r="AJ343">
        <v>0</v>
      </c>
      <c r="AK343">
        <v>1</v>
      </c>
    </row>
    <row r="344" spans="1:37" x14ac:dyDescent="0.25">
      <c r="A344">
        <v>2007</v>
      </c>
      <c r="B344">
        <v>22526</v>
      </c>
      <c r="C344" t="s">
        <v>4369</v>
      </c>
      <c r="D344" t="s">
        <v>4370</v>
      </c>
      <c r="E344" t="s">
        <v>4371</v>
      </c>
      <c r="G344" t="s">
        <v>4372</v>
      </c>
      <c r="H344" t="s">
        <v>85</v>
      </c>
      <c r="J344" t="s">
        <v>4373</v>
      </c>
      <c r="K344" t="s">
        <v>4374</v>
      </c>
      <c r="L344">
        <v>50.671399999999998</v>
      </c>
      <c r="M344">
        <v>-112.0446</v>
      </c>
      <c r="N344">
        <v>1983</v>
      </c>
      <c r="O344">
        <v>211113</v>
      </c>
      <c r="P344">
        <v>4</v>
      </c>
      <c r="Q344" t="s">
        <v>2398</v>
      </c>
      <c r="R344" t="s">
        <v>2399</v>
      </c>
      <c r="S344">
        <v>4802</v>
      </c>
      <c r="T344" t="s">
        <v>2696</v>
      </c>
      <c r="U344">
        <v>4802031</v>
      </c>
      <c r="V344" t="s">
        <v>2905</v>
      </c>
      <c r="W344">
        <v>806</v>
      </c>
      <c r="X344" t="s">
        <v>2906</v>
      </c>
      <c r="Y344">
        <v>4810</v>
      </c>
      <c r="Z344" t="s">
        <v>2603</v>
      </c>
      <c r="AA344" t="s">
        <v>2671</v>
      </c>
      <c r="AB344">
        <v>10</v>
      </c>
      <c r="AC344" t="s">
        <v>2405</v>
      </c>
      <c r="AD344" t="s">
        <v>2406</v>
      </c>
      <c r="AE344">
        <v>5</v>
      </c>
      <c r="AF344" t="s">
        <v>2407</v>
      </c>
      <c r="AG344" t="s">
        <v>2408</v>
      </c>
      <c r="AH344">
        <v>0</v>
      </c>
      <c r="AI344">
        <v>0</v>
      </c>
      <c r="AJ344">
        <v>0</v>
      </c>
      <c r="AK344">
        <v>0</v>
      </c>
    </row>
    <row r="345" spans="1:37" x14ac:dyDescent="0.25">
      <c r="A345">
        <v>2009</v>
      </c>
      <c r="B345">
        <v>10639</v>
      </c>
      <c r="C345" t="s">
        <v>1737</v>
      </c>
      <c r="D345" t="s">
        <v>1738</v>
      </c>
      <c r="E345" t="s">
        <v>4375</v>
      </c>
      <c r="G345" t="s">
        <v>3562</v>
      </c>
      <c r="H345" t="s">
        <v>21</v>
      </c>
      <c r="I345" t="s">
        <v>4376</v>
      </c>
      <c r="K345" t="s">
        <v>4377</v>
      </c>
      <c r="L345">
        <v>43.808900000000001</v>
      </c>
      <c r="M345">
        <v>-79.334400000000002</v>
      </c>
      <c r="N345">
        <v>1983</v>
      </c>
      <c r="O345">
        <v>323119</v>
      </c>
      <c r="P345">
        <v>11</v>
      </c>
      <c r="Q345" t="s">
        <v>2532</v>
      </c>
      <c r="R345" t="s">
        <v>2533</v>
      </c>
      <c r="S345">
        <v>3520</v>
      </c>
      <c r="T345" t="s">
        <v>2439</v>
      </c>
      <c r="U345">
        <v>3520005</v>
      </c>
      <c r="V345" t="s">
        <v>2439</v>
      </c>
      <c r="W345">
        <v>535</v>
      </c>
      <c r="X345" t="s">
        <v>2439</v>
      </c>
      <c r="Y345">
        <v>3530</v>
      </c>
      <c r="Z345" t="s">
        <v>2439</v>
      </c>
      <c r="AA345" t="s">
        <v>4378</v>
      </c>
      <c r="AB345">
        <v>8</v>
      </c>
      <c r="AC345" t="s">
        <v>2420</v>
      </c>
      <c r="AD345" t="s">
        <v>2421</v>
      </c>
      <c r="AE345">
        <v>2</v>
      </c>
      <c r="AF345" t="s">
        <v>2422</v>
      </c>
      <c r="AG345" t="s">
        <v>2423</v>
      </c>
      <c r="AH345">
        <v>1</v>
      </c>
      <c r="AI345">
        <v>1</v>
      </c>
      <c r="AJ345">
        <v>0</v>
      </c>
      <c r="AK345">
        <v>1</v>
      </c>
    </row>
    <row r="346" spans="1:37" x14ac:dyDescent="0.25">
      <c r="A346">
        <v>2023</v>
      </c>
      <c r="B346">
        <v>29495</v>
      </c>
      <c r="C346" t="s">
        <v>4379</v>
      </c>
      <c r="D346" t="s">
        <v>4380</v>
      </c>
      <c r="E346" t="s">
        <v>4381</v>
      </c>
      <c r="G346" t="s">
        <v>3492</v>
      </c>
      <c r="H346" t="s">
        <v>79</v>
      </c>
      <c r="I346" t="s">
        <v>4382</v>
      </c>
      <c r="K346" t="s">
        <v>4383</v>
      </c>
      <c r="L346">
        <v>45.629544000000003</v>
      </c>
      <c r="M346">
        <v>-72.986378000000002</v>
      </c>
      <c r="N346">
        <v>1983</v>
      </c>
      <c r="O346">
        <v>311511</v>
      </c>
      <c r="P346">
        <v>11</v>
      </c>
      <c r="Q346" t="s">
        <v>2532</v>
      </c>
      <c r="R346" t="s">
        <v>2533</v>
      </c>
      <c r="S346">
        <v>2454</v>
      </c>
      <c r="T346" t="s">
        <v>3495</v>
      </c>
      <c r="U346">
        <v>2454048</v>
      </c>
      <c r="V346" t="s">
        <v>3496</v>
      </c>
      <c r="W346">
        <v>452</v>
      </c>
      <c r="X346" t="s">
        <v>3496</v>
      </c>
      <c r="Y346">
        <v>2435</v>
      </c>
      <c r="Z346" t="s">
        <v>2451</v>
      </c>
      <c r="AA346" t="s">
        <v>4384</v>
      </c>
      <c r="AB346">
        <v>8</v>
      </c>
      <c r="AC346" t="s">
        <v>2420</v>
      </c>
      <c r="AD346" t="s">
        <v>2421</v>
      </c>
      <c r="AE346">
        <v>2</v>
      </c>
      <c r="AF346" t="s">
        <v>2422</v>
      </c>
      <c r="AG346" t="s">
        <v>2423</v>
      </c>
      <c r="AH346">
        <v>1</v>
      </c>
      <c r="AI346">
        <v>0</v>
      </c>
      <c r="AJ346">
        <v>1</v>
      </c>
      <c r="AK346">
        <v>1</v>
      </c>
    </row>
    <row r="347" spans="1:37" x14ac:dyDescent="0.25">
      <c r="A347">
        <v>2023</v>
      </c>
      <c r="B347">
        <v>29497</v>
      </c>
      <c r="C347" t="s">
        <v>4385</v>
      </c>
      <c r="D347" t="s">
        <v>4385</v>
      </c>
      <c r="E347" t="s">
        <v>4386</v>
      </c>
      <c r="G347" t="s">
        <v>4387</v>
      </c>
      <c r="H347" t="s">
        <v>79</v>
      </c>
      <c r="I347" t="s">
        <v>4388</v>
      </c>
      <c r="K347" t="s">
        <v>4389</v>
      </c>
      <c r="L347">
        <v>46.497770000000003</v>
      </c>
      <c r="M347">
        <v>-71.066281000000004</v>
      </c>
      <c r="N347">
        <v>1983</v>
      </c>
      <c r="O347">
        <v>321111</v>
      </c>
      <c r="P347">
        <v>18</v>
      </c>
      <c r="Q347" t="s">
        <v>2459</v>
      </c>
      <c r="R347" t="s">
        <v>2460</v>
      </c>
      <c r="S347">
        <v>2426</v>
      </c>
      <c r="T347" t="s">
        <v>4390</v>
      </c>
      <c r="U347">
        <v>2426048</v>
      </c>
      <c r="V347" t="s">
        <v>4387</v>
      </c>
      <c r="X347" t="s">
        <v>2402</v>
      </c>
      <c r="Y347">
        <v>2425</v>
      </c>
      <c r="Z347" t="s">
        <v>3972</v>
      </c>
      <c r="AA347" t="s">
        <v>4391</v>
      </c>
      <c r="AB347">
        <v>8</v>
      </c>
      <c r="AC347" t="s">
        <v>2420</v>
      </c>
      <c r="AD347" t="s">
        <v>2421</v>
      </c>
      <c r="AE347">
        <v>2</v>
      </c>
      <c r="AF347" t="s">
        <v>2422</v>
      </c>
      <c r="AG347" t="s">
        <v>2423</v>
      </c>
      <c r="AH347">
        <v>1</v>
      </c>
      <c r="AI347">
        <v>0</v>
      </c>
      <c r="AJ347">
        <v>1</v>
      </c>
      <c r="AK347">
        <v>1</v>
      </c>
    </row>
    <row r="348" spans="1:37" x14ac:dyDescent="0.25">
      <c r="A348">
        <v>2019</v>
      </c>
      <c r="B348">
        <v>31449</v>
      </c>
      <c r="C348" t="s">
        <v>3067</v>
      </c>
      <c r="D348" t="s">
        <v>4392</v>
      </c>
      <c r="H348" t="s">
        <v>243</v>
      </c>
      <c r="J348" t="s">
        <v>4393</v>
      </c>
      <c r="K348" t="s">
        <v>4394</v>
      </c>
      <c r="L348">
        <v>51.897916000000002</v>
      </c>
      <c r="M348">
        <v>-109.362257</v>
      </c>
      <c r="N348">
        <v>1983</v>
      </c>
      <c r="O348">
        <v>211110</v>
      </c>
      <c r="P348">
        <v>4</v>
      </c>
      <c r="Q348" t="s">
        <v>2398</v>
      </c>
      <c r="R348" t="s">
        <v>2399</v>
      </c>
      <c r="S348">
        <v>4713</v>
      </c>
      <c r="T348" t="s">
        <v>2428</v>
      </c>
      <c r="U348">
        <v>4713041</v>
      </c>
      <c r="V348" t="s">
        <v>4395</v>
      </c>
      <c r="X348" t="s">
        <v>2402</v>
      </c>
      <c r="Y348">
        <v>4730</v>
      </c>
      <c r="Z348" t="s">
        <v>2430</v>
      </c>
      <c r="AA348" t="s">
        <v>2431</v>
      </c>
      <c r="AB348">
        <v>10</v>
      </c>
      <c r="AC348" t="s">
        <v>2405</v>
      </c>
      <c r="AD348" t="s">
        <v>2406</v>
      </c>
      <c r="AE348">
        <v>5</v>
      </c>
      <c r="AF348" t="s">
        <v>2407</v>
      </c>
      <c r="AG348" t="s">
        <v>2408</v>
      </c>
      <c r="AH348">
        <v>0</v>
      </c>
      <c r="AI348">
        <v>0</v>
      </c>
      <c r="AJ348">
        <v>0</v>
      </c>
      <c r="AK348">
        <v>0</v>
      </c>
    </row>
    <row r="349" spans="1:37" x14ac:dyDescent="0.25">
      <c r="A349">
        <v>2023</v>
      </c>
      <c r="B349">
        <v>29990</v>
      </c>
      <c r="C349" t="s">
        <v>4396</v>
      </c>
      <c r="D349" t="s">
        <v>4397</v>
      </c>
      <c r="E349" t="s">
        <v>4398</v>
      </c>
      <c r="G349" t="s">
        <v>4399</v>
      </c>
      <c r="H349" t="s">
        <v>69</v>
      </c>
      <c r="I349" t="s">
        <v>4400</v>
      </c>
      <c r="J349" t="s">
        <v>4401</v>
      </c>
      <c r="K349" t="s">
        <v>4402</v>
      </c>
      <c r="L349">
        <v>49.956899999999997</v>
      </c>
      <c r="M349">
        <v>-119.37869999999999</v>
      </c>
      <c r="N349">
        <v>1983</v>
      </c>
      <c r="O349">
        <v>541990</v>
      </c>
      <c r="P349">
        <v>19</v>
      </c>
      <c r="Q349" t="s">
        <v>2552</v>
      </c>
      <c r="R349" t="s">
        <v>2553</v>
      </c>
      <c r="S349">
        <v>5935</v>
      </c>
      <c r="T349" t="s">
        <v>4403</v>
      </c>
      <c r="U349">
        <v>5935010</v>
      </c>
      <c r="V349" t="s">
        <v>4399</v>
      </c>
      <c r="W349">
        <v>915</v>
      </c>
      <c r="X349" t="s">
        <v>4399</v>
      </c>
      <c r="Y349">
        <v>5930</v>
      </c>
      <c r="Z349" t="s">
        <v>3419</v>
      </c>
      <c r="AA349" t="s">
        <v>4404</v>
      </c>
      <c r="AB349">
        <v>14</v>
      </c>
      <c r="AC349" t="s">
        <v>2516</v>
      </c>
      <c r="AD349" t="s">
        <v>2517</v>
      </c>
      <c r="AE349">
        <v>8</v>
      </c>
      <c r="AF349" t="s">
        <v>2584</v>
      </c>
      <c r="AG349" t="s">
        <v>2585</v>
      </c>
      <c r="AH349">
        <v>0</v>
      </c>
      <c r="AI349">
        <v>0</v>
      </c>
      <c r="AJ349">
        <v>0</v>
      </c>
      <c r="AK349">
        <v>0</v>
      </c>
    </row>
    <row r="350" spans="1:37" x14ac:dyDescent="0.25">
      <c r="A350">
        <v>2005</v>
      </c>
      <c r="B350">
        <v>11377</v>
      </c>
      <c r="C350" t="s">
        <v>4405</v>
      </c>
      <c r="D350" t="s">
        <v>4406</v>
      </c>
      <c r="E350" t="s">
        <v>4407</v>
      </c>
      <c r="G350" t="s">
        <v>2659</v>
      </c>
      <c r="H350" t="s">
        <v>85</v>
      </c>
      <c r="I350" t="s">
        <v>4408</v>
      </c>
      <c r="J350" t="s">
        <v>4409</v>
      </c>
      <c r="K350" t="s">
        <v>4410</v>
      </c>
      <c r="L350">
        <v>51.048999999999999</v>
      </c>
      <c r="M350">
        <v>-114.065</v>
      </c>
      <c r="N350">
        <v>1983</v>
      </c>
      <c r="O350">
        <v>531120</v>
      </c>
      <c r="P350">
        <v>19</v>
      </c>
      <c r="Q350" t="s">
        <v>2552</v>
      </c>
      <c r="R350" t="s">
        <v>2553</v>
      </c>
      <c r="S350">
        <v>4806</v>
      </c>
      <c r="T350" t="s">
        <v>2663</v>
      </c>
      <c r="U350">
        <v>4806016</v>
      </c>
      <c r="V350" t="s">
        <v>2664</v>
      </c>
      <c r="W350">
        <v>825</v>
      </c>
      <c r="X350" t="s">
        <v>2664</v>
      </c>
      <c r="Y350">
        <v>4830</v>
      </c>
      <c r="Z350" t="s">
        <v>2664</v>
      </c>
      <c r="AA350" t="s">
        <v>4300</v>
      </c>
      <c r="AB350">
        <v>10</v>
      </c>
      <c r="AC350" t="s">
        <v>2405</v>
      </c>
      <c r="AD350" t="s">
        <v>2406</v>
      </c>
      <c r="AE350">
        <v>5</v>
      </c>
      <c r="AF350" t="s">
        <v>2407</v>
      </c>
      <c r="AG350" t="s">
        <v>2408</v>
      </c>
      <c r="AH350">
        <v>0</v>
      </c>
      <c r="AI350">
        <v>0</v>
      </c>
      <c r="AJ350">
        <v>0</v>
      </c>
      <c r="AK350">
        <v>0</v>
      </c>
    </row>
    <row r="351" spans="1:37" x14ac:dyDescent="0.25">
      <c r="A351">
        <v>2010</v>
      </c>
      <c r="B351">
        <v>24027</v>
      </c>
      <c r="C351" t="s">
        <v>1999</v>
      </c>
      <c r="D351" t="s">
        <v>4411</v>
      </c>
      <c r="E351" t="s">
        <v>4412</v>
      </c>
      <c r="H351" t="s">
        <v>243</v>
      </c>
      <c r="J351" t="s">
        <v>4413</v>
      </c>
      <c r="K351" t="s">
        <v>4414</v>
      </c>
      <c r="L351">
        <v>49.754652999999998</v>
      </c>
      <c r="M351">
        <v>-108.571018</v>
      </c>
      <c r="N351">
        <v>1983</v>
      </c>
      <c r="O351">
        <v>211113</v>
      </c>
      <c r="P351">
        <v>4</v>
      </c>
      <c r="Q351" t="s">
        <v>2398</v>
      </c>
      <c r="R351" t="s">
        <v>2399</v>
      </c>
      <c r="S351">
        <v>4704</v>
      </c>
      <c r="T351" t="s">
        <v>2506</v>
      </c>
      <c r="U351">
        <v>4704038</v>
      </c>
      <c r="V351" t="s">
        <v>4415</v>
      </c>
      <c r="X351" t="s">
        <v>2402</v>
      </c>
      <c r="Y351">
        <v>4720</v>
      </c>
      <c r="Z351" t="s">
        <v>2403</v>
      </c>
      <c r="AA351" t="s">
        <v>2404</v>
      </c>
      <c r="AB351">
        <v>10</v>
      </c>
      <c r="AC351" t="s">
        <v>2405</v>
      </c>
      <c r="AD351" t="s">
        <v>2406</v>
      </c>
      <c r="AE351">
        <v>5</v>
      </c>
      <c r="AF351" t="s">
        <v>2407</v>
      </c>
      <c r="AG351" t="s">
        <v>2408</v>
      </c>
      <c r="AH351">
        <v>0</v>
      </c>
      <c r="AI351">
        <v>0</v>
      </c>
      <c r="AJ351">
        <v>0</v>
      </c>
      <c r="AK351">
        <v>0</v>
      </c>
    </row>
    <row r="352" spans="1:37" x14ac:dyDescent="0.25">
      <c r="A352">
        <v>2014</v>
      </c>
      <c r="B352">
        <v>27048</v>
      </c>
      <c r="C352" t="s">
        <v>1027</v>
      </c>
      <c r="D352" t="s">
        <v>4416</v>
      </c>
      <c r="H352" t="s">
        <v>85</v>
      </c>
      <c r="J352" t="s">
        <v>4417</v>
      </c>
      <c r="K352" t="s">
        <v>4418</v>
      </c>
      <c r="L352">
        <v>52.141055000000001</v>
      </c>
      <c r="M352">
        <v>-112.156684</v>
      </c>
      <c r="N352">
        <v>1983</v>
      </c>
      <c r="O352">
        <v>211113</v>
      </c>
      <c r="P352">
        <v>4</v>
      </c>
      <c r="Q352" t="s">
        <v>2398</v>
      </c>
      <c r="R352" t="s">
        <v>2399</v>
      </c>
      <c r="S352">
        <v>4807</v>
      </c>
      <c r="T352" t="s">
        <v>2611</v>
      </c>
      <c r="U352">
        <v>4807011</v>
      </c>
      <c r="V352" t="s">
        <v>3458</v>
      </c>
      <c r="X352" t="s">
        <v>2402</v>
      </c>
      <c r="Y352">
        <v>4820</v>
      </c>
      <c r="Z352" t="s">
        <v>2508</v>
      </c>
      <c r="AA352" t="s">
        <v>2509</v>
      </c>
      <c r="AB352">
        <v>10</v>
      </c>
      <c r="AC352" t="s">
        <v>2405</v>
      </c>
      <c r="AD352" t="s">
        <v>2406</v>
      </c>
      <c r="AE352">
        <v>5</v>
      </c>
      <c r="AF352" t="s">
        <v>2407</v>
      </c>
      <c r="AG352" t="s">
        <v>2408</v>
      </c>
      <c r="AH352">
        <v>0</v>
      </c>
      <c r="AI352">
        <v>0</v>
      </c>
      <c r="AJ352">
        <v>0</v>
      </c>
      <c r="AK352">
        <v>0</v>
      </c>
    </row>
    <row r="353" spans="1:37" x14ac:dyDescent="0.25">
      <c r="A353">
        <v>2012</v>
      </c>
      <c r="B353">
        <v>26038</v>
      </c>
      <c r="C353" t="s">
        <v>4419</v>
      </c>
      <c r="D353" t="s">
        <v>4420</v>
      </c>
      <c r="H353" t="s">
        <v>85</v>
      </c>
      <c r="J353" t="s">
        <v>4421</v>
      </c>
      <c r="K353" t="s">
        <v>4422</v>
      </c>
      <c r="L353">
        <v>53.486960000000003</v>
      </c>
      <c r="M353">
        <v>-117.0402</v>
      </c>
      <c r="N353">
        <v>1983</v>
      </c>
      <c r="O353">
        <v>211113</v>
      </c>
      <c r="P353">
        <v>4</v>
      </c>
      <c r="Q353" t="s">
        <v>2398</v>
      </c>
      <c r="R353" t="s">
        <v>2399</v>
      </c>
      <c r="S353">
        <v>4814</v>
      </c>
      <c r="T353" t="s">
        <v>3256</v>
      </c>
      <c r="U353">
        <v>4814003</v>
      </c>
      <c r="V353" t="s">
        <v>3257</v>
      </c>
      <c r="X353" t="s">
        <v>2402</v>
      </c>
      <c r="Y353">
        <v>4840</v>
      </c>
      <c r="Z353" t="s">
        <v>2633</v>
      </c>
      <c r="AA353" t="s">
        <v>3929</v>
      </c>
      <c r="AB353">
        <v>9</v>
      </c>
      <c r="AC353" t="s">
        <v>2475</v>
      </c>
      <c r="AD353" t="s">
        <v>2476</v>
      </c>
      <c r="AE353">
        <v>7</v>
      </c>
      <c r="AF353" t="s">
        <v>2477</v>
      </c>
      <c r="AG353" t="s">
        <v>2478</v>
      </c>
      <c r="AH353">
        <v>0</v>
      </c>
      <c r="AI353">
        <v>0</v>
      </c>
      <c r="AJ353">
        <v>0</v>
      </c>
      <c r="AK353">
        <v>0</v>
      </c>
    </row>
    <row r="354" spans="1:37" x14ac:dyDescent="0.25">
      <c r="A354">
        <v>2010</v>
      </c>
      <c r="B354">
        <v>23911</v>
      </c>
      <c r="C354" t="s">
        <v>2518</v>
      </c>
      <c r="D354" t="s">
        <v>4423</v>
      </c>
      <c r="E354" t="s">
        <v>4424</v>
      </c>
      <c r="H354" t="s">
        <v>243</v>
      </c>
      <c r="J354" t="s">
        <v>4425</v>
      </c>
      <c r="K354" t="s">
        <v>4426</v>
      </c>
      <c r="L354">
        <v>49.755899999999997</v>
      </c>
      <c r="M354">
        <v>-103.1367</v>
      </c>
      <c r="N354">
        <v>1983</v>
      </c>
      <c r="O354">
        <v>211113</v>
      </c>
      <c r="P354">
        <v>4</v>
      </c>
      <c r="Q354" t="s">
        <v>2398</v>
      </c>
      <c r="R354" t="s">
        <v>2399</v>
      </c>
      <c r="S354">
        <v>4701</v>
      </c>
      <c r="T354" t="s">
        <v>2523</v>
      </c>
      <c r="U354">
        <v>4701063</v>
      </c>
      <c r="V354" t="s">
        <v>2524</v>
      </c>
      <c r="X354" t="s">
        <v>2402</v>
      </c>
      <c r="Y354">
        <v>4710</v>
      </c>
      <c r="Z354" t="s">
        <v>2525</v>
      </c>
      <c r="AA354" t="s">
        <v>2526</v>
      </c>
      <c r="AB354">
        <v>10</v>
      </c>
      <c r="AC354" t="s">
        <v>2405</v>
      </c>
      <c r="AD354" t="s">
        <v>2406</v>
      </c>
      <c r="AE354">
        <v>5</v>
      </c>
      <c r="AF354" t="s">
        <v>2407</v>
      </c>
      <c r="AG354" t="s">
        <v>2408</v>
      </c>
      <c r="AH354">
        <v>0</v>
      </c>
      <c r="AI354">
        <v>0</v>
      </c>
      <c r="AJ354">
        <v>0</v>
      </c>
      <c r="AK354">
        <v>0</v>
      </c>
    </row>
    <row r="355" spans="1:37" x14ac:dyDescent="0.25">
      <c r="A355">
        <v>2009</v>
      </c>
      <c r="B355">
        <v>23753</v>
      </c>
      <c r="C355" t="s">
        <v>4427</v>
      </c>
      <c r="D355" t="s">
        <v>4428</v>
      </c>
      <c r="E355" t="s">
        <v>4429</v>
      </c>
      <c r="H355" t="s">
        <v>85</v>
      </c>
      <c r="J355" t="s">
        <v>4430</v>
      </c>
      <c r="K355" t="s">
        <v>4431</v>
      </c>
      <c r="L355">
        <v>56.582799999999999</v>
      </c>
      <c r="M355">
        <v>-119.3616</v>
      </c>
      <c r="N355">
        <v>1983</v>
      </c>
      <c r="O355">
        <v>211113</v>
      </c>
      <c r="P355">
        <v>4</v>
      </c>
      <c r="Q355" t="s">
        <v>2398</v>
      </c>
      <c r="R355" t="s">
        <v>2399</v>
      </c>
      <c r="S355">
        <v>4817</v>
      </c>
      <c r="T355" t="s">
        <v>2471</v>
      </c>
      <c r="U355">
        <v>4817062</v>
      </c>
      <c r="V355" t="s">
        <v>3686</v>
      </c>
      <c r="X355" t="s">
        <v>2402</v>
      </c>
      <c r="Y355">
        <v>4870</v>
      </c>
      <c r="Z355" t="s">
        <v>2473</v>
      </c>
      <c r="AA355" t="s">
        <v>2474</v>
      </c>
      <c r="AB355">
        <v>9</v>
      </c>
      <c r="AC355" t="s">
        <v>2475</v>
      </c>
      <c r="AD355" t="s">
        <v>2476</v>
      </c>
      <c r="AE355">
        <v>7</v>
      </c>
      <c r="AF355" t="s">
        <v>2477</v>
      </c>
      <c r="AG355" t="s">
        <v>2478</v>
      </c>
      <c r="AH355">
        <v>0</v>
      </c>
      <c r="AI355">
        <v>0</v>
      </c>
      <c r="AJ355">
        <v>0</v>
      </c>
      <c r="AK355">
        <v>0</v>
      </c>
    </row>
    <row r="356" spans="1:37" x14ac:dyDescent="0.25">
      <c r="A356">
        <v>2022</v>
      </c>
      <c r="B356">
        <v>33722</v>
      </c>
      <c r="C356" t="s">
        <v>4432</v>
      </c>
      <c r="D356" t="s">
        <v>4433</v>
      </c>
      <c r="G356" t="s">
        <v>4434</v>
      </c>
      <c r="H356" t="s">
        <v>85</v>
      </c>
      <c r="J356" t="s">
        <v>4435</v>
      </c>
      <c r="K356" t="s">
        <v>4436</v>
      </c>
      <c r="L356">
        <v>55.499465999999998</v>
      </c>
      <c r="M356">
        <v>-114.218622</v>
      </c>
      <c r="N356">
        <v>1983</v>
      </c>
      <c r="O356">
        <v>211110</v>
      </c>
      <c r="P356">
        <v>4</v>
      </c>
      <c r="Q356" t="s">
        <v>2398</v>
      </c>
      <c r="R356" t="s">
        <v>2399</v>
      </c>
      <c r="S356">
        <v>4817</v>
      </c>
      <c r="T356" t="s">
        <v>2471</v>
      </c>
      <c r="U356">
        <v>4817033</v>
      </c>
      <c r="V356" t="s">
        <v>3520</v>
      </c>
      <c r="X356" t="s">
        <v>2402</v>
      </c>
      <c r="Y356">
        <v>4870</v>
      </c>
      <c r="Z356" t="s">
        <v>2473</v>
      </c>
      <c r="AA356" t="s">
        <v>2719</v>
      </c>
      <c r="AB356">
        <v>9</v>
      </c>
      <c r="AC356" t="s">
        <v>2475</v>
      </c>
      <c r="AD356" t="s">
        <v>2476</v>
      </c>
      <c r="AE356">
        <v>7</v>
      </c>
      <c r="AF356" t="s">
        <v>2477</v>
      </c>
      <c r="AG356" t="s">
        <v>2478</v>
      </c>
      <c r="AH356">
        <v>0</v>
      </c>
      <c r="AI356">
        <v>0</v>
      </c>
      <c r="AJ356">
        <v>0</v>
      </c>
      <c r="AK356">
        <v>0</v>
      </c>
    </row>
    <row r="357" spans="1:37" x14ac:dyDescent="0.25">
      <c r="A357">
        <v>2023</v>
      </c>
      <c r="B357">
        <v>2281</v>
      </c>
      <c r="C357" t="s">
        <v>4437</v>
      </c>
      <c r="D357" t="s">
        <v>4438</v>
      </c>
      <c r="E357" t="s">
        <v>4439</v>
      </c>
      <c r="G357" t="s">
        <v>2439</v>
      </c>
      <c r="H357" t="s">
        <v>21</v>
      </c>
      <c r="I357" t="s">
        <v>4440</v>
      </c>
      <c r="K357" t="s">
        <v>4441</v>
      </c>
      <c r="L357">
        <v>43.630989999999997</v>
      </c>
      <c r="M357">
        <v>-79.526200000000003</v>
      </c>
      <c r="N357">
        <v>1983</v>
      </c>
      <c r="O357">
        <v>332810</v>
      </c>
      <c r="P357">
        <v>11</v>
      </c>
      <c r="Q357" t="s">
        <v>2532</v>
      </c>
      <c r="R357" t="s">
        <v>2533</v>
      </c>
      <c r="S357">
        <v>3520</v>
      </c>
      <c r="T357" t="s">
        <v>2439</v>
      </c>
      <c r="U357">
        <v>3520005</v>
      </c>
      <c r="V357" t="s">
        <v>2439</v>
      </c>
      <c r="W357">
        <v>535</v>
      </c>
      <c r="X357" t="s">
        <v>2439</v>
      </c>
      <c r="Y357">
        <v>3530</v>
      </c>
      <c r="Z357" t="s">
        <v>2439</v>
      </c>
      <c r="AA357" t="s">
        <v>4442</v>
      </c>
      <c r="AB357">
        <v>8</v>
      </c>
      <c r="AC357" t="s">
        <v>2420</v>
      </c>
      <c r="AD357" t="s">
        <v>2421</v>
      </c>
      <c r="AE357">
        <v>2</v>
      </c>
      <c r="AF357" t="s">
        <v>2422</v>
      </c>
      <c r="AG357" t="s">
        <v>2423</v>
      </c>
      <c r="AH357">
        <v>1</v>
      </c>
      <c r="AI357">
        <v>1</v>
      </c>
      <c r="AJ357">
        <v>0</v>
      </c>
      <c r="AK357">
        <v>1</v>
      </c>
    </row>
    <row r="358" spans="1:37" x14ac:dyDescent="0.25">
      <c r="A358">
        <v>2023</v>
      </c>
      <c r="B358">
        <v>6342</v>
      </c>
      <c r="C358" t="s">
        <v>4443</v>
      </c>
      <c r="D358" t="s">
        <v>4443</v>
      </c>
      <c r="E358" t="s">
        <v>4444</v>
      </c>
      <c r="G358" t="s">
        <v>4445</v>
      </c>
      <c r="H358" t="s">
        <v>79</v>
      </c>
      <c r="I358" t="s">
        <v>4446</v>
      </c>
      <c r="K358" t="s">
        <v>4447</v>
      </c>
      <c r="L358">
        <v>45.404699999999998</v>
      </c>
      <c r="M358">
        <v>-73.557699999999997</v>
      </c>
      <c r="N358">
        <v>1983</v>
      </c>
      <c r="O358">
        <v>221320</v>
      </c>
      <c r="P358">
        <v>17</v>
      </c>
      <c r="Q358" t="s">
        <v>2804</v>
      </c>
      <c r="R358" t="s">
        <v>2805</v>
      </c>
      <c r="S358">
        <v>2467</v>
      </c>
      <c r="T358" t="s">
        <v>2486</v>
      </c>
      <c r="U358">
        <v>2467030</v>
      </c>
      <c r="V358" t="s">
        <v>4445</v>
      </c>
      <c r="W358">
        <v>462</v>
      </c>
      <c r="X358" t="s">
        <v>2450</v>
      </c>
      <c r="Y358">
        <v>2435</v>
      </c>
      <c r="Z358" t="s">
        <v>2451</v>
      </c>
      <c r="AA358" t="s">
        <v>4448</v>
      </c>
      <c r="AB358">
        <v>8</v>
      </c>
      <c r="AC358" t="s">
        <v>2420</v>
      </c>
      <c r="AD358" t="s">
        <v>2421</v>
      </c>
      <c r="AE358">
        <v>2</v>
      </c>
      <c r="AF358" t="s">
        <v>2422</v>
      </c>
      <c r="AG358" t="s">
        <v>2423</v>
      </c>
      <c r="AH358">
        <v>1</v>
      </c>
      <c r="AI358">
        <v>0</v>
      </c>
      <c r="AJ358">
        <v>1</v>
      </c>
      <c r="AK358">
        <v>1</v>
      </c>
    </row>
    <row r="359" spans="1:37" x14ac:dyDescent="0.25">
      <c r="A359">
        <v>2018</v>
      </c>
      <c r="B359">
        <v>28489</v>
      </c>
      <c r="C359" t="s">
        <v>1928</v>
      </c>
      <c r="D359" t="s">
        <v>4449</v>
      </c>
      <c r="G359" t="s">
        <v>4450</v>
      </c>
      <c r="H359" t="s">
        <v>85</v>
      </c>
      <c r="J359" t="s">
        <v>4451</v>
      </c>
      <c r="K359" t="s">
        <v>4452</v>
      </c>
      <c r="L359">
        <v>56.277999999999999</v>
      </c>
      <c r="M359">
        <v>-116.90907</v>
      </c>
      <c r="N359">
        <v>1983</v>
      </c>
      <c r="O359">
        <v>211110</v>
      </c>
      <c r="P359">
        <v>4</v>
      </c>
      <c r="Q359" t="s">
        <v>2398</v>
      </c>
      <c r="R359" t="s">
        <v>2399</v>
      </c>
      <c r="S359">
        <v>4817</v>
      </c>
      <c r="T359" t="s">
        <v>2471</v>
      </c>
      <c r="U359">
        <v>4817026</v>
      </c>
      <c r="V359" t="s">
        <v>3989</v>
      </c>
      <c r="X359" t="s">
        <v>2402</v>
      </c>
      <c r="Y359">
        <v>4870</v>
      </c>
      <c r="Z359" t="s">
        <v>2473</v>
      </c>
      <c r="AA359" t="s">
        <v>2474</v>
      </c>
      <c r="AB359">
        <v>9</v>
      </c>
      <c r="AC359" t="s">
        <v>2475</v>
      </c>
      <c r="AD359" t="s">
        <v>2476</v>
      </c>
      <c r="AE359">
        <v>7</v>
      </c>
      <c r="AF359" t="s">
        <v>2477</v>
      </c>
      <c r="AG359" t="s">
        <v>2478</v>
      </c>
      <c r="AH359">
        <v>0</v>
      </c>
      <c r="AI359">
        <v>0</v>
      </c>
      <c r="AJ359">
        <v>0</v>
      </c>
      <c r="AK359">
        <v>0</v>
      </c>
    </row>
    <row r="360" spans="1:37" x14ac:dyDescent="0.25">
      <c r="A360">
        <v>2004</v>
      </c>
      <c r="B360">
        <v>5594</v>
      </c>
      <c r="C360" t="s">
        <v>4453</v>
      </c>
      <c r="D360" t="s">
        <v>4454</v>
      </c>
      <c r="E360" t="s">
        <v>4455</v>
      </c>
      <c r="G360" t="s">
        <v>4456</v>
      </c>
      <c r="H360" t="s">
        <v>79</v>
      </c>
      <c r="I360" t="s">
        <v>4457</v>
      </c>
      <c r="K360" t="s">
        <v>4458</v>
      </c>
      <c r="L360">
        <v>45.654200000000003</v>
      </c>
      <c r="M360">
        <v>-73.554500000000004</v>
      </c>
      <c r="N360">
        <v>1983</v>
      </c>
      <c r="O360">
        <v>325999</v>
      </c>
      <c r="P360">
        <v>3</v>
      </c>
      <c r="Q360" t="s">
        <v>2822</v>
      </c>
      <c r="R360" t="s">
        <v>2823</v>
      </c>
      <c r="S360">
        <v>2466</v>
      </c>
      <c r="T360" t="s">
        <v>2450</v>
      </c>
      <c r="U360">
        <v>2466023</v>
      </c>
      <c r="V360" t="s">
        <v>2450</v>
      </c>
      <c r="W360">
        <v>462</v>
      </c>
      <c r="X360" t="s">
        <v>2450</v>
      </c>
      <c r="Y360">
        <v>2440</v>
      </c>
      <c r="Z360" t="s">
        <v>2450</v>
      </c>
      <c r="AA360" t="s">
        <v>4459</v>
      </c>
      <c r="AB360">
        <v>8</v>
      </c>
      <c r="AC360" t="s">
        <v>2420</v>
      </c>
      <c r="AD360" t="s">
        <v>2421</v>
      </c>
      <c r="AE360">
        <v>2</v>
      </c>
      <c r="AF360" t="s">
        <v>2422</v>
      </c>
      <c r="AG360" t="s">
        <v>2423</v>
      </c>
      <c r="AH360">
        <v>1</v>
      </c>
      <c r="AI360">
        <v>0</v>
      </c>
      <c r="AJ360">
        <v>1</v>
      </c>
      <c r="AK360">
        <v>1</v>
      </c>
    </row>
    <row r="361" spans="1:37" x14ac:dyDescent="0.25">
      <c r="A361">
        <v>1993</v>
      </c>
      <c r="B361">
        <v>1851</v>
      </c>
      <c r="C361" t="s">
        <v>4460</v>
      </c>
      <c r="H361" t="s">
        <v>21</v>
      </c>
      <c r="K361" t="s">
        <v>4461</v>
      </c>
      <c r="L361">
        <v>44.251399999999997</v>
      </c>
      <c r="M361">
        <v>-76.496700000000004</v>
      </c>
      <c r="N361">
        <v>1983</v>
      </c>
      <c r="O361">
        <v>0</v>
      </c>
      <c r="P361">
        <v>0</v>
      </c>
      <c r="S361">
        <v>3510</v>
      </c>
      <c r="T361" t="s">
        <v>3720</v>
      </c>
      <c r="U361">
        <v>3510010</v>
      </c>
      <c r="V361" t="s">
        <v>3721</v>
      </c>
      <c r="W361">
        <v>521</v>
      </c>
      <c r="X361" t="s">
        <v>3721</v>
      </c>
      <c r="Y361">
        <v>3515</v>
      </c>
      <c r="Z361" t="s">
        <v>3544</v>
      </c>
      <c r="AA361" t="s">
        <v>4462</v>
      </c>
      <c r="AB361">
        <v>8</v>
      </c>
      <c r="AC361" t="s">
        <v>2420</v>
      </c>
      <c r="AD361" t="s">
        <v>2421</v>
      </c>
      <c r="AE361">
        <v>2</v>
      </c>
      <c r="AF361" t="s">
        <v>2422</v>
      </c>
      <c r="AG361" t="s">
        <v>2423</v>
      </c>
      <c r="AH361">
        <v>1</v>
      </c>
      <c r="AI361">
        <v>1</v>
      </c>
      <c r="AJ361">
        <v>0</v>
      </c>
      <c r="AK361">
        <v>1</v>
      </c>
    </row>
    <row r="362" spans="1:37" x14ac:dyDescent="0.25">
      <c r="A362">
        <v>2023</v>
      </c>
      <c r="B362">
        <v>8501</v>
      </c>
      <c r="C362" t="s">
        <v>1621</v>
      </c>
      <c r="D362" t="s">
        <v>4463</v>
      </c>
      <c r="E362" t="s">
        <v>4464</v>
      </c>
      <c r="G362" t="s">
        <v>4465</v>
      </c>
      <c r="H362" t="s">
        <v>79</v>
      </c>
      <c r="I362" t="s">
        <v>4466</v>
      </c>
      <c r="J362" t="s">
        <v>4467</v>
      </c>
      <c r="K362" t="s">
        <v>4468</v>
      </c>
      <c r="L362">
        <v>49.113430000000001</v>
      </c>
      <c r="M362">
        <v>-77.153689999999997</v>
      </c>
      <c r="N362">
        <v>1983</v>
      </c>
      <c r="O362">
        <v>321111</v>
      </c>
      <c r="P362">
        <v>18</v>
      </c>
      <c r="Q362" t="s">
        <v>2459</v>
      </c>
      <c r="R362" t="s">
        <v>2460</v>
      </c>
      <c r="S362">
        <v>2499</v>
      </c>
      <c r="T362" t="s">
        <v>4469</v>
      </c>
      <c r="U362">
        <v>2499060</v>
      </c>
      <c r="V362" t="s">
        <v>4470</v>
      </c>
      <c r="X362" t="s">
        <v>2402</v>
      </c>
      <c r="Y362">
        <v>2490</v>
      </c>
      <c r="Z362" t="s">
        <v>4469</v>
      </c>
      <c r="AA362" t="s">
        <v>4471</v>
      </c>
      <c r="AB362">
        <v>6</v>
      </c>
      <c r="AC362" t="s">
        <v>2465</v>
      </c>
      <c r="AD362" t="s">
        <v>2466</v>
      </c>
      <c r="AE362">
        <v>3</v>
      </c>
      <c r="AF362" t="s">
        <v>3220</v>
      </c>
      <c r="AG362" t="s">
        <v>3221</v>
      </c>
      <c r="AH362">
        <v>1</v>
      </c>
      <c r="AI362">
        <v>0</v>
      </c>
      <c r="AJ362">
        <v>0</v>
      </c>
      <c r="AK362">
        <v>0</v>
      </c>
    </row>
    <row r="363" spans="1:37" x14ac:dyDescent="0.25">
      <c r="A363">
        <v>2019</v>
      </c>
      <c r="B363">
        <v>203</v>
      </c>
      <c r="C363" t="s">
        <v>4472</v>
      </c>
      <c r="D363" t="s">
        <v>4473</v>
      </c>
      <c r="E363" t="s">
        <v>4474</v>
      </c>
      <c r="G363" t="s">
        <v>3271</v>
      </c>
      <c r="H363" t="s">
        <v>21</v>
      </c>
      <c r="I363" t="s">
        <v>4475</v>
      </c>
      <c r="K363" t="s">
        <v>4476</v>
      </c>
      <c r="L363">
        <v>48.4758</v>
      </c>
      <c r="M363">
        <v>-89.151399999999995</v>
      </c>
      <c r="N363">
        <v>1983</v>
      </c>
      <c r="O363">
        <v>221310</v>
      </c>
      <c r="P363">
        <v>17</v>
      </c>
      <c r="Q363" t="s">
        <v>2804</v>
      </c>
      <c r="R363" t="s">
        <v>2805</v>
      </c>
      <c r="S363">
        <v>3558</v>
      </c>
      <c r="T363" t="s">
        <v>3275</v>
      </c>
      <c r="U363">
        <v>3558004</v>
      </c>
      <c r="V363" t="s">
        <v>3275</v>
      </c>
      <c r="W363">
        <v>595</v>
      </c>
      <c r="X363" t="s">
        <v>3275</v>
      </c>
      <c r="Y363">
        <v>3595</v>
      </c>
      <c r="Z363" t="s">
        <v>3277</v>
      </c>
      <c r="AA363" t="s">
        <v>4477</v>
      </c>
      <c r="AB363">
        <v>6</v>
      </c>
      <c r="AC363" t="s">
        <v>2465</v>
      </c>
      <c r="AD363" t="s">
        <v>2466</v>
      </c>
      <c r="AE363">
        <v>2</v>
      </c>
      <c r="AF363" t="s">
        <v>2422</v>
      </c>
      <c r="AG363" t="s">
        <v>2423</v>
      </c>
      <c r="AH363">
        <v>0</v>
      </c>
      <c r="AI363">
        <v>0</v>
      </c>
      <c r="AJ363">
        <v>0</v>
      </c>
      <c r="AK363">
        <v>0</v>
      </c>
    </row>
    <row r="364" spans="1:37" x14ac:dyDescent="0.25">
      <c r="A364">
        <v>2023</v>
      </c>
      <c r="B364">
        <v>7602</v>
      </c>
      <c r="C364" t="s">
        <v>4478</v>
      </c>
      <c r="D364" t="s">
        <v>4479</v>
      </c>
      <c r="E364" t="s">
        <v>3198</v>
      </c>
      <c r="G364" t="s">
        <v>2439</v>
      </c>
      <c r="H364" t="s">
        <v>21</v>
      </c>
      <c r="I364" t="s">
        <v>3199</v>
      </c>
      <c r="K364" t="s">
        <v>3200</v>
      </c>
      <c r="L364">
        <v>43.7074</v>
      </c>
      <c r="M364">
        <v>-79.570099999999996</v>
      </c>
      <c r="N364">
        <v>1983</v>
      </c>
      <c r="O364">
        <v>326114</v>
      </c>
      <c r="P364">
        <v>13</v>
      </c>
      <c r="Q364" t="s">
        <v>2447</v>
      </c>
      <c r="R364" t="s">
        <v>2448</v>
      </c>
      <c r="S364">
        <v>3520</v>
      </c>
      <c r="T364" t="s">
        <v>2439</v>
      </c>
      <c r="U364">
        <v>3520005</v>
      </c>
      <c r="V364" t="s">
        <v>2439</v>
      </c>
      <c r="W364">
        <v>535</v>
      </c>
      <c r="X364" t="s">
        <v>2439</v>
      </c>
      <c r="Y364">
        <v>3530</v>
      </c>
      <c r="Z364" t="s">
        <v>2439</v>
      </c>
      <c r="AA364" t="s">
        <v>3201</v>
      </c>
      <c r="AB364">
        <v>8</v>
      </c>
      <c r="AC364" t="s">
        <v>2420</v>
      </c>
      <c r="AD364" t="s">
        <v>2421</v>
      </c>
      <c r="AE364">
        <v>2</v>
      </c>
      <c r="AF364" t="s">
        <v>2422</v>
      </c>
      <c r="AG364" t="s">
        <v>2423</v>
      </c>
      <c r="AH364">
        <v>1</v>
      </c>
      <c r="AI364">
        <v>1</v>
      </c>
      <c r="AJ364">
        <v>0</v>
      </c>
      <c r="AK364">
        <v>1</v>
      </c>
    </row>
    <row r="365" spans="1:37" x14ac:dyDescent="0.25">
      <c r="A365">
        <v>2018</v>
      </c>
      <c r="B365">
        <v>28890</v>
      </c>
      <c r="C365" t="s">
        <v>1027</v>
      </c>
      <c r="D365" t="s">
        <v>1524</v>
      </c>
      <c r="H365" t="s">
        <v>85</v>
      </c>
      <c r="J365" t="s">
        <v>4480</v>
      </c>
      <c r="K365" t="s">
        <v>4481</v>
      </c>
      <c r="L365">
        <v>55.717505000000003</v>
      </c>
      <c r="M365">
        <v>-114.269857</v>
      </c>
      <c r="N365">
        <v>1983</v>
      </c>
      <c r="O365">
        <v>211110</v>
      </c>
      <c r="P365">
        <v>4</v>
      </c>
      <c r="Q365" t="s">
        <v>2398</v>
      </c>
      <c r="R365" t="s">
        <v>2399</v>
      </c>
      <c r="S365">
        <v>4817</v>
      </c>
      <c r="T365" t="s">
        <v>2471</v>
      </c>
      <c r="U365">
        <v>4817031</v>
      </c>
      <c r="V365" t="s">
        <v>2718</v>
      </c>
      <c r="X365" t="s">
        <v>2402</v>
      </c>
      <c r="Y365">
        <v>4870</v>
      </c>
      <c r="Z365" t="s">
        <v>2473</v>
      </c>
      <c r="AA365" t="s">
        <v>2719</v>
      </c>
      <c r="AB365">
        <v>9</v>
      </c>
      <c r="AC365" t="s">
        <v>2475</v>
      </c>
      <c r="AD365" t="s">
        <v>2476</v>
      </c>
      <c r="AE365">
        <v>7</v>
      </c>
      <c r="AF365" t="s">
        <v>2477</v>
      </c>
      <c r="AG365" t="s">
        <v>2478</v>
      </c>
      <c r="AH365">
        <v>0</v>
      </c>
      <c r="AI365">
        <v>0</v>
      </c>
      <c r="AJ365">
        <v>0</v>
      </c>
      <c r="AK365">
        <v>0</v>
      </c>
    </row>
    <row r="366" spans="1:37" x14ac:dyDescent="0.25">
      <c r="A366">
        <v>2012</v>
      </c>
      <c r="B366">
        <v>21719</v>
      </c>
      <c r="C366" t="s">
        <v>1608</v>
      </c>
      <c r="D366" t="s">
        <v>4482</v>
      </c>
      <c r="G366" t="s">
        <v>2659</v>
      </c>
      <c r="H366" t="s">
        <v>85</v>
      </c>
      <c r="I366" t="s">
        <v>4483</v>
      </c>
      <c r="J366" t="s">
        <v>4484</v>
      </c>
      <c r="K366" t="s">
        <v>4485</v>
      </c>
      <c r="L366">
        <v>51.862400000000001</v>
      </c>
      <c r="M366">
        <v>-114.12869999999999</v>
      </c>
      <c r="N366">
        <v>1983</v>
      </c>
      <c r="O366">
        <v>211113</v>
      </c>
      <c r="P366">
        <v>4</v>
      </c>
      <c r="Q366" t="s">
        <v>2398</v>
      </c>
      <c r="R366" t="s">
        <v>2399</v>
      </c>
      <c r="S366">
        <v>4806</v>
      </c>
      <c r="T366" t="s">
        <v>2663</v>
      </c>
      <c r="U366">
        <v>4806028</v>
      </c>
      <c r="V366" t="s">
        <v>3742</v>
      </c>
      <c r="X366" t="s">
        <v>2402</v>
      </c>
      <c r="Y366">
        <v>4830</v>
      </c>
      <c r="Z366" t="s">
        <v>2664</v>
      </c>
      <c r="AA366" t="s">
        <v>3675</v>
      </c>
      <c r="AB366">
        <v>10</v>
      </c>
      <c r="AC366" t="s">
        <v>2405</v>
      </c>
      <c r="AD366" t="s">
        <v>2406</v>
      </c>
      <c r="AE366">
        <v>5</v>
      </c>
      <c r="AF366" t="s">
        <v>2407</v>
      </c>
      <c r="AG366" t="s">
        <v>2408</v>
      </c>
      <c r="AH366">
        <v>0</v>
      </c>
      <c r="AI366">
        <v>0</v>
      </c>
      <c r="AJ366">
        <v>0</v>
      </c>
      <c r="AK366">
        <v>0</v>
      </c>
    </row>
    <row r="367" spans="1:37" x14ac:dyDescent="0.25">
      <c r="A367">
        <v>2018</v>
      </c>
      <c r="B367">
        <v>19659</v>
      </c>
      <c r="C367" t="s">
        <v>1757</v>
      </c>
      <c r="D367" t="s">
        <v>4486</v>
      </c>
      <c r="E367" t="s">
        <v>4487</v>
      </c>
      <c r="G367" t="s">
        <v>3950</v>
      </c>
      <c r="H367" t="s">
        <v>85</v>
      </c>
      <c r="I367" t="s">
        <v>4488</v>
      </c>
      <c r="J367" t="s">
        <v>4489</v>
      </c>
      <c r="K367" t="s">
        <v>4490</v>
      </c>
      <c r="L367">
        <v>55.162700000000001</v>
      </c>
      <c r="M367">
        <v>-118.83410000000001</v>
      </c>
      <c r="N367">
        <v>1983</v>
      </c>
      <c r="O367">
        <v>327320</v>
      </c>
      <c r="P367">
        <v>2</v>
      </c>
      <c r="Q367" t="s">
        <v>2742</v>
      </c>
      <c r="R367" t="s">
        <v>2743</v>
      </c>
      <c r="S367">
        <v>4819</v>
      </c>
      <c r="T367" t="s">
        <v>2565</v>
      </c>
      <c r="U367">
        <v>4819012</v>
      </c>
      <c r="V367" t="s">
        <v>4491</v>
      </c>
      <c r="W367">
        <v>850</v>
      </c>
      <c r="X367" t="s">
        <v>4491</v>
      </c>
      <c r="Y367">
        <v>4870</v>
      </c>
      <c r="Z367" t="s">
        <v>2473</v>
      </c>
      <c r="AA367" t="s">
        <v>4492</v>
      </c>
      <c r="AB367">
        <v>9</v>
      </c>
      <c r="AC367" t="s">
        <v>2475</v>
      </c>
      <c r="AD367" t="s">
        <v>2476</v>
      </c>
      <c r="AE367">
        <v>7</v>
      </c>
      <c r="AF367" t="s">
        <v>2477</v>
      </c>
      <c r="AG367" t="s">
        <v>2478</v>
      </c>
      <c r="AH367">
        <v>0</v>
      </c>
      <c r="AI367">
        <v>0</v>
      </c>
      <c r="AJ367">
        <v>0</v>
      </c>
      <c r="AK367">
        <v>0</v>
      </c>
    </row>
    <row r="368" spans="1:37" x14ac:dyDescent="0.25">
      <c r="A368">
        <v>2023</v>
      </c>
      <c r="B368">
        <v>5369</v>
      </c>
      <c r="C368" t="s">
        <v>4493</v>
      </c>
      <c r="D368" t="s">
        <v>4494</v>
      </c>
      <c r="E368" t="s">
        <v>4495</v>
      </c>
      <c r="G368" t="s">
        <v>2645</v>
      </c>
      <c r="H368" t="s">
        <v>85</v>
      </c>
      <c r="I368" t="s">
        <v>4496</v>
      </c>
      <c r="J368" t="s">
        <v>4497</v>
      </c>
      <c r="K368" t="s">
        <v>4498</v>
      </c>
      <c r="L368">
        <v>53.567030000000003</v>
      </c>
      <c r="M368">
        <v>-113.6259</v>
      </c>
      <c r="N368">
        <v>1983</v>
      </c>
      <c r="O368">
        <v>325610</v>
      </c>
      <c r="P368">
        <v>3</v>
      </c>
      <c r="Q368" t="s">
        <v>2822</v>
      </c>
      <c r="R368" t="s">
        <v>2823</v>
      </c>
      <c r="S368">
        <v>4811</v>
      </c>
      <c r="T368" t="s">
        <v>2643</v>
      </c>
      <c r="U368">
        <v>4811061</v>
      </c>
      <c r="V368" t="s">
        <v>2645</v>
      </c>
      <c r="W368">
        <v>835</v>
      </c>
      <c r="X368" t="s">
        <v>2645</v>
      </c>
      <c r="Y368">
        <v>4860</v>
      </c>
      <c r="Z368" t="s">
        <v>2645</v>
      </c>
      <c r="AA368" t="s">
        <v>3628</v>
      </c>
      <c r="AB368">
        <v>10</v>
      </c>
      <c r="AC368" t="s">
        <v>2405</v>
      </c>
      <c r="AD368" t="s">
        <v>2406</v>
      </c>
      <c r="AE368">
        <v>5</v>
      </c>
      <c r="AF368" t="s">
        <v>2407</v>
      </c>
      <c r="AG368" t="s">
        <v>2408</v>
      </c>
      <c r="AH368">
        <v>0</v>
      </c>
      <c r="AI368">
        <v>0</v>
      </c>
      <c r="AJ368">
        <v>0</v>
      </c>
      <c r="AK368">
        <v>0</v>
      </c>
    </row>
    <row r="369" spans="1:37" x14ac:dyDescent="0.25">
      <c r="A369">
        <v>2007</v>
      </c>
      <c r="B369">
        <v>10745</v>
      </c>
      <c r="C369" t="s">
        <v>4499</v>
      </c>
      <c r="D369" t="s">
        <v>4500</v>
      </c>
      <c r="E369" t="s">
        <v>4501</v>
      </c>
      <c r="G369" t="s">
        <v>3562</v>
      </c>
      <c r="H369" t="s">
        <v>21</v>
      </c>
      <c r="I369" t="s">
        <v>4502</v>
      </c>
      <c r="K369" t="s">
        <v>4503</v>
      </c>
      <c r="L369">
        <v>43.725499999999997</v>
      </c>
      <c r="M369">
        <v>-79.528999999999996</v>
      </c>
      <c r="N369">
        <v>1983</v>
      </c>
      <c r="O369">
        <v>321999</v>
      </c>
      <c r="P369">
        <v>18</v>
      </c>
      <c r="Q369" t="s">
        <v>2459</v>
      </c>
      <c r="R369" t="s">
        <v>2460</v>
      </c>
      <c r="S369">
        <v>3520</v>
      </c>
      <c r="T369" t="s">
        <v>2439</v>
      </c>
      <c r="U369">
        <v>3520005</v>
      </c>
      <c r="V369" t="s">
        <v>2439</v>
      </c>
      <c r="W369">
        <v>535</v>
      </c>
      <c r="X369" t="s">
        <v>2439</v>
      </c>
      <c r="Y369">
        <v>3530</v>
      </c>
      <c r="Z369" t="s">
        <v>2439</v>
      </c>
      <c r="AA369" t="s">
        <v>4504</v>
      </c>
      <c r="AB369">
        <v>8</v>
      </c>
      <c r="AC369" t="s">
        <v>2420</v>
      </c>
      <c r="AD369" t="s">
        <v>2421</v>
      </c>
      <c r="AE369">
        <v>2</v>
      </c>
      <c r="AF369" t="s">
        <v>2422</v>
      </c>
      <c r="AG369" t="s">
        <v>2423</v>
      </c>
      <c r="AH369">
        <v>1</v>
      </c>
      <c r="AI369">
        <v>1</v>
      </c>
      <c r="AJ369">
        <v>0</v>
      </c>
      <c r="AK369">
        <v>1</v>
      </c>
    </row>
    <row r="370" spans="1:37" x14ac:dyDescent="0.25">
      <c r="A370">
        <v>2022</v>
      </c>
      <c r="B370">
        <v>1611</v>
      </c>
      <c r="C370" t="s">
        <v>1109</v>
      </c>
      <c r="D370" t="s">
        <v>4505</v>
      </c>
      <c r="E370" t="s">
        <v>4506</v>
      </c>
      <c r="G370" t="s">
        <v>4507</v>
      </c>
      <c r="H370" t="s">
        <v>79</v>
      </c>
      <c r="I370" t="s">
        <v>4508</v>
      </c>
      <c r="J370" t="s">
        <v>4509</v>
      </c>
      <c r="K370" t="s">
        <v>4510</v>
      </c>
      <c r="L370">
        <v>49.75421</v>
      </c>
      <c r="M370">
        <v>-77.659450000000007</v>
      </c>
      <c r="N370">
        <v>1983</v>
      </c>
      <c r="O370">
        <v>212233</v>
      </c>
      <c r="P370">
        <v>8</v>
      </c>
      <c r="Q370" t="s">
        <v>2862</v>
      </c>
      <c r="R370" t="s">
        <v>2863</v>
      </c>
      <c r="S370">
        <v>2499</v>
      </c>
      <c r="T370" t="s">
        <v>4469</v>
      </c>
      <c r="U370">
        <v>2499015</v>
      </c>
      <c r="V370" t="s">
        <v>4507</v>
      </c>
      <c r="X370" t="s">
        <v>2402</v>
      </c>
      <c r="Y370">
        <v>2490</v>
      </c>
      <c r="Z370" t="s">
        <v>4469</v>
      </c>
      <c r="AA370" t="s">
        <v>4471</v>
      </c>
      <c r="AB370">
        <v>6</v>
      </c>
      <c r="AC370" t="s">
        <v>2465</v>
      </c>
      <c r="AD370" t="s">
        <v>2466</v>
      </c>
      <c r="AE370">
        <v>3</v>
      </c>
      <c r="AF370" t="s">
        <v>3220</v>
      </c>
      <c r="AG370" t="s">
        <v>3221</v>
      </c>
      <c r="AH370">
        <v>1</v>
      </c>
      <c r="AI370">
        <v>0</v>
      </c>
      <c r="AJ370">
        <v>0</v>
      </c>
      <c r="AK370">
        <v>0</v>
      </c>
    </row>
    <row r="371" spans="1:37" x14ac:dyDescent="0.25">
      <c r="A371">
        <v>2019</v>
      </c>
      <c r="B371">
        <v>17422</v>
      </c>
      <c r="C371" t="s">
        <v>1529</v>
      </c>
      <c r="D371" t="s">
        <v>4511</v>
      </c>
      <c r="H371" t="s">
        <v>85</v>
      </c>
      <c r="J371" t="s">
        <v>4512</v>
      </c>
      <c r="K371" t="s">
        <v>4513</v>
      </c>
      <c r="L371">
        <v>54.418100000000003</v>
      </c>
      <c r="M371">
        <v>-116.36199999999999</v>
      </c>
      <c r="N371">
        <v>1983</v>
      </c>
      <c r="O371">
        <v>211110</v>
      </c>
      <c r="P371">
        <v>4</v>
      </c>
      <c r="Q371" t="s">
        <v>2398</v>
      </c>
      <c r="R371" t="s">
        <v>2399</v>
      </c>
      <c r="S371">
        <v>4818</v>
      </c>
      <c r="T371" t="s">
        <v>2545</v>
      </c>
      <c r="U371">
        <v>4818015</v>
      </c>
      <c r="V371" t="s">
        <v>2546</v>
      </c>
      <c r="X371" t="s">
        <v>2402</v>
      </c>
      <c r="Y371">
        <v>4870</v>
      </c>
      <c r="Z371" t="s">
        <v>2473</v>
      </c>
      <c r="AA371" t="s">
        <v>2474</v>
      </c>
      <c r="AB371">
        <v>9</v>
      </c>
      <c r="AC371" t="s">
        <v>2475</v>
      </c>
      <c r="AD371" t="s">
        <v>2476</v>
      </c>
      <c r="AE371">
        <v>7</v>
      </c>
      <c r="AF371" t="s">
        <v>2477</v>
      </c>
      <c r="AG371" t="s">
        <v>2478</v>
      </c>
      <c r="AH371">
        <v>0</v>
      </c>
      <c r="AI371">
        <v>0</v>
      </c>
      <c r="AJ371">
        <v>0</v>
      </c>
      <c r="AK371">
        <v>0</v>
      </c>
    </row>
    <row r="372" spans="1:37" x14ac:dyDescent="0.25">
      <c r="A372">
        <v>2015</v>
      </c>
      <c r="B372">
        <v>28671</v>
      </c>
      <c r="C372" t="s">
        <v>4514</v>
      </c>
      <c r="D372" t="s">
        <v>4515</v>
      </c>
      <c r="H372" t="s">
        <v>85</v>
      </c>
      <c r="J372" t="s">
        <v>4516</v>
      </c>
      <c r="K372" t="s">
        <v>4517</v>
      </c>
      <c r="L372">
        <v>54.485256</v>
      </c>
      <c r="M372">
        <v>-117.332048</v>
      </c>
      <c r="N372">
        <v>1983</v>
      </c>
      <c r="O372">
        <v>211113</v>
      </c>
      <c r="P372">
        <v>4</v>
      </c>
      <c r="Q372" t="s">
        <v>2398</v>
      </c>
      <c r="R372" t="s">
        <v>2399</v>
      </c>
      <c r="S372">
        <v>4818</v>
      </c>
      <c r="T372" t="s">
        <v>2545</v>
      </c>
      <c r="U372">
        <v>4818015</v>
      </c>
      <c r="V372" t="s">
        <v>2546</v>
      </c>
      <c r="X372" t="s">
        <v>2402</v>
      </c>
      <c r="Y372">
        <v>4870</v>
      </c>
      <c r="Z372" t="s">
        <v>2473</v>
      </c>
      <c r="AA372" t="s">
        <v>2474</v>
      </c>
      <c r="AB372">
        <v>9</v>
      </c>
      <c r="AC372" t="s">
        <v>2475</v>
      </c>
      <c r="AD372" t="s">
        <v>2476</v>
      </c>
      <c r="AE372">
        <v>7</v>
      </c>
      <c r="AF372" t="s">
        <v>2477</v>
      </c>
      <c r="AG372" t="s">
        <v>2478</v>
      </c>
      <c r="AH372">
        <v>0</v>
      </c>
      <c r="AI372">
        <v>0</v>
      </c>
      <c r="AJ372">
        <v>0</v>
      </c>
      <c r="AK372">
        <v>0</v>
      </c>
    </row>
    <row r="373" spans="1:37" x14ac:dyDescent="0.25">
      <c r="A373">
        <v>2022</v>
      </c>
      <c r="B373">
        <v>31774</v>
      </c>
      <c r="C373" t="s">
        <v>4518</v>
      </c>
      <c r="D373" t="s">
        <v>4519</v>
      </c>
      <c r="E373" t="s">
        <v>4520</v>
      </c>
      <c r="G373" t="s">
        <v>2450</v>
      </c>
      <c r="H373" t="s">
        <v>79</v>
      </c>
      <c r="I373" t="s">
        <v>4521</v>
      </c>
      <c r="K373" t="s">
        <v>4522</v>
      </c>
      <c r="L373">
        <v>45.500819999999997</v>
      </c>
      <c r="M373">
        <v>-73.759699999999995</v>
      </c>
      <c r="N373">
        <v>1983</v>
      </c>
      <c r="O373">
        <v>326198</v>
      </c>
      <c r="P373">
        <v>13</v>
      </c>
      <c r="Q373" t="s">
        <v>2447</v>
      </c>
      <c r="R373" t="s">
        <v>2448</v>
      </c>
      <c r="S373">
        <v>2466</v>
      </c>
      <c r="T373" t="s">
        <v>2450</v>
      </c>
      <c r="U373">
        <v>2466023</v>
      </c>
      <c r="V373" t="s">
        <v>2450</v>
      </c>
      <c r="W373">
        <v>462</v>
      </c>
      <c r="X373" t="s">
        <v>2450</v>
      </c>
      <c r="Y373">
        <v>2440</v>
      </c>
      <c r="Z373" t="s">
        <v>2450</v>
      </c>
      <c r="AA373" t="s">
        <v>4523</v>
      </c>
      <c r="AB373">
        <v>8</v>
      </c>
      <c r="AC373" t="s">
        <v>2420</v>
      </c>
      <c r="AD373" t="s">
        <v>2421</v>
      </c>
      <c r="AE373">
        <v>2</v>
      </c>
      <c r="AF373" t="s">
        <v>2422</v>
      </c>
      <c r="AG373" t="s">
        <v>2423</v>
      </c>
      <c r="AH373">
        <v>1</v>
      </c>
      <c r="AI373">
        <v>0</v>
      </c>
      <c r="AJ373">
        <v>1</v>
      </c>
      <c r="AK373">
        <v>1</v>
      </c>
    </row>
    <row r="374" spans="1:37" x14ac:dyDescent="0.25">
      <c r="A374">
        <v>2023</v>
      </c>
      <c r="B374">
        <v>33808</v>
      </c>
      <c r="C374" t="s">
        <v>4524</v>
      </c>
      <c r="D374" t="s">
        <v>4524</v>
      </c>
      <c r="E374" t="s">
        <v>4525</v>
      </c>
      <c r="G374" t="s">
        <v>4526</v>
      </c>
      <c r="H374" t="s">
        <v>69</v>
      </c>
      <c r="I374" t="s">
        <v>4527</v>
      </c>
      <c r="J374" t="s">
        <v>4528</v>
      </c>
      <c r="K374" t="s">
        <v>4529</v>
      </c>
      <c r="L374">
        <v>49.468679999999999</v>
      </c>
      <c r="M374">
        <v>-120.48916</v>
      </c>
      <c r="N374">
        <v>1983</v>
      </c>
      <c r="O374">
        <v>321999</v>
      </c>
      <c r="P374">
        <v>18</v>
      </c>
      <c r="Q374" t="s">
        <v>2459</v>
      </c>
      <c r="R374" t="s">
        <v>2460</v>
      </c>
      <c r="S374">
        <v>5907</v>
      </c>
      <c r="T374" t="s">
        <v>3416</v>
      </c>
      <c r="U374">
        <v>5907024</v>
      </c>
      <c r="V374" t="s">
        <v>4526</v>
      </c>
      <c r="X374" t="s">
        <v>2402</v>
      </c>
      <c r="Y374">
        <v>5930</v>
      </c>
      <c r="Z374" t="s">
        <v>3419</v>
      </c>
      <c r="AA374" t="s">
        <v>4530</v>
      </c>
      <c r="AB374">
        <v>14</v>
      </c>
      <c r="AC374" t="s">
        <v>2516</v>
      </c>
      <c r="AD374" t="s">
        <v>2517</v>
      </c>
      <c r="AE374">
        <v>8</v>
      </c>
      <c r="AF374" t="s">
        <v>2584</v>
      </c>
      <c r="AG374" t="s">
        <v>2585</v>
      </c>
      <c r="AH374">
        <v>0</v>
      </c>
      <c r="AI374">
        <v>0</v>
      </c>
      <c r="AJ374">
        <v>0</v>
      </c>
      <c r="AK374">
        <v>0</v>
      </c>
    </row>
    <row r="375" spans="1:37" x14ac:dyDescent="0.25">
      <c r="A375">
        <v>2007</v>
      </c>
      <c r="B375">
        <v>22202</v>
      </c>
      <c r="C375" t="s">
        <v>3053</v>
      </c>
      <c r="D375" t="s">
        <v>4531</v>
      </c>
      <c r="E375" t="s">
        <v>4532</v>
      </c>
      <c r="H375" t="s">
        <v>85</v>
      </c>
      <c r="J375" t="s">
        <v>4533</v>
      </c>
      <c r="K375" t="s">
        <v>4534</v>
      </c>
      <c r="L375">
        <v>55.092500000000001</v>
      </c>
      <c r="M375">
        <v>-119.6181</v>
      </c>
      <c r="N375">
        <v>1983</v>
      </c>
      <c r="O375">
        <v>211113</v>
      </c>
      <c r="P375">
        <v>4</v>
      </c>
      <c r="Q375" t="s">
        <v>2398</v>
      </c>
      <c r="R375" t="s">
        <v>2399</v>
      </c>
      <c r="S375">
        <v>4819</v>
      </c>
      <c r="T375" t="s">
        <v>2565</v>
      </c>
      <c r="U375">
        <v>4819006</v>
      </c>
      <c r="V375" t="s">
        <v>2639</v>
      </c>
      <c r="X375" t="s">
        <v>2402</v>
      </c>
      <c r="Y375">
        <v>4870</v>
      </c>
      <c r="Z375" t="s">
        <v>2473</v>
      </c>
      <c r="AA375" t="s">
        <v>2474</v>
      </c>
      <c r="AB375">
        <v>9</v>
      </c>
      <c r="AC375" t="s">
        <v>2475</v>
      </c>
      <c r="AD375" t="s">
        <v>2476</v>
      </c>
      <c r="AE375">
        <v>7</v>
      </c>
      <c r="AF375" t="s">
        <v>2477</v>
      </c>
      <c r="AG375" t="s">
        <v>2478</v>
      </c>
      <c r="AH375">
        <v>0</v>
      </c>
      <c r="AI375">
        <v>0</v>
      </c>
      <c r="AJ375">
        <v>0</v>
      </c>
      <c r="AK375">
        <v>0</v>
      </c>
    </row>
    <row r="376" spans="1:37" x14ac:dyDescent="0.25">
      <c r="A376">
        <v>2006</v>
      </c>
      <c r="B376">
        <v>17273</v>
      </c>
      <c r="C376" t="s">
        <v>4242</v>
      </c>
      <c r="D376" t="s">
        <v>4535</v>
      </c>
      <c r="E376" t="s">
        <v>4536</v>
      </c>
      <c r="H376" t="s">
        <v>85</v>
      </c>
      <c r="J376" t="s">
        <v>4537</v>
      </c>
      <c r="K376" t="s">
        <v>4538</v>
      </c>
      <c r="L376">
        <v>58.732300000000002</v>
      </c>
      <c r="M376">
        <v>-118.8318</v>
      </c>
      <c r="N376">
        <v>1983</v>
      </c>
      <c r="O376">
        <v>211113</v>
      </c>
      <c r="P376">
        <v>4</v>
      </c>
      <c r="Q376" t="s">
        <v>2398</v>
      </c>
      <c r="R376" t="s">
        <v>2399</v>
      </c>
      <c r="S376">
        <v>4817</v>
      </c>
      <c r="T376" t="s">
        <v>2471</v>
      </c>
      <c r="U376">
        <v>4817095</v>
      </c>
      <c r="V376" t="s">
        <v>2472</v>
      </c>
      <c r="X376" t="s">
        <v>2402</v>
      </c>
      <c r="Y376">
        <v>4870</v>
      </c>
      <c r="Z376" t="s">
        <v>2473</v>
      </c>
      <c r="AA376" t="s">
        <v>2474</v>
      </c>
      <c r="AB376">
        <v>4</v>
      </c>
      <c r="AC376" t="s">
        <v>2496</v>
      </c>
      <c r="AD376" t="s">
        <v>2497</v>
      </c>
      <c r="AE376">
        <v>7</v>
      </c>
      <c r="AF376" t="s">
        <v>2477</v>
      </c>
      <c r="AG376" t="s">
        <v>2478</v>
      </c>
      <c r="AH376">
        <v>0</v>
      </c>
      <c r="AI376">
        <v>0</v>
      </c>
      <c r="AJ376">
        <v>0</v>
      </c>
      <c r="AK376">
        <v>0</v>
      </c>
    </row>
    <row r="377" spans="1:37" x14ac:dyDescent="0.25">
      <c r="A377">
        <v>2015</v>
      </c>
      <c r="B377">
        <v>17903</v>
      </c>
      <c r="C377" t="s">
        <v>1728</v>
      </c>
      <c r="D377" t="s">
        <v>4539</v>
      </c>
      <c r="G377" t="s">
        <v>4540</v>
      </c>
      <c r="H377" t="s">
        <v>85</v>
      </c>
      <c r="J377" t="s">
        <v>4541</v>
      </c>
      <c r="K377" t="s">
        <v>4542</v>
      </c>
      <c r="L377">
        <v>53.173999999999999</v>
      </c>
      <c r="M377">
        <v>-114.55410000000001</v>
      </c>
      <c r="N377">
        <v>1983</v>
      </c>
      <c r="O377">
        <v>211113</v>
      </c>
      <c r="P377">
        <v>4</v>
      </c>
      <c r="Q377" t="s">
        <v>2398</v>
      </c>
      <c r="R377" t="s">
        <v>2399</v>
      </c>
      <c r="S377">
        <v>4811</v>
      </c>
      <c r="T377" t="s">
        <v>2643</v>
      </c>
      <c r="U377">
        <v>4811032</v>
      </c>
      <c r="V377" t="s">
        <v>2644</v>
      </c>
      <c r="X377" t="s">
        <v>2402</v>
      </c>
      <c r="Y377">
        <v>4860</v>
      </c>
      <c r="Z377" t="s">
        <v>2645</v>
      </c>
      <c r="AA377" t="s">
        <v>2509</v>
      </c>
      <c r="AB377">
        <v>9</v>
      </c>
      <c r="AC377" t="s">
        <v>2475</v>
      </c>
      <c r="AD377" t="s">
        <v>2476</v>
      </c>
      <c r="AE377">
        <v>5</v>
      </c>
      <c r="AF377" t="s">
        <v>2407</v>
      </c>
      <c r="AG377" t="s">
        <v>2408</v>
      </c>
      <c r="AH377">
        <v>0</v>
      </c>
      <c r="AI377">
        <v>0</v>
      </c>
      <c r="AJ377">
        <v>0</v>
      </c>
      <c r="AK377">
        <v>0</v>
      </c>
    </row>
    <row r="378" spans="1:37" x14ac:dyDescent="0.25">
      <c r="A378">
        <v>2023</v>
      </c>
      <c r="B378">
        <v>34321</v>
      </c>
      <c r="C378" t="s">
        <v>3960</v>
      </c>
      <c r="D378" t="s">
        <v>4543</v>
      </c>
      <c r="H378" t="s">
        <v>243</v>
      </c>
      <c r="I378" t="s">
        <v>4544</v>
      </c>
      <c r="J378" t="s">
        <v>4545</v>
      </c>
      <c r="K378" t="s">
        <v>4546</v>
      </c>
      <c r="L378">
        <v>50.351500000000001</v>
      </c>
      <c r="M378">
        <v>-108.13379999999999</v>
      </c>
      <c r="N378">
        <v>1983</v>
      </c>
      <c r="O378">
        <v>211110</v>
      </c>
      <c r="P378">
        <v>4</v>
      </c>
      <c r="Q378" t="s">
        <v>2398</v>
      </c>
      <c r="R378" t="s">
        <v>2399</v>
      </c>
      <c r="S378">
        <v>4708</v>
      </c>
      <c r="T378" t="s">
        <v>2400</v>
      </c>
      <c r="U378">
        <v>4708031</v>
      </c>
      <c r="V378" t="s">
        <v>3709</v>
      </c>
      <c r="X378" t="s">
        <v>2402</v>
      </c>
      <c r="Y378">
        <v>4720</v>
      </c>
      <c r="Z378" t="s">
        <v>2403</v>
      </c>
      <c r="AA378" t="s">
        <v>2404</v>
      </c>
      <c r="AB378">
        <v>10</v>
      </c>
      <c r="AC378" t="s">
        <v>2405</v>
      </c>
      <c r="AD378" t="s">
        <v>2406</v>
      </c>
      <c r="AE378">
        <v>5</v>
      </c>
      <c r="AF378" t="s">
        <v>2407</v>
      </c>
      <c r="AG378" t="s">
        <v>2408</v>
      </c>
      <c r="AH378">
        <v>0</v>
      </c>
      <c r="AI378">
        <v>0</v>
      </c>
      <c r="AJ378">
        <v>0</v>
      </c>
      <c r="AK378">
        <v>0</v>
      </c>
    </row>
    <row r="379" spans="1:37" x14ac:dyDescent="0.25">
      <c r="A379">
        <v>2019</v>
      </c>
      <c r="B379">
        <v>31737</v>
      </c>
      <c r="C379" t="s">
        <v>1411</v>
      </c>
      <c r="D379" t="s">
        <v>4547</v>
      </c>
      <c r="G379" t="s">
        <v>4548</v>
      </c>
      <c r="H379" t="s">
        <v>85</v>
      </c>
      <c r="J379" t="s">
        <v>4549</v>
      </c>
      <c r="K379" t="s">
        <v>4550</v>
      </c>
      <c r="L379">
        <v>51.95637</v>
      </c>
      <c r="M379">
        <v>-111.25409000000001</v>
      </c>
      <c r="N379">
        <v>1983</v>
      </c>
      <c r="O379">
        <v>211110</v>
      </c>
      <c r="P379">
        <v>4</v>
      </c>
      <c r="Q379" t="s">
        <v>2398</v>
      </c>
      <c r="R379" t="s">
        <v>2399</v>
      </c>
      <c r="S379">
        <v>4804</v>
      </c>
      <c r="T379" t="s">
        <v>2506</v>
      </c>
      <c r="U379">
        <v>4804020</v>
      </c>
      <c r="V379" t="s">
        <v>2507</v>
      </c>
      <c r="X379" t="s">
        <v>2402</v>
      </c>
      <c r="Y379">
        <v>4820</v>
      </c>
      <c r="Z379" t="s">
        <v>2508</v>
      </c>
      <c r="AA379" t="s">
        <v>2509</v>
      </c>
      <c r="AB379">
        <v>10</v>
      </c>
      <c r="AC379" t="s">
        <v>2405</v>
      </c>
      <c r="AD379" t="s">
        <v>2406</v>
      </c>
      <c r="AE379">
        <v>5</v>
      </c>
      <c r="AF379" t="s">
        <v>2407</v>
      </c>
      <c r="AG379" t="s">
        <v>2408</v>
      </c>
      <c r="AH379">
        <v>0</v>
      </c>
      <c r="AI379">
        <v>0</v>
      </c>
      <c r="AJ379">
        <v>0</v>
      </c>
      <c r="AK379">
        <v>0</v>
      </c>
    </row>
    <row r="380" spans="1:37" x14ac:dyDescent="0.25">
      <c r="A380">
        <v>2008</v>
      </c>
      <c r="B380">
        <v>4925</v>
      </c>
      <c r="C380" t="s">
        <v>4551</v>
      </c>
      <c r="D380" t="s">
        <v>4552</v>
      </c>
      <c r="E380" t="s">
        <v>4553</v>
      </c>
      <c r="G380" t="s">
        <v>4554</v>
      </c>
      <c r="H380" t="s">
        <v>79</v>
      </c>
      <c r="I380" t="s">
        <v>4555</v>
      </c>
      <c r="K380" t="s">
        <v>4556</v>
      </c>
      <c r="L380">
        <v>45.226900000000001</v>
      </c>
      <c r="M380">
        <v>-74.334699999999998</v>
      </c>
      <c r="N380">
        <v>1983</v>
      </c>
      <c r="O380">
        <v>331529</v>
      </c>
      <c r="P380">
        <v>7</v>
      </c>
      <c r="Q380" t="s">
        <v>2620</v>
      </c>
      <c r="R380" t="s">
        <v>2621</v>
      </c>
      <c r="S380">
        <v>2471</v>
      </c>
      <c r="T380" t="s">
        <v>4557</v>
      </c>
      <c r="U380">
        <v>2471005</v>
      </c>
      <c r="V380" t="s">
        <v>4558</v>
      </c>
      <c r="X380" t="s">
        <v>2402</v>
      </c>
      <c r="Y380">
        <v>2435</v>
      </c>
      <c r="Z380" t="s">
        <v>2451</v>
      </c>
      <c r="AA380" t="s">
        <v>4559</v>
      </c>
      <c r="AB380">
        <v>8</v>
      </c>
      <c r="AC380" t="s">
        <v>2420</v>
      </c>
      <c r="AD380" t="s">
        <v>2421</v>
      </c>
      <c r="AE380">
        <v>2</v>
      </c>
      <c r="AF380" t="s">
        <v>2422</v>
      </c>
      <c r="AG380" t="s">
        <v>2423</v>
      </c>
      <c r="AH380">
        <v>1</v>
      </c>
      <c r="AI380">
        <v>0</v>
      </c>
      <c r="AJ380">
        <v>1</v>
      </c>
      <c r="AK380">
        <v>1</v>
      </c>
    </row>
    <row r="381" spans="1:37" x14ac:dyDescent="0.25">
      <c r="A381">
        <v>2023</v>
      </c>
      <c r="B381">
        <v>30692</v>
      </c>
      <c r="C381" t="s">
        <v>489</v>
      </c>
      <c r="D381" t="s">
        <v>4560</v>
      </c>
      <c r="H381" t="s">
        <v>85</v>
      </c>
      <c r="J381" t="s">
        <v>4561</v>
      </c>
      <c r="K381" t="s">
        <v>4562</v>
      </c>
      <c r="L381">
        <v>54.505400000000002</v>
      </c>
      <c r="M381">
        <v>-118.7796</v>
      </c>
      <c r="N381">
        <v>1983</v>
      </c>
      <c r="O381">
        <v>211110</v>
      </c>
      <c r="P381">
        <v>4</v>
      </c>
      <c r="Q381" t="s">
        <v>2398</v>
      </c>
      <c r="R381" t="s">
        <v>2399</v>
      </c>
      <c r="S381">
        <v>4818</v>
      </c>
      <c r="T381" t="s">
        <v>2545</v>
      </c>
      <c r="U381">
        <v>4818015</v>
      </c>
      <c r="V381" t="s">
        <v>2546</v>
      </c>
      <c r="X381" t="s">
        <v>2402</v>
      </c>
      <c r="Y381">
        <v>4870</v>
      </c>
      <c r="Z381" t="s">
        <v>2473</v>
      </c>
      <c r="AA381" t="s">
        <v>2474</v>
      </c>
      <c r="AB381">
        <v>9</v>
      </c>
      <c r="AC381" t="s">
        <v>2475</v>
      </c>
      <c r="AD381" t="s">
        <v>2476</v>
      </c>
      <c r="AE381">
        <v>7</v>
      </c>
      <c r="AF381" t="s">
        <v>2477</v>
      </c>
      <c r="AG381" t="s">
        <v>2478</v>
      </c>
      <c r="AH381">
        <v>0</v>
      </c>
      <c r="AI381">
        <v>0</v>
      </c>
      <c r="AJ381">
        <v>0</v>
      </c>
      <c r="AK381">
        <v>0</v>
      </c>
    </row>
    <row r="382" spans="1:37" x14ac:dyDescent="0.25">
      <c r="A382">
        <v>2023</v>
      </c>
      <c r="B382">
        <v>21111</v>
      </c>
      <c r="C382" t="s">
        <v>1027</v>
      </c>
      <c r="D382" t="s">
        <v>4563</v>
      </c>
      <c r="H382" t="s">
        <v>85</v>
      </c>
      <c r="J382" t="s">
        <v>4564</v>
      </c>
      <c r="K382" t="s">
        <v>4565</v>
      </c>
      <c r="L382">
        <v>54.3795</v>
      </c>
      <c r="M382">
        <v>-117.2107</v>
      </c>
      <c r="N382">
        <v>1983</v>
      </c>
      <c r="O382">
        <v>211110</v>
      </c>
      <c r="P382">
        <v>4</v>
      </c>
      <c r="Q382" t="s">
        <v>2398</v>
      </c>
      <c r="R382" t="s">
        <v>2399</v>
      </c>
      <c r="S382">
        <v>4818</v>
      </c>
      <c r="T382" t="s">
        <v>2545</v>
      </c>
      <c r="U382">
        <v>4818015</v>
      </c>
      <c r="V382" t="s">
        <v>2546</v>
      </c>
      <c r="X382" t="s">
        <v>2402</v>
      </c>
      <c r="Y382">
        <v>4870</v>
      </c>
      <c r="Z382" t="s">
        <v>2473</v>
      </c>
      <c r="AA382" t="s">
        <v>2474</v>
      </c>
      <c r="AB382">
        <v>9</v>
      </c>
      <c r="AC382" t="s">
        <v>2475</v>
      </c>
      <c r="AD382" t="s">
        <v>2476</v>
      </c>
      <c r="AE382">
        <v>7</v>
      </c>
      <c r="AF382" t="s">
        <v>2477</v>
      </c>
      <c r="AG382" t="s">
        <v>2478</v>
      </c>
      <c r="AH382">
        <v>0</v>
      </c>
      <c r="AI382">
        <v>0</v>
      </c>
      <c r="AJ382">
        <v>0</v>
      </c>
      <c r="AK382">
        <v>0</v>
      </c>
    </row>
    <row r="383" spans="1:37" x14ac:dyDescent="0.25">
      <c r="A383">
        <v>2023</v>
      </c>
      <c r="B383">
        <v>22754</v>
      </c>
      <c r="C383" t="s">
        <v>3166</v>
      </c>
      <c r="D383" t="s">
        <v>4566</v>
      </c>
      <c r="E383" t="s">
        <v>4567</v>
      </c>
      <c r="G383" t="s">
        <v>2664</v>
      </c>
      <c r="H383" t="s">
        <v>85</v>
      </c>
      <c r="I383" t="s">
        <v>4568</v>
      </c>
      <c r="J383" t="s">
        <v>4569</v>
      </c>
      <c r="K383" t="s">
        <v>4570</v>
      </c>
      <c r="L383">
        <v>52.042900000000003</v>
      </c>
      <c r="M383">
        <v>-113.5791</v>
      </c>
      <c r="N383">
        <v>1983</v>
      </c>
      <c r="O383">
        <v>211110</v>
      </c>
      <c r="P383">
        <v>4</v>
      </c>
      <c r="Q383" t="s">
        <v>2398</v>
      </c>
      <c r="R383" t="s">
        <v>2399</v>
      </c>
      <c r="S383">
        <v>4808</v>
      </c>
      <c r="T383" t="s">
        <v>2400</v>
      </c>
      <c r="U383">
        <v>4808001</v>
      </c>
      <c r="V383" t="s">
        <v>3086</v>
      </c>
      <c r="X383" t="s">
        <v>2402</v>
      </c>
      <c r="Y383">
        <v>4850</v>
      </c>
      <c r="Z383" t="s">
        <v>1340</v>
      </c>
      <c r="AA383" t="s">
        <v>4571</v>
      </c>
      <c r="AB383">
        <v>10</v>
      </c>
      <c r="AC383" t="s">
        <v>2405</v>
      </c>
      <c r="AD383" t="s">
        <v>2406</v>
      </c>
      <c r="AE383">
        <v>5</v>
      </c>
      <c r="AF383" t="s">
        <v>2407</v>
      </c>
      <c r="AG383" t="s">
        <v>2408</v>
      </c>
      <c r="AH383">
        <v>0</v>
      </c>
      <c r="AI383">
        <v>0</v>
      </c>
      <c r="AJ383">
        <v>0</v>
      </c>
      <c r="AK383">
        <v>0</v>
      </c>
    </row>
    <row r="384" spans="1:37" x14ac:dyDescent="0.25">
      <c r="A384">
        <v>2013</v>
      </c>
      <c r="B384">
        <v>27663</v>
      </c>
      <c r="C384" t="s">
        <v>4125</v>
      </c>
      <c r="D384" t="s">
        <v>4572</v>
      </c>
      <c r="H384" t="s">
        <v>85</v>
      </c>
      <c r="J384" t="s">
        <v>4573</v>
      </c>
      <c r="K384" t="s">
        <v>4574</v>
      </c>
      <c r="L384">
        <v>53.248646000000001</v>
      </c>
      <c r="M384">
        <v>-114.88227500000001</v>
      </c>
      <c r="N384">
        <v>1983</v>
      </c>
      <c r="O384">
        <v>211113</v>
      </c>
      <c r="P384">
        <v>4</v>
      </c>
      <c r="Q384" t="s">
        <v>2398</v>
      </c>
      <c r="R384" t="s">
        <v>2399</v>
      </c>
      <c r="S384">
        <v>4811</v>
      </c>
      <c r="T384" t="s">
        <v>2643</v>
      </c>
      <c r="U384">
        <v>4811032</v>
      </c>
      <c r="V384" t="s">
        <v>2644</v>
      </c>
      <c r="X384" t="s">
        <v>2402</v>
      </c>
      <c r="Y384">
        <v>4860</v>
      </c>
      <c r="Z384" t="s">
        <v>2645</v>
      </c>
      <c r="AA384" t="s">
        <v>2646</v>
      </c>
      <c r="AB384">
        <v>9</v>
      </c>
      <c r="AC384" t="s">
        <v>2475</v>
      </c>
      <c r="AD384" t="s">
        <v>2476</v>
      </c>
      <c r="AE384">
        <v>5</v>
      </c>
      <c r="AF384" t="s">
        <v>2407</v>
      </c>
      <c r="AG384" t="s">
        <v>2408</v>
      </c>
      <c r="AH384">
        <v>0</v>
      </c>
      <c r="AI384">
        <v>0</v>
      </c>
      <c r="AJ384">
        <v>0</v>
      </c>
      <c r="AK384">
        <v>0</v>
      </c>
    </row>
    <row r="385" spans="1:37" x14ac:dyDescent="0.25">
      <c r="A385">
        <v>2007</v>
      </c>
      <c r="B385">
        <v>5744</v>
      </c>
      <c r="C385" t="s">
        <v>4575</v>
      </c>
      <c r="D385" t="s">
        <v>4576</v>
      </c>
      <c r="E385" t="s">
        <v>4577</v>
      </c>
      <c r="F385" t="s">
        <v>4578</v>
      </c>
      <c r="G385" t="s">
        <v>4579</v>
      </c>
      <c r="H385" t="s">
        <v>21</v>
      </c>
      <c r="I385" t="s">
        <v>4580</v>
      </c>
      <c r="K385" t="s">
        <v>4581</v>
      </c>
      <c r="L385">
        <v>44.148600000000002</v>
      </c>
      <c r="M385">
        <v>-79.841700000000003</v>
      </c>
      <c r="N385">
        <v>1983</v>
      </c>
      <c r="O385">
        <v>336110</v>
      </c>
      <c r="P385">
        <v>15</v>
      </c>
      <c r="Q385" t="s">
        <v>2592</v>
      </c>
      <c r="R385" t="s">
        <v>2593</v>
      </c>
      <c r="S385">
        <v>3543</v>
      </c>
      <c r="T385" t="s">
        <v>4582</v>
      </c>
      <c r="U385">
        <v>3543007</v>
      </c>
      <c r="V385" t="s">
        <v>4583</v>
      </c>
      <c r="W385">
        <v>535</v>
      </c>
      <c r="X385" t="s">
        <v>2439</v>
      </c>
      <c r="Y385">
        <v>3540</v>
      </c>
      <c r="Z385" t="s">
        <v>2755</v>
      </c>
      <c r="AA385" t="s">
        <v>4584</v>
      </c>
      <c r="AB385">
        <v>8</v>
      </c>
      <c r="AC385" t="s">
        <v>2420</v>
      </c>
      <c r="AD385" t="s">
        <v>2421</v>
      </c>
      <c r="AE385">
        <v>2</v>
      </c>
      <c r="AF385" t="s">
        <v>2422</v>
      </c>
      <c r="AG385" t="s">
        <v>2423</v>
      </c>
      <c r="AH385">
        <v>1</v>
      </c>
      <c r="AI385">
        <v>1</v>
      </c>
      <c r="AJ385">
        <v>0</v>
      </c>
      <c r="AK385">
        <v>1</v>
      </c>
    </row>
    <row r="386" spans="1:37" x14ac:dyDescent="0.25">
      <c r="A386">
        <v>2020</v>
      </c>
      <c r="B386">
        <v>24059</v>
      </c>
      <c r="C386" t="s">
        <v>1743</v>
      </c>
      <c r="D386" t="s">
        <v>4585</v>
      </c>
      <c r="H386" t="s">
        <v>69</v>
      </c>
      <c r="J386" t="s">
        <v>4586</v>
      </c>
      <c r="K386" t="s">
        <v>4587</v>
      </c>
      <c r="L386">
        <v>56.238500000000002</v>
      </c>
      <c r="M386">
        <v>-122.092645</v>
      </c>
      <c r="N386">
        <v>1983</v>
      </c>
      <c r="O386">
        <v>211110</v>
      </c>
      <c r="P386">
        <v>4</v>
      </c>
      <c r="Q386" t="s">
        <v>2398</v>
      </c>
      <c r="R386" t="s">
        <v>2399</v>
      </c>
      <c r="S386">
        <v>5955</v>
      </c>
      <c r="T386" t="s">
        <v>2492</v>
      </c>
      <c r="U386">
        <v>5955040</v>
      </c>
      <c r="V386" t="s">
        <v>2493</v>
      </c>
      <c r="X386" t="s">
        <v>2402</v>
      </c>
      <c r="Y386">
        <v>5980</v>
      </c>
      <c r="Z386" t="s">
        <v>2494</v>
      </c>
      <c r="AA386" t="s">
        <v>2495</v>
      </c>
      <c r="AB386">
        <v>9</v>
      </c>
      <c r="AC386" t="s">
        <v>2475</v>
      </c>
      <c r="AD386" t="s">
        <v>2476</v>
      </c>
      <c r="AE386">
        <v>7</v>
      </c>
      <c r="AF386" t="s">
        <v>2477</v>
      </c>
      <c r="AG386" t="s">
        <v>2478</v>
      </c>
      <c r="AH386">
        <v>0</v>
      </c>
      <c r="AI386">
        <v>0</v>
      </c>
      <c r="AJ386">
        <v>0</v>
      </c>
      <c r="AK386">
        <v>0</v>
      </c>
    </row>
    <row r="387" spans="1:37" x14ac:dyDescent="0.25">
      <c r="A387">
        <v>2013</v>
      </c>
      <c r="B387">
        <v>27306</v>
      </c>
      <c r="C387" t="s">
        <v>1529</v>
      </c>
      <c r="D387" t="s">
        <v>4588</v>
      </c>
      <c r="H387" t="s">
        <v>85</v>
      </c>
      <c r="J387" t="s">
        <v>4589</v>
      </c>
      <c r="K387" t="s">
        <v>4590</v>
      </c>
      <c r="L387">
        <v>54.732427000000001</v>
      </c>
      <c r="M387">
        <v>-118.58874400000001</v>
      </c>
      <c r="N387">
        <v>1983</v>
      </c>
      <c r="O387">
        <v>211113</v>
      </c>
      <c r="P387">
        <v>4</v>
      </c>
      <c r="Q387" t="s">
        <v>2398</v>
      </c>
      <c r="R387" t="s">
        <v>2399</v>
      </c>
      <c r="S387">
        <v>4818</v>
      </c>
      <c r="T387" t="s">
        <v>2545</v>
      </c>
      <c r="U387">
        <v>4818015</v>
      </c>
      <c r="V387" t="s">
        <v>2546</v>
      </c>
      <c r="X387" t="s">
        <v>2402</v>
      </c>
      <c r="Y387">
        <v>4870</v>
      </c>
      <c r="Z387" t="s">
        <v>2473</v>
      </c>
      <c r="AA387" t="s">
        <v>2474</v>
      </c>
      <c r="AB387">
        <v>9</v>
      </c>
      <c r="AC387" t="s">
        <v>2475</v>
      </c>
      <c r="AD387" t="s">
        <v>2476</v>
      </c>
      <c r="AE387">
        <v>7</v>
      </c>
      <c r="AF387" t="s">
        <v>2477</v>
      </c>
      <c r="AG387" t="s">
        <v>2478</v>
      </c>
      <c r="AH387">
        <v>0</v>
      </c>
      <c r="AI387">
        <v>0</v>
      </c>
      <c r="AJ387">
        <v>0</v>
      </c>
      <c r="AK387">
        <v>0</v>
      </c>
    </row>
    <row r="388" spans="1:37" x14ac:dyDescent="0.25">
      <c r="A388">
        <v>2019</v>
      </c>
      <c r="B388">
        <v>31712</v>
      </c>
      <c r="C388" t="s">
        <v>3252</v>
      </c>
      <c r="D388" t="s">
        <v>4591</v>
      </c>
      <c r="H388" t="s">
        <v>85</v>
      </c>
      <c r="J388" t="s">
        <v>4592</v>
      </c>
      <c r="K388" t="s">
        <v>4593</v>
      </c>
      <c r="L388">
        <v>53.041339999999998</v>
      </c>
      <c r="M388">
        <v>-114.41303000000001</v>
      </c>
      <c r="N388">
        <v>1983</v>
      </c>
      <c r="O388">
        <v>211110</v>
      </c>
      <c r="P388">
        <v>4</v>
      </c>
      <c r="Q388" t="s">
        <v>2398</v>
      </c>
      <c r="R388" t="s">
        <v>2399</v>
      </c>
      <c r="S388">
        <v>4811</v>
      </c>
      <c r="T388" t="s">
        <v>2643</v>
      </c>
      <c r="U388">
        <v>4811001</v>
      </c>
      <c r="V388" t="s">
        <v>3324</v>
      </c>
      <c r="X388" t="s">
        <v>2402</v>
      </c>
      <c r="Y388">
        <v>4860</v>
      </c>
      <c r="Z388" t="s">
        <v>2645</v>
      </c>
      <c r="AA388" t="s">
        <v>2509</v>
      </c>
      <c r="AB388">
        <v>9</v>
      </c>
      <c r="AC388" t="s">
        <v>2475</v>
      </c>
      <c r="AD388" t="s">
        <v>2476</v>
      </c>
      <c r="AE388">
        <v>5</v>
      </c>
      <c r="AF388" t="s">
        <v>2407</v>
      </c>
      <c r="AG388" t="s">
        <v>2408</v>
      </c>
      <c r="AH388">
        <v>0</v>
      </c>
      <c r="AI388">
        <v>0</v>
      </c>
      <c r="AJ388">
        <v>0</v>
      </c>
      <c r="AK388">
        <v>0</v>
      </c>
    </row>
    <row r="389" spans="1:37" x14ac:dyDescent="0.25">
      <c r="A389">
        <v>2023</v>
      </c>
      <c r="B389">
        <v>7401</v>
      </c>
      <c r="C389" t="s">
        <v>4594</v>
      </c>
      <c r="D389" t="s">
        <v>4595</v>
      </c>
      <c r="E389" t="s">
        <v>4596</v>
      </c>
      <c r="G389" t="s">
        <v>1346</v>
      </c>
      <c r="H389" t="s">
        <v>21</v>
      </c>
      <c r="I389" t="s">
        <v>4597</v>
      </c>
      <c r="K389" t="s">
        <v>4598</v>
      </c>
      <c r="L389">
        <v>43.502699999999997</v>
      </c>
      <c r="M389">
        <v>-79.638800000000003</v>
      </c>
      <c r="N389">
        <v>1983</v>
      </c>
      <c r="O389">
        <v>326122</v>
      </c>
      <c r="P389">
        <v>13</v>
      </c>
      <c r="Q389" t="s">
        <v>2447</v>
      </c>
      <c r="R389" t="s">
        <v>2448</v>
      </c>
      <c r="S389">
        <v>3521</v>
      </c>
      <c r="T389" t="s">
        <v>2438</v>
      </c>
      <c r="U389">
        <v>3521005</v>
      </c>
      <c r="V389" t="s">
        <v>1346</v>
      </c>
      <c r="W389">
        <v>535</v>
      </c>
      <c r="X389" t="s">
        <v>2439</v>
      </c>
      <c r="Y389">
        <v>3530</v>
      </c>
      <c r="Z389" t="s">
        <v>2439</v>
      </c>
      <c r="AA389" t="s">
        <v>4599</v>
      </c>
      <c r="AB389">
        <v>8</v>
      </c>
      <c r="AC389" t="s">
        <v>2420</v>
      </c>
      <c r="AD389" t="s">
        <v>2421</v>
      </c>
      <c r="AE389">
        <v>2</v>
      </c>
      <c r="AF389" t="s">
        <v>2422</v>
      </c>
      <c r="AG389" t="s">
        <v>2423</v>
      </c>
      <c r="AH389">
        <v>1</v>
      </c>
      <c r="AI389">
        <v>1</v>
      </c>
      <c r="AJ389">
        <v>0</v>
      </c>
      <c r="AK389">
        <v>1</v>
      </c>
    </row>
    <row r="390" spans="1:37" x14ac:dyDescent="0.25">
      <c r="A390">
        <v>2022</v>
      </c>
      <c r="B390">
        <v>31762</v>
      </c>
      <c r="C390" t="s">
        <v>2698</v>
      </c>
      <c r="D390" t="s">
        <v>4600</v>
      </c>
      <c r="G390" t="s">
        <v>4601</v>
      </c>
      <c r="H390" t="s">
        <v>85</v>
      </c>
      <c r="I390" t="s">
        <v>4602</v>
      </c>
      <c r="J390" t="s">
        <v>4603</v>
      </c>
      <c r="K390" t="s">
        <v>4604</v>
      </c>
      <c r="L390">
        <v>56.40278</v>
      </c>
      <c r="M390">
        <v>-119.089</v>
      </c>
      <c r="N390">
        <v>1983</v>
      </c>
      <c r="O390">
        <v>324121</v>
      </c>
      <c r="P390">
        <v>12</v>
      </c>
      <c r="Q390" t="s">
        <v>2704</v>
      </c>
      <c r="R390" t="s">
        <v>2705</v>
      </c>
      <c r="S390">
        <v>4817</v>
      </c>
      <c r="T390" t="s">
        <v>2471</v>
      </c>
      <c r="U390">
        <v>4817062</v>
      </c>
      <c r="V390" t="s">
        <v>3686</v>
      </c>
      <c r="X390" t="s">
        <v>2402</v>
      </c>
      <c r="Y390">
        <v>4870</v>
      </c>
      <c r="Z390" t="s">
        <v>2473</v>
      </c>
      <c r="AA390" t="s">
        <v>2474</v>
      </c>
      <c r="AB390">
        <v>9</v>
      </c>
      <c r="AC390" t="s">
        <v>2475</v>
      </c>
      <c r="AD390" t="s">
        <v>2476</v>
      </c>
      <c r="AE390">
        <v>7</v>
      </c>
      <c r="AF390" t="s">
        <v>2477</v>
      </c>
      <c r="AG390" t="s">
        <v>2478</v>
      </c>
      <c r="AH390">
        <v>0</v>
      </c>
      <c r="AI390">
        <v>0</v>
      </c>
      <c r="AJ390">
        <v>0</v>
      </c>
      <c r="AK390">
        <v>0</v>
      </c>
    </row>
    <row r="391" spans="1:37" x14ac:dyDescent="0.25">
      <c r="A391">
        <v>2001</v>
      </c>
      <c r="B391">
        <v>5604</v>
      </c>
      <c r="C391" t="s">
        <v>4605</v>
      </c>
      <c r="E391" t="s">
        <v>4606</v>
      </c>
      <c r="G391" t="s">
        <v>655</v>
      </c>
      <c r="H391" t="s">
        <v>21</v>
      </c>
      <c r="I391" t="s">
        <v>4607</v>
      </c>
      <c r="K391" t="s">
        <v>4608</v>
      </c>
      <c r="L391">
        <v>44.5916</v>
      </c>
      <c r="M391">
        <v>-75.702100000000002</v>
      </c>
      <c r="N391">
        <v>1983</v>
      </c>
      <c r="O391">
        <v>335990</v>
      </c>
      <c r="P391">
        <v>11</v>
      </c>
      <c r="Q391" t="s">
        <v>2532</v>
      </c>
      <c r="R391" t="s">
        <v>2533</v>
      </c>
      <c r="S391">
        <v>3507</v>
      </c>
      <c r="T391" t="s">
        <v>2937</v>
      </c>
      <c r="U391">
        <v>3507015</v>
      </c>
      <c r="V391" t="s">
        <v>2938</v>
      </c>
      <c r="W391">
        <v>512</v>
      </c>
      <c r="X391" t="s">
        <v>2938</v>
      </c>
      <c r="Y391">
        <v>3510</v>
      </c>
      <c r="Z391" t="s">
        <v>2939</v>
      </c>
      <c r="AA391" t="s">
        <v>2940</v>
      </c>
      <c r="AB391">
        <v>8</v>
      </c>
      <c r="AC391" t="s">
        <v>2420</v>
      </c>
      <c r="AD391" t="s">
        <v>2421</v>
      </c>
      <c r="AE391">
        <v>2</v>
      </c>
      <c r="AF391" t="s">
        <v>2422</v>
      </c>
      <c r="AG391" t="s">
        <v>2423</v>
      </c>
      <c r="AH391">
        <v>1</v>
      </c>
      <c r="AI391">
        <v>1</v>
      </c>
      <c r="AJ391">
        <v>0</v>
      </c>
      <c r="AK391">
        <v>1</v>
      </c>
    </row>
    <row r="392" spans="1:37" x14ac:dyDescent="0.25">
      <c r="A392">
        <v>2023</v>
      </c>
      <c r="B392">
        <v>29464</v>
      </c>
      <c r="C392" t="s">
        <v>1653</v>
      </c>
      <c r="D392" t="s">
        <v>4609</v>
      </c>
      <c r="H392" t="s">
        <v>243</v>
      </c>
      <c r="J392" t="s">
        <v>4610</v>
      </c>
      <c r="K392" t="s">
        <v>4611</v>
      </c>
      <c r="L392">
        <v>49.348439999999997</v>
      </c>
      <c r="M392">
        <v>-108.52673</v>
      </c>
      <c r="N392">
        <v>1983</v>
      </c>
      <c r="O392">
        <v>211110</v>
      </c>
      <c r="P392">
        <v>4</v>
      </c>
      <c r="Q392" t="s">
        <v>2398</v>
      </c>
      <c r="R392" t="s">
        <v>2399</v>
      </c>
      <c r="S392">
        <v>4704</v>
      </c>
      <c r="T392" t="s">
        <v>2506</v>
      </c>
      <c r="U392">
        <v>4704024</v>
      </c>
      <c r="V392" t="s">
        <v>4612</v>
      </c>
      <c r="X392" t="s">
        <v>2402</v>
      </c>
      <c r="Y392">
        <v>4720</v>
      </c>
      <c r="Z392" t="s">
        <v>2403</v>
      </c>
      <c r="AA392" t="s">
        <v>2404</v>
      </c>
      <c r="AB392">
        <v>10</v>
      </c>
      <c r="AC392" t="s">
        <v>2405</v>
      </c>
      <c r="AD392" t="s">
        <v>2406</v>
      </c>
      <c r="AE392">
        <v>11</v>
      </c>
      <c r="AF392" t="s">
        <v>2888</v>
      </c>
      <c r="AG392" t="s">
        <v>2889</v>
      </c>
      <c r="AH392">
        <v>0</v>
      </c>
      <c r="AI392">
        <v>0</v>
      </c>
      <c r="AJ392">
        <v>0</v>
      </c>
      <c r="AK392">
        <v>0</v>
      </c>
    </row>
    <row r="393" spans="1:37" x14ac:dyDescent="0.25">
      <c r="A393">
        <v>2006</v>
      </c>
      <c r="B393">
        <v>11475</v>
      </c>
      <c r="C393" t="s">
        <v>4613</v>
      </c>
      <c r="D393" t="s">
        <v>4614</v>
      </c>
      <c r="E393" t="s">
        <v>4615</v>
      </c>
      <c r="G393" t="s">
        <v>4616</v>
      </c>
      <c r="H393" t="s">
        <v>21</v>
      </c>
      <c r="I393" t="s">
        <v>4617</v>
      </c>
      <c r="K393" t="s">
        <v>4618</v>
      </c>
      <c r="L393">
        <v>44.900300000000001</v>
      </c>
      <c r="M393">
        <v>-75.912300000000002</v>
      </c>
      <c r="N393">
        <v>1983</v>
      </c>
      <c r="O393">
        <v>212315</v>
      </c>
      <c r="P393">
        <v>8</v>
      </c>
      <c r="Q393" t="s">
        <v>2862</v>
      </c>
      <c r="R393" t="s">
        <v>2863</v>
      </c>
      <c r="S393">
        <v>3509</v>
      </c>
      <c r="T393" t="s">
        <v>3556</v>
      </c>
      <c r="U393">
        <v>3509001</v>
      </c>
      <c r="V393" t="s">
        <v>4619</v>
      </c>
      <c r="X393" t="s">
        <v>2402</v>
      </c>
      <c r="Y393">
        <v>3510</v>
      </c>
      <c r="Z393" t="s">
        <v>2939</v>
      </c>
      <c r="AA393" t="s">
        <v>3558</v>
      </c>
      <c r="AB393">
        <v>8</v>
      </c>
      <c r="AC393" t="s">
        <v>2420</v>
      </c>
      <c r="AD393" t="s">
        <v>2421</v>
      </c>
      <c r="AE393">
        <v>2</v>
      </c>
      <c r="AF393" t="s">
        <v>2422</v>
      </c>
      <c r="AG393" t="s">
        <v>2423</v>
      </c>
      <c r="AH393">
        <v>1</v>
      </c>
      <c r="AI393">
        <v>1</v>
      </c>
      <c r="AJ393">
        <v>0</v>
      </c>
      <c r="AK393">
        <v>1</v>
      </c>
    </row>
    <row r="394" spans="1:37" x14ac:dyDescent="0.25">
      <c r="A394">
        <v>2018</v>
      </c>
      <c r="B394">
        <v>15459</v>
      </c>
      <c r="C394" t="s">
        <v>1928</v>
      </c>
      <c r="D394" t="s">
        <v>4620</v>
      </c>
      <c r="G394" t="s">
        <v>4621</v>
      </c>
      <c r="H394" t="s">
        <v>85</v>
      </c>
      <c r="J394" t="s">
        <v>4622</v>
      </c>
      <c r="K394" t="s">
        <v>4623</v>
      </c>
      <c r="L394">
        <v>52.366500000000002</v>
      </c>
      <c r="M394">
        <v>-112.7349</v>
      </c>
      <c r="N394">
        <v>1983</v>
      </c>
      <c r="O394">
        <v>211110</v>
      </c>
      <c r="P394">
        <v>4</v>
      </c>
      <c r="Q394" t="s">
        <v>2398</v>
      </c>
      <c r="R394" t="s">
        <v>2399</v>
      </c>
      <c r="S394">
        <v>4807</v>
      </c>
      <c r="T394" t="s">
        <v>2611</v>
      </c>
      <c r="U394">
        <v>4807019</v>
      </c>
      <c r="V394" t="s">
        <v>2713</v>
      </c>
      <c r="X394" t="s">
        <v>2402</v>
      </c>
      <c r="Y394">
        <v>4820</v>
      </c>
      <c r="Z394" t="s">
        <v>2508</v>
      </c>
      <c r="AA394" t="s">
        <v>2509</v>
      </c>
      <c r="AB394">
        <v>10</v>
      </c>
      <c r="AC394" t="s">
        <v>2405</v>
      </c>
      <c r="AD394" t="s">
        <v>2406</v>
      </c>
      <c r="AE394">
        <v>5</v>
      </c>
      <c r="AF394" t="s">
        <v>2407</v>
      </c>
      <c r="AG394" t="s">
        <v>2408</v>
      </c>
      <c r="AH394">
        <v>0</v>
      </c>
      <c r="AI394">
        <v>0</v>
      </c>
      <c r="AJ394">
        <v>0</v>
      </c>
      <c r="AK394">
        <v>0</v>
      </c>
    </row>
    <row r="395" spans="1:37" x14ac:dyDescent="0.25">
      <c r="A395">
        <v>2019</v>
      </c>
      <c r="B395">
        <v>19667</v>
      </c>
      <c r="C395" t="s">
        <v>4624</v>
      </c>
      <c r="D395" t="s">
        <v>4625</v>
      </c>
      <c r="G395" t="s">
        <v>4626</v>
      </c>
      <c r="H395" t="s">
        <v>243</v>
      </c>
      <c r="J395" t="s">
        <v>4627</v>
      </c>
      <c r="K395" t="s">
        <v>4628</v>
      </c>
      <c r="L395">
        <v>49.455500000000001</v>
      </c>
      <c r="M395">
        <v>-102.60899999999999</v>
      </c>
      <c r="N395">
        <v>1983</v>
      </c>
      <c r="O395">
        <v>211110</v>
      </c>
      <c r="P395">
        <v>4</v>
      </c>
      <c r="Q395" t="s">
        <v>2398</v>
      </c>
      <c r="R395" t="s">
        <v>2399</v>
      </c>
      <c r="S395">
        <v>4701</v>
      </c>
      <c r="T395" t="s">
        <v>2523</v>
      </c>
      <c r="U395">
        <v>4701031</v>
      </c>
      <c r="V395" t="s">
        <v>2654</v>
      </c>
      <c r="X395" t="s">
        <v>2402</v>
      </c>
      <c r="Y395">
        <v>4710</v>
      </c>
      <c r="Z395" t="s">
        <v>2525</v>
      </c>
      <c r="AA395" t="s">
        <v>2655</v>
      </c>
      <c r="AB395">
        <v>10</v>
      </c>
      <c r="AC395" t="s">
        <v>2405</v>
      </c>
      <c r="AD395" t="s">
        <v>2406</v>
      </c>
      <c r="AE395">
        <v>5</v>
      </c>
      <c r="AF395" t="s">
        <v>2407</v>
      </c>
      <c r="AG395" t="s">
        <v>2408</v>
      </c>
      <c r="AH395">
        <v>0</v>
      </c>
      <c r="AI395">
        <v>0</v>
      </c>
      <c r="AJ395">
        <v>0</v>
      </c>
      <c r="AK395">
        <v>0</v>
      </c>
    </row>
    <row r="396" spans="1:37" x14ac:dyDescent="0.25">
      <c r="A396">
        <v>2015</v>
      </c>
      <c r="B396">
        <v>17502</v>
      </c>
      <c r="C396" t="s">
        <v>3905</v>
      </c>
      <c r="D396" t="s">
        <v>4629</v>
      </c>
      <c r="H396" t="s">
        <v>85</v>
      </c>
      <c r="J396" t="s">
        <v>4630</v>
      </c>
      <c r="K396" t="s">
        <v>4631</v>
      </c>
      <c r="L396">
        <v>55.830300000000001</v>
      </c>
      <c r="M396">
        <v>-116.6734</v>
      </c>
      <c r="N396">
        <v>1983</v>
      </c>
      <c r="O396">
        <v>211113</v>
      </c>
      <c r="P396">
        <v>4</v>
      </c>
      <c r="Q396" t="s">
        <v>2398</v>
      </c>
      <c r="R396" t="s">
        <v>2399</v>
      </c>
      <c r="S396">
        <v>4817</v>
      </c>
      <c r="T396" t="s">
        <v>2471</v>
      </c>
      <c r="U396">
        <v>4817027</v>
      </c>
      <c r="V396" t="s">
        <v>3251</v>
      </c>
      <c r="X396" t="s">
        <v>2402</v>
      </c>
      <c r="Y396">
        <v>4870</v>
      </c>
      <c r="Z396" t="s">
        <v>2473</v>
      </c>
      <c r="AA396" t="s">
        <v>2719</v>
      </c>
      <c r="AB396">
        <v>9</v>
      </c>
      <c r="AC396" t="s">
        <v>2475</v>
      </c>
      <c r="AD396" t="s">
        <v>2476</v>
      </c>
      <c r="AE396">
        <v>7</v>
      </c>
      <c r="AF396" t="s">
        <v>2477</v>
      </c>
      <c r="AG396" t="s">
        <v>2478</v>
      </c>
      <c r="AH396">
        <v>0</v>
      </c>
      <c r="AI396">
        <v>0</v>
      </c>
      <c r="AJ396">
        <v>0</v>
      </c>
      <c r="AK396">
        <v>0</v>
      </c>
    </row>
    <row r="397" spans="1:37" x14ac:dyDescent="0.25">
      <c r="A397">
        <v>2023</v>
      </c>
      <c r="B397">
        <v>16885</v>
      </c>
      <c r="C397" t="s">
        <v>1027</v>
      </c>
      <c r="D397" t="s">
        <v>4632</v>
      </c>
      <c r="H397" t="s">
        <v>85</v>
      </c>
      <c r="J397" t="s">
        <v>4633</v>
      </c>
      <c r="K397" t="s">
        <v>4634</v>
      </c>
      <c r="L397">
        <v>51.046199999999999</v>
      </c>
      <c r="M397">
        <v>-112.0445</v>
      </c>
      <c r="N397">
        <v>1983</v>
      </c>
      <c r="O397">
        <v>211110</v>
      </c>
      <c r="P397">
        <v>4</v>
      </c>
      <c r="Q397" t="s">
        <v>2398</v>
      </c>
      <c r="R397" t="s">
        <v>2399</v>
      </c>
      <c r="S397">
        <v>4802</v>
      </c>
      <c r="T397" t="s">
        <v>2696</v>
      </c>
      <c r="U397">
        <v>4802031</v>
      </c>
      <c r="V397" t="s">
        <v>2905</v>
      </c>
      <c r="W397">
        <v>806</v>
      </c>
      <c r="X397" t="s">
        <v>2906</v>
      </c>
      <c r="Y397">
        <v>4810</v>
      </c>
      <c r="Z397" t="s">
        <v>2603</v>
      </c>
      <c r="AA397" t="s">
        <v>2671</v>
      </c>
      <c r="AB397">
        <v>10</v>
      </c>
      <c r="AC397" t="s">
        <v>2405</v>
      </c>
      <c r="AD397" t="s">
        <v>2406</v>
      </c>
      <c r="AE397">
        <v>5</v>
      </c>
      <c r="AF397" t="s">
        <v>2407</v>
      </c>
      <c r="AG397" t="s">
        <v>2408</v>
      </c>
      <c r="AH397">
        <v>0</v>
      </c>
      <c r="AI397">
        <v>0</v>
      </c>
      <c r="AJ397">
        <v>0</v>
      </c>
      <c r="AK397">
        <v>0</v>
      </c>
    </row>
    <row r="398" spans="1:37" x14ac:dyDescent="0.25">
      <c r="A398">
        <v>2006</v>
      </c>
      <c r="B398">
        <v>19350</v>
      </c>
      <c r="C398" t="s">
        <v>4635</v>
      </c>
      <c r="D398" t="s">
        <v>4636</v>
      </c>
      <c r="E398" t="s">
        <v>4636</v>
      </c>
      <c r="H398" t="s">
        <v>85</v>
      </c>
      <c r="J398" t="s">
        <v>4637</v>
      </c>
      <c r="K398" t="s">
        <v>4638</v>
      </c>
      <c r="L398">
        <v>55.234400000000001</v>
      </c>
      <c r="M398">
        <v>-115.0628</v>
      </c>
      <c r="N398">
        <v>1983</v>
      </c>
      <c r="O398">
        <v>211113</v>
      </c>
      <c r="P398">
        <v>4</v>
      </c>
      <c r="Q398" t="s">
        <v>2398</v>
      </c>
      <c r="R398" t="s">
        <v>2399</v>
      </c>
      <c r="S398">
        <v>4817</v>
      </c>
      <c r="T398" t="s">
        <v>2471</v>
      </c>
      <c r="U398">
        <v>4817033</v>
      </c>
      <c r="V398" t="s">
        <v>3520</v>
      </c>
      <c r="X398" t="s">
        <v>2402</v>
      </c>
      <c r="Y398">
        <v>4870</v>
      </c>
      <c r="Z398" t="s">
        <v>2473</v>
      </c>
      <c r="AA398" t="s">
        <v>2719</v>
      </c>
      <c r="AB398">
        <v>9</v>
      </c>
      <c r="AC398" t="s">
        <v>2475</v>
      </c>
      <c r="AD398" t="s">
        <v>2476</v>
      </c>
      <c r="AE398">
        <v>7</v>
      </c>
      <c r="AF398" t="s">
        <v>2477</v>
      </c>
      <c r="AG398" t="s">
        <v>2478</v>
      </c>
      <c r="AH398">
        <v>0</v>
      </c>
      <c r="AI398">
        <v>0</v>
      </c>
      <c r="AJ398">
        <v>0</v>
      </c>
      <c r="AK398">
        <v>0</v>
      </c>
    </row>
    <row r="399" spans="1:37" x14ac:dyDescent="0.25">
      <c r="A399">
        <v>2023</v>
      </c>
      <c r="B399">
        <v>7996</v>
      </c>
      <c r="C399" t="s">
        <v>4639</v>
      </c>
      <c r="D399" t="s">
        <v>4640</v>
      </c>
      <c r="E399" t="s">
        <v>4641</v>
      </c>
      <c r="G399" t="s">
        <v>4642</v>
      </c>
      <c r="H399" t="s">
        <v>69</v>
      </c>
      <c r="I399" t="s">
        <v>4643</v>
      </c>
      <c r="J399" t="s">
        <v>4644</v>
      </c>
      <c r="K399" t="s">
        <v>4645</v>
      </c>
      <c r="L399">
        <v>49.247816999999998</v>
      </c>
      <c r="M399">
        <v>-122.92997</v>
      </c>
      <c r="N399">
        <v>1983</v>
      </c>
      <c r="O399">
        <v>335930</v>
      </c>
      <c r="P399">
        <v>11</v>
      </c>
      <c r="Q399" t="s">
        <v>2532</v>
      </c>
      <c r="R399" t="s">
        <v>2533</v>
      </c>
      <c r="S399">
        <v>5915</v>
      </c>
      <c r="T399" t="s">
        <v>2622</v>
      </c>
      <c r="U399">
        <v>5915025</v>
      </c>
      <c r="V399" t="s">
        <v>4642</v>
      </c>
      <c r="W399">
        <v>933</v>
      </c>
      <c r="X399" t="s">
        <v>2623</v>
      </c>
      <c r="Y399">
        <v>5920</v>
      </c>
      <c r="Z399" t="s">
        <v>2624</v>
      </c>
      <c r="AA399" t="s">
        <v>4646</v>
      </c>
      <c r="AB399">
        <v>13</v>
      </c>
      <c r="AC399" t="s">
        <v>2626</v>
      </c>
      <c r="AD399" t="s">
        <v>2627</v>
      </c>
      <c r="AE399">
        <v>8</v>
      </c>
      <c r="AF399" t="s">
        <v>2584</v>
      </c>
      <c r="AG399" t="s">
        <v>2585</v>
      </c>
      <c r="AH399">
        <v>0</v>
      </c>
      <c r="AI399">
        <v>0</v>
      </c>
      <c r="AJ399">
        <v>0</v>
      </c>
      <c r="AK399">
        <v>0</v>
      </c>
    </row>
    <row r="400" spans="1:37" x14ac:dyDescent="0.25">
      <c r="A400">
        <v>2023</v>
      </c>
      <c r="B400">
        <v>27020</v>
      </c>
      <c r="C400" t="s">
        <v>4647</v>
      </c>
      <c r="D400" t="s">
        <v>4648</v>
      </c>
      <c r="E400" t="s">
        <v>4649</v>
      </c>
      <c r="G400" t="s">
        <v>3343</v>
      </c>
      <c r="H400" t="s">
        <v>21</v>
      </c>
      <c r="I400" t="s">
        <v>4650</v>
      </c>
      <c r="K400" t="s">
        <v>4651</v>
      </c>
      <c r="L400">
        <v>43.012999999999998</v>
      </c>
      <c r="M400">
        <v>-81.274000000000001</v>
      </c>
      <c r="N400">
        <v>1983</v>
      </c>
      <c r="O400">
        <v>611310</v>
      </c>
      <c r="P400">
        <v>19</v>
      </c>
      <c r="Q400" t="s">
        <v>2552</v>
      </c>
      <c r="R400" t="s">
        <v>2553</v>
      </c>
      <c r="S400">
        <v>3539</v>
      </c>
      <c r="T400" t="s">
        <v>3341</v>
      </c>
      <c r="U400">
        <v>3539036</v>
      </c>
      <c r="V400" t="s">
        <v>3343</v>
      </c>
      <c r="W400">
        <v>555</v>
      </c>
      <c r="X400" t="s">
        <v>3343</v>
      </c>
      <c r="Y400">
        <v>3560</v>
      </c>
      <c r="Z400" t="s">
        <v>3343</v>
      </c>
      <c r="AA400" t="s">
        <v>4652</v>
      </c>
      <c r="AB400">
        <v>8</v>
      </c>
      <c r="AC400" t="s">
        <v>2420</v>
      </c>
      <c r="AD400" t="s">
        <v>2421</v>
      </c>
      <c r="AE400">
        <v>2</v>
      </c>
      <c r="AF400" t="s">
        <v>2422</v>
      </c>
      <c r="AG400" t="s">
        <v>2423</v>
      </c>
      <c r="AH400">
        <v>1</v>
      </c>
      <c r="AI400">
        <v>1</v>
      </c>
      <c r="AJ400">
        <v>0</v>
      </c>
      <c r="AK400">
        <v>1</v>
      </c>
    </row>
    <row r="401" spans="1:37" x14ac:dyDescent="0.25">
      <c r="A401">
        <v>2017</v>
      </c>
      <c r="B401">
        <v>17519</v>
      </c>
      <c r="C401" t="s">
        <v>1592</v>
      </c>
      <c r="D401" t="s">
        <v>4653</v>
      </c>
      <c r="H401" t="s">
        <v>85</v>
      </c>
      <c r="J401" t="s">
        <v>4654</v>
      </c>
      <c r="K401" t="s">
        <v>4655</v>
      </c>
      <c r="L401">
        <v>55.441299999999998</v>
      </c>
      <c r="M401">
        <v>-116.77379999999999</v>
      </c>
      <c r="N401">
        <v>1983</v>
      </c>
      <c r="O401">
        <v>211110</v>
      </c>
      <c r="P401">
        <v>4</v>
      </c>
      <c r="Q401" t="s">
        <v>2398</v>
      </c>
      <c r="R401" t="s">
        <v>2399</v>
      </c>
      <c r="S401">
        <v>4819</v>
      </c>
      <c r="T401" t="s">
        <v>2565</v>
      </c>
      <c r="U401">
        <v>4819041</v>
      </c>
      <c r="V401" t="s">
        <v>4656</v>
      </c>
      <c r="X401" t="s">
        <v>2402</v>
      </c>
      <c r="Y401">
        <v>4870</v>
      </c>
      <c r="Z401" t="s">
        <v>2473</v>
      </c>
      <c r="AA401" t="s">
        <v>2474</v>
      </c>
      <c r="AB401">
        <v>9</v>
      </c>
      <c r="AC401" t="s">
        <v>2475</v>
      </c>
      <c r="AD401" t="s">
        <v>2476</v>
      </c>
      <c r="AE401">
        <v>7</v>
      </c>
      <c r="AF401" t="s">
        <v>2477</v>
      </c>
      <c r="AG401" t="s">
        <v>2478</v>
      </c>
      <c r="AH401">
        <v>0</v>
      </c>
      <c r="AI401">
        <v>0</v>
      </c>
      <c r="AJ401">
        <v>0</v>
      </c>
      <c r="AK401">
        <v>0</v>
      </c>
    </row>
    <row r="402" spans="1:37" x14ac:dyDescent="0.25">
      <c r="A402">
        <v>2023</v>
      </c>
      <c r="B402">
        <v>6684</v>
      </c>
      <c r="C402" t="s">
        <v>4657</v>
      </c>
      <c r="D402" t="s">
        <v>4658</v>
      </c>
      <c r="E402" t="s">
        <v>4659</v>
      </c>
      <c r="G402" t="s">
        <v>2664</v>
      </c>
      <c r="H402" t="s">
        <v>85</v>
      </c>
      <c r="I402" t="s">
        <v>4660</v>
      </c>
      <c r="J402" t="s">
        <v>4661</v>
      </c>
      <c r="K402" t="s">
        <v>4662</v>
      </c>
      <c r="L402">
        <v>51.000999999999998</v>
      </c>
      <c r="M402">
        <v>-114.0612</v>
      </c>
      <c r="N402">
        <v>1983</v>
      </c>
      <c r="O402">
        <v>311814</v>
      </c>
      <c r="P402">
        <v>11</v>
      </c>
      <c r="Q402" t="s">
        <v>2532</v>
      </c>
      <c r="R402" t="s">
        <v>2533</v>
      </c>
      <c r="S402">
        <v>4806</v>
      </c>
      <c r="T402" t="s">
        <v>2663</v>
      </c>
      <c r="U402">
        <v>4806016</v>
      </c>
      <c r="V402" t="s">
        <v>2664</v>
      </c>
      <c r="W402">
        <v>825</v>
      </c>
      <c r="X402" t="s">
        <v>2664</v>
      </c>
      <c r="Y402">
        <v>4830</v>
      </c>
      <c r="Z402" t="s">
        <v>2664</v>
      </c>
      <c r="AA402" t="s">
        <v>4663</v>
      </c>
      <c r="AB402">
        <v>10</v>
      </c>
      <c r="AC402" t="s">
        <v>2405</v>
      </c>
      <c r="AD402" t="s">
        <v>2406</v>
      </c>
      <c r="AE402">
        <v>5</v>
      </c>
      <c r="AF402" t="s">
        <v>2407</v>
      </c>
      <c r="AG402" t="s">
        <v>2408</v>
      </c>
      <c r="AH402">
        <v>0</v>
      </c>
      <c r="AI402">
        <v>0</v>
      </c>
      <c r="AJ402">
        <v>0</v>
      </c>
      <c r="AK402">
        <v>0</v>
      </c>
    </row>
    <row r="403" spans="1:37" x14ac:dyDescent="0.25">
      <c r="A403">
        <v>2003</v>
      </c>
      <c r="B403">
        <v>16953</v>
      </c>
      <c r="C403" t="s">
        <v>3661</v>
      </c>
      <c r="D403" t="s">
        <v>4664</v>
      </c>
      <c r="E403" t="s">
        <v>4665</v>
      </c>
      <c r="G403" t="s">
        <v>4666</v>
      </c>
      <c r="H403" t="s">
        <v>85</v>
      </c>
      <c r="J403" t="s">
        <v>4667</v>
      </c>
      <c r="K403" t="s">
        <v>4668</v>
      </c>
      <c r="L403">
        <v>52.479300000000002</v>
      </c>
      <c r="M403">
        <v>-110.0519</v>
      </c>
      <c r="N403">
        <v>1983</v>
      </c>
      <c r="O403">
        <v>211113</v>
      </c>
      <c r="P403">
        <v>4</v>
      </c>
      <c r="Q403" t="s">
        <v>2398</v>
      </c>
      <c r="R403" t="s">
        <v>2399</v>
      </c>
      <c r="S403">
        <v>4807</v>
      </c>
      <c r="T403" t="s">
        <v>2611</v>
      </c>
      <c r="U403">
        <v>4807001</v>
      </c>
      <c r="V403" t="s">
        <v>2784</v>
      </c>
      <c r="X403" t="s">
        <v>2402</v>
      </c>
      <c r="Y403">
        <v>4820</v>
      </c>
      <c r="Z403" t="s">
        <v>2508</v>
      </c>
      <c r="AA403" t="s">
        <v>2572</v>
      </c>
      <c r="AB403">
        <v>10</v>
      </c>
      <c r="AC403" t="s">
        <v>2405</v>
      </c>
      <c r="AD403" t="s">
        <v>2406</v>
      </c>
      <c r="AE403">
        <v>5</v>
      </c>
      <c r="AF403" t="s">
        <v>2407</v>
      </c>
      <c r="AG403" t="s">
        <v>2408</v>
      </c>
      <c r="AH403">
        <v>0</v>
      </c>
      <c r="AI403">
        <v>0</v>
      </c>
      <c r="AJ403">
        <v>0</v>
      </c>
      <c r="AK403">
        <v>0</v>
      </c>
    </row>
    <row r="404" spans="1:37" x14ac:dyDescent="0.25">
      <c r="A404">
        <v>2003</v>
      </c>
      <c r="B404">
        <v>15668</v>
      </c>
      <c r="C404" t="s">
        <v>4669</v>
      </c>
      <c r="D404" t="s">
        <v>4670</v>
      </c>
      <c r="E404" t="s">
        <v>4671</v>
      </c>
      <c r="G404" t="s">
        <v>4672</v>
      </c>
      <c r="H404" t="s">
        <v>85</v>
      </c>
      <c r="J404" t="s">
        <v>4673</v>
      </c>
      <c r="K404" t="s">
        <v>4674</v>
      </c>
      <c r="L404">
        <v>53.024799999999999</v>
      </c>
      <c r="M404">
        <v>-111.422</v>
      </c>
      <c r="N404">
        <v>1983</v>
      </c>
      <c r="O404">
        <v>211113</v>
      </c>
      <c r="P404">
        <v>4</v>
      </c>
      <c r="Q404" t="s">
        <v>2398</v>
      </c>
      <c r="R404" t="s">
        <v>2399</v>
      </c>
      <c r="S404">
        <v>4807</v>
      </c>
      <c r="T404" t="s">
        <v>2611</v>
      </c>
      <c r="U404">
        <v>4807049</v>
      </c>
      <c r="V404" t="s">
        <v>2612</v>
      </c>
      <c r="X404" t="s">
        <v>2402</v>
      </c>
      <c r="Y404">
        <v>4820</v>
      </c>
      <c r="Z404" t="s">
        <v>2508</v>
      </c>
      <c r="AA404" t="s">
        <v>2572</v>
      </c>
      <c r="AB404">
        <v>10</v>
      </c>
      <c r="AC404" t="s">
        <v>2405</v>
      </c>
      <c r="AD404" t="s">
        <v>2406</v>
      </c>
      <c r="AE404">
        <v>5</v>
      </c>
      <c r="AF404" t="s">
        <v>2407</v>
      </c>
      <c r="AG404" t="s">
        <v>2408</v>
      </c>
      <c r="AH404">
        <v>0</v>
      </c>
      <c r="AI404">
        <v>0</v>
      </c>
      <c r="AJ404">
        <v>0</v>
      </c>
      <c r="AK404">
        <v>0</v>
      </c>
    </row>
    <row r="405" spans="1:37" x14ac:dyDescent="0.25">
      <c r="A405">
        <v>2023</v>
      </c>
      <c r="B405">
        <v>1878</v>
      </c>
      <c r="C405" t="s">
        <v>4675</v>
      </c>
      <c r="D405" t="s">
        <v>4676</v>
      </c>
      <c r="E405" t="s">
        <v>4677</v>
      </c>
      <c r="G405" t="s">
        <v>2993</v>
      </c>
      <c r="H405" t="s">
        <v>79</v>
      </c>
      <c r="I405" t="s">
        <v>4678</v>
      </c>
      <c r="K405" t="s">
        <v>4679</v>
      </c>
      <c r="L405">
        <v>45.366140000000001</v>
      </c>
      <c r="M405">
        <v>-71.854929999999996</v>
      </c>
      <c r="N405">
        <v>1983</v>
      </c>
      <c r="O405">
        <v>322121</v>
      </c>
      <c r="P405">
        <v>14</v>
      </c>
      <c r="Q405" t="s">
        <v>2484</v>
      </c>
      <c r="R405" t="s">
        <v>2485</v>
      </c>
      <c r="S405">
        <v>2443</v>
      </c>
      <c r="T405" t="s">
        <v>2993</v>
      </c>
      <c r="U405">
        <v>2443027</v>
      </c>
      <c r="V405" t="s">
        <v>2993</v>
      </c>
      <c r="W405">
        <v>433</v>
      </c>
      <c r="X405" t="s">
        <v>2993</v>
      </c>
      <c r="Y405">
        <v>2430</v>
      </c>
      <c r="Z405" t="s">
        <v>2994</v>
      </c>
      <c r="AA405" t="s">
        <v>4680</v>
      </c>
      <c r="AB405">
        <v>7</v>
      </c>
      <c r="AC405" t="s">
        <v>2996</v>
      </c>
      <c r="AD405" t="s">
        <v>2997</v>
      </c>
      <c r="AE405">
        <v>2</v>
      </c>
      <c r="AF405" t="s">
        <v>2422</v>
      </c>
      <c r="AG405" t="s">
        <v>2423</v>
      </c>
      <c r="AH405">
        <v>1</v>
      </c>
      <c r="AI405">
        <v>0</v>
      </c>
      <c r="AJ405">
        <v>1</v>
      </c>
      <c r="AK405">
        <v>1</v>
      </c>
    </row>
    <row r="406" spans="1:37" x14ac:dyDescent="0.25">
      <c r="A406">
        <v>2009</v>
      </c>
      <c r="B406">
        <v>17293</v>
      </c>
      <c r="C406" t="s">
        <v>3481</v>
      </c>
      <c r="D406" t="s">
        <v>4681</v>
      </c>
      <c r="E406" t="s">
        <v>4682</v>
      </c>
      <c r="H406" t="s">
        <v>243</v>
      </c>
      <c r="J406" t="s">
        <v>4683</v>
      </c>
      <c r="K406" t="s">
        <v>4684</v>
      </c>
      <c r="L406">
        <v>49.38</v>
      </c>
      <c r="M406">
        <v>-102.3596</v>
      </c>
      <c r="N406">
        <v>1983</v>
      </c>
      <c r="O406">
        <v>211113</v>
      </c>
      <c r="P406">
        <v>4</v>
      </c>
      <c r="Q406" t="s">
        <v>2398</v>
      </c>
      <c r="R406" t="s">
        <v>2399</v>
      </c>
      <c r="S406">
        <v>4701</v>
      </c>
      <c r="T406" t="s">
        <v>2523</v>
      </c>
      <c r="U406">
        <v>4701036</v>
      </c>
      <c r="V406" t="s">
        <v>3446</v>
      </c>
      <c r="X406" t="s">
        <v>2402</v>
      </c>
      <c r="Y406">
        <v>4710</v>
      </c>
      <c r="Z406" t="s">
        <v>2525</v>
      </c>
      <c r="AA406" t="s">
        <v>2655</v>
      </c>
      <c r="AB406">
        <v>10</v>
      </c>
      <c r="AC406" t="s">
        <v>2405</v>
      </c>
      <c r="AD406" t="s">
        <v>2406</v>
      </c>
      <c r="AE406">
        <v>5</v>
      </c>
      <c r="AF406" t="s">
        <v>2407</v>
      </c>
      <c r="AG406" t="s">
        <v>2408</v>
      </c>
      <c r="AH406">
        <v>0</v>
      </c>
      <c r="AI406">
        <v>0</v>
      </c>
      <c r="AJ406">
        <v>0</v>
      </c>
      <c r="AK406">
        <v>0</v>
      </c>
    </row>
    <row r="407" spans="1:37" x14ac:dyDescent="0.25">
      <c r="A407">
        <v>2013</v>
      </c>
      <c r="B407">
        <v>27243</v>
      </c>
      <c r="C407" t="s">
        <v>1027</v>
      </c>
      <c r="D407" t="s">
        <v>4685</v>
      </c>
      <c r="G407" t="s">
        <v>4686</v>
      </c>
      <c r="H407" t="s">
        <v>85</v>
      </c>
      <c r="J407" t="s">
        <v>4687</v>
      </c>
      <c r="K407" t="s">
        <v>4688</v>
      </c>
      <c r="L407">
        <v>51.68356</v>
      </c>
      <c r="M407">
        <v>-112.52774700000001</v>
      </c>
      <c r="N407">
        <v>1983</v>
      </c>
      <c r="O407">
        <v>211113</v>
      </c>
      <c r="P407">
        <v>4</v>
      </c>
      <c r="Q407" t="s">
        <v>2398</v>
      </c>
      <c r="R407" t="s">
        <v>2399</v>
      </c>
      <c r="S407">
        <v>4805</v>
      </c>
      <c r="T407" t="s">
        <v>2669</v>
      </c>
      <c r="U407">
        <v>4805031</v>
      </c>
      <c r="V407" t="s">
        <v>3058</v>
      </c>
      <c r="X407" t="s">
        <v>2402</v>
      </c>
      <c r="Y407">
        <v>4820</v>
      </c>
      <c r="Z407" t="s">
        <v>2508</v>
      </c>
      <c r="AA407" t="s">
        <v>2671</v>
      </c>
      <c r="AB407">
        <v>10</v>
      </c>
      <c r="AC407" t="s">
        <v>2405</v>
      </c>
      <c r="AD407" t="s">
        <v>2406</v>
      </c>
      <c r="AE407">
        <v>5</v>
      </c>
      <c r="AF407" t="s">
        <v>2407</v>
      </c>
      <c r="AG407" t="s">
        <v>2408</v>
      </c>
      <c r="AH407">
        <v>0</v>
      </c>
      <c r="AI407">
        <v>0</v>
      </c>
      <c r="AJ407">
        <v>0</v>
      </c>
      <c r="AK407">
        <v>0</v>
      </c>
    </row>
    <row r="408" spans="1:37" x14ac:dyDescent="0.25">
      <c r="A408">
        <v>2023</v>
      </c>
      <c r="B408">
        <v>6007</v>
      </c>
      <c r="C408" t="s">
        <v>4689</v>
      </c>
      <c r="D408" t="s">
        <v>4690</v>
      </c>
      <c r="E408" t="s">
        <v>4691</v>
      </c>
      <c r="G408" t="s">
        <v>4692</v>
      </c>
      <c r="H408" t="s">
        <v>661</v>
      </c>
      <c r="I408" t="s">
        <v>4693</v>
      </c>
      <c r="K408" t="s">
        <v>4694</v>
      </c>
      <c r="L408">
        <v>45.052900000000001</v>
      </c>
      <c r="M408">
        <v>-66.796599999999998</v>
      </c>
      <c r="N408">
        <v>1983</v>
      </c>
      <c r="O408">
        <v>311710</v>
      </c>
      <c r="P408">
        <v>11</v>
      </c>
      <c r="Q408" t="s">
        <v>2532</v>
      </c>
      <c r="R408" t="s">
        <v>2533</v>
      </c>
      <c r="S408">
        <v>1302</v>
      </c>
      <c r="T408" t="s">
        <v>4695</v>
      </c>
      <c r="U408">
        <v>1302012</v>
      </c>
      <c r="V408" t="s">
        <v>4692</v>
      </c>
      <c r="X408" t="s">
        <v>2402</v>
      </c>
      <c r="Y408">
        <v>1330</v>
      </c>
      <c r="Z408" t="s">
        <v>3514</v>
      </c>
      <c r="AA408" t="s">
        <v>4696</v>
      </c>
      <c r="AB408">
        <v>7</v>
      </c>
      <c r="AC408" t="s">
        <v>2996</v>
      </c>
      <c r="AD408" t="s">
        <v>2997</v>
      </c>
      <c r="AE408">
        <v>1</v>
      </c>
      <c r="AF408" t="s">
        <v>3479</v>
      </c>
      <c r="AG408" t="s">
        <v>3480</v>
      </c>
      <c r="AH408">
        <v>1</v>
      </c>
      <c r="AI408">
        <v>0</v>
      </c>
      <c r="AJ408">
        <v>0</v>
      </c>
      <c r="AK408">
        <v>0</v>
      </c>
    </row>
    <row r="409" spans="1:37" x14ac:dyDescent="0.25">
      <c r="A409">
        <v>2023</v>
      </c>
      <c r="B409">
        <v>10152</v>
      </c>
      <c r="C409" t="s">
        <v>4697</v>
      </c>
      <c r="D409" t="s">
        <v>4697</v>
      </c>
      <c r="E409" t="s">
        <v>4698</v>
      </c>
      <c r="G409" t="s">
        <v>4699</v>
      </c>
      <c r="H409" t="s">
        <v>21</v>
      </c>
      <c r="I409" t="s">
        <v>4700</v>
      </c>
      <c r="K409" t="s">
        <v>4701</v>
      </c>
      <c r="L409">
        <v>43.867199999999997</v>
      </c>
      <c r="M409">
        <v>-79.738100000000003</v>
      </c>
      <c r="N409">
        <v>1983</v>
      </c>
      <c r="O409">
        <v>311111</v>
      </c>
      <c r="P409">
        <v>11</v>
      </c>
      <c r="Q409" t="s">
        <v>2532</v>
      </c>
      <c r="R409" t="s">
        <v>2533</v>
      </c>
      <c r="S409">
        <v>3521</v>
      </c>
      <c r="T409" t="s">
        <v>2438</v>
      </c>
      <c r="U409">
        <v>3521024</v>
      </c>
      <c r="V409" t="s">
        <v>4702</v>
      </c>
      <c r="W409">
        <v>535</v>
      </c>
      <c r="X409" t="s">
        <v>2439</v>
      </c>
      <c r="Y409">
        <v>3530</v>
      </c>
      <c r="Z409" t="s">
        <v>2439</v>
      </c>
      <c r="AA409" t="s">
        <v>4703</v>
      </c>
      <c r="AB409">
        <v>8</v>
      </c>
      <c r="AC409" t="s">
        <v>2420</v>
      </c>
      <c r="AD409" t="s">
        <v>2421</v>
      </c>
      <c r="AE409">
        <v>2</v>
      </c>
      <c r="AF409" t="s">
        <v>2422</v>
      </c>
      <c r="AG409" t="s">
        <v>2423</v>
      </c>
      <c r="AH409">
        <v>1</v>
      </c>
      <c r="AI409">
        <v>1</v>
      </c>
      <c r="AJ409">
        <v>0</v>
      </c>
      <c r="AK409">
        <v>1</v>
      </c>
    </row>
    <row r="410" spans="1:37" x14ac:dyDescent="0.25">
      <c r="A410">
        <v>2023</v>
      </c>
      <c r="B410">
        <v>31604</v>
      </c>
      <c r="C410" t="s">
        <v>1411</v>
      </c>
      <c r="D410" t="s">
        <v>4704</v>
      </c>
      <c r="H410" t="s">
        <v>85</v>
      </c>
      <c r="J410" t="s">
        <v>4705</v>
      </c>
      <c r="K410" t="s">
        <v>4706</v>
      </c>
      <c r="L410">
        <v>55.372300000000003</v>
      </c>
      <c r="M410">
        <v>-119.105992</v>
      </c>
      <c r="N410">
        <v>1983</v>
      </c>
      <c r="O410">
        <v>211110</v>
      </c>
      <c r="P410">
        <v>4</v>
      </c>
      <c r="Q410" t="s">
        <v>2398</v>
      </c>
      <c r="R410" t="s">
        <v>2399</v>
      </c>
      <c r="S410">
        <v>4819</v>
      </c>
      <c r="T410" t="s">
        <v>2565</v>
      </c>
      <c r="U410">
        <v>4819006</v>
      </c>
      <c r="V410" t="s">
        <v>2639</v>
      </c>
      <c r="X410" t="s">
        <v>2402</v>
      </c>
      <c r="Y410">
        <v>4870</v>
      </c>
      <c r="Z410" t="s">
        <v>2473</v>
      </c>
      <c r="AA410" t="s">
        <v>2474</v>
      </c>
      <c r="AB410">
        <v>9</v>
      </c>
      <c r="AC410" t="s">
        <v>2475</v>
      </c>
      <c r="AD410" t="s">
        <v>2476</v>
      </c>
      <c r="AE410">
        <v>7</v>
      </c>
      <c r="AF410" t="s">
        <v>2477</v>
      </c>
      <c r="AG410" t="s">
        <v>2478</v>
      </c>
      <c r="AH410">
        <v>0</v>
      </c>
      <c r="AI410">
        <v>0</v>
      </c>
      <c r="AJ410">
        <v>0</v>
      </c>
      <c r="AK410">
        <v>0</v>
      </c>
    </row>
    <row r="411" spans="1:37" x14ac:dyDescent="0.25">
      <c r="A411">
        <v>2012</v>
      </c>
      <c r="B411">
        <v>22828</v>
      </c>
      <c r="C411" t="s">
        <v>1999</v>
      </c>
      <c r="D411" t="s">
        <v>4707</v>
      </c>
      <c r="H411" t="s">
        <v>243</v>
      </c>
      <c r="J411" t="s">
        <v>4708</v>
      </c>
      <c r="K411" t="s">
        <v>4709</v>
      </c>
      <c r="L411">
        <v>49.477499999999999</v>
      </c>
      <c r="M411">
        <v>-102.1664</v>
      </c>
      <c r="N411">
        <v>1983</v>
      </c>
      <c r="O411">
        <v>211113</v>
      </c>
      <c r="P411">
        <v>4</v>
      </c>
      <c r="Q411" t="s">
        <v>2398</v>
      </c>
      <c r="R411" t="s">
        <v>2399</v>
      </c>
      <c r="S411">
        <v>4701</v>
      </c>
      <c r="T411" t="s">
        <v>2523</v>
      </c>
      <c r="U411">
        <v>4701036</v>
      </c>
      <c r="V411" t="s">
        <v>3446</v>
      </c>
      <c r="X411" t="s">
        <v>2402</v>
      </c>
      <c r="Y411">
        <v>4710</v>
      </c>
      <c r="Z411" t="s">
        <v>2525</v>
      </c>
      <c r="AA411" t="s">
        <v>2655</v>
      </c>
      <c r="AB411">
        <v>10</v>
      </c>
      <c r="AC411" t="s">
        <v>2405</v>
      </c>
      <c r="AD411" t="s">
        <v>2406</v>
      </c>
      <c r="AE411">
        <v>5</v>
      </c>
      <c r="AF411" t="s">
        <v>2407</v>
      </c>
      <c r="AG411" t="s">
        <v>2408</v>
      </c>
      <c r="AH411">
        <v>0</v>
      </c>
      <c r="AI411">
        <v>0</v>
      </c>
      <c r="AJ411">
        <v>0</v>
      </c>
      <c r="AK411">
        <v>0</v>
      </c>
    </row>
    <row r="412" spans="1:37" x14ac:dyDescent="0.25">
      <c r="A412">
        <v>2023</v>
      </c>
      <c r="B412">
        <v>18065</v>
      </c>
      <c r="C412" t="s">
        <v>1485</v>
      </c>
      <c r="D412" t="s">
        <v>4710</v>
      </c>
      <c r="G412" t="s">
        <v>4711</v>
      </c>
      <c r="H412" t="s">
        <v>85</v>
      </c>
      <c r="J412" t="s">
        <v>4712</v>
      </c>
      <c r="K412" t="s">
        <v>4713</v>
      </c>
      <c r="L412">
        <v>53.022199999999998</v>
      </c>
      <c r="M412">
        <v>-116.52079999999999</v>
      </c>
      <c r="N412">
        <v>1983</v>
      </c>
      <c r="O412">
        <v>211110</v>
      </c>
      <c r="P412">
        <v>4</v>
      </c>
      <c r="Q412" t="s">
        <v>2398</v>
      </c>
      <c r="R412" t="s">
        <v>2399</v>
      </c>
      <c r="S412">
        <v>4814</v>
      </c>
      <c r="T412" t="s">
        <v>3256</v>
      </c>
      <c r="U412">
        <v>4814003</v>
      </c>
      <c r="V412" t="s">
        <v>3257</v>
      </c>
      <c r="X412" t="s">
        <v>2402</v>
      </c>
      <c r="Y412">
        <v>4840</v>
      </c>
      <c r="Z412" t="s">
        <v>2633</v>
      </c>
      <c r="AA412" t="s">
        <v>3929</v>
      </c>
      <c r="AB412">
        <v>9</v>
      </c>
      <c r="AC412" t="s">
        <v>2475</v>
      </c>
      <c r="AD412" t="s">
        <v>2476</v>
      </c>
      <c r="AE412">
        <v>7</v>
      </c>
      <c r="AF412" t="s">
        <v>2477</v>
      </c>
      <c r="AG412" t="s">
        <v>2478</v>
      </c>
      <c r="AH412">
        <v>0</v>
      </c>
      <c r="AI412">
        <v>0</v>
      </c>
      <c r="AJ412">
        <v>0</v>
      </c>
      <c r="AK412">
        <v>0</v>
      </c>
    </row>
    <row r="413" spans="1:37" x14ac:dyDescent="0.25">
      <c r="A413">
        <v>2023</v>
      </c>
      <c r="B413">
        <v>3686</v>
      </c>
      <c r="C413" t="s">
        <v>1525</v>
      </c>
      <c r="D413" t="s">
        <v>4714</v>
      </c>
      <c r="E413" t="s">
        <v>4715</v>
      </c>
      <c r="G413" t="s">
        <v>4716</v>
      </c>
      <c r="H413" t="s">
        <v>21</v>
      </c>
      <c r="I413" t="s">
        <v>4717</v>
      </c>
      <c r="K413" t="s">
        <v>4718</v>
      </c>
      <c r="L413">
        <v>42.906500000000001</v>
      </c>
      <c r="M413">
        <v>-79.251099999999994</v>
      </c>
      <c r="N413">
        <v>1983</v>
      </c>
      <c r="O413">
        <v>221320</v>
      </c>
      <c r="P413">
        <v>17</v>
      </c>
      <c r="Q413" t="s">
        <v>2804</v>
      </c>
      <c r="R413" t="s">
        <v>2805</v>
      </c>
      <c r="S413">
        <v>3526</v>
      </c>
      <c r="T413" t="s">
        <v>4719</v>
      </c>
      <c r="U413">
        <v>3526011</v>
      </c>
      <c r="V413" t="s">
        <v>4716</v>
      </c>
      <c r="W413">
        <v>539</v>
      </c>
      <c r="X413" t="s">
        <v>4720</v>
      </c>
      <c r="Y413">
        <v>3550</v>
      </c>
      <c r="Z413" t="s">
        <v>2680</v>
      </c>
      <c r="AA413" t="s">
        <v>4721</v>
      </c>
      <c r="AB413">
        <v>8</v>
      </c>
      <c r="AC413" t="s">
        <v>2420</v>
      </c>
      <c r="AD413" t="s">
        <v>2421</v>
      </c>
      <c r="AE413">
        <v>2</v>
      </c>
      <c r="AF413" t="s">
        <v>2422</v>
      </c>
      <c r="AG413" t="s">
        <v>2423</v>
      </c>
      <c r="AH413">
        <v>1</v>
      </c>
      <c r="AI413">
        <v>1</v>
      </c>
      <c r="AJ413">
        <v>0</v>
      </c>
      <c r="AK413">
        <v>1</v>
      </c>
    </row>
    <row r="414" spans="1:37" x14ac:dyDescent="0.25">
      <c r="A414">
        <v>2023</v>
      </c>
      <c r="B414">
        <v>32912</v>
      </c>
      <c r="C414" t="s">
        <v>231</v>
      </c>
      <c r="D414" t="s">
        <v>4722</v>
      </c>
      <c r="G414" t="s">
        <v>4723</v>
      </c>
      <c r="H414" t="s">
        <v>85</v>
      </c>
      <c r="J414" t="s">
        <v>4724</v>
      </c>
      <c r="K414" t="s">
        <v>4725</v>
      </c>
      <c r="L414">
        <v>53.76135</v>
      </c>
      <c r="M414">
        <v>-113.14601</v>
      </c>
      <c r="N414">
        <v>1983</v>
      </c>
      <c r="O414">
        <v>211110</v>
      </c>
      <c r="P414">
        <v>4</v>
      </c>
      <c r="Q414" t="s">
        <v>2398</v>
      </c>
      <c r="R414" t="s">
        <v>2399</v>
      </c>
      <c r="S414">
        <v>4811</v>
      </c>
      <c r="T414" t="s">
        <v>2643</v>
      </c>
      <c r="U414">
        <v>4811056</v>
      </c>
      <c r="V414" t="s">
        <v>4723</v>
      </c>
      <c r="W414">
        <v>835</v>
      </c>
      <c r="X414" t="s">
        <v>2645</v>
      </c>
      <c r="Y414">
        <v>4860</v>
      </c>
      <c r="Z414" t="s">
        <v>2645</v>
      </c>
      <c r="AA414" t="s">
        <v>4726</v>
      </c>
      <c r="AB414">
        <v>10</v>
      </c>
      <c r="AC414" t="s">
        <v>2405</v>
      </c>
      <c r="AD414" t="s">
        <v>2406</v>
      </c>
      <c r="AE414">
        <v>5</v>
      </c>
      <c r="AF414" t="s">
        <v>2407</v>
      </c>
      <c r="AG414" t="s">
        <v>2408</v>
      </c>
      <c r="AH414">
        <v>0</v>
      </c>
      <c r="AI414">
        <v>0</v>
      </c>
      <c r="AJ414">
        <v>0</v>
      </c>
      <c r="AK414">
        <v>0</v>
      </c>
    </row>
    <row r="415" spans="1:37" x14ac:dyDescent="0.25">
      <c r="A415">
        <v>2023</v>
      </c>
      <c r="B415">
        <v>33082</v>
      </c>
      <c r="C415" t="s">
        <v>4727</v>
      </c>
      <c r="D415" t="s">
        <v>4728</v>
      </c>
      <c r="E415" t="s">
        <v>4729</v>
      </c>
      <c r="G415" t="s">
        <v>4730</v>
      </c>
      <c r="H415" t="s">
        <v>69</v>
      </c>
      <c r="I415" t="s">
        <v>4731</v>
      </c>
      <c r="K415" t="s">
        <v>4732</v>
      </c>
      <c r="L415">
        <v>48.539915000000001</v>
      </c>
      <c r="M415">
        <v>-123.46298899999999</v>
      </c>
      <c r="N415">
        <v>1983</v>
      </c>
      <c r="O415">
        <v>221320</v>
      </c>
      <c r="P415">
        <v>17</v>
      </c>
      <c r="Q415" t="s">
        <v>2804</v>
      </c>
      <c r="R415" t="s">
        <v>2805</v>
      </c>
      <c r="S415">
        <v>5917</v>
      </c>
      <c r="T415" t="s">
        <v>4733</v>
      </c>
      <c r="U415">
        <v>5917021</v>
      </c>
      <c r="V415" t="s">
        <v>4734</v>
      </c>
      <c r="W415">
        <v>935</v>
      </c>
      <c r="X415" t="s">
        <v>4730</v>
      </c>
      <c r="Y415">
        <v>5910</v>
      </c>
      <c r="Z415" t="s">
        <v>3887</v>
      </c>
      <c r="AA415" t="s">
        <v>4735</v>
      </c>
      <c r="AB415">
        <v>13</v>
      </c>
      <c r="AC415" t="s">
        <v>2626</v>
      </c>
      <c r="AD415" t="s">
        <v>2627</v>
      </c>
      <c r="AE415">
        <v>8</v>
      </c>
      <c r="AF415" t="s">
        <v>2584</v>
      </c>
      <c r="AG415" t="s">
        <v>2585</v>
      </c>
      <c r="AH415">
        <v>0</v>
      </c>
      <c r="AI415">
        <v>0</v>
      </c>
      <c r="AJ415">
        <v>0</v>
      </c>
      <c r="AK415">
        <v>0</v>
      </c>
    </row>
    <row r="416" spans="1:37" x14ac:dyDescent="0.25">
      <c r="A416">
        <v>2004</v>
      </c>
      <c r="B416">
        <v>16797</v>
      </c>
      <c r="C416" t="s">
        <v>2941</v>
      </c>
      <c r="D416" t="s">
        <v>4736</v>
      </c>
      <c r="E416" t="s">
        <v>4737</v>
      </c>
      <c r="H416" t="s">
        <v>85</v>
      </c>
      <c r="J416" t="s">
        <v>4738</v>
      </c>
      <c r="K416" t="s">
        <v>4739</v>
      </c>
      <c r="L416">
        <v>53.2395</v>
      </c>
      <c r="M416">
        <v>-112.98099999999999</v>
      </c>
      <c r="N416">
        <v>1983</v>
      </c>
      <c r="O416">
        <v>211113</v>
      </c>
      <c r="P416">
        <v>4</v>
      </c>
      <c r="Q416" t="s">
        <v>2398</v>
      </c>
      <c r="R416" t="s">
        <v>2399</v>
      </c>
      <c r="S416">
        <v>4810</v>
      </c>
      <c r="T416" t="s">
        <v>2554</v>
      </c>
      <c r="U416">
        <v>4810001</v>
      </c>
      <c r="V416" t="s">
        <v>2555</v>
      </c>
      <c r="X416" t="s">
        <v>2402</v>
      </c>
      <c r="Y416">
        <v>4820</v>
      </c>
      <c r="Z416" t="s">
        <v>2508</v>
      </c>
      <c r="AA416" t="s">
        <v>2572</v>
      </c>
      <c r="AB416">
        <v>10</v>
      </c>
      <c r="AC416" t="s">
        <v>2405</v>
      </c>
      <c r="AD416" t="s">
        <v>2406</v>
      </c>
      <c r="AE416">
        <v>5</v>
      </c>
      <c r="AF416" t="s">
        <v>2407</v>
      </c>
      <c r="AG416" t="s">
        <v>2408</v>
      </c>
      <c r="AH416">
        <v>0</v>
      </c>
      <c r="AI416">
        <v>0</v>
      </c>
      <c r="AJ416">
        <v>0</v>
      </c>
      <c r="AK416">
        <v>0</v>
      </c>
    </row>
    <row r="417" spans="1:37" x14ac:dyDescent="0.25">
      <c r="A417">
        <v>2023</v>
      </c>
      <c r="B417">
        <v>4908</v>
      </c>
      <c r="C417" t="s">
        <v>989</v>
      </c>
      <c r="D417" t="s">
        <v>4740</v>
      </c>
      <c r="E417" t="s">
        <v>4741</v>
      </c>
      <c r="G417" t="s">
        <v>4742</v>
      </c>
      <c r="H417" t="s">
        <v>21</v>
      </c>
      <c r="I417" t="s">
        <v>4743</v>
      </c>
      <c r="K417" t="s">
        <v>4744</v>
      </c>
      <c r="L417">
        <v>43.818199999999997</v>
      </c>
      <c r="M417">
        <v>-79.051299999999998</v>
      </c>
      <c r="N417">
        <v>1983</v>
      </c>
      <c r="O417">
        <v>221320</v>
      </c>
      <c r="P417">
        <v>17</v>
      </c>
      <c r="Q417" t="s">
        <v>2804</v>
      </c>
      <c r="R417" t="s">
        <v>2805</v>
      </c>
      <c r="S417">
        <v>3518</v>
      </c>
      <c r="T417" t="s">
        <v>3504</v>
      </c>
      <c r="U417">
        <v>3518001</v>
      </c>
      <c r="V417" t="s">
        <v>4742</v>
      </c>
      <c r="W417">
        <v>535</v>
      </c>
      <c r="X417" t="s">
        <v>2439</v>
      </c>
      <c r="Y417">
        <v>3530</v>
      </c>
      <c r="Z417" t="s">
        <v>2439</v>
      </c>
      <c r="AA417" t="s">
        <v>4745</v>
      </c>
      <c r="AB417">
        <v>8</v>
      </c>
      <c r="AC417" t="s">
        <v>2420</v>
      </c>
      <c r="AD417" t="s">
        <v>2421</v>
      </c>
      <c r="AE417">
        <v>2</v>
      </c>
      <c r="AF417" t="s">
        <v>2422</v>
      </c>
      <c r="AG417" t="s">
        <v>2423</v>
      </c>
      <c r="AH417">
        <v>1</v>
      </c>
      <c r="AI417">
        <v>1</v>
      </c>
      <c r="AJ417">
        <v>0</v>
      </c>
      <c r="AK417">
        <v>1</v>
      </c>
    </row>
    <row r="418" spans="1:37" x14ac:dyDescent="0.25">
      <c r="A418">
        <v>2023</v>
      </c>
      <c r="B418">
        <v>34563</v>
      </c>
      <c r="C418" t="s">
        <v>4746</v>
      </c>
      <c r="D418" t="s">
        <v>4747</v>
      </c>
      <c r="E418" t="s">
        <v>4748</v>
      </c>
      <c r="G418" t="s">
        <v>4723</v>
      </c>
      <c r="H418" t="s">
        <v>85</v>
      </c>
      <c r="I418" t="s">
        <v>4749</v>
      </c>
      <c r="J418" t="s">
        <v>4750</v>
      </c>
      <c r="K418" t="s">
        <v>4751</v>
      </c>
      <c r="L418">
        <v>55.979759999999999</v>
      </c>
      <c r="M418">
        <v>-111.97184</v>
      </c>
      <c r="N418">
        <v>1983</v>
      </c>
      <c r="O418">
        <v>211110</v>
      </c>
      <c r="P418">
        <v>4</v>
      </c>
      <c r="Q418" t="s">
        <v>2398</v>
      </c>
      <c r="R418" t="s">
        <v>2399</v>
      </c>
      <c r="S418">
        <v>4816</v>
      </c>
      <c r="T418" t="s">
        <v>2744</v>
      </c>
      <c r="U418">
        <v>4816037</v>
      </c>
      <c r="V418" t="s">
        <v>2745</v>
      </c>
      <c r="W418">
        <v>860</v>
      </c>
      <c r="X418" t="s">
        <v>2745</v>
      </c>
      <c r="Y418">
        <v>4880</v>
      </c>
      <c r="Z418" t="s">
        <v>2726</v>
      </c>
      <c r="AA418" t="s">
        <v>2746</v>
      </c>
      <c r="AB418">
        <v>9</v>
      </c>
      <c r="AC418" t="s">
        <v>2475</v>
      </c>
      <c r="AD418" t="s">
        <v>2476</v>
      </c>
      <c r="AE418">
        <v>7</v>
      </c>
      <c r="AF418" t="s">
        <v>2477</v>
      </c>
      <c r="AG418" t="s">
        <v>2478</v>
      </c>
      <c r="AH418">
        <v>0</v>
      </c>
      <c r="AI418">
        <v>0</v>
      </c>
      <c r="AJ418">
        <v>0</v>
      </c>
      <c r="AK418">
        <v>0</v>
      </c>
    </row>
    <row r="419" spans="1:37" x14ac:dyDescent="0.25">
      <c r="A419">
        <v>2023</v>
      </c>
      <c r="B419">
        <v>31757</v>
      </c>
      <c r="C419" t="s">
        <v>4752</v>
      </c>
      <c r="D419" t="s">
        <v>4753</v>
      </c>
      <c r="E419" t="s">
        <v>4754</v>
      </c>
      <c r="G419" t="s">
        <v>2439</v>
      </c>
      <c r="H419" t="s">
        <v>21</v>
      </c>
      <c r="I419" t="s">
        <v>4755</v>
      </c>
      <c r="K419" t="s">
        <v>4756</v>
      </c>
      <c r="L419">
        <v>43.626710000000003</v>
      </c>
      <c r="M419">
        <v>-79.523660000000007</v>
      </c>
      <c r="N419">
        <v>1983</v>
      </c>
      <c r="O419">
        <v>325610</v>
      </c>
      <c r="P419">
        <v>3</v>
      </c>
      <c r="Q419" t="s">
        <v>2822</v>
      </c>
      <c r="R419" t="s">
        <v>2823</v>
      </c>
      <c r="S419">
        <v>3520</v>
      </c>
      <c r="T419" t="s">
        <v>2439</v>
      </c>
      <c r="U419">
        <v>3520005</v>
      </c>
      <c r="V419" t="s">
        <v>2439</v>
      </c>
      <c r="W419">
        <v>535</v>
      </c>
      <c r="X419" t="s">
        <v>2439</v>
      </c>
      <c r="Y419">
        <v>3530</v>
      </c>
      <c r="Z419" t="s">
        <v>2439</v>
      </c>
      <c r="AA419" t="s">
        <v>4757</v>
      </c>
      <c r="AB419">
        <v>8</v>
      </c>
      <c r="AC419" t="s">
        <v>2420</v>
      </c>
      <c r="AD419" t="s">
        <v>2421</v>
      </c>
      <c r="AE419">
        <v>2</v>
      </c>
      <c r="AF419" t="s">
        <v>2422</v>
      </c>
      <c r="AG419" t="s">
        <v>2423</v>
      </c>
      <c r="AH419">
        <v>1</v>
      </c>
      <c r="AI419">
        <v>1</v>
      </c>
      <c r="AJ419">
        <v>0</v>
      </c>
      <c r="AK419">
        <v>1</v>
      </c>
    </row>
    <row r="420" spans="1:37" x14ac:dyDescent="0.25">
      <c r="A420">
        <v>2014</v>
      </c>
      <c r="B420">
        <v>25072</v>
      </c>
      <c r="C420" t="s">
        <v>1043</v>
      </c>
      <c r="D420" t="s">
        <v>2158</v>
      </c>
      <c r="G420" t="s">
        <v>2924</v>
      </c>
      <c r="H420" t="s">
        <v>243</v>
      </c>
      <c r="J420" t="s">
        <v>4758</v>
      </c>
      <c r="K420" t="s">
        <v>4759</v>
      </c>
      <c r="L420">
        <v>49.342599999999997</v>
      </c>
      <c r="M420">
        <v>-102.68218</v>
      </c>
      <c r="N420">
        <v>1983</v>
      </c>
      <c r="O420">
        <v>211113</v>
      </c>
      <c r="P420">
        <v>4</v>
      </c>
      <c r="Q420" t="s">
        <v>2398</v>
      </c>
      <c r="R420" t="s">
        <v>2399</v>
      </c>
      <c r="S420">
        <v>4701</v>
      </c>
      <c r="T420" t="s">
        <v>2523</v>
      </c>
      <c r="U420">
        <v>4701031</v>
      </c>
      <c r="V420" t="s">
        <v>2654</v>
      </c>
      <c r="X420" t="s">
        <v>2402</v>
      </c>
      <c r="Y420">
        <v>4710</v>
      </c>
      <c r="Z420" t="s">
        <v>2525</v>
      </c>
      <c r="AA420" t="s">
        <v>2655</v>
      </c>
      <c r="AB420">
        <v>10</v>
      </c>
      <c r="AC420" t="s">
        <v>2405</v>
      </c>
      <c r="AD420" t="s">
        <v>2406</v>
      </c>
      <c r="AE420">
        <v>5</v>
      </c>
      <c r="AF420" t="s">
        <v>2407</v>
      </c>
      <c r="AG420" t="s">
        <v>2408</v>
      </c>
      <c r="AH420">
        <v>0</v>
      </c>
      <c r="AI420">
        <v>0</v>
      </c>
      <c r="AJ420">
        <v>0</v>
      </c>
      <c r="AK420">
        <v>0</v>
      </c>
    </row>
    <row r="421" spans="1:37" x14ac:dyDescent="0.25">
      <c r="A421">
        <v>2009</v>
      </c>
      <c r="B421">
        <v>17884</v>
      </c>
      <c r="C421" t="s">
        <v>1955</v>
      </c>
      <c r="D421" t="s">
        <v>4760</v>
      </c>
      <c r="E421" t="s">
        <v>4761</v>
      </c>
      <c r="F421" t="s">
        <v>4762</v>
      </c>
      <c r="G421" t="s">
        <v>4763</v>
      </c>
      <c r="H421" t="s">
        <v>85</v>
      </c>
      <c r="I421" t="s">
        <v>4764</v>
      </c>
      <c r="J421" t="s">
        <v>4765</v>
      </c>
      <c r="K421" t="s">
        <v>4766</v>
      </c>
      <c r="L421">
        <v>56.973300000000002</v>
      </c>
      <c r="M421">
        <v>-116.58499999999999</v>
      </c>
      <c r="N421">
        <v>1983</v>
      </c>
      <c r="O421">
        <v>211114</v>
      </c>
      <c r="P421">
        <v>9</v>
      </c>
      <c r="Q421" t="s">
        <v>4767</v>
      </c>
      <c r="R421" t="s">
        <v>4768</v>
      </c>
      <c r="S421">
        <v>4817</v>
      </c>
      <c r="T421" t="s">
        <v>2471</v>
      </c>
      <c r="U421">
        <v>4817026</v>
      </c>
      <c r="V421" t="s">
        <v>3989</v>
      </c>
      <c r="X421" t="s">
        <v>2402</v>
      </c>
      <c r="Y421">
        <v>4870</v>
      </c>
      <c r="Z421" t="s">
        <v>2473</v>
      </c>
      <c r="AA421" t="s">
        <v>2474</v>
      </c>
      <c r="AB421">
        <v>9</v>
      </c>
      <c r="AC421" t="s">
        <v>2475</v>
      </c>
      <c r="AD421" t="s">
        <v>2476</v>
      </c>
      <c r="AE421">
        <v>7</v>
      </c>
      <c r="AF421" t="s">
        <v>2477</v>
      </c>
      <c r="AG421" t="s">
        <v>2478</v>
      </c>
      <c r="AH421">
        <v>0</v>
      </c>
      <c r="AI421">
        <v>0</v>
      </c>
      <c r="AJ421">
        <v>0</v>
      </c>
      <c r="AK421">
        <v>0</v>
      </c>
    </row>
    <row r="422" spans="1:37" x14ac:dyDescent="0.25">
      <c r="A422">
        <v>2010</v>
      </c>
      <c r="B422">
        <v>24010</v>
      </c>
      <c r="C422" t="s">
        <v>1999</v>
      </c>
      <c r="D422" t="s">
        <v>4769</v>
      </c>
      <c r="E422" t="s">
        <v>4770</v>
      </c>
      <c r="H422" t="s">
        <v>243</v>
      </c>
      <c r="J422" t="s">
        <v>4771</v>
      </c>
      <c r="K422" t="s">
        <v>4772</v>
      </c>
      <c r="L422">
        <v>49.798437999999997</v>
      </c>
      <c r="M422">
        <v>-108.508822</v>
      </c>
      <c r="N422">
        <v>1983</v>
      </c>
      <c r="O422">
        <v>211113</v>
      </c>
      <c r="P422">
        <v>4</v>
      </c>
      <c r="Q422" t="s">
        <v>2398</v>
      </c>
      <c r="R422" t="s">
        <v>2399</v>
      </c>
      <c r="S422">
        <v>4704</v>
      </c>
      <c r="T422" t="s">
        <v>2506</v>
      </c>
      <c r="U422">
        <v>4704054</v>
      </c>
      <c r="V422" t="s">
        <v>2980</v>
      </c>
      <c r="X422" t="s">
        <v>2402</v>
      </c>
      <c r="Y422">
        <v>4720</v>
      </c>
      <c r="Z422" t="s">
        <v>2403</v>
      </c>
      <c r="AA422" t="s">
        <v>2404</v>
      </c>
      <c r="AB422">
        <v>10</v>
      </c>
      <c r="AC422" t="s">
        <v>2405</v>
      </c>
      <c r="AD422" t="s">
        <v>2406</v>
      </c>
      <c r="AE422">
        <v>5</v>
      </c>
      <c r="AF422" t="s">
        <v>2407</v>
      </c>
      <c r="AG422" t="s">
        <v>2408</v>
      </c>
      <c r="AH422">
        <v>0</v>
      </c>
      <c r="AI422">
        <v>0</v>
      </c>
      <c r="AJ422">
        <v>0</v>
      </c>
      <c r="AK422">
        <v>0</v>
      </c>
    </row>
    <row r="423" spans="1:37" x14ac:dyDescent="0.25">
      <c r="A423">
        <v>2015</v>
      </c>
      <c r="B423">
        <v>18251</v>
      </c>
      <c r="C423" t="s">
        <v>4773</v>
      </c>
      <c r="D423" t="s">
        <v>4774</v>
      </c>
      <c r="G423" t="s">
        <v>4775</v>
      </c>
      <c r="H423" t="s">
        <v>85</v>
      </c>
      <c r="J423" t="s">
        <v>4776</v>
      </c>
      <c r="K423" t="s">
        <v>4777</v>
      </c>
      <c r="L423">
        <v>53.744999999999997</v>
      </c>
      <c r="M423">
        <v>-114.2206</v>
      </c>
      <c r="N423">
        <v>1983</v>
      </c>
      <c r="O423">
        <v>211113</v>
      </c>
      <c r="P423">
        <v>4</v>
      </c>
      <c r="Q423" t="s">
        <v>2398</v>
      </c>
      <c r="R423" t="s">
        <v>2399</v>
      </c>
      <c r="S423">
        <v>4813</v>
      </c>
      <c r="T423" t="s">
        <v>2428</v>
      </c>
      <c r="U423">
        <v>4813001</v>
      </c>
      <c r="V423" t="s">
        <v>2946</v>
      </c>
      <c r="X423" t="s">
        <v>2402</v>
      </c>
      <c r="Y423">
        <v>4870</v>
      </c>
      <c r="Z423" t="s">
        <v>2473</v>
      </c>
      <c r="AA423" t="s">
        <v>2839</v>
      </c>
      <c r="AB423">
        <v>9</v>
      </c>
      <c r="AC423" t="s">
        <v>2475</v>
      </c>
      <c r="AD423" t="s">
        <v>2476</v>
      </c>
      <c r="AE423">
        <v>5</v>
      </c>
      <c r="AF423" t="s">
        <v>2407</v>
      </c>
      <c r="AG423" t="s">
        <v>2408</v>
      </c>
      <c r="AH423">
        <v>0</v>
      </c>
      <c r="AI423">
        <v>0</v>
      </c>
      <c r="AJ423">
        <v>0</v>
      </c>
      <c r="AK423">
        <v>0</v>
      </c>
    </row>
    <row r="424" spans="1:37" x14ac:dyDescent="0.25">
      <c r="A424">
        <v>2023</v>
      </c>
      <c r="B424">
        <v>30207</v>
      </c>
      <c r="C424" t="s">
        <v>2148</v>
      </c>
      <c r="D424" t="s">
        <v>4778</v>
      </c>
      <c r="H424" t="s">
        <v>85</v>
      </c>
      <c r="J424" t="s">
        <v>4779</v>
      </c>
      <c r="K424" t="s">
        <v>4780</v>
      </c>
      <c r="L424">
        <v>50.654003000000003</v>
      </c>
      <c r="M424">
        <v>-112.067617</v>
      </c>
      <c r="N424">
        <v>1983</v>
      </c>
      <c r="O424">
        <v>211110</v>
      </c>
      <c r="P424">
        <v>4</v>
      </c>
      <c r="Q424" t="s">
        <v>2398</v>
      </c>
      <c r="R424" t="s">
        <v>2399</v>
      </c>
      <c r="S424">
        <v>4802</v>
      </c>
      <c r="T424" t="s">
        <v>2696</v>
      </c>
      <c r="U424">
        <v>4802031</v>
      </c>
      <c r="V424" t="s">
        <v>2905</v>
      </c>
      <c r="W424">
        <v>806</v>
      </c>
      <c r="X424" t="s">
        <v>2906</v>
      </c>
      <c r="Y424">
        <v>4810</v>
      </c>
      <c r="Z424" t="s">
        <v>2603</v>
      </c>
      <c r="AA424" t="s">
        <v>2671</v>
      </c>
      <c r="AB424">
        <v>10</v>
      </c>
      <c r="AC424" t="s">
        <v>2405</v>
      </c>
      <c r="AD424" t="s">
        <v>2406</v>
      </c>
      <c r="AE424">
        <v>5</v>
      </c>
      <c r="AF424" t="s">
        <v>2407</v>
      </c>
      <c r="AG424" t="s">
        <v>2408</v>
      </c>
      <c r="AH424">
        <v>0</v>
      </c>
      <c r="AI424">
        <v>0</v>
      </c>
      <c r="AJ424">
        <v>0</v>
      </c>
      <c r="AK424">
        <v>0</v>
      </c>
    </row>
    <row r="425" spans="1:37" x14ac:dyDescent="0.25">
      <c r="A425">
        <v>2019</v>
      </c>
      <c r="B425">
        <v>25224</v>
      </c>
      <c r="C425" t="s">
        <v>1935</v>
      </c>
      <c r="D425" t="s">
        <v>1936</v>
      </c>
      <c r="G425" t="s">
        <v>3950</v>
      </c>
      <c r="H425" t="s">
        <v>85</v>
      </c>
      <c r="I425" t="s">
        <v>4338</v>
      </c>
      <c r="J425" t="s">
        <v>4781</v>
      </c>
      <c r="K425" t="s">
        <v>4782</v>
      </c>
      <c r="L425">
        <v>55.423119999999997</v>
      </c>
      <c r="M425">
        <v>-119.33037</v>
      </c>
      <c r="N425">
        <v>1983</v>
      </c>
      <c r="O425">
        <v>211110</v>
      </c>
      <c r="P425">
        <v>4</v>
      </c>
      <c r="Q425" t="s">
        <v>2398</v>
      </c>
      <c r="R425" t="s">
        <v>2399</v>
      </c>
      <c r="S425">
        <v>4819</v>
      </c>
      <c r="T425" t="s">
        <v>2565</v>
      </c>
      <c r="U425">
        <v>4819006</v>
      </c>
      <c r="V425" t="s">
        <v>2639</v>
      </c>
      <c r="X425" t="s">
        <v>2402</v>
      </c>
      <c r="Y425">
        <v>4870</v>
      </c>
      <c r="Z425" t="s">
        <v>2473</v>
      </c>
      <c r="AA425" t="s">
        <v>2474</v>
      </c>
      <c r="AB425">
        <v>9</v>
      </c>
      <c r="AC425" t="s">
        <v>2475</v>
      </c>
      <c r="AD425" t="s">
        <v>2476</v>
      </c>
      <c r="AE425">
        <v>7</v>
      </c>
      <c r="AF425" t="s">
        <v>2477</v>
      </c>
      <c r="AG425" t="s">
        <v>2478</v>
      </c>
      <c r="AH425">
        <v>0</v>
      </c>
      <c r="AI425">
        <v>0</v>
      </c>
      <c r="AJ425">
        <v>0</v>
      </c>
      <c r="AK425">
        <v>0</v>
      </c>
    </row>
    <row r="426" spans="1:37" x14ac:dyDescent="0.25">
      <c r="A426">
        <v>2016</v>
      </c>
      <c r="B426">
        <v>23515</v>
      </c>
      <c r="C426" t="s">
        <v>1995</v>
      </c>
      <c r="D426" t="s">
        <v>4783</v>
      </c>
      <c r="G426" t="s">
        <v>3112</v>
      </c>
      <c r="H426" t="s">
        <v>85</v>
      </c>
      <c r="J426" t="s">
        <v>4784</v>
      </c>
      <c r="K426" t="s">
        <v>4785</v>
      </c>
      <c r="L426">
        <v>54.511699999999998</v>
      </c>
      <c r="M426">
        <v>-111.00749999999999</v>
      </c>
      <c r="N426">
        <v>1983</v>
      </c>
      <c r="O426">
        <v>211113</v>
      </c>
      <c r="P426">
        <v>4</v>
      </c>
      <c r="Q426" t="s">
        <v>2398</v>
      </c>
      <c r="R426" t="s">
        <v>2399</v>
      </c>
      <c r="S426">
        <v>4812</v>
      </c>
      <c r="T426" t="s">
        <v>2724</v>
      </c>
      <c r="U426">
        <v>4812004</v>
      </c>
      <c r="V426" t="s">
        <v>2725</v>
      </c>
      <c r="X426" t="s">
        <v>2402</v>
      </c>
      <c r="Y426">
        <v>4880</v>
      </c>
      <c r="Z426" t="s">
        <v>2726</v>
      </c>
      <c r="AA426" t="s">
        <v>2727</v>
      </c>
      <c r="AB426">
        <v>9</v>
      </c>
      <c r="AC426" t="s">
        <v>2475</v>
      </c>
      <c r="AD426" t="s">
        <v>2476</v>
      </c>
      <c r="AE426">
        <v>6</v>
      </c>
      <c r="AF426" t="s">
        <v>2728</v>
      </c>
      <c r="AG426" t="s">
        <v>2729</v>
      </c>
      <c r="AH426">
        <v>0</v>
      </c>
      <c r="AI426">
        <v>0</v>
      </c>
      <c r="AJ426">
        <v>0</v>
      </c>
      <c r="AK426">
        <v>0</v>
      </c>
    </row>
    <row r="427" spans="1:37" x14ac:dyDescent="0.25">
      <c r="A427">
        <v>2008</v>
      </c>
      <c r="B427">
        <v>10645</v>
      </c>
      <c r="C427" t="s">
        <v>4786</v>
      </c>
      <c r="D427" t="s">
        <v>4787</v>
      </c>
      <c r="E427" t="s">
        <v>4788</v>
      </c>
      <c r="G427" t="s">
        <v>188</v>
      </c>
      <c r="H427" t="s">
        <v>21</v>
      </c>
      <c r="I427" t="s">
        <v>4789</v>
      </c>
      <c r="K427" t="s">
        <v>4790</v>
      </c>
      <c r="L427">
        <v>42.984200000000001</v>
      </c>
      <c r="M427">
        <v>-81.208600000000004</v>
      </c>
      <c r="N427">
        <v>1983</v>
      </c>
      <c r="O427">
        <v>334410</v>
      </c>
      <c r="P427">
        <v>11</v>
      </c>
      <c r="Q427" t="s">
        <v>2532</v>
      </c>
      <c r="R427" t="s">
        <v>2533</v>
      </c>
      <c r="S427">
        <v>3539</v>
      </c>
      <c r="T427" t="s">
        <v>3341</v>
      </c>
      <c r="U427">
        <v>3539036</v>
      </c>
      <c r="V427" t="s">
        <v>3343</v>
      </c>
      <c r="W427">
        <v>555</v>
      </c>
      <c r="X427" t="s">
        <v>3343</v>
      </c>
      <c r="Y427">
        <v>3560</v>
      </c>
      <c r="Z427" t="s">
        <v>3343</v>
      </c>
      <c r="AA427" t="s">
        <v>4791</v>
      </c>
      <c r="AB427">
        <v>8</v>
      </c>
      <c r="AC427" t="s">
        <v>2420</v>
      </c>
      <c r="AD427" t="s">
        <v>2421</v>
      </c>
      <c r="AE427">
        <v>2</v>
      </c>
      <c r="AF427" t="s">
        <v>2422</v>
      </c>
      <c r="AG427" t="s">
        <v>2423</v>
      </c>
      <c r="AH427">
        <v>1</v>
      </c>
      <c r="AI427">
        <v>1</v>
      </c>
      <c r="AJ427">
        <v>0</v>
      </c>
      <c r="AK427">
        <v>1</v>
      </c>
    </row>
    <row r="428" spans="1:37" x14ac:dyDescent="0.25">
      <c r="A428">
        <v>2012</v>
      </c>
      <c r="B428">
        <v>26608</v>
      </c>
      <c r="C428" t="s">
        <v>1720</v>
      </c>
      <c r="D428" t="s">
        <v>4792</v>
      </c>
      <c r="H428" t="s">
        <v>85</v>
      </c>
      <c r="J428" t="s">
        <v>4793</v>
      </c>
      <c r="K428" t="s">
        <v>4794</v>
      </c>
      <c r="L428">
        <v>53.269461</v>
      </c>
      <c r="M428">
        <v>-115.638807</v>
      </c>
      <c r="N428">
        <v>1983</v>
      </c>
      <c r="O428">
        <v>211113</v>
      </c>
      <c r="P428">
        <v>4</v>
      </c>
      <c r="Q428" t="s">
        <v>2398</v>
      </c>
      <c r="R428" t="s">
        <v>2399</v>
      </c>
      <c r="S428">
        <v>4814</v>
      </c>
      <c r="T428" t="s">
        <v>3256</v>
      </c>
      <c r="U428">
        <v>4814003</v>
      </c>
      <c r="V428" t="s">
        <v>3257</v>
      </c>
      <c r="X428" t="s">
        <v>2402</v>
      </c>
      <c r="Y428">
        <v>4840</v>
      </c>
      <c r="Z428" t="s">
        <v>2633</v>
      </c>
      <c r="AA428" t="s">
        <v>2839</v>
      </c>
      <c r="AB428">
        <v>9</v>
      </c>
      <c r="AC428" t="s">
        <v>2475</v>
      </c>
      <c r="AD428" t="s">
        <v>2476</v>
      </c>
      <c r="AE428">
        <v>7</v>
      </c>
      <c r="AF428" t="s">
        <v>2477</v>
      </c>
      <c r="AG428" t="s">
        <v>2478</v>
      </c>
      <c r="AH428">
        <v>0</v>
      </c>
      <c r="AI428">
        <v>0</v>
      </c>
      <c r="AJ428">
        <v>0</v>
      </c>
      <c r="AK428">
        <v>0</v>
      </c>
    </row>
    <row r="429" spans="1:37" x14ac:dyDescent="0.25">
      <c r="A429">
        <v>2011</v>
      </c>
      <c r="B429">
        <v>24422</v>
      </c>
      <c r="C429" t="s">
        <v>1027</v>
      </c>
      <c r="D429" t="s">
        <v>4795</v>
      </c>
      <c r="H429" t="s">
        <v>243</v>
      </c>
      <c r="J429" t="s">
        <v>4796</v>
      </c>
      <c r="K429" t="s">
        <v>4797</v>
      </c>
      <c r="L429">
        <v>53.025199999999998</v>
      </c>
      <c r="M429">
        <v>-109.84193</v>
      </c>
      <c r="N429">
        <v>1983</v>
      </c>
      <c r="O429">
        <v>211113</v>
      </c>
      <c r="P429">
        <v>4</v>
      </c>
      <c r="Q429" t="s">
        <v>2398</v>
      </c>
      <c r="R429" t="s">
        <v>2399</v>
      </c>
      <c r="S429">
        <v>4717</v>
      </c>
      <c r="T429" t="s">
        <v>2471</v>
      </c>
      <c r="U429">
        <v>4717022</v>
      </c>
      <c r="V429" t="s">
        <v>3396</v>
      </c>
      <c r="W429">
        <v>840</v>
      </c>
      <c r="X429" t="s">
        <v>3397</v>
      </c>
      <c r="Y429">
        <v>4750</v>
      </c>
      <c r="Z429" t="s">
        <v>3003</v>
      </c>
      <c r="AA429" t="s">
        <v>3238</v>
      </c>
      <c r="AB429">
        <v>10</v>
      </c>
      <c r="AC429" t="s">
        <v>2405</v>
      </c>
      <c r="AD429" t="s">
        <v>2406</v>
      </c>
      <c r="AE429">
        <v>5</v>
      </c>
      <c r="AF429" t="s">
        <v>2407</v>
      </c>
      <c r="AG429" t="s">
        <v>2408</v>
      </c>
      <c r="AH429">
        <v>0</v>
      </c>
      <c r="AI429">
        <v>0</v>
      </c>
      <c r="AJ429">
        <v>0</v>
      </c>
      <c r="AK429">
        <v>0</v>
      </c>
    </row>
    <row r="430" spans="1:37" x14ac:dyDescent="0.25">
      <c r="A430">
        <v>2016</v>
      </c>
      <c r="B430">
        <v>6432</v>
      </c>
      <c r="C430" t="s">
        <v>4798</v>
      </c>
      <c r="D430" t="s">
        <v>4799</v>
      </c>
      <c r="E430" t="s">
        <v>4800</v>
      </c>
      <c r="G430" t="s">
        <v>4801</v>
      </c>
      <c r="H430" t="s">
        <v>79</v>
      </c>
      <c r="I430" t="s">
        <v>4802</v>
      </c>
      <c r="K430" t="s">
        <v>4803</v>
      </c>
      <c r="L430">
        <v>45.213594000000001</v>
      </c>
      <c r="M430">
        <v>-73.826228</v>
      </c>
      <c r="N430">
        <v>1983</v>
      </c>
      <c r="O430">
        <v>325314</v>
      </c>
      <c r="P430">
        <v>3</v>
      </c>
      <c r="Q430" t="s">
        <v>2822</v>
      </c>
      <c r="R430" t="s">
        <v>2823</v>
      </c>
      <c r="S430">
        <v>2470</v>
      </c>
      <c r="T430" t="s">
        <v>4804</v>
      </c>
      <c r="U430">
        <v>2470012</v>
      </c>
      <c r="V430" t="s">
        <v>4805</v>
      </c>
      <c r="X430" t="s">
        <v>2402</v>
      </c>
      <c r="Y430">
        <v>2435</v>
      </c>
      <c r="Z430" t="s">
        <v>2451</v>
      </c>
      <c r="AA430" t="s">
        <v>4806</v>
      </c>
      <c r="AB430">
        <v>8</v>
      </c>
      <c r="AC430" t="s">
        <v>2420</v>
      </c>
      <c r="AD430" t="s">
        <v>2421</v>
      </c>
      <c r="AE430">
        <v>2</v>
      </c>
      <c r="AF430" t="s">
        <v>2422</v>
      </c>
      <c r="AG430" t="s">
        <v>2423</v>
      </c>
      <c r="AH430">
        <v>1</v>
      </c>
      <c r="AI430">
        <v>0</v>
      </c>
      <c r="AJ430">
        <v>1</v>
      </c>
      <c r="AK430">
        <v>1</v>
      </c>
    </row>
    <row r="431" spans="1:37" x14ac:dyDescent="0.25">
      <c r="A431">
        <v>2013</v>
      </c>
      <c r="B431">
        <v>27418</v>
      </c>
      <c r="C431" t="s">
        <v>3661</v>
      </c>
      <c r="D431" t="s">
        <v>4807</v>
      </c>
      <c r="H431" t="s">
        <v>85</v>
      </c>
      <c r="J431" t="s">
        <v>4808</v>
      </c>
      <c r="K431" t="s">
        <v>4809</v>
      </c>
      <c r="L431">
        <v>52.520578999999998</v>
      </c>
      <c r="M431">
        <v>-114.580973</v>
      </c>
      <c r="N431">
        <v>1983</v>
      </c>
      <c r="O431">
        <v>211113</v>
      </c>
      <c r="P431">
        <v>4</v>
      </c>
      <c r="Q431" t="s">
        <v>2398</v>
      </c>
      <c r="R431" t="s">
        <v>2399</v>
      </c>
      <c r="S431">
        <v>4809</v>
      </c>
      <c r="T431" t="s">
        <v>2631</v>
      </c>
      <c r="U431">
        <v>4809002</v>
      </c>
      <c r="V431" t="s">
        <v>2632</v>
      </c>
      <c r="X431" t="s">
        <v>2402</v>
      </c>
      <c r="Y431">
        <v>4840</v>
      </c>
      <c r="Z431" t="s">
        <v>2633</v>
      </c>
      <c r="AA431" t="s">
        <v>2793</v>
      </c>
      <c r="AB431">
        <v>9</v>
      </c>
      <c r="AC431" t="s">
        <v>2475</v>
      </c>
      <c r="AD431" t="s">
        <v>2476</v>
      </c>
      <c r="AE431">
        <v>5</v>
      </c>
      <c r="AF431" t="s">
        <v>2407</v>
      </c>
      <c r="AG431" t="s">
        <v>2408</v>
      </c>
      <c r="AH431">
        <v>0</v>
      </c>
      <c r="AI431">
        <v>0</v>
      </c>
      <c r="AJ431">
        <v>0</v>
      </c>
      <c r="AK431">
        <v>0</v>
      </c>
    </row>
    <row r="432" spans="1:37" x14ac:dyDescent="0.25">
      <c r="A432">
        <v>2010</v>
      </c>
      <c r="B432">
        <v>15514</v>
      </c>
      <c r="C432" t="s">
        <v>2176</v>
      </c>
      <c r="D432" t="s">
        <v>4810</v>
      </c>
      <c r="E432" t="s">
        <v>4811</v>
      </c>
      <c r="H432" t="s">
        <v>85</v>
      </c>
      <c r="J432" t="s">
        <v>4812</v>
      </c>
      <c r="K432" t="s">
        <v>4813</v>
      </c>
      <c r="L432">
        <v>56.506100000000004</v>
      </c>
      <c r="M432">
        <v>-117.9828</v>
      </c>
      <c r="N432">
        <v>1983</v>
      </c>
      <c r="O432">
        <v>211113</v>
      </c>
      <c r="P432">
        <v>4</v>
      </c>
      <c r="Q432" t="s">
        <v>2398</v>
      </c>
      <c r="R432" t="s">
        <v>2399</v>
      </c>
      <c r="S432">
        <v>4817</v>
      </c>
      <c r="T432" t="s">
        <v>2471</v>
      </c>
      <c r="U432">
        <v>4817076</v>
      </c>
      <c r="V432" t="s">
        <v>3954</v>
      </c>
      <c r="X432" t="s">
        <v>2402</v>
      </c>
      <c r="Y432">
        <v>4870</v>
      </c>
      <c r="Z432" t="s">
        <v>2473</v>
      </c>
      <c r="AA432" t="s">
        <v>2474</v>
      </c>
      <c r="AB432">
        <v>9</v>
      </c>
      <c r="AC432" t="s">
        <v>2475</v>
      </c>
      <c r="AD432" t="s">
        <v>2476</v>
      </c>
      <c r="AE432">
        <v>7</v>
      </c>
      <c r="AF432" t="s">
        <v>2477</v>
      </c>
      <c r="AG432" t="s">
        <v>2478</v>
      </c>
      <c r="AH432">
        <v>0</v>
      </c>
      <c r="AI432">
        <v>0</v>
      </c>
      <c r="AJ432">
        <v>0</v>
      </c>
      <c r="AK432">
        <v>0</v>
      </c>
    </row>
    <row r="433" spans="1:37" x14ac:dyDescent="0.25">
      <c r="A433">
        <v>2017</v>
      </c>
      <c r="B433">
        <v>29713</v>
      </c>
      <c r="C433" t="s">
        <v>1791</v>
      </c>
      <c r="D433" t="s">
        <v>4814</v>
      </c>
      <c r="H433" t="s">
        <v>243</v>
      </c>
      <c r="J433" t="s">
        <v>4815</v>
      </c>
      <c r="K433" t="s">
        <v>4816</v>
      </c>
      <c r="L433">
        <v>51.534936000000002</v>
      </c>
      <c r="M433">
        <v>-109.464083</v>
      </c>
      <c r="N433">
        <v>1983</v>
      </c>
      <c r="O433">
        <v>211110</v>
      </c>
      <c r="P433">
        <v>4</v>
      </c>
      <c r="Q433" t="s">
        <v>2398</v>
      </c>
      <c r="R433" t="s">
        <v>2399</v>
      </c>
      <c r="S433">
        <v>4713</v>
      </c>
      <c r="T433" t="s">
        <v>2428</v>
      </c>
      <c r="U433">
        <v>4713006</v>
      </c>
      <c r="V433" t="s">
        <v>3071</v>
      </c>
      <c r="X433" t="s">
        <v>2402</v>
      </c>
      <c r="Y433">
        <v>4730</v>
      </c>
      <c r="Z433" t="s">
        <v>2430</v>
      </c>
      <c r="AA433" t="s">
        <v>2431</v>
      </c>
      <c r="AB433">
        <v>10</v>
      </c>
      <c r="AC433" t="s">
        <v>2405</v>
      </c>
      <c r="AD433" t="s">
        <v>2406</v>
      </c>
      <c r="AE433">
        <v>5</v>
      </c>
      <c r="AF433" t="s">
        <v>2407</v>
      </c>
      <c r="AG433" t="s">
        <v>2408</v>
      </c>
      <c r="AH433">
        <v>0</v>
      </c>
      <c r="AI433">
        <v>0</v>
      </c>
      <c r="AJ433">
        <v>0</v>
      </c>
      <c r="AK433">
        <v>0</v>
      </c>
    </row>
    <row r="434" spans="1:37" x14ac:dyDescent="0.25">
      <c r="A434">
        <v>2019</v>
      </c>
      <c r="B434">
        <v>7619</v>
      </c>
      <c r="C434" t="s">
        <v>4817</v>
      </c>
      <c r="D434" t="s">
        <v>1868</v>
      </c>
      <c r="E434" t="s">
        <v>4818</v>
      </c>
      <c r="G434" t="s">
        <v>4819</v>
      </c>
      <c r="H434" t="s">
        <v>21</v>
      </c>
      <c r="I434" t="s">
        <v>4820</v>
      </c>
      <c r="K434" t="s">
        <v>4821</v>
      </c>
      <c r="L434">
        <v>44.569499999999998</v>
      </c>
      <c r="M434">
        <v>-79.099900000000005</v>
      </c>
      <c r="N434">
        <v>1983</v>
      </c>
      <c r="O434">
        <v>212315</v>
      </c>
      <c r="P434">
        <v>8</v>
      </c>
      <c r="Q434" t="s">
        <v>2862</v>
      </c>
      <c r="R434" t="s">
        <v>2863</v>
      </c>
      <c r="S434">
        <v>3516</v>
      </c>
      <c r="T434" t="s">
        <v>4822</v>
      </c>
      <c r="U434">
        <v>3516010</v>
      </c>
      <c r="V434" t="s">
        <v>4822</v>
      </c>
      <c r="W434">
        <v>530</v>
      </c>
      <c r="X434" t="s">
        <v>4822</v>
      </c>
      <c r="Y434">
        <v>3520</v>
      </c>
      <c r="Z434" t="s">
        <v>4823</v>
      </c>
      <c r="AA434" t="s">
        <v>4824</v>
      </c>
      <c r="AB434">
        <v>8</v>
      </c>
      <c r="AC434" t="s">
        <v>2420</v>
      </c>
      <c r="AD434" t="s">
        <v>2421</v>
      </c>
      <c r="AE434">
        <v>2</v>
      </c>
      <c r="AF434" t="s">
        <v>2422</v>
      </c>
      <c r="AG434" t="s">
        <v>2423</v>
      </c>
      <c r="AH434">
        <v>1</v>
      </c>
      <c r="AI434">
        <v>1</v>
      </c>
      <c r="AJ434">
        <v>0</v>
      </c>
      <c r="AK434">
        <v>1</v>
      </c>
    </row>
    <row r="435" spans="1:37" x14ac:dyDescent="0.25">
      <c r="A435">
        <v>2023</v>
      </c>
      <c r="B435">
        <v>5978</v>
      </c>
      <c r="C435" t="s">
        <v>4825</v>
      </c>
      <c r="D435" t="s">
        <v>4826</v>
      </c>
      <c r="E435" t="s">
        <v>4827</v>
      </c>
      <c r="G435" t="s">
        <v>4826</v>
      </c>
      <c r="H435" t="s">
        <v>21</v>
      </c>
      <c r="I435" t="s">
        <v>4828</v>
      </c>
      <c r="K435" t="s">
        <v>4829</v>
      </c>
      <c r="L435">
        <v>42.921900000000001</v>
      </c>
      <c r="M435">
        <v>-80.601200000000006</v>
      </c>
      <c r="N435">
        <v>1983</v>
      </c>
      <c r="O435">
        <v>332118</v>
      </c>
      <c r="P435">
        <v>11</v>
      </c>
      <c r="Q435" t="s">
        <v>2532</v>
      </c>
      <c r="R435" t="s">
        <v>2533</v>
      </c>
      <c r="S435">
        <v>3532</v>
      </c>
      <c r="T435" t="s">
        <v>4830</v>
      </c>
      <c r="U435">
        <v>3532002</v>
      </c>
      <c r="V435" t="s">
        <v>4831</v>
      </c>
      <c r="X435" t="s">
        <v>2402</v>
      </c>
      <c r="Y435">
        <v>3560</v>
      </c>
      <c r="Z435" t="s">
        <v>3343</v>
      </c>
      <c r="AA435" t="s">
        <v>4832</v>
      </c>
      <c r="AB435">
        <v>8</v>
      </c>
      <c r="AC435" t="s">
        <v>2420</v>
      </c>
      <c r="AD435" t="s">
        <v>2421</v>
      </c>
      <c r="AE435">
        <v>2</v>
      </c>
      <c r="AF435" t="s">
        <v>2422</v>
      </c>
      <c r="AG435" t="s">
        <v>2423</v>
      </c>
      <c r="AH435">
        <v>1</v>
      </c>
      <c r="AI435">
        <v>1</v>
      </c>
      <c r="AJ435">
        <v>0</v>
      </c>
      <c r="AK435">
        <v>1</v>
      </c>
    </row>
    <row r="436" spans="1:37" x14ac:dyDescent="0.25">
      <c r="A436">
        <v>2009</v>
      </c>
      <c r="B436">
        <v>22591</v>
      </c>
      <c r="C436" t="s">
        <v>4833</v>
      </c>
      <c r="D436" t="s">
        <v>4834</v>
      </c>
      <c r="E436" t="s">
        <v>4835</v>
      </c>
      <c r="H436" t="s">
        <v>85</v>
      </c>
      <c r="J436" t="s">
        <v>4836</v>
      </c>
      <c r="K436" t="s">
        <v>4837</v>
      </c>
      <c r="L436">
        <v>52.052500000000002</v>
      </c>
      <c r="M436">
        <v>-112.2012</v>
      </c>
      <c r="N436">
        <v>1983</v>
      </c>
      <c r="O436">
        <v>211113</v>
      </c>
      <c r="P436">
        <v>4</v>
      </c>
      <c r="Q436" t="s">
        <v>2398</v>
      </c>
      <c r="R436" t="s">
        <v>2399</v>
      </c>
      <c r="S436">
        <v>4807</v>
      </c>
      <c r="T436" t="s">
        <v>2611</v>
      </c>
      <c r="U436">
        <v>4807019</v>
      </c>
      <c r="V436" t="s">
        <v>2713</v>
      </c>
      <c r="X436" t="s">
        <v>2402</v>
      </c>
      <c r="Y436">
        <v>4820</v>
      </c>
      <c r="Z436" t="s">
        <v>2508</v>
      </c>
      <c r="AA436" t="s">
        <v>2671</v>
      </c>
      <c r="AB436">
        <v>10</v>
      </c>
      <c r="AC436" t="s">
        <v>2405</v>
      </c>
      <c r="AD436" t="s">
        <v>2406</v>
      </c>
      <c r="AE436">
        <v>5</v>
      </c>
      <c r="AF436" t="s">
        <v>2407</v>
      </c>
      <c r="AG436" t="s">
        <v>2408</v>
      </c>
      <c r="AH436">
        <v>0</v>
      </c>
      <c r="AI436">
        <v>0</v>
      </c>
      <c r="AJ436">
        <v>0</v>
      </c>
      <c r="AK436">
        <v>0</v>
      </c>
    </row>
    <row r="437" spans="1:37" x14ac:dyDescent="0.25">
      <c r="A437">
        <v>2023</v>
      </c>
      <c r="B437">
        <v>21952</v>
      </c>
      <c r="C437" t="s">
        <v>4838</v>
      </c>
      <c r="D437" t="s">
        <v>4839</v>
      </c>
      <c r="E437" t="s">
        <v>3604</v>
      </c>
      <c r="G437" t="s">
        <v>4840</v>
      </c>
      <c r="H437" t="s">
        <v>54</v>
      </c>
      <c r="J437" t="s">
        <v>4841</v>
      </c>
      <c r="K437" t="s">
        <v>4842</v>
      </c>
      <c r="L437">
        <v>49.962499999999999</v>
      </c>
      <c r="M437">
        <v>-96.960599999999999</v>
      </c>
      <c r="N437">
        <v>1983</v>
      </c>
      <c r="O437">
        <v>212323</v>
      </c>
      <c r="P437">
        <v>8</v>
      </c>
      <c r="Q437" t="s">
        <v>2862</v>
      </c>
      <c r="R437" t="s">
        <v>2863</v>
      </c>
      <c r="S437">
        <v>4612</v>
      </c>
      <c r="T437" t="s">
        <v>2724</v>
      </c>
      <c r="U437">
        <v>4612047</v>
      </c>
      <c r="V437" t="s">
        <v>4843</v>
      </c>
      <c r="W437">
        <v>602</v>
      </c>
      <c r="X437" t="s">
        <v>4844</v>
      </c>
      <c r="Y437">
        <v>4610</v>
      </c>
      <c r="Z437" t="s">
        <v>4845</v>
      </c>
      <c r="AA437" t="s">
        <v>4846</v>
      </c>
      <c r="AB437">
        <v>9</v>
      </c>
      <c r="AC437" t="s">
        <v>2475</v>
      </c>
      <c r="AD437" t="s">
        <v>2476</v>
      </c>
      <c r="AE437">
        <v>5</v>
      </c>
      <c r="AF437" t="s">
        <v>2407</v>
      </c>
      <c r="AG437" t="s">
        <v>2408</v>
      </c>
      <c r="AH437">
        <v>0</v>
      </c>
      <c r="AI437">
        <v>0</v>
      </c>
      <c r="AJ437">
        <v>0</v>
      </c>
      <c r="AK437">
        <v>0</v>
      </c>
    </row>
    <row r="438" spans="1:37" x14ac:dyDescent="0.25">
      <c r="A438">
        <v>2019</v>
      </c>
      <c r="B438">
        <v>24242</v>
      </c>
      <c r="C438" t="s">
        <v>2315</v>
      </c>
      <c r="D438" t="s">
        <v>4847</v>
      </c>
      <c r="G438" t="s">
        <v>4848</v>
      </c>
      <c r="H438" t="s">
        <v>85</v>
      </c>
      <c r="J438" t="s">
        <v>4849</v>
      </c>
      <c r="K438" t="s">
        <v>4850</v>
      </c>
      <c r="L438">
        <v>50.723331000000002</v>
      </c>
      <c r="M438">
        <v>-114.193062</v>
      </c>
      <c r="N438">
        <v>1983</v>
      </c>
      <c r="O438">
        <v>324121</v>
      </c>
      <c r="P438">
        <v>12</v>
      </c>
      <c r="Q438" t="s">
        <v>2704</v>
      </c>
      <c r="R438" t="s">
        <v>2705</v>
      </c>
      <c r="S438">
        <v>4806</v>
      </c>
      <c r="T438" t="s">
        <v>2663</v>
      </c>
      <c r="U438">
        <v>4806001</v>
      </c>
      <c r="V438" t="s">
        <v>4289</v>
      </c>
      <c r="X438" t="s">
        <v>2402</v>
      </c>
      <c r="Y438">
        <v>4830</v>
      </c>
      <c r="Z438" t="s">
        <v>2664</v>
      </c>
      <c r="AA438" t="s">
        <v>4851</v>
      </c>
      <c r="AB438">
        <v>10</v>
      </c>
      <c r="AC438" t="s">
        <v>2405</v>
      </c>
      <c r="AD438" t="s">
        <v>2406</v>
      </c>
      <c r="AE438">
        <v>5</v>
      </c>
      <c r="AF438" t="s">
        <v>2407</v>
      </c>
      <c r="AG438" t="s">
        <v>2408</v>
      </c>
      <c r="AH438">
        <v>0</v>
      </c>
      <c r="AI438">
        <v>0</v>
      </c>
      <c r="AJ438">
        <v>0</v>
      </c>
      <c r="AK438">
        <v>0</v>
      </c>
    </row>
    <row r="439" spans="1:37" x14ac:dyDescent="0.25">
      <c r="A439">
        <v>2014</v>
      </c>
      <c r="B439">
        <v>19111</v>
      </c>
      <c r="C439" t="s">
        <v>4852</v>
      </c>
      <c r="D439" t="s">
        <v>4853</v>
      </c>
      <c r="G439" t="s">
        <v>4854</v>
      </c>
      <c r="H439" t="s">
        <v>85</v>
      </c>
      <c r="I439" t="s">
        <v>4855</v>
      </c>
      <c r="J439" t="s">
        <v>4856</v>
      </c>
      <c r="K439" t="s">
        <v>4857</v>
      </c>
      <c r="L439">
        <v>52.060899999999997</v>
      </c>
      <c r="M439">
        <v>-113.8888</v>
      </c>
      <c r="N439">
        <v>1983</v>
      </c>
      <c r="O439">
        <v>211113</v>
      </c>
      <c r="P439">
        <v>4</v>
      </c>
      <c r="Q439" t="s">
        <v>2398</v>
      </c>
      <c r="R439" t="s">
        <v>2399</v>
      </c>
      <c r="S439">
        <v>4808</v>
      </c>
      <c r="T439" t="s">
        <v>2400</v>
      </c>
      <c r="U439">
        <v>4808001</v>
      </c>
      <c r="V439" t="s">
        <v>3086</v>
      </c>
      <c r="X439" t="s">
        <v>2402</v>
      </c>
      <c r="Y439">
        <v>4850</v>
      </c>
      <c r="Z439" t="s">
        <v>1340</v>
      </c>
      <c r="AA439" t="s">
        <v>4571</v>
      </c>
      <c r="AB439">
        <v>10</v>
      </c>
      <c r="AC439" t="s">
        <v>2405</v>
      </c>
      <c r="AD439" t="s">
        <v>2406</v>
      </c>
      <c r="AE439">
        <v>5</v>
      </c>
      <c r="AF439" t="s">
        <v>2407</v>
      </c>
      <c r="AG439" t="s">
        <v>2408</v>
      </c>
      <c r="AH439">
        <v>0</v>
      </c>
      <c r="AI439">
        <v>0</v>
      </c>
      <c r="AJ439">
        <v>0</v>
      </c>
      <c r="AK439">
        <v>0</v>
      </c>
    </row>
    <row r="440" spans="1:37" x14ac:dyDescent="0.25">
      <c r="A440">
        <v>2005</v>
      </c>
      <c r="B440">
        <v>15523</v>
      </c>
      <c r="C440" t="s">
        <v>1777</v>
      </c>
      <c r="D440" t="s">
        <v>4858</v>
      </c>
      <c r="E440" t="s">
        <v>4859</v>
      </c>
      <c r="H440" t="s">
        <v>243</v>
      </c>
      <c r="J440" t="s">
        <v>4860</v>
      </c>
      <c r="K440" t="s">
        <v>4861</v>
      </c>
      <c r="L440">
        <v>54.098100000000002</v>
      </c>
      <c r="M440">
        <v>-109.51990000000001</v>
      </c>
      <c r="N440">
        <v>1983</v>
      </c>
      <c r="O440">
        <v>211113</v>
      </c>
      <c r="P440">
        <v>4</v>
      </c>
      <c r="Q440" t="s">
        <v>2398</v>
      </c>
      <c r="R440" t="s">
        <v>2399</v>
      </c>
      <c r="S440">
        <v>4717</v>
      </c>
      <c r="T440" t="s">
        <v>2471</v>
      </c>
      <c r="U440">
        <v>4717056</v>
      </c>
      <c r="V440" t="s">
        <v>4862</v>
      </c>
      <c r="X440" t="s">
        <v>2402</v>
      </c>
      <c r="Y440">
        <v>4750</v>
      </c>
      <c r="Z440" t="s">
        <v>3003</v>
      </c>
      <c r="AA440" t="s">
        <v>3238</v>
      </c>
      <c r="AB440">
        <v>9</v>
      </c>
      <c r="AC440" t="s">
        <v>2475</v>
      </c>
      <c r="AD440" t="s">
        <v>2476</v>
      </c>
      <c r="AE440">
        <v>6</v>
      </c>
      <c r="AF440" t="s">
        <v>2728</v>
      </c>
      <c r="AG440" t="s">
        <v>2729</v>
      </c>
      <c r="AH440">
        <v>0</v>
      </c>
      <c r="AI440">
        <v>0</v>
      </c>
      <c r="AJ440">
        <v>0</v>
      </c>
      <c r="AK440">
        <v>0</v>
      </c>
    </row>
    <row r="441" spans="1:37" x14ac:dyDescent="0.25">
      <c r="A441">
        <v>2014</v>
      </c>
      <c r="B441">
        <v>16047</v>
      </c>
      <c r="C441" t="s">
        <v>1027</v>
      </c>
      <c r="D441" t="s">
        <v>4863</v>
      </c>
      <c r="H441" t="s">
        <v>85</v>
      </c>
      <c r="J441" t="s">
        <v>4864</v>
      </c>
      <c r="K441" t="s">
        <v>4865</v>
      </c>
      <c r="L441">
        <v>53.714300000000001</v>
      </c>
      <c r="M441">
        <v>-110.7473</v>
      </c>
      <c r="N441">
        <v>1983</v>
      </c>
      <c r="O441">
        <v>211113</v>
      </c>
      <c r="P441">
        <v>4</v>
      </c>
      <c r="Q441" t="s">
        <v>2398</v>
      </c>
      <c r="R441" t="s">
        <v>2399</v>
      </c>
      <c r="S441">
        <v>4810</v>
      </c>
      <c r="T441" t="s">
        <v>2554</v>
      </c>
      <c r="U441">
        <v>4810036</v>
      </c>
      <c r="V441" t="s">
        <v>2571</v>
      </c>
      <c r="X441" t="s">
        <v>2402</v>
      </c>
      <c r="Y441">
        <v>4820</v>
      </c>
      <c r="Z441" t="s">
        <v>2508</v>
      </c>
      <c r="AA441" t="s">
        <v>2572</v>
      </c>
      <c r="AB441">
        <v>9</v>
      </c>
      <c r="AC441" t="s">
        <v>2475</v>
      </c>
      <c r="AD441" t="s">
        <v>2476</v>
      </c>
      <c r="AE441">
        <v>5</v>
      </c>
      <c r="AF441" t="s">
        <v>2407</v>
      </c>
      <c r="AG441" t="s">
        <v>2408</v>
      </c>
      <c r="AH441">
        <v>0</v>
      </c>
      <c r="AI441">
        <v>0</v>
      </c>
      <c r="AJ441">
        <v>0</v>
      </c>
      <c r="AK441">
        <v>0</v>
      </c>
    </row>
    <row r="442" spans="1:37" x14ac:dyDescent="0.25">
      <c r="A442">
        <v>2008</v>
      </c>
      <c r="B442">
        <v>21299</v>
      </c>
      <c r="C442" t="s">
        <v>2510</v>
      </c>
      <c r="D442" t="s">
        <v>4866</v>
      </c>
      <c r="E442" t="s">
        <v>4867</v>
      </c>
      <c r="H442" t="s">
        <v>85</v>
      </c>
      <c r="J442" t="s">
        <v>4868</v>
      </c>
      <c r="K442" t="s">
        <v>4869</v>
      </c>
      <c r="L442">
        <v>51.6584</v>
      </c>
      <c r="M442">
        <v>-113.0376</v>
      </c>
      <c r="N442">
        <v>1983</v>
      </c>
      <c r="O442">
        <v>211113</v>
      </c>
      <c r="P442">
        <v>4</v>
      </c>
      <c r="Q442" t="s">
        <v>2398</v>
      </c>
      <c r="R442" t="s">
        <v>2399</v>
      </c>
      <c r="S442">
        <v>4805</v>
      </c>
      <c r="T442" t="s">
        <v>2669</v>
      </c>
      <c r="U442">
        <v>4805041</v>
      </c>
      <c r="V442" t="s">
        <v>3026</v>
      </c>
      <c r="X442" t="s">
        <v>2402</v>
      </c>
      <c r="Y442">
        <v>4820</v>
      </c>
      <c r="Z442" t="s">
        <v>2508</v>
      </c>
      <c r="AA442" t="s">
        <v>2634</v>
      </c>
      <c r="AB442">
        <v>10</v>
      </c>
      <c r="AC442" t="s">
        <v>2405</v>
      </c>
      <c r="AD442" t="s">
        <v>2406</v>
      </c>
      <c r="AE442">
        <v>5</v>
      </c>
      <c r="AF442" t="s">
        <v>2407</v>
      </c>
      <c r="AG442" t="s">
        <v>2408</v>
      </c>
      <c r="AH442">
        <v>0</v>
      </c>
      <c r="AI442">
        <v>0</v>
      </c>
      <c r="AJ442">
        <v>0</v>
      </c>
      <c r="AK442">
        <v>0</v>
      </c>
    </row>
    <row r="443" spans="1:37" x14ac:dyDescent="0.25">
      <c r="A443">
        <v>2023</v>
      </c>
      <c r="B443">
        <v>34892</v>
      </c>
      <c r="C443" t="s">
        <v>4870</v>
      </c>
      <c r="D443" t="s">
        <v>4871</v>
      </c>
      <c r="E443" t="s">
        <v>4872</v>
      </c>
      <c r="G443" t="s">
        <v>2450</v>
      </c>
      <c r="H443" t="s">
        <v>79</v>
      </c>
      <c r="I443" t="s">
        <v>4873</v>
      </c>
      <c r="K443" t="s">
        <v>4874</v>
      </c>
      <c r="L443">
        <v>45.511989999999997</v>
      </c>
      <c r="M443">
        <v>-73.688860000000005</v>
      </c>
      <c r="N443">
        <v>1983</v>
      </c>
      <c r="O443">
        <v>325410</v>
      </c>
      <c r="P443">
        <v>3</v>
      </c>
      <c r="Q443" t="s">
        <v>2822</v>
      </c>
      <c r="R443" t="s">
        <v>2823</v>
      </c>
      <c r="S443">
        <v>2466</v>
      </c>
      <c r="T443" t="s">
        <v>2450</v>
      </c>
      <c r="U443">
        <v>2466023</v>
      </c>
      <c r="V443" t="s">
        <v>2450</v>
      </c>
      <c r="W443">
        <v>462</v>
      </c>
      <c r="X443" t="s">
        <v>2450</v>
      </c>
      <c r="Y443">
        <v>2440</v>
      </c>
      <c r="Z443" t="s">
        <v>2450</v>
      </c>
      <c r="AA443" t="s">
        <v>4875</v>
      </c>
      <c r="AB443">
        <v>8</v>
      </c>
      <c r="AC443" t="s">
        <v>2420</v>
      </c>
      <c r="AD443" t="s">
        <v>2421</v>
      </c>
      <c r="AE443">
        <v>2</v>
      </c>
      <c r="AF443" t="s">
        <v>2422</v>
      </c>
      <c r="AG443" t="s">
        <v>2423</v>
      </c>
      <c r="AH443">
        <v>1</v>
      </c>
      <c r="AI443">
        <v>0</v>
      </c>
      <c r="AJ443">
        <v>1</v>
      </c>
      <c r="AK443">
        <v>1</v>
      </c>
    </row>
    <row r="444" spans="1:37" x14ac:dyDescent="0.25">
      <c r="A444">
        <v>2003</v>
      </c>
      <c r="B444">
        <v>17092</v>
      </c>
      <c r="C444" t="s">
        <v>2296</v>
      </c>
      <c r="D444" t="s">
        <v>4876</v>
      </c>
      <c r="E444" t="s">
        <v>4877</v>
      </c>
      <c r="G444" t="s">
        <v>4878</v>
      </c>
      <c r="H444" t="s">
        <v>85</v>
      </c>
      <c r="J444" t="s">
        <v>4879</v>
      </c>
      <c r="K444" t="s">
        <v>4880</v>
      </c>
      <c r="L444">
        <v>50.631500000000003</v>
      </c>
      <c r="M444">
        <v>-111.01049999999999</v>
      </c>
      <c r="N444">
        <v>1983</v>
      </c>
      <c r="O444">
        <v>211113</v>
      </c>
      <c r="P444">
        <v>4</v>
      </c>
      <c r="Q444" t="s">
        <v>2398</v>
      </c>
      <c r="R444" t="s">
        <v>2399</v>
      </c>
      <c r="S444">
        <v>4801</v>
      </c>
      <c r="T444" t="s">
        <v>2523</v>
      </c>
      <c r="U444">
        <v>4801003</v>
      </c>
      <c r="V444" t="s">
        <v>3066</v>
      </c>
      <c r="W444">
        <v>805</v>
      </c>
      <c r="X444" t="s">
        <v>2688</v>
      </c>
      <c r="Y444">
        <v>4810</v>
      </c>
      <c r="Z444" t="s">
        <v>2603</v>
      </c>
      <c r="AA444" t="s">
        <v>2671</v>
      </c>
      <c r="AB444">
        <v>10</v>
      </c>
      <c r="AC444" t="s">
        <v>2405</v>
      </c>
      <c r="AD444" t="s">
        <v>2406</v>
      </c>
      <c r="AE444">
        <v>5</v>
      </c>
      <c r="AF444" t="s">
        <v>2407</v>
      </c>
      <c r="AG444" t="s">
        <v>2408</v>
      </c>
      <c r="AH444">
        <v>0</v>
      </c>
      <c r="AI444">
        <v>0</v>
      </c>
      <c r="AJ444">
        <v>0</v>
      </c>
      <c r="AK444">
        <v>0</v>
      </c>
    </row>
    <row r="445" spans="1:37" x14ac:dyDescent="0.25">
      <c r="A445">
        <v>2011</v>
      </c>
      <c r="B445">
        <v>7305</v>
      </c>
      <c r="C445" t="s">
        <v>4881</v>
      </c>
      <c r="D445" t="s">
        <v>4882</v>
      </c>
      <c r="E445" t="s">
        <v>4883</v>
      </c>
      <c r="G445" t="s">
        <v>4884</v>
      </c>
      <c r="H445" t="s">
        <v>21</v>
      </c>
      <c r="I445" t="s">
        <v>4885</v>
      </c>
      <c r="K445" t="s">
        <v>4886</v>
      </c>
      <c r="L445">
        <v>43.405200000000001</v>
      </c>
      <c r="M445">
        <v>-79.731099999999998</v>
      </c>
      <c r="N445">
        <v>1983</v>
      </c>
      <c r="O445">
        <v>332319</v>
      </c>
      <c r="P445">
        <v>11</v>
      </c>
      <c r="Q445" t="s">
        <v>2532</v>
      </c>
      <c r="R445" t="s">
        <v>2533</v>
      </c>
      <c r="S445">
        <v>3524</v>
      </c>
      <c r="T445" t="s">
        <v>2594</v>
      </c>
      <c r="U445">
        <v>3524001</v>
      </c>
      <c r="V445" t="s">
        <v>4887</v>
      </c>
      <c r="W445">
        <v>535</v>
      </c>
      <c r="X445" t="s">
        <v>2439</v>
      </c>
      <c r="Y445">
        <v>3530</v>
      </c>
      <c r="Z445" t="s">
        <v>2439</v>
      </c>
      <c r="AA445" t="s">
        <v>4888</v>
      </c>
      <c r="AB445">
        <v>8</v>
      </c>
      <c r="AC445" t="s">
        <v>2420</v>
      </c>
      <c r="AD445" t="s">
        <v>2421</v>
      </c>
      <c r="AE445">
        <v>2</v>
      </c>
      <c r="AF445" t="s">
        <v>2422</v>
      </c>
      <c r="AG445" t="s">
        <v>2423</v>
      </c>
      <c r="AH445">
        <v>1</v>
      </c>
      <c r="AI445">
        <v>1</v>
      </c>
      <c r="AJ445">
        <v>0</v>
      </c>
      <c r="AK445">
        <v>1</v>
      </c>
    </row>
    <row r="446" spans="1:37" x14ac:dyDescent="0.25">
      <c r="A446">
        <v>2005</v>
      </c>
      <c r="B446">
        <v>15682</v>
      </c>
      <c r="C446" t="s">
        <v>4889</v>
      </c>
      <c r="D446" t="s">
        <v>4890</v>
      </c>
      <c r="E446" t="s">
        <v>4891</v>
      </c>
      <c r="G446" t="s">
        <v>4892</v>
      </c>
      <c r="H446" t="s">
        <v>85</v>
      </c>
      <c r="J446" t="s">
        <v>4893</v>
      </c>
      <c r="K446" t="s">
        <v>4894</v>
      </c>
      <c r="L446">
        <v>55.043599999999998</v>
      </c>
      <c r="M446">
        <v>-119.9556</v>
      </c>
      <c r="N446">
        <v>1983</v>
      </c>
      <c r="O446">
        <v>211113</v>
      </c>
      <c r="P446">
        <v>4</v>
      </c>
      <c r="Q446" t="s">
        <v>2398</v>
      </c>
      <c r="R446" t="s">
        <v>2399</v>
      </c>
      <c r="S446">
        <v>4819</v>
      </c>
      <c r="T446" t="s">
        <v>2565</v>
      </c>
      <c r="U446">
        <v>4819006</v>
      </c>
      <c r="V446" t="s">
        <v>2639</v>
      </c>
      <c r="X446" t="s">
        <v>2402</v>
      </c>
      <c r="Y446">
        <v>4870</v>
      </c>
      <c r="Z446" t="s">
        <v>2473</v>
      </c>
      <c r="AA446" t="s">
        <v>2474</v>
      </c>
      <c r="AB446">
        <v>9</v>
      </c>
      <c r="AC446" t="s">
        <v>2475</v>
      </c>
      <c r="AD446" t="s">
        <v>2476</v>
      </c>
      <c r="AE446">
        <v>7</v>
      </c>
      <c r="AF446" t="s">
        <v>2477</v>
      </c>
      <c r="AG446" t="s">
        <v>2478</v>
      </c>
      <c r="AH446">
        <v>0</v>
      </c>
      <c r="AI446">
        <v>0</v>
      </c>
      <c r="AJ446">
        <v>0</v>
      </c>
      <c r="AK446">
        <v>0</v>
      </c>
    </row>
    <row r="447" spans="1:37" x14ac:dyDescent="0.25">
      <c r="A447">
        <v>2022</v>
      </c>
      <c r="B447">
        <v>33706</v>
      </c>
      <c r="C447" t="s">
        <v>3171</v>
      </c>
      <c r="D447" t="s">
        <v>4895</v>
      </c>
      <c r="G447" t="s">
        <v>2664</v>
      </c>
      <c r="H447" t="s">
        <v>85</v>
      </c>
      <c r="J447" t="s">
        <v>4896</v>
      </c>
      <c r="K447" t="s">
        <v>4897</v>
      </c>
      <c r="L447">
        <v>54.372278999999999</v>
      </c>
      <c r="M447">
        <v>-118.465586</v>
      </c>
      <c r="N447">
        <v>1983</v>
      </c>
      <c r="O447">
        <v>211110</v>
      </c>
      <c r="P447">
        <v>4</v>
      </c>
      <c r="Q447" t="s">
        <v>2398</v>
      </c>
      <c r="R447" t="s">
        <v>2399</v>
      </c>
      <c r="S447">
        <v>4818</v>
      </c>
      <c r="T447" t="s">
        <v>2545</v>
      </c>
      <c r="U447">
        <v>4818015</v>
      </c>
      <c r="V447" t="s">
        <v>2546</v>
      </c>
      <c r="X447" t="s">
        <v>2402</v>
      </c>
      <c r="Y447">
        <v>4870</v>
      </c>
      <c r="Z447" t="s">
        <v>2473</v>
      </c>
      <c r="AA447" t="s">
        <v>2474</v>
      </c>
      <c r="AB447">
        <v>9</v>
      </c>
      <c r="AC447" t="s">
        <v>2475</v>
      </c>
      <c r="AD447" t="s">
        <v>2476</v>
      </c>
      <c r="AE447">
        <v>7</v>
      </c>
      <c r="AF447" t="s">
        <v>2477</v>
      </c>
      <c r="AG447" t="s">
        <v>2478</v>
      </c>
      <c r="AH447">
        <v>0</v>
      </c>
      <c r="AI447">
        <v>0</v>
      </c>
      <c r="AJ447">
        <v>0</v>
      </c>
      <c r="AK447">
        <v>0</v>
      </c>
    </row>
    <row r="448" spans="1:37" x14ac:dyDescent="0.25">
      <c r="A448">
        <v>2023</v>
      </c>
      <c r="B448">
        <v>8779</v>
      </c>
      <c r="C448" t="s">
        <v>4898</v>
      </c>
      <c r="D448" t="s">
        <v>4899</v>
      </c>
      <c r="E448" t="s">
        <v>4900</v>
      </c>
      <c r="G448" t="s">
        <v>2993</v>
      </c>
      <c r="H448" t="s">
        <v>79</v>
      </c>
      <c r="I448" t="s">
        <v>4901</v>
      </c>
      <c r="K448" t="s">
        <v>4902</v>
      </c>
      <c r="L448">
        <v>45.391199999999998</v>
      </c>
      <c r="M448">
        <v>-71.927099999999996</v>
      </c>
      <c r="N448">
        <v>1983</v>
      </c>
      <c r="O448">
        <v>331317</v>
      </c>
      <c r="P448">
        <v>1</v>
      </c>
      <c r="Q448" t="s">
        <v>4358</v>
      </c>
      <c r="R448" t="s">
        <v>4358</v>
      </c>
      <c r="S448">
        <v>2443</v>
      </c>
      <c r="T448" t="s">
        <v>2993</v>
      </c>
      <c r="U448">
        <v>2443027</v>
      </c>
      <c r="V448" t="s">
        <v>2993</v>
      </c>
      <c r="W448">
        <v>433</v>
      </c>
      <c r="X448" t="s">
        <v>2993</v>
      </c>
      <c r="Y448">
        <v>2430</v>
      </c>
      <c r="Z448" t="s">
        <v>2994</v>
      </c>
      <c r="AA448" t="s">
        <v>4903</v>
      </c>
      <c r="AB448">
        <v>7</v>
      </c>
      <c r="AC448" t="s">
        <v>2996</v>
      </c>
      <c r="AD448" t="s">
        <v>2997</v>
      </c>
      <c r="AE448">
        <v>2</v>
      </c>
      <c r="AF448" t="s">
        <v>2422</v>
      </c>
      <c r="AG448" t="s">
        <v>2423</v>
      </c>
      <c r="AH448">
        <v>1</v>
      </c>
      <c r="AI448">
        <v>0</v>
      </c>
      <c r="AJ448">
        <v>1</v>
      </c>
      <c r="AK448">
        <v>1</v>
      </c>
    </row>
    <row r="449" spans="1:37" x14ac:dyDescent="0.25">
      <c r="A449">
        <v>2023</v>
      </c>
      <c r="B449">
        <v>34312</v>
      </c>
      <c r="C449" t="s">
        <v>3960</v>
      </c>
      <c r="D449" t="s">
        <v>4904</v>
      </c>
      <c r="H449" t="s">
        <v>243</v>
      </c>
      <c r="I449" t="s">
        <v>4102</v>
      </c>
      <c r="J449" t="s">
        <v>4905</v>
      </c>
      <c r="K449" t="s">
        <v>4906</v>
      </c>
      <c r="L449">
        <v>49.639850000000003</v>
      </c>
      <c r="M449">
        <v>-102.61999</v>
      </c>
      <c r="N449">
        <v>1983</v>
      </c>
      <c r="O449">
        <v>211110</v>
      </c>
      <c r="P449">
        <v>4</v>
      </c>
      <c r="Q449" t="s">
        <v>2398</v>
      </c>
      <c r="R449" t="s">
        <v>2399</v>
      </c>
      <c r="S449">
        <v>4701</v>
      </c>
      <c r="T449" t="s">
        <v>2523</v>
      </c>
      <c r="U449">
        <v>4701058</v>
      </c>
      <c r="V449" t="s">
        <v>3330</v>
      </c>
      <c r="X449" t="s">
        <v>2402</v>
      </c>
      <c r="Y449">
        <v>4710</v>
      </c>
      <c r="Z449" t="s">
        <v>2525</v>
      </c>
      <c r="AA449" t="s">
        <v>2655</v>
      </c>
      <c r="AB449">
        <v>10</v>
      </c>
      <c r="AC449" t="s">
        <v>2405</v>
      </c>
      <c r="AD449" t="s">
        <v>2406</v>
      </c>
      <c r="AE449">
        <v>5</v>
      </c>
      <c r="AF449" t="s">
        <v>2407</v>
      </c>
      <c r="AG449" t="s">
        <v>2408</v>
      </c>
      <c r="AH449">
        <v>0</v>
      </c>
      <c r="AI449">
        <v>0</v>
      </c>
      <c r="AJ449">
        <v>0</v>
      </c>
      <c r="AK449">
        <v>0</v>
      </c>
    </row>
    <row r="450" spans="1:37" x14ac:dyDescent="0.25">
      <c r="A450">
        <v>2023</v>
      </c>
      <c r="B450">
        <v>31338</v>
      </c>
      <c r="C450" t="s">
        <v>1529</v>
      </c>
      <c r="D450" t="s">
        <v>4907</v>
      </c>
      <c r="H450" t="s">
        <v>85</v>
      </c>
      <c r="I450" t="s">
        <v>4908</v>
      </c>
      <c r="J450" t="s">
        <v>4909</v>
      </c>
      <c r="K450" t="s">
        <v>4910</v>
      </c>
      <c r="L450">
        <v>54.608707000000003</v>
      </c>
      <c r="M450">
        <v>-117.571246</v>
      </c>
      <c r="N450">
        <v>1983</v>
      </c>
      <c r="O450">
        <v>211110</v>
      </c>
      <c r="P450">
        <v>4</v>
      </c>
      <c r="Q450" t="s">
        <v>2398</v>
      </c>
      <c r="R450" t="s">
        <v>2399</v>
      </c>
      <c r="S450">
        <v>4818</v>
      </c>
      <c r="T450" t="s">
        <v>2545</v>
      </c>
      <c r="U450">
        <v>4818015</v>
      </c>
      <c r="V450" t="s">
        <v>2546</v>
      </c>
      <c r="X450" t="s">
        <v>2402</v>
      </c>
      <c r="Y450">
        <v>4870</v>
      </c>
      <c r="Z450" t="s">
        <v>2473</v>
      </c>
      <c r="AA450" t="s">
        <v>2474</v>
      </c>
      <c r="AB450">
        <v>9</v>
      </c>
      <c r="AC450" t="s">
        <v>2475</v>
      </c>
      <c r="AD450" t="s">
        <v>2476</v>
      </c>
      <c r="AE450">
        <v>7</v>
      </c>
      <c r="AF450" t="s">
        <v>2477</v>
      </c>
      <c r="AG450" t="s">
        <v>2478</v>
      </c>
      <c r="AH450">
        <v>0</v>
      </c>
      <c r="AI450">
        <v>0</v>
      </c>
      <c r="AJ450">
        <v>0</v>
      </c>
      <c r="AK450">
        <v>0</v>
      </c>
    </row>
    <row r="451" spans="1:37" x14ac:dyDescent="0.25">
      <c r="A451">
        <v>2023</v>
      </c>
      <c r="B451">
        <v>33147</v>
      </c>
      <c r="C451" t="s">
        <v>4911</v>
      </c>
      <c r="D451" t="s">
        <v>4912</v>
      </c>
      <c r="G451" t="s">
        <v>4913</v>
      </c>
      <c r="H451" t="s">
        <v>85</v>
      </c>
      <c r="J451" t="s">
        <v>4914</v>
      </c>
      <c r="K451" t="s">
        <v>4915</v>
      </c>
      <c r="L451">
        <v>53.034094000000003</v>
      </c>
      <c r="M451">
        <v>-115.29030299999999</v>
      </c>
      <c r="N451">
        <v>1983</v>
      </c>
      <c r="O451">
        <v>211110</v>
      </c>
      <c r="P451">
        <v>4</v>
      </c>
      <c r="Q451" t="s">
        <v>2398</v>
      </c>
      <c r="R451" t="s">
        <v>2399</v>
      </c>
      <c r="S451">
        <v>4811</v>
      </c>
      <c r="T451" t="s">
        <v>2643</v>
      </c>
      <c r="U451">
        <v>4811032</v>
      </c>
      <c r="V451" t="s">
        <v>2644</v>
      </c>
      <c r="X451" t="s">
        <v>2402</v>
      </c>
      <c r="Y451">
        <v>4860</v>
      </c>
      <c r="Z451" t="s">
        <v>2645</v>
      </c>
      <c r="AA451" t="s">
        <v>2646</v>
      </c>
      <c r="AB451">
        <v>9</v>
      </c>
      <c r="AC451" t="s">
        <v>2475</v>
      </c>
      <c r="AD451" t="s">
        <v>2476</v>
      </c>
      <c r="AE451">
        <v>5</v>
      </c>
      <c r="AF451" t="s">
        <v>2407</v>
      </c>
      <c r="AG451" t="s">
        <v>2408</v>
      </c>
      <c r="AH451">
        <v>0</v>
      </c>
      <c r="AI451">
        <v>0</v>
      </c>
      <c r="AJ451">
        <v>0</v>
      </c>
      <c r="AK451">
        <v>0</v>
      </c>
    </row>
    <row r="452" spans="1:37" x14ac:dyDescent="0.25">
      <c r="A452">
        <v>2004</v>
      </c>
      <c r="B452">
        <v>17869</v>
      </c>
      <c r="C452" t="s">
        <v>4916</v>
      </c>
      <c r="D452" t="s">
        <v>4917</v>
      </c>
      <c r="E452" t="s">
        <v>4918</v>
      </c>
      <c r="H452" t="s">
        <v>85</v>
      </c>
      <c r="J452" t="s">
        <v>4919</v>
      </c>
      <c r="K452" t="s">
        <v>4920</v>
      </c>
      <c r="L452">
        <v>57.895699999999998</v>
      </c>
      <c r="M452">
        <v>-118.7801</v>
      </c>
      <c r="N452">
        <v>1983</v>
      </c>
      <c r="O452">
        <v>211113</v>
      </c>
      <c r="P452">
        <v>4</v>
      </c>
      <c r="Q452" t="s">
        <v>2398</v>
      </c>
      <c r="R452" t="s">
        <v>2399</v>
      </c>
      <c r="S452">
        <v>4817</v>
      </c>
      <c r="T452" t="s">
        <v>2471</v>
      </c>
      <c r="U452">
        <v>4817076</v>
      </c>
      <c r="V452" t="s">
        <v>3954</v>
      </c>
      <c r="X452" t="s">
        <v>2402</v>
      </c>
      <c r="Y452">
        <v>4870</v>
      </c>
      <c r="Z452" t="s">
        <v>2473</v>
      </c>
      <c r="AA452" t="s">
        <v>2474</v>
      </c>
      <c r="AB452">
        <v>9</v>
      </c>
      <c r="AC452" t="s">
        <v>2475</v>
      </c>
      <c r="AD452" t="s">
        <v>2476</v>
      </c>
      <c r="AE452">
        <v>7</v>
      </c>
      <c r="AF452" t="s">
        <v>2477</v>
      </c>
      <c r="AG452" t="s">
        <v>2478</v>
      </c>
      <c r="AH452">
        <v>0</v>
      </c>
      <c r="AI452">
        <v>0</v>
      </c>
      <c r="AJ452">
        <v>0</v>
      </c>
      <c r="AK452">
        <v>0</v>
      </c>
    </row>
    <row r="453" spans="1:37" x14ac:dyDescent="0.25">
      <c r="A453">
        <v>1997</v>
      </c>
      <c r="B453">
        <v>4974</v>
      </c>
      <c r="C453" t="s">
        <v>4921</v>
      </c>
      <c r="D453" t="s">
        <v>4922</v>
      </c>
      <c r="E453" t="s">
        <v>4923</v>
      </c>
      <c r="G453" t="s">
        <v>4924</v>
      </c>
      <c r="H453" t="s">
        <v>79</v>
      </c>
      <c r="I453" t="s">
        <v>4925</v>
      </c>
      <c r="K453" t="s">
        <v>4926</v>
      </c>
      <c r="L453">
        <v>48.337200000000003</v>
      </c>
      <c r="M453">
        <v>-70.999600000000001</v>
      </c>
      <c r="N453">
        <v>1983</v>
      </c>
      <c r="O453">
        <v>481110</v>
      </c>
      <c r="P453">
        <v>19</v>
      </c>
      <c r="Q453" t="s">
        <v>2552</v>
      </c>
      <c r="R453" t="s">
        <v>2553</v>
      </c>
      <c r="S453">
        <v>2494</v>
      </c>
      <c r="T453" t="s">
        <v>4359</v>
      </c>
      <c r="U453">
        <v>2494068</v>
      </c>
      <c r="V453" t="s">
        <v>4360</v>
      </c>
      <c r="W453">
        <v>408</v>
      </c>
      <c r="X453" t="s">
        <v>4360</v>
      </c>
      <c r="Y453">
        <v>2475</v>
      </c>
      <c r="Z453" t="s">
        <v>4361</v>
      </c>
      <c r="AA453" t="s">
        <v>4927</v>
      </c>
      <c r="AB453">
        <v>6</v>
      </c>
      <c r="AC453" t="s">
        <v>2465</v>
      </c>
      <c r="AD453" t="s">
        <v>2466</v>
      </c>
      <c r="AE453">
        <v>2</v>
      </c>
      <c r="AF453" t="s">
        <v>2422</v>
      </c>
      <c r="AG453" t="s">
        <v>2423</v>
      </c>
      <c r="AH453">
        <v>1</v>
      </c>
      <c r="AI453">
        <v>0</v>
      </c>
      <c r="AJ453">
        <v>0</v>
      </c>
      <c r="AK453">
        <v>0</v>
      </c>
    </row>
    <row r="454" spans="1:37" x14ac:dyDescent="0.25">
      <c r="A454">
        <v>2006</v>
      </c>
      <c r="B454">
        <v>18265</v>
      </c>
      <c r="C454" t="s">
        <v>4928</v>
      </c>
      <c r="D454" t="s">
        <v>4929</v>
      </c>
      <c r="E454" t="s">
        <v>4930</v>
      </c>
      <c r="G454" t="s">
        <v>4931</v>
      </c>
      <c r="H454" t="s">
        <v>243</v>
      </c>
      <c r="I454" t="s">
        <v>4932</v>
      </c>
      <c r="J454" t="s">
        <v>4933</v>
      </c>
      <c r="K454" t="s">
        <v>4934</v>
      </c>
      <c r="L454">
        <v>49.756900000000002</v>
      </c>
      <c r="M454">
        <v>-106.02</v>
      </c>
      <c r="N454">
        <v>1983</v>
      </c>
      <c r="O454">
        <v>493110</v>
      </c>
      <c r="P454">
        <v>19</v>
      </c>
      <c r="Q454" t="s">
        <v>2552</v>
      </c>
      <c r="R454" t="s">
        <v>2553</v>
      </c>
      <c r="S454">
        <v>4703</v>
      </c>
      <c r="T454" t="s">
        <v>2601</v>
      </c>
      <c r="U454">
        <v>4703038</v>
      </c>
      <c r="V454" t="s">
        <v>4935</v>
      </c>
      <c r="X454" t="s">
        <v>2402</v>
      </c>
      <c r="Y454">
        <v>4720</v>
      </c>
      <c r="Z454" t="s">
        <v>2403</v>
      </c>
      <c r="AA454" t="s">
        <v>4936</v>
      </c>
      <c r="AB454">
        <v>10</v>
      </c>
      <c r="AC454" t="s">
        <v>2405</v>
      </c>
      <c r="AD454" t="s">
        <v>2406</v>
      </c>
      <c r="AE454">
        <v>5</v>
      </c>
      <c r="AF454" t="s">
        <v>2407</v>
      </c>
      <c r="AG454" t="s">
        <v>2408</v>
      </c>
      <c r="AH454">
        <v>0</v>
      </c>
      <c r="AI454">
        <v>0</v>
      </c>
      <c r="AJ454">
        <v>0</v>
      </c>
      <c r="AK454">
        <v>0</v>
      </c>
    </row>
    <row r="455" spans="1:37" x14ac:dyDescent="0.25">
      <c r="A455">
        <v>2017</v>
      </c>
      <c r="B455">
        <v>4567</v>
      </c>
      <c r="C455" t="s">
        <v>4937</v>
      </c>
      <c r="D455" t="s">
        <v>1102</v>
      </c>
      <c r="E455" t="s">
        <v>4938</v>
      </c>
      <c r="G455" t="s">
        <v>4939</v>
      </c>
      <c r="H455" t="s">
        <v>85</v>
      </c>
      <c r="I455" t="s">
        <v>4940</v>
      </c>
      <c r="J455" t="s">
        <v>4941</v>
      </c>
      <c r="K455" t="s">
        <v>4942</v>
      </c>
      <c r="L455">
        <v>53.340200000000003</v>
      </c>
      <c r="M455">
        <v>-113.5381</v>
      </c>
      <c r="N455">
        <v>1983</v>
      </c>
      <c r="O455">
        <v>325999</v>
      </c>
      <c r="P455">
        <v>3</v>
      </c>
      <c r="Q455" t="s">
        <v>2822</v>
      </c>
      <c r="R455" t="s">
        <v>2823</v>
      </c>
      <c r="S455">
        <v>4811</v>
      </c>
      <c r="T455" t="s">
        <v>2643</v>
      </c>
      <c r="U455">
        <v>4811012</v>
      </c>
      <c r="V455" t="s">
        <v>3165</v>
      </c>
      <c r="W455">
        <v>835</v>
      </c>
      <c r="X455" t="s">
        <v>2645</v>
      </c>
      <c r="Y455">
        <v>4860</v>
      </c>
      <c r="Z455" t="s">
        <v>2645</v>
      </c>
      <c r="AA455" t="s">
        <v>4943</v>
      </c>
      <c r="AB455">
        <v>10</v>
      </c>
      <c r="AC455" t="s">
        <v>2405</v>
      </c>
      <c r="AD455" t="s">
        <v>2406</v>
      </c>
      <c r="AE455">
        <v>5</v>
      </c>
      <c r="AF455" t="s">
        <v>2407</v>
      </c>
      <c r="AG455" t="s">
        <v>2408</v>
      </c>
      <c r="AH455">
        <v>0</v>
      </c>
      <c r="AI455">
        <v>0</v>
      </c>
      <c r="AJ455">
        <v>0</v>
      </c>
      <c r="AK455">
        <v>0</v>
      </c>
    </row>
    <row r="456" spans="1:37" x14ac:dyDescent="0.25">
      <c r="A456">
        <v>2009</v>
      </c>
      <c r="B456">
        <v>23708</v>
      </c>
      <c r="C456" t="s">
        <v>2518</v>
      </c>
      <c r="D456" t="s">
        <v>4944</v>
      </c>
      <c r="E456" t="s">
        <v>4945</v>
      </c>
      <c r="G456" t="s">
        <v>4946</v>
      </c>
      <c r="H456" t="s">
        <v>243</v>
      </c>
      <c r="I456" t="s">
        <v>4282</v>
      </c>
      <c r="J456" t="s">
        <v>4947</v>
      </c>
      <c r="K456" t="s">
        <v>4948</v>
      </c>
      <c r="L456">
        <v>49.713700000000003</v>
      </c>
      <c r="M456">
        <v>-103.21729999999999</v>
      </c>
      <c r="N456">
        <v>1983</v>
      </c>
      <c r="O456">
        <v>211113</v>
      </c>
      <c r="P456">
        <v>4</v>
      </c>
      <c r="Q456" t="s">
        <v>2398</v>
      </c>
      <c r="R456" t="s">
        <v>2399</v>
      </c>
      <c r="S456">
        <v>4701</v>
      </c>
      <c r="T456" t="s">
        <v>2523</v>
      </c>
      <c r="U456">
        <v>4701063</v>
      </c>
      <c r="V456" t="s">
        <v>2524</v>
      </c>
      <c r="X456" t="s">
        <v>2402</v>
      </c>
      <c r="Y456">
        <v>4710</v>
      </c>
      <c r="Z456" t="s">
        <v>2525</v>
      </c>
      <c r="AA456" t="s">
        <v>2526</v>
      </c>
      <c r="AB456">
        <v>10</v>
      </c>
      <c r="AC456" t="s">
        <v>2405</v>
      </c>
      <c r="AD456" t="s">
        <v>2406</v>
      </c>
      <c r="AE456">
        <v>5</v>
      </c>
      <c r="AF456" t="s">
        <v>2407</v>
      </c>
      <c r="AG456" t="s">
        <v>2408</v>
      </c>
      <c r="AH456">
        <v>0</v>
      </c>
      <c r="AI456">
        <v>0</v>
      </c>
      <c r="AJ456">
        <v>0</v>
      </c>
      <c r="AK456">
        <v>0</v>
      </c>
    </row>
    <row r="457" spans="1:37" x14ac:dyDescent="0.25">
      <c r="A457">
        <v>2011</v>
      </c>
      <c r="B457">
        <v>24675</v>
      </c>
      <c r="C457" t="s">
        <v>1720</v>
      </c>
      <c r="D457" t="s">
        <v>4949</v>
      </c>
      <c r="H457" t="s">
        <v>85</v>
      </c>
      <c r="J457" t="s">
        <v>4950</v>
      </c>
      <c r="K457" t="s">
        <v>4951</v>
      </c>
      <c r="L457">
        <v>51.880454999999998</v>
      </c>
      <c r="M457">
        <v>-114.577427</v>
      </c>
      <c r="N457">
        <v>1983</v>
      </c>
      <c r="O457">
        <v>211113</v>
      </c>
      <c r="P457">
        <v>4</v>
      </c>
      <c r="Q457" t="s">
        <v>2398</v>
      </c>
      <c r="R457" t="s">
        <v>2399</v>
      </c>
      <c r="S457">
        <v>4806</v>
      </c>
      <c r="T457" t="s">
        <v>2663</v>
      </c>
      <c r="U457">
        <v>4806028</v>
      </c>
      <c r="V457" t="s">
        <v>3742</v>
      </c>
      <c r="X457" t="s">
        <v>2402</v>
      </c>
      <c r="Y457">
        <v>4830</v>
      </c>
      <c r="Z457" t="s">
        <v>2664</v>
      </c>
      <c r="AA457" t="s">
        <v>2634</v>
      </c>
      <c r="AB457">
        <v>9</v>
      </c>
      <c r="AC457" t="s">
        <v>2475</v>
      </c>
      <c r="AD457" t="s">
        <v>2476</v>
      </c>
      <c r="AE457">
        <v>5</v>
      </c>
      <c r="AF457" t="s">
        <v>2407</v>
      </c>
      <c r="AG457" t="s">
        <v>2408</v>
      </c>
      <c r="AH457">
        <v>0</v>
      </c>
      <c r="AI457">
        <v>0</v>
      </c>
      <c r="AJ457">
        <v>0</v>
      </c>
      <c r="AK457">
        <v>0</v>
      </c>
    </row>
    <row r="458" spans="1:37" x14ac:dyDescent="0.25">
      <c r="A458">
        <v>2010</v>
      </c>
      <c r="B458">
        <v>18069</v>
      </c>
      <c r="C458" t="s">
        <v>1940</v>
      </c>
      <c r="D458" t="s">
        <v>4952</v>
      </c>
      <c r="E458" t="s">
        <v>4953</v>
      </c>
      <c r="H458" t="s">
        <v>85</v>
      </c>
      <c r="J458" t="s">
        <v>4954</v>
      </c>
      <c r="K458" t="s">
        <v>4955</v>
      </c>
      <c r="L458">
        <v>53.002000000000002</v>
      </c>
      <c r="M458">
        <v>-110.9939</v>
      </c>
      <c r="N458">
        <v>1983</v>
      </c>
      <c r="O458">
        <v>211113</v>
      </c>
      <c r="P458">
        <v>4</v>
      </c>
      <c r="Q458" t="s">
        <v>2398</v>
      </c>
      <c r="R458" t="s">
        <v>2399</v>
      </c>
      <c r="S458">
        <v>4807</v>
      </c>
      <c r="T458" t="s">
        <v>2611</v>
      </c>
      <c r="U458">
        <v>4807049</v>
      </c>
      <c r="V458" t="s">
        <v>2612</v>
      </c>
      <c r="X458" t="s">
        <v>2402</v>
      </c>
      <c r="Y458">
        <v>4820</v>
      </c>
      <c r="Z458" t="s">
        <v>2508</v>
      </c>
      <c r="AA458" t="s">
        <v>2572</v>
      </c>
      <c r="AB458">
        <v>10</v>
      </c>
      <c r="AC458" t="s">
        <v>2405</v>
      </c>
      <c r="AD458" t="s">
        <v>2406</v>
      </c>
      <c r="AE458">
        <v>5</v>
      </c>
      <c r="AF458" t="s">
        <v>2407</v>
      </c>
      <c r="AG458" t="s">
        <v>2408</v>
      </c>
      <c r="AH458">
        <v>0</v>
      </c>
      <c r="AI458">
        <v>0</v>
      </c>
      <c r="AJ458">
        <v>0</v>
      </c>
      <c r="AK458">
        <v>0</v>
      </c>
    </row>
    <row r="459" spans="1:37" x14ac:dyDescent="0.25">
      <c r="A459">
        <v>2023</v>
      </c>
      <c r="B459">
        <v>6187</v>
      </c>
      <c r="C459" t="s">
        <v>2324</v>
      </c>
      <c r="D459" t="s">
        <v>4956</v>
      </c>
      <c r="E459" t="s">
        <v>4957</v>
      </c>
      <c r="G459" t="s">
        <v>4958</v>
      </c>
      <c r="H459" t="s">
        <v>79</v>
      </c>
      <c r="I459" t="s">
        <v>4959</v>
      </c>
      <c r="K459" t="s">
        <v>4960</v>
      </c>
      <c r="L459">
        <v>45.620699999999999</v>
      </c>
      <c r="M459">
        <v>-71.604900000000001</v>
      </c>
      <c r="N459">
        <v>1983</v>
      </c>
      <c r="O459">
        <v>327410</v>
      </c>
      <c r="P459">
        <v>2</v>
      </c>
      <c r="Q459" t="s">
        <v>2742</v>
      </c>
      <c r="R459" t="s">
        <v>2743</v>
      </c>
      <c r="S459">
        <v>2441</v>
      </c>
      <c r="T459" t="s">
        <v>3839</v>
      </c>
      <c r="U459">
        <v>2441117</v>
      </c>
      <c r="V459" t="s">
        <v>4961</v>
      </c>
      <c r="X459" t="s">
        <v>2402</v>
      </c>
      <c r="Y459">
        <v>2430</v>
      </c>
      <c r="Z459" t="s">
        <v>2994</v>
      </c>
      <c r="AA459" t="s">
        <v>3841</v>
      </c>
      <c r="AB459">
        <v>7</v>
      </c>
      <c r="AC459" t="s">
        <v>2996</v>
      </c>
      <c r="AD459" t="s">
        <v>2997</v>
      </c>
      <c r="AE459">
        <v>2</v>
      </c>
      <c r="AF459" t="s">
        <v>2422</v>
      </c>
      <c r="AG459" t="s">
        <v>2423</v>
      </c>
      <c r="AH459">
        <v>1</v>
      </c>
      <c r="AI459">
        <v>0</v>
      </c>
      <c r="AJ459">
        <v>1</v>
      </c>
      <c r="AK459">
        <v>1</v>
      </c>
    </row>
    <row r="460" spans="1:37" x14ac:dyDescent="0.25">
      <c r="A460">
        <v>2010</v>
      </c>
      <c r="B460">
        <v>23917</v>
      </c>
      <c r="C460" t="s">
        <v>2518</v>
      </c>
      <c r="D460" t="s">
        <v>4962</v>
      </c>
      <c r="E460" t="s">
        <v>4963</v>
      </c>
      <c r="H460" t="s">
        <v>243</v>
      </c>
      <c r="J460" t="s">
        <v>4964</v>
      </c>
      <c r="K460" t="s">
        <v>4965</v>
      </c>
      <c r="L460">
        <v>49.7654</v>
      </c>
      <c r="M460">
        <v>-103.1247</v>
      </c>
      <c r="N460">
        <v>1983</v>
      </c>
      <c r="O460">
        <v>211113</v>
      </c>
      <c r="P460">
        <v>4</v>
      </c>
      <c r="Q460" t="s">
        <v>2398</v>
      </c>
      <c r="R460" t="s">
        <v>2399</v>
      </c>
      <c r="S460">
        <v>4701</v>
      </c>
      <c r="T460" t="s">
        <v>2523</v>
      </c>
      <c r="U460">
        <v>4701063</v>
      </c>
      <c r="V460" t="s">
        <v>2524</v>
      </c>
      <c r="X460" t="s">
        <v>2402</v>
      </c>
      <c r="Y460">
        <v>4710</v>
      </c>
      <c r="Z460" t="s">
        <v>2525</v>
      </c>
      <c r="AA460" t="s">
        <v>2526</v>
      </c>
      <c r="AB460">
        <v>10</v>
      </c>
      <c r="AC460" t="s">
        <v>2405</v>
      </c>
      <c r="AD460" t="s">
        <v>2406</v>
      </c>
      <c r="AE460">
        <v>5</v>
      </c>
      <c r="AF460" t="s">
        <v>2407</v>
      </c>
      <c r="AG460" t="s">
        <v>2408</v>
      </c>
      <c r="AH460">
        <v>0</v>
      </c>
      <c r="AI460">
        <v>0</v>
      </c>
      <c r="AJ460">
        <v>0</v>
      </c>
      <c r="AK460">
        <v>0</v>
      </c>
    </row>
    <row r="461" spans="1:37" x14ac:dyDescent="0.25">
      <c r="A461">
        <v>2023</v>
      </c>
      <c r="B461">
        <v>34356</v>
      </c>
      <c r="C461" t="s">
        <v>1592</v>
      </c>
      <c r="D461" t="s">
        <v>4966</v>
      </c>
      <c r="G461" t="s">
        <v>2664</v>
      </c>
      <c r="H461" t="s">
        <v>85</v>
      </c>
      <c r="J461" t="s">
        <v>4967</v>
      </c>
      <c r="K461" t="s">
        <v>4968</v>
      </c>
      <c r="L461">
        <v>56.164859999999997</v>
      </c>
      <c r="M461">
        <v>-116.6306</v>
      </c>
      <c r="N461">
        <v>1983</v>
      </c>
      <c r="O461">
        <v>211110</v>
      </c>
      <c r="P461">
        <v>4</v>
      </c>
      <c r="Q461" t="s">
        <v>2398</v>
      </c>
      <c r="R461" t="s">
        <v>2399</v>
      </c>
      <c r="S461">
        <v>4817</v>
      </c>
      <c r="T461" t="s">
        <v>2471</v>
      </c>
      <c r="U461">
        <v>4817026</v>
      </c>
      <c r="V461" t="s">
        <v>3989</v>
      </c>
      <c r="X461" t="s">
        <v>2402</v>
      </c>
      <c r="Y461">
        <v>4870</v>
      </c>
      <c r="Z461" t="s">
        <v>2473</v>
      </c>
      <c r="AA461" t="s">
        <v>2474</v>
      </c>
      <c r="AB461">
        <v>9</v>
      </c>
      <c r="AC461" t="s">
        <v>2475</v>
      </c>
      <c r="AD461" t="s">
        <v>2476</v>
      </c>
      <c r="AE461">
        <v>7</v>
      </c>
      <c r="AF461" t="s">
        <v>2477</v>
      </c>
      <c r="AG461" t="s">
        <v>2478</v>
      </c>
      <c r="AH461">
        <v>0</v>
      </c>
      <c r="AI461">
        <v>0</v>
      </c>
      <c r="AJ461">
        <v>0</v>
      </c>
      <c r="AK461">
        <v>0</v>
      </c>
    </row>
    <row r="462" spans="1:37" x14ac:dyDescent="0.25">
      <c r="A462">
        <v>2023</v>
      </c>
      <c r="B462">
        <v>31748</v>
      </c>
      <c r="C462" t="s">
        <v>1653</v>
      </c>
      <c r="D462" t="s">
        <v>4969</v>
      </c>
      <c r="G462" t="s">
        <v>2607</v>
      </c>
      <c r="H462" t="s">
        <v>85</v>
      </c>
      <c r="J462" t="s">
        <v>4970</v>
      </c>
      <c r="K462" t="s">
        <v>4971</v>
      </c>
      <c r="L462">
        <v>52.936210000000003</v>
      </c>
      <c r="M462">
        <v>-110.76282</v>
      </c>
      <c r="N462">
        <v>1983</v>
      </c>
      <c r="O462">
        <v>211110</v>
      </c>
      <c r="P462">
        <v>4</v>
      </c>
      <c r="Q462" t="s">
        <v>2398</v>
      </c>
      <c r="R462" t="s">
        <v>2399</v>
      </c>
      <c r="S462">
        <v>4807</v>
      </c>
      <c r="T462" t="s">
        <v>2611</v>
      </c>
      <c r="U462">
        <v>4807049</v>
      </c>
      <c r="V462" t="s">
        <v>2612</v>
      </c>
      <c r="X462" t="s">
        <v>2402</v>
      </c>
      <c r="Y462">
        <v>4820</v>
      </c>
      <c r="Z462" t="s">
        <v>2508</v>
      </c>
      <c r="AA462" t="s">
        <v>4972</v>
      </c>
      <c r="AB462">
        <v>10</v>
      </c>
      <c r="AC462" t="s">
        <v>2405</v>
      </c>
      <c r="AD462" t="s">
        <v>2406</v>
      </c>
      <c r="AE462">
        <v>5</v>
      </c>
      <c r="AF462" t="s">
        <v>2407</v>
      </c>
      <c r="AG462" t="s">
        <v>2408</v>
      </c>
      <c r="AH462">
        <v>0</v>
      </c>
      <c r="AI462">
        <v>0</v>
      </c>
      <c r="AJ462">
        <v>0</v>
      </c>
      <c r="AK462">
        <v>0</v>
      </c>
    </row>
    <row r="463" spans="1:37" x14ac:dyDescent="0.25">
      <c r="A463">
        <v>2023</v>
      </c>
      <c r="B463">
        <v>17070</v>
      </c>
      <c r="C463" t="s">
        <v>1718</v>
      </c>
      <c r="D463" t="s">
        <v>4973</v>
      </c>
      <c r="H463" t="s">
        <v>85</v>
      </c>
      <c r="I463" t="s">
        <v>2568</v>
      </c>
      <c r="J463" t="s">
        <v>4974</v>
      </c>
      <c r="K463" t="s">
        <v>4975</v>
      </c>
      <c r="L463">
        <v>53.635899999999999</v>
      </c>
      <c r="M463">
        <v>-116.9318</v>
      </c>
      <c r="N463">
        <v>1983</v>
      </c>
      <c r="O463">
        <v>211110</v>
      </c>
      <c r="P463">
        <v>4</v>
      </c>
      <c r="Q463" t="s">
        <v>2398</v>
      </c>
      <c r="R463" t="s">
        <v>2399</v>
      </c>
      <c r="S463">
        <v>4814</v>
      </c>
      <c r="T463" t="s">
        <v>3256</v>
      </c>
      <c r="U463">
        <v>4814003</v>
      </c>
      <c r="V463" t="s">
        <v>3257</v>
      </c>
      <c r="X463" t="s">
        <v>2402</v>
      </c>
      <c r="Y463">
        <v>4840</v>
      </c>
      <c r="Z463" t="s">
        <v>2633</v>
      </c>
      <c r="AA463" t="s">
        <v>3929</v>
      </c>
      <c r="AB463">
        <v>9</v>
      </c>
      <c r="AC463" t="s">
        <v>2475</v>
      </c>
      <c r="AD463" t="s">
        <v>2476</v>
      </c>
      <c r="AE463">
        <v>7</v>
      </c>
      <c r="AF463" t="s">
        <v>2477</v>
      </c>
      <c r="AG463" t="s">
        <v>2478</v>
      </c>
      <c r="AH463">
        <v>0</v>
      </c>
      <c r="AI463">
        <v>0</v>
      </c>
      <c r="AJ463">
        <v>0</v>
      </c>
      <c r="AK463">
        <v>0</v>
      </c>
    </row>
    <row r="464" spans="1:37" x14ac:dyDescent="0.25">
      <c r="A464">
        <v>2016</v>
      </c>
      <c r="B464">
        <v>29211</v>
      </c>
      <c r="C464" t="s">
        <v>4976</v>
      </c>
      <c r="D464" t="s">
        <v>4977</v>
      </c>
      <c r="E464" t="s">
        <v>4978</v>
      </c>
      <c r="G464" t="s">
        <v>4979</v>
      </c>
      <c r="H464" t="s">
        <v>85</v>
      </c>
      <c r="I464" t="s">
        <v>4980</v>
      </c>
      <c r="J464" t="s">
        <v>4981</v>
      </c>
      <c r="K464" t="s">
        <v>4982</v>
      </c>
      <c r="L464">
        <v>51.727690000000003</v>
      </c>
      <c r="M464">
        <v>-114.41800000000001</v>
      </c>
      <c r="N464">
        <v>1983</v>
      </c>
      <c r="O464">
        <v>211113</v>
      </c>
      <c r="P464">
        <v>4</v>
      </c>
      <c r="Q464" t="s">
        <v>2398</v>
      </c>
      <c r="R464" t="s">
        <v>2399</v>
      </c>
      <c r="S464">
        <v>4806</v>
      </c>
      <c r="T464" t="s">
        <v>2663</v>
      </c>
      <c r="U464">
        <v>4806028</v>
      </c>
      <c r="V464" t="s">
        <v>3742</v>
      </c>
      <c r="X464" t="s">
        <v>2402</v>
      </c>
      <c r="Y464">
        <v>4830</v>
      </c>
      <c r="Z464" t="s">
        <v>2664</v>
      </c>
      <c r="AA464" t="s">
        <v>3675</v>
      </c>
      <c r="AB464">
        <v>10</v>
      </c>
      <c r="AC464" t="s">
        <v>2405</v>
      </c>
      <c r="AD464" t="s">
        <v>2406</v>
      </c>
      <c r="AE464">
        <v>5</v>
      </c>
      <c r="AF464" t="s">
        <v>2407</v>
      </c>
      <c r="AG464" t="s">
        <v>2408</v>
      </c>
      <c r="AH464">
        <v>0</v>
      </c>
      <c r="AI464">
        <v>0</v>
      </c>
      <c r="AJ464">
        <v>0</v>
      </c>
      <c r="AK464">
        <v>0</v>
      </c>
    </row>
    <row r="465" spans="1:37" x14ac:dyDescent="0.25">
      <c r="A465">
        <v>2018</v>
      </c>
      <c r="B465">
        <v>18336</v>
      </c>
      <c r="C465" t="s">
        <v>1928</v>
      </c>
      <c r="D465" t="s">
        <v>4983</v>
      </c>
      <c r="G465" t="s">
        <v>4984</v>
      </c>
      <c r="H465" t="s">
        <v>85</v>
      </c>
      <c r="J465" t="s">
        <v>4985</v>
      </c>
      <c r="K465" t="s">
        <v>4986</v>
      </c>
      <c r="L465">
        <v>51.828200000000002</v>
      </c>
      <c r="M465">
        <v>-111.77419999999999</v>
      </c>
      <c r="N465">
        <v>1983</v>
      </c>
      <c r="O465">
        <v>211110</v>
      </c>
      <c r="P465">
        <v>4</v>
      </c>
      <c r="Q465" t="s">
        <v>2398</v>
      </c>
      <c r="R465" t="s">
        <v>2399</v>
      </c>
      <c r="S465">
        <v>4804</v>
      </c>
      <c r="T465" t="s">
        <v>2506</v>
      </c>
      <c r="U465">
        <v>4804004</v>
      </c>
      <c r="V465" t="s">
        <v>3348</v>
      </c>
      <c r="X465" t="s">
        <v>2402</v>
      </c>
      <c r="Y465">
        <v>4820</v>
      </c>
      <c r="Z465" t="s">
        <v>2508</v>
      </c>
      <c r="AA465" t="s">
        <v>2671</v>
      </c>
      <c r="AB465">
        <v>10</v>
      </c>
      <c r="AC465" t="s">
        <v>2405</v>
      </c>
      <c r="AD465" t="s">
        <v>2406</v>
      </c>
      <c r="AE465">
        <v>5</v>
      </c>
      <c r="AF465" t="s">
        <v>2407</v>
      </c>
      <c r="AG465" t="s">
        <v>2408</v>
      </c>
      <c r="AH465">
        <v>0</v>
      </c>
      <c r="AI465">
        <v>0</v>
      </c>
      <c r="AJ465">
        <v>0</v>
      </c>
      <c r="AK465">
        <v>0</v>
      </c>
    </row>
    <row r="466" spans="1:37" x14ac:dyDescent="0.25">
      <c r="A466">
        <v>2018</v>
      </c>
      <c r="B466">
        <v>28244</v>
      </c>
      <c r="C466" t="s">
        <v>2176</v>
      </c>
      <c r="D466" t="s">
        <v>4987</v>
      </c>
      <c r="G466" t="s">
        <v>4988</v>
      </c>
      <c r="H466" t="s">
        <v>85</v>
      </c>
      <c r="J466" t="s">
        <v>4989</v>
      </c>
      <c r="K466" t="s">
        <v>4990</v>
      </c>
      <c r="L466">
        <v>53.575741000000001</v>
      </c>
      <c r="M466">
        <v>-116.093104</v>
      </c>
      <c r="N466">
        <v>1983</v>
      </c>
      <c r="O466">
        <v>211110</v>
      </c>
      <c r="P466">
        <v>4</v>
      </c>
      <c r="Q466" t="s">
        <v>2398</v>
      </c>
      <c r="R466" t="s">
        <v>2399</v>
      </c>
      <c r="S466">
        <v>4814</v>
      </c>
      <c r="T466" t="s">
        <v>3256</v>
      </c>
      <c r="U466">
        <v>4814003</v>
      </c>
      <c r="V466" t="s">
        <v>3257</v>
      </c>
      <c r="X466" t="s">
        <v>2402</v>
      </c>
      <c r="Y466">
        <v>4840</v>
      </c>
      <c r="Z466" t="s">
        <v>2633</v>
      </c>
      <c r="AA466" t="s">
        <v>2839</v>
      </c>
      <c r="AB466">
        <v>9</v>
      </c>
      <c r="AC466" t="s">
        <v>2475</v>
      </c>
      <c r="AD466" t="s">
        <v>2476</v>
      </c>
      <c r="AE466">
        <v>7</v>
      </c>
      <c r="AF466" t="s">
        <v>2477</v>
      </c>
      <c r="AG466" t="s">
        <v>2478</v>
      </c>
      <c r="AH466">
        <v>0</v>
      </c>
      <c r="AI466">
        <v>0</v>
      </c>
      <c r="AJ466">
        <v>0</v>
      </c>
      <c r="AK466">
        <v>0</v>
      </c>
    </row>
    <row r="467" spans="1:37" x14ac:dyDescent="0.25">
      <c r="A467">
        <v>2023</v>
      </c>
      <c r="B467">
        <v>32546</v>
      </c>
      <c r="C467" t="s">
        <v>3960</v>
      </c>
      <c r="D467" t="s">
        <v>4991</v>
      </c>
      <c r="H467" t="s">
        <v>243</v>
      </c>
      <c r="I467" t="s">
        <v>4992</v>
      </c>
      <c r="J467" t="s">
        <v>4993</v>
      </c>
      <c r="K467" t="s">
        <v>4994</v>
      </c>
      <c r="L467">
        <v>49.304602000000003</v>
      </c>
      <c r="M467">
        <v>-108.649823</v>
      </c>
      <c r="N467">
        <v>1983</v>
      </c>
      <c r="O467">
        <v>211110</v>
      </c>
      <c r="P467">
        <v>4</v>
      </c>
      <c r="Q467" t="s">
        <v>2398</v>
      </c>
      <c r="R467" t="s">
        <v>2399</v>
      </c>
      <c r="S467">
        <v>4704</v>
      </c>
      <c r="T467" t="s">
        <v>2506</v>
      </c>
      <c r="U467">
        <v>4704024</v>
      </c>
      <c r="V467" t="s">
        <v>4612</v>
      </c>
      <c r="X467" t="s">
        <v>2402</v>
      </c>
      <c r="Y467">
        <v>4720</v>
      </c>
      <c r="Z467" t="s">
        <v>2403</v>
      </c>
      <c r="AA467" t="s">
        <v>2404</v>
      </c>
      <c r="AB467">
        <v>10</v>
      </c>
      <c r="AC467" t="s">
        <v>2405</v>
      </c>
      <c r="AD467" t="s">
        <v>2406</v>
      </c>
      <c r="AE467">
        <v>11</v>
      </c>
      <c r="AF467" t="s">
        <v>2888</v>
      </c>
      <c r="AG467" t="s">
        <v>2889</v>
      </c>
      <c r="AH467">
        <v>0</v>
      </c>
      <c r="AI467">
        <v>0</v>
      </c>
      <c r="AJ467">
        <v>0</v>
      </c>
      <c r="AK467">
        <v>0</v>
      </c>
    </row>
    <row r="468" spans="1:37" x14ac:dyDescent="0.25">
      <c r="A468">
        <v>2019</v>
      </c>
      <c r="B468">
        <v>31466</v>
      </c>
      <c r="C468" t="s">
        <v>3067</v>
      </c>
      <c r="D468" t="s">
        <v>4995</v>
      </c>
      <c r="H468" t="s">
        <v>243</v>
      </c>
      <c r="J468" t="s">
        <v>4996</v>
      </c>
      <c r="K468" t="s">
        <v>4997</v>
      </c>
      <c r="L468">
        <v>51.752366000000002</v>
      </c>
      <c r="M468">
        <v>-109.462599</v>
      </c>
      <c r="N468">
        <v>1983</v>
      </c>
      <c r="O468">
        <v>211110</v>
      </c>
      <c r="P468">
        <v>4</v>
      </c>
      <c r="Q468" t="s">
        <v>2398</v>
      </c>
      <c r="R468" t="s">
        <v>2399</v>
      </c>
      <c r="S468">
        <v>4713</v>
      </c>
      <c r="T468" t="s">
        <v>2428</v>
      </c>
      <c r="U468">
        <v>4713019</v>
      </c>
      <c r="V468" t="s">
        <v>4998</v>
      </c>
      <c r="X468" t="s">
        <v>2402</v>
      </c>
      <c r="Y468">
        <v>4730</v>
      </c>
      <c r="Z468" t="s">
        <v>2430</v>
      </c>
      <c r="AA468" t="s">
        <v>2431</v>
      </c>
      <c r="AB468">
        <v>10</v>
      </c>
      <c r="AC468" t="s">
        <v>2405</v>
      </c>
      <c r="AD468" t="s">
        <v>2406</v>
      </c>
      <c r="AE468">
        <v>5</v>
      </c>
      <c r="AF468" t="s">
        <v>2407</v>
      </c>
      <c r="AG468" t="s">
        <v>2408</v>
      </c>
      <c r="AH468">
        <v>0</v>
      </c>
      <c r="AI468">
        <v>0</v>
      </c>
      <c r="AJ468">
        <v>0</v>
      </c>
      <c r="AK468">
        <v>0</v>
      </c>
    </row>
    <row r="469" spans="1:37" x14ac:dyDescent="0.25">
      <c r="A469">
        <v>2014</v>
      </c>
      <c r="B469">
        <v>22425</v>
      </c>
      <c r="C469" t="s">
        <v>3905</v>
      </c>
      <c r="D469" t="s">
        <v>4999</v>
      </c>
      <c r="H469" t="s">
        <v>85</v>
      </c>
      <c r="J469" t="s">
        <v>5000</v>
      </c>
      <c r="K469" t="s">
        <v>5001</v>
      </c>
      <c r="L469">
        <v>56.15</v>
      </c>
      <c r="M469">
        <v>-116.0277</v>
      </c>
      <c r="N469">
        <v>1983</v>
      </c>
      <c r="O469">
        <v>211113</v>
      </c>
      <c r="P469">
        <v>4</v>
      </c>
      <c r="Q469" t="s">
        <v>2398</v>
      </c>
      <c r="R469" t="s">
        <v>2399</v>
      </c>
      <c r="S469">
        <v>4817</v>
      </c>
      <c r="T469" t="s">
        <v>2471</v>
      </c>
      <c r="U469">
        <v>4817026</v>
      </c>
      <c r="V469" t="s">
        <v>3989</v>
      </c>
      <c r="X469" t="s">
        <v>2402</v>
      </c>
      <c r="Y469">
        <v>4870</v>
      </c>
      <c r="Z469" t="s">
        <v>2473</v>
      </c>
      <c r="AA469" t="s">
        <v>2474</v>
      </c>
      <c r="AB469">
        <v>9</v>
      </c>
      <c r="AC469" t="s">
        <v>2475</v>
      </c>
      <c r="AD469" t="s">
        <v>2476</v>
      </c>
      <c r="AE469">
        <v>7</v>
      </c>
      <c r="AF469" t="s">
        <v>2477</v>
      </c>
      <c r="AG469" t="s">
        <v>2478</v>
      </c>
      <c r="AH469">
        <v>0</v>
      </c>
      <c r="AI469">
        <v>0</v>
      </c>
      <c r="AJ469">
        <v>0</v>
      </c>
      <c r="AK469">
        <v>0</v>
      </c>
    </row>
    <row r="470" spans="1:37" x14ac:dyDescent="0.25">
      <c r="A470">
        <v>2009</v>
      </c>
      <c r="B470">
        <v>5754</v>
      </c>
      <c r="C470" t="s">
        <v>5002</v>
      </c>
      <c r="D470" t="s">
        <v>5003</v>
      </c>
      <c r="E470" t="s">
        <v>5004</v>
      </c>
      <c r="G470" t="s">
        <v>3561</v>
      </c>
      <c r="H470" t="s">
        <v>21</v>
      </c>
      <c r="I470" t="s">
        <v>5005</v>
      </c>
      <c r="K470" t="s">
        <v>5006</v>
      </c>
      <c r="L470">
        <v>43.753599999999999</v>
      </c>
      <c r="M470">
        <v>-79.553100000000001</v>
      </c>
      <c r="N470">
        <v>1983</v>
      </c>
      <c r="O470">
        <v>332810</v>
      </c>
      <c r="P470">
        <v>11</v>
      </c>
      <c r="Q470" t="s">
        <v>2532</v>
      </c>
      <c r="R470" t="s">
        <v>2533</v>
      </c>
      <c r="S470">
        <v>3520</v>
      </c>
      <c r="T470" t="s">
        <v>2439</v>
      </c>
      <c r="U470">
        <v>3520005</v>
      </c>
      <c r="V470" t="s">
        <v>2439</v>
      </c>
      <c r="W470">
        <v>535</v>
      </c>
      <c r="X470" t="s">
        <v>2439</v>
      </c>
      <c r="Y470">
        <v>3530</v>
      </c>
      <c r="Z470" t="s">
        <v>2439</v>
      </c>
      <c r="AA470" t="s">
        <v>3565</v>
      </c>
      <c r="AB470">
        <v>8</v>
      </c>
      <c r="AC470" t="s">
        <v>2420</v>
      </c>
      <c r="AD470" t="s">
        <v>2421</v>
      </c>
      <c r="AE470">
        <v>2</v>
      </c>
      <c r="AF470" t="s">
        <v>2422</v>
      </c>
      <c r="AG470" t="s">
        <v>2423</v>
      </c>
      <c r="AH470">
        <v>1</v>
      </c>
      <c r="AI470">
        <v>1</v>
      </c>
      <c r="AJ470">
        <v>0</v>
      </c>
      <c r="AK470">
        <v>1</v>
      </c>
    </row>
    <row r="471" spans="1:37" x14ac:dyDescent="0.25">
      <c r="A471">
        <v>2023</v>
      </c>
      <c r="B471">
        <v>6625</v>
      </c>
      <c r="C471" t="s">
        <v>5007</v>
      </c>
      <c r="D471" t="s">
        <v>5008</v>
      </c>
      <c r="G471" t="s">
        <v>5009</v>
      </c>
      <c r="H471" t="s">
        <v>85</v>
      </c>
      <c r="I471" t="s">
        <v>5010</v>
      </c>
      <c r="J471" t="s">
        <v>5011</v>
      </c>
      <c r="K471" t="s">
        <v>5012</v>
      </c>
      <c r="L471">
        <v>55.582700000000003</v>
      </c>
      <c r="M471">
        <v>-110.8888</v>
      </c>
      <c r="N471">
        <v>1983</v>
      </c>
      <c r="O471">
        <v>211141</v>
      </c>
      <c r="P471">
        <v>9</v>
      </c>
      <c r="Q471" t="s">
        <v>4767</v>
      </c>
      <c r="R471" t="s">
        <v>4768</v>
      </c>
      <c r="S471">
        <v>4816</v>
      </c>
      <c r="T471" t="s">
        <v>2744</v>
      </c>
      <c r="U471">
        <v>4816037</v>
      </c>
      <c r="V471" t="s">
        <v>2745</v>
      </c>
      <c r="W471">
        <v>860</v>
      </c>
      <c r="X471" t="s">
        <v>2745</v>
      </c>
      <c r="Y471">
        <v>4880</v>
      </c>
      <c r="Z471" t="s">
        <v>2726</v>
      </c>
      <c r="AA471" t="s">
        <v>2898</v>
      </c>
      <c r="AB471">
        <v>9</v>
      </c>
      <c r="AC471" t="s">
        <v>2475</v>
      </c>
      <c r="AD471" t="s">
        <v>2476</v>
      </c>
      <c r="AE471">
        <v>7</v>
      </c>
      <c r="AF471" t="s">
        <v>2477</v>
      </c>
      <c r="AG471" t="s">
        <v>2478</v>
      </c>
      <c r="AH471">
        <v>0</v>
      </c>
      <c r="AI471">
        <v>0</v>
      </c>
      <c r="AJ471">
        <v>0</v>
      </c>
      <c r="AK471">
        <v>0</v>
      </c>
    </row>
    <row r="472" spans="1:37" x14ac:dyDescent="0.25">
      <c r="A472">
        <v>2023</v>
      </c>
      <c r="B472">
        <v>33591</v>
      </c>
      <c r="C472" t="s">
        <v>1027</v>
      </c>
      <c r="D472" t="s">
        <v>5013</v>
      </c>
      <c r="H472" t="s">
        <v>85</v>
      </c>
      <c r="J472" t="s">
        <v>5014</v>
      </c>
      <c r="K472" t="s">
        <v>5015</v>
      </c>
      <c r="L472">
        <v>53.297944000000001</v>
      </c>
      <c r="M472">
        <v>-110.294714</v>
      </c>
      <c r="N472">
        <v>1983</v>
      </c>
      <c r="O472">
        <v>211110</v>
      </c>
      <c r="P472">
        <v>4</v>
      </c>
      <c r="Q472" t="s">
        <v>2398</v>
      </c>
      <c r="R472" t="s">
        <v>2399</v>
      </c>
      <c r="S472">
        <v>4810</v>
      </c>
      <c r="T472" t="s">
        <v>2554</v>
      </c>
      <c r="U472">
        <v>4810036</v>
      </c>
      <c r="V472" t="s">
        <v>2571</v>
      </c>
      <c r="X472" t="s">
        <v>2402</v>
      </c>
      <c r="Y472">
        <v>4820</v>
      </c>
      <c r="Z472" t="s">
        <v>2508</v>
      </c>
      <c r="AA472" t="s">
        <v>5016</v>
      </c>
      <c r="AB472">
        <v>10</v>
      </c>
      <c r="AC472" t="s">
        <v>2405</v>
      </c>
      <c r="AD472" t="s">
        <v>2406</v>
      </c>
      <c r="AE472">
        <v>5</v>
      </c>
      <c r="AF472" t="s">
        <v>2407</v>
      </c>
      <c r="AG472" t="s">
        <v>2408</v>
      </c>
      <c r="AH472">
        <v>0</v>
      </c>
      <c r="AI472">
        <v>0</v>
      </c>
      <c r="AJ472">
        <v>0</v>
      </c>
      <c r="AK472">
        <v>0</v>
      </c>
    </row>
    <row r="473" spans="1:37" x14ac:dyDescent="0.25">
      <c r="A473">
        <v>2020</v>
      </c>
      <c r="B473">
        <v>32210</v>
      </c>
      <c r="C473" t="s">
        <v>3427</v>
      </c>
      <c r="D473" t="s">
        <v>5017</v>
      </c>
      <c r="H473" t="s">
        <v>85</v>
      </c>
      <c r="J473" t="s">
        <v>5018</v>
      </c>
      <c r="K473" t="s">
        <v>5019</v>
      </c>
      <c r="L473">
        <v>52.446719999999999</v>
      </c>
      <c r="M473">
        <v>-111.2315</v>
      </c>
      <c r="N473">
        <v>1983</v>
      </c>
      <c r="O473">
        <v>211110</v>
      </c>
      <c r="P473">
        <v>4</v>
      </c>
      <c r="Q473" t="s">
        <v>2398</v>
      </c>
      <c r="R473" t="s">
        <v>2399</v>
      </c>
      <c r="S473">
        <v>4807</v>
      </c>
      <c r="T473" t="s">
        <v>2611</v>
      </c>
      <c r="U473">
        <v>4807001</v>
      </c>
      <c r="V473" t="s">
        <v>2784</v>
      </c>
      <c r="X473" t="s">
        <v>2402</v>
      </c>
      <c r="Y473">
        <v>4820</v>
      </c>
      <c r="Z473" t="s">
        <v>2508</v>
      </c>
      <c r="AA473" t="s">
        <v>2572</v>
      </c>
      <c r="AB473">
        <v>10</v>
      </c>
      <c r="AC473" t="s">
        <v>2405</v>
      </c>
      <c r="AD473" t="s">
        <v>2406</v>
      </c>
      <c r="AE473">
        <v>5</v>
      </c>
      <c r="AF473" t="s">
        <v>2407</v>
      </c>
      <c r="AG473" t="s">
        <v>2408</v>
      </c>
      <c r="AH473">
        <v>0</v>
      </c>
      <c r="AI473">
        <v>0</v>
      </c>
      <c r="AJ473">
        <v>0</v>
      </c>
      <c r="AK473">
        <v>0</v>
      </c>
    </row>
    <row r="474" spans="1:37" x14ac:dyDescent="0.25">
      <c r="A474">
        <v>2023</v>
      </c>
      <c r="B474">
        <v>29519</v>
      </c>
      <c r="C474" t="s">
        <v>5020</v>
      </c>
      <c r="D474" t="s">
        <v>5021</v>
      </c>
      <c r="E474" t="s">
        <v>5022</v>
      </c>
      <c r="G474" t="s">
        <v>5023</v>
      </c>
      <c r="H474" t="s">
        <v>21</v>
      </c>
      <c r="I474" t="s">
        <v>5024</v>
      </c>
      <c r="K474" t="s">
        <v>5025</v>
      </c>
      <c r="L474">
        <v>48.490119999999997</v>
      </c>
      <c r="M474">
        <v>-81.15737</v>
      </c>
      <c r="N474">
        <v>1983</v>
      </c>
      <c r="O474">
        <v>221320</v>
      </c>
      <c r="P474">
        <v>17</v>
      </c>
      <c r="Q474" t="s">
        <v>2804</v>
      </c>
      <c r="R474" t="s">
        <v>2805</v>
      </c>
      <c r="S474">
        <v>3556</v>
      </c>
      <c r="T474" t="s">
        <v>2864</v>
      </c>
      <c r="U474">
        <v>3556027</v>
      </c>
      <c r="V474" t="s">
        <v>5026</v>
      </c>
      <c r="W474">
        <v>586</v>
      </c>
      <c r="X474" t="s">
        <v>5026</v>
      </c>
      <c r="Y474">
        <v>3590</v>
      </c>
      <c r="Z474" t="s">
        <v>2494</v>
      </c>
      <c r="AA474" t="s">
        <v>5027</v>
      </c>
      <c r="AB474">
        <v>6</v>
      </c>
      <c r="AC474" t="s">
        <v>2465</v>
      </c>
      <c r="AD474" t="s">
        <v>2466</v>
      </c>
      <c r="AE474">
        <v>4</v>
      </c>
      <c r="AF474" t="s">
        <v>2867</v>
      </c>
      <c r="AG474" t="s">
        <v>2868</v>
      </c>
      <c r="AH474">
        <v>1</v>
      </c>
      <c r="AI474">
        <v>0</v>
      </c>
      <c r="AJ474">
        <v>0</v>
      </c>
      <c r="AK474">
        <v>0</v>
      </c>
    </row>
    <row r="475" spans="1:37" x14ac:dyDescent="0.25">
      <c r="A475">
        <v>2017</v>
      </c>
      <c r="B475">
        <v>22517</v>
      </c>
      <c r="C475" t="s">
        <v>1027</v>
      </c>
      <c r="D475" t="s">
        <v>5028</v>
      </c>
      <c r="H475" t="s">
        <v>85</v>
      </c>
      <c r="J475" t="s">
        <v>5029</v>
      </c>
      <c r="K475" t="s">
        <v>5030</v>
      </c>
      <c r="L475">
        <v>56.009799999999998</v>
      </c>
      <c r="M475">
        <v>-119.99339999999999</v>
      </c>
      <c r="N475">
        <v>1983</v>
      </c>
      <c r="O475">
        <v>211110</v>
      </c>
      <c r="P475">
        <v>4</v>
      </c>
      <c r="Q475" t="s">
        <v>2398</v>
      </c>
      <c r="R475" t="s">
        <v>2399</v>
      </c>
      <c r="S475">
        <v>4819</v>
      </c>
      <c r="T475" t="s">
        <v>2565</v>
      </c>
      <c r="U475">
        <v>4819059</v>
      </c>
      <c r="V475" t="s">
        <v>2566</v>
      </c>
      <c r="X475" t="s">
        <v>2402</v>
      </c>
      <c r="Y475">
        <v>4870</v>
      </c>
      <c r="Z475" t="s">
        <v>2473</v>
      </c>
      <c r="AA475" t="s">
        <v>2474</v>
      </c>
      <c r="AB475">
        <v>9</v>
      </c>
      <c r="AC475" t="s">
        <v>2475</v>
      </c>
      <c r="AD475" t="s">
        <v>2476</v>
      </c>
      <c r="AE475">
        <v>7</v>
      </c>
      <c r="AF475" t="s">
        <v>2477</v>
      </c>
      <c r="AG475" t="s">
        <v>2478</v>
      </c>
      <c r="AH475">
        <v>0</v>
      </c>
      <c r="AI475">
        <v>0</v>
      </c>
      <c r="AJ475">
        <v>0</v>
      </c>
      <c r="AK475">
        <v>0</v>
      </c>
    </row>
    <row r="476" spans="1:37" x14ac:dyDescent="0.25">
      <c r="A476">
        <v>2023</v>
      </c>
      <c r="B476">
        <v>31078</v>
      </c>
      <c r="C476" t="s">
        <v>5031</v>
      </c>
      <c r="D476" t="s">
        <v>5032</v>
      </c>
      <c r="G476" t="s">
        <v>5033</v>
      </c>
      <c r="H476" t="s">
        <v>85</v>
      </c>
      <c r="J476" t="s">
        <v>5034</v>
      </c>
      <c r="K476" t="s">
        <v>5035</v>
      </c>
      <c r="L476">
        <v>53.787090999999997</v>
      </c>
      <c r="M476">
        <v>-112.916951</v>
      </c>
      <c r="N476">
        <v>1983</v>
      </c>
      <c r="O476">
        <v>211110</v>
      </c>
      <c r="P476">
        <v>4</v>
      </c>
      <c r="Q476" t="s">
        <v>2398</v>
      </c>
      <c r="R476" t="s">
        <v>2399</v>
      </c>
      <c r="S476">
        <v>4810</v>
      </c>
      <c r="T476" t="s">
        <v>2554</v>
      </c>
      <c r="U476">
        <v>4810066</v>
      </c>
      <c r="V476" t="s">
        <v>5033</v>
      </c>
      <c r="W476">
        <v>835</v>
      </c>
      <c r="X476" t="s">
        <v>2645</v>
      </c>
      <c r="Y476">
        <v>4820</v>
      </c>
      <c r="Z476" t="s">
        <v>2508</v>
      </c>
      <c r="AA476" t="s">
        <v>2572</v>
      </c>
      <c r="AB476">
        <v>10</v>
      </c>
      <c r="AC476" t="s">
        <v>2405</v>
      </c>
      <c r="AD476" t="s">
        <v>2406</v>
      </c>
      <c r="AE476">
        <v>5</v>
      </c>
      <c r="AF476" t="s">
        <v>2407</v>
      </c>
      <c r="AG476" t="s">
        <v>2408</v>
      </c>
      <c r="AH476">
        <v>0</v>
      </c>
      <c r="AI476">
        <v>0</v>
      </c>
      <c r="AJ476">
        <v>0</v>
      </c>
      <c r="AK476">
        <v>0</v>
      </c>
    </row>
    <row r="477" spans="1:37" x14ac:dyDescent="0.25">
      <c r="A477">
        <v>2023</v>
      </c>
      <c r="B477">
        <v>34866</v>
      </c>
      <c r="C477" t="s">
        <v>3701</v>
      </c>
      <c r="D477" t="s">
        <v>5036</v>
      </c>
      <c r="G477" t="s">
        <v>3257</v>
      </c>
      <c r="H477" t="s">
        <v>85</v>
      </c>
      <c r="I477" t="s">
        <v>5037</v>
      </c>
      <c r="J477" t="s">
        <v>5038</v>
      </c>
      <c r="K477" t="s">
        <v>5039</v>
      </c>
      <c r="L477">
        <v>53.487200000000001</v>
      </c>
      <c r="M477">
        <v>-115.8432</v>
      </c>
      <c r="N477">
        <v>1983</v>
      </c>
      <c r="O477">
        <v>211110</v>
      </c>
      <c r="P477">
        <v>4</v>
      </c>
      <c r="Q477" t="s">
        <v>2398</v>
      </c>
      <c r="R477" t="s">
        <v>2399</v>
      </c>
      <c r="S477">
        <v>4814</v>
      </c>
      <c r="T477" t="s">
        <v>3256</v>
      </c>
      <c r="U477">
        <v>4814003</v>
      </c>
      <c r="V477" t="s">
        <v>3257</v>
      </c>
      <c r="X477" t="s">
        <v>2402</v>
      </c>
      <c r="Y477">
        <v>4840</v>
      </c>
      <c r="Z477" t="s">
        <v>2633</v>
      </c>
      <c r="AA477" t="s">
        <v>2839</v>
      </c>
      <c r="AB477">
        <v>9</v>
      </c>
      <c r="AC477" t="s">
        <v>2475</v>
      </c>
      <c r="AD477" t="s">
        <v>2476</v>
      </c>
      <c r="AE477">
        <v>7</v>
      </c>
      <c r="AF477" t="s">
        <v>2477</v>
      </c>
      <c r="AG477" t="s">
        <v>2478</v>
      </c>
      <c r="AH477">
        <v>0</v>
      </c>
      <c r="AI477">
        <v>0</v>
      </c>
      <c r="AJ477">
        <v>0</v>
      </c>
      <c r="AK477">
        <v>0</v>
      </c>
    </row>
    <row r="478" spans="1:37" x14ac:dyDescent="0.25">
      <c r="A478">
        <v>2023</v>
      </c>
      <c r="B478">
        <v>22494</v>
      </c>
      <c r="C478" t="s">
        <v>5040</v>
      </c>
      <c r="D478" t="s">
        <v>5041</v>
      </c>
      <c r="G478" t="s">
        <v>2664</v>
      </c>
      <c r="H478" t="s">
        <v>85</v>
      </c>
      <c r="I478" t="s">
        <v>5042</v>
      </c>
      <c r="J478" t="s">
        <v>5043</v>
      </c>
      <c r="K478" t="s">
        <v>5044</v>
      </c>
      <c r="L478">
        <v>51.118200000000002</v>
      </c>
      <c r="M478">
        <v>-114.5558</v>
      </c>
      <c r="N478">
        <v>1983</v>
      </c>
      <c r="O478">
        <v>211110</v>
      </c>
      <c r="P478">
        <v>4</v>
      </c>
      <c r="Q478" t="s">
        <v>2398</v>
      </c>
      <c r="R478" t="s">
        <v>2399</v>
      </c>
      <c r="S478">
        <v>4806</v>
      </c>
      <c r="T478" t="s">
        <v>2663</v>
      </c>
      <c r="U478">
        <v>4806014</v>
      </c>
      <c r="V478" t="s">
        <v>3895</v>
      </c>
      <c r="W478">
        <v>825</v>
      </c>
      <c r="X478" t="s">
        <v>2664</v>
      </c>
      <c r="Y478">
        <v>4830</v>
      </c>
      <c r="Z478" t="s">
        <v>2664</v>
      </c>
      <c r="AA478" t="s">
        <v>5045</v>
      </c>
      <c r="AB478">
        <v>10</v>
      </c>
      <c r="AC478" t="s">
        <v>2405</v>
      </c>
      <c r="AD478" t="s">
        <v>2406</v>
      </c>
      <c r="AE478">
        <v>5</v>
      </c>
      <c r="AF478" t="s">
        <v>2407</v>
      </c>
      <c r="AG478" t="s">
        <v>2408</v>
      </c>
      <c r="AH478">
        <v>0</v>
      </c>
      <c r="AI478">
        <v>0</v>
      </c>
      <c r="AJ478">
        <v>0</v>
      </c>
      <c r="AK478">
        <v>0</v>
      </c>
    </row>
    <row r="479" spans="1:37" x14ac:dyDescent="0.25">
      <c r="A479">
        <v>1997</v>
      </c>
      <c r="B479">
        <v>1566</v>
      </c>
      <c r="C479" t="s">
        <v>5046</v>
      </c>
      <c r="D479" t="s">
        <v>5047</v>
      </c>
      <c r="E479" t="s">
        <v>5048</v>
      </c>
      <c r="F479" t="s">
        <v>5049</v>
      </c>
      <c r="G479" t="s">
        <v>5050</v>
      </c>
      <c r="H479" t="s">
        <v>21</v>
      </c>
      <c r="I479" t="s">
        <v>5051</v>
      </c>
      <c r="J479" t="s">
        <v>5052</v>
      </c>
      <c r="K479" t="s">
        <v>5053</v>
      </c>
      <c r="L479">
        <v>51.386400000000002</v>
      </c>
      <c r="M479">
        <v>-91.120099999999994</v>
      </c>
      <c r="N479">
        <v>1983</v>
      </c>
      <c r="O479">
        <v>212220</v>
      </c>
      <c r="P479">
        <v>8</v>
      </c>
      <c r="Q479" t="s">
        <v>2862</v>
      </c>
      <c r="R479" t="s">
        <v>2863</v>
      </c>
      <c r="S479">
        <v>3560</v>
      </c>
      <c r="T479" t="s">
        <v>5054</v>
      </c>
      <c r="U479">
        <v>3560090</v>
      </c>
      <c r="V479" t="s">
        <v>5055</v>
      </c>
      <c r="X479" t="s">
        <v>2402</v>
      </c>
      <c r="Y479">
        <v>3595</v>
      </c>
      <c r="Z479" t="s">
        <v>3277</v>
      </c>
      <c r="AA479" t="s">
        <v>5056</v>
      </c>
      <c r="AB479">
        <v>6</v>
      </c>
      <c r="AC479" t="s">
        <v>2465</v>
      </c>
      <c r="AD479" t="s">
        <v>2466</v>
      </c>
      <c r="AE479">
        <v>4</v>
      </c>
      <c r="AF479" t="s">
        <v>2867</v>
      </c>
      <c r="AG479" t="s">
        <v>2868</v>
      </c>
      <c r="AH479">
        <v>0</v>
      </c>
      <c r="AI479">
        <v>0</v>
      </c>
      <c r="AJ479">
        <v>0</v>
      </c>
      <c r="AK479">
        <v>0</v>
      </c>
    </row>
    <row r="480" spans="1:37" x14ac:dyDescent="0.25">
      <c r="A480">
        <v>2023</v>
      </c>
      <c r="B480">
        <v>21547</v>
      </c>
      <c r="C480" t="s">
        <v>1718</v>
      </c>
      <c r="D480" t="s">
        <v>5057</v>
      </c>
      <c r="E480" t="s">
        <v>5058</v>
      </c>
      <c r="G480" t="s">
        <v>5059</v>
      </c>
      <c r="H480" t="s">
        <v>243</v>
      </c>
      <c r="I480" t="s">
        <v>5060</v>
      </c>
      <c r="J480" t="s">
        <v>5061</v>
      </c>
      <c r="K480" t="s">
        <v>5062</v>
      </c>
      <c r="L480">
        <v>53.262999999999998</v>
      </c>
      <c r="M480">
        <v>-109.949</v>
      </c>
      <c r="N480">
        <v>1983</v>
      </c>
      <c r="O480">
        <v>325190</v>
      </c>
      <c r="P480">
        <v>3</v>
      </c>
      <c r="Q480" t="s">
        <v>2822</v>
      </c>
      <c r="R480" t="s">
        <v>2823</v>
      </c>
      <c r="S480">
        <v>4717</v>
      </c>
      <c r="T480" t="s">
        <v>2471</v>
      </c>
      <c r="U480">
        <v>4717022</v>
      </c>
      <c r="V480" t="s">
        <v>3396</v>
      </c>
      <c r="W480">
        <v>840</v>
      </c>
      <c r="X480" t="s">
        <v>3397</v>
      </c>
      <c r="Y480">
        <v>4750</v>
      </c>
      <c r="Z480" t="s">
        <v>3003</v>
      </c>
      <c r="AA480" t="s">
        <v>3004</v>
      </c>
      <c r="AB480">
        <v>10</v>
      </c>
      <c r="AC480" t="s">
        <v>2405</v>
      </c>
      <c r="AD480" t="s">
        <v>2406</v>
      </c>
      <c r="AE480">
        <v>5</v>
      </c>
      <c r="AF480" t="s">
        <v>2407</v>
      </c>
      <c r="AG480" t="s">
        <v>2408</v>
      </c>
      <c r="AH480">
        <v>0</v>
      </c>
      <c r="AI480">
        <v>0</v>
      </c>
      <c r="AJ480">
        <v>0</v>
      </c>
      <c r="AK480">
        <v>0</v>
      </c>
    </row>
    <row r="481" spans="1:37" x14ac:dyDescent="0.25">
      <c r="A481">
        <v>2023</v>
      </c>
      <c r="B481">
        <v>33282</v>
      </c>
      <c r="C481" t="s">
        <v>1791</v>
      </c>
      <c r="D481" t="s">
        <v>5063</v>
      </c>
      <c r="H481" t="s">
        <v>243</v>
      </c>
      <c r="J481" t="s">
        <v>5064</v>
      </c>
      <c r="K481" t="s">
        <v>5065</v>
      </c>
      <c r="L481">
        <v>51.025159000000002</v>
      </c>
      <c r="M481">
        <v>-108.007139</v>
      </c>
      <c r="N481">
        <v>1983</v>
      </c>
      <c r="O481">
        <v>211110</v>
      </c>
      <c r="P481">
        <v>4</v>
      </c>
      <c r="Q481" t="s">
        <v>2398</v>
      </c>
      <c r="R481" t="s">
        <v>2399</v>
      </c>
      <c r="S481">
        <v>4708</v>
      </c>
      <c r="T481" t="s">
        <v>2400</v>
      </c>
      <c r="U481">
        <v>4708092</v>
      </c>
      <c r="V481" t="s">
        <v>3242</v>
      </c>
      <c r="X481" t="s">
        <v>2402</v>
      </c>
      <c r="Y481">
        <v>4720</v>
      </c>
      <c r="Z481" t="s">
        <v>2403</v>
      </c>
      <c r="AA481" t="s">
        <v>2431</v>
      </c>
      <c r="AB481">
        <v>10</v>
      </c>
      <c r="AC481" t="s">
        <v>2405</v>
      </c>
      <c r="AD481" t="s">
        <v>2406</v>
      </c>
      <c r="AE481">
        <v>5</v>
      </c>
      <c r="AF481" t="s">
        <v>2407</v>
      </c>
      <c r="AG481" t="s">
        <v>2408</v>
      </c>
      <c r="AH481">
        <v>0</v>
      </c>
      <c r="AI481">
        <v>0</v>
      </c>
      <c r="AJ481">
        <v>0</v>
      </c>
      <c r="AK481">
        <v>0</v>
      </c>
    </row>
    <row r="482" spans="1:37" x14ac:dyDescent="0.25">
      <c r="A482">
        <v>2014</v>
      </c>
      <c r="B482">
        <v>23609</v>
      </c>
      <c r="C482" t="s">
        <v>5066</v>
      </c>
      <c r="D482" t="s">
        <v>5067</v>
      </c>
      <c r="H482" t="s">
        <v>243</v>
      </c>
      <c r="J482" t="s">
        <v>5068</v>
      </c>
      <c r="K482" t="s">
        <v>5069</v>
      </c>
      <c r="L482">
        <v>54.356499999999997</v>
      </c>
      <c r="M482">
        <v>-109.6057</v>
      </c>
      <c r="N482">
        <v>1983</v>
      </c>
      <c r="O482">
        <v>211113</v>
      </c>
      <c r="P482">
        <v>4</v>
      </c>
      <c r="Q482" t="s">
        <v>2398</v>
      </c>
      <c r="R482" t="s">
        <v>2399</v>
      </c>
      <c r="S482">
        <v>4717</v>
      </c>
      <c r="T482" t="s">
        <v>2471</v>
      </c>
      <c r="U482">
        <v>4717062</v>
      </c>
      <c r="V482" t="s">
        <v>5070</v>
      </c>
      <c r="X482" t="s">
        <v>2402</v>
      </c>
      <c r="Y482">
        <v>4750</v>
      </c>
      <c r="Z482" t="s">
        <v>3003</v>
      </c>
      <c r="AA482" t="s">
        <v>3238</v>
      </c>
      <c r="AB482">
        <v>9</v>
      </c>
      <c r="AC482" t="s">
        <v>2475</v>
      </c>
      <c r="AD482" t="s">
        <v>2476</v>
      </c>
      <c r="AE482">
        <v>6</v>
      </c>
      <c r="AF482" t="s">
        <v>2728</v>
      </c>
      <c r="AG482" t="s">
        <v>2729</v>
      </c>
      <c r="AH482">
        <v>0</v>
      </c>
      <c r="AI482">
        <v>0</v>
      </c>
      <c r="AJ482">
        <v>0</v>
      </c>
      <c r="AK482">
        <v>0</v>
      </c>
    </row>
    <row r="483" spans="1:37" x14ac:dyDescent="0.25">
      <c r="A483">
        <v>2022</v>
      </c>
      <c r="B483">
        <v>33804</v>
      </c>
      <c r="C483" t="s">
        <v>5071</v>
      </c>
      <c r="D483" t="s">
        <v>5072</v>
      </c>
      <c r="E483" t="s">
        <v>5073</v>
      </c>
      <c r="G483" t="s">
        <v>5074</v>
      </c>
      <c r="H483" t="s">
        <v>79</v>
      </c>
      <c r="J483" t="s">
        <v>5075</v>
      </c>
      <c r="K483" t="s">
        <v>5076</v>
      </c>
      <c r="L483">
        <v>50.222070000000002</v>
      </c>
      <c r="M483">
        <v>-61.866300000000003</v>
      </c>
      <c r="N483">
        <v>1983</v>
      </c>
      <c r="O483">
        <v>324121</v>
      </c>
      <c r="P483">
        <v>12</v>
      </c>
      <c r="Q483" t="s">
        <v>2704</v>
      </c>
      <c r="R483" t="s">
        <v>2705</v>
      </c>
      <c r="S483">
        <v>2498</v>
      </c>
      <c r="T483" t="s">
        <v>5077</v>
      </c>
      <c r="U483">
        <v>2498025</v>
      </c>
      <c r="V483" t="s">
        <v>5074</v>
      </c>
      <c r="X483" t="s">
        <v>2402</v>
      </c>
      <c r="Y483">
        <v>2480</v>
      </c>
      <c r="Z483" t="s">
        <v>5078</v>
      </c>
      <c r="AA483" t="s">
        <v>5079</v>
      </c>
      <c r="AB483">
        <v>6</v>
      </c>
      <c r="AC483" t="s">
        <v>2465</v>
      </c>
      <c r="AD483" t="s">
        <v>2466</v>
      </c>
      <c r="AE483">
        <v>2</v>
      </c>
      <c r="AF483" t="s">
        <v>2422</v>
      </c>
      <c r="AG483" t="s">
        <v>2423</v>
      </c>
      <c r="AH483">
        <v>0</v>
      </c>
      <c r="AI483">
        <v>0</v>
      </c>
      <c r="AJ483">
        <v>0</v>
      </c>
      <c r="AK483">
        <v>0</v>
      </c>
    </row>
    <row r="484" spans="1:37" x14ac:dyDescent="0.25">
      <c r="A484">
        <v>2011</v>
      </c>
      <c r="B484">
        <v>24173</v>
      </c>
      <c r="C484" t="s">
        <v>2757</v>
      </c>
      <c r="D484" t="s">
        <v>5080</v>
      </c>
      <c r="E484" t="s">
        <v>5081</v>
      </c>
      <c r="G484" t="s">
        <v>2659</v>
      </c>
      <c r="H484" t="s">
        <v>85</v>
      </c>
      <c r="I484" t="s">
        <v>5082</v>
      </c>
      <c r="J484" t="s">
        <v>5083</v>
      </c>
      <c r="K484" t="s">
        <v>5084</v>
      </c>
      <c r="L484">
        <v>54.728873</v>
      </c>
      <c r="M484">
        <v>-119.379136</v>
      </c>
      <c r="N484">
        <v>1983</v>
      </c>
      <c r="O484">
        <v>211113</v>
      </c>
      <c r="P484">
        <v>4</v>
      </c>
      <c r="Q484" t="s">
        <v>2398</v>
      </c>
      <c r="R484" t="s">
        <v>2399</v>
      </c>
      <c r="S484">
        <v>4818</v>
      </c>
      <c r="T484" t="s">
        <v>2545</v>
      </c>
      <c r="U484">
        <v>4818015</v>
      </c>
      <c r="V484" t="s">
        <v>2546</v>
      </c>
      <c r="X484" t="s">
        <v>2402</v>
      </c>
      <c r="Y484">
        <v>4870</v>
      </c>
      <c r="Z484" t="s">
        <v>2473</v>
      </c>
      <c r="AA484" t="s">
        <v>2474</v>
      </c>
      <c r="AB484">
        <v>9</v>
      </c>
      <c r="AC484" t="s">
        <v>2475</v>
      </c>
      <c r="AD484" t="s">
        <v>2476</v>
      </c>
      <c r="AE484">
        <v>7</v>
      </c>
      <c r="AF484" t="s">
        <v>2477</v>
      </c>
      <c r="AG484" t="s">
        <v>2478</v>
      </c>
      <c r="AH484">
        <v>0</v>
      </c>
      <c r="AI484">
        <v>0</v>
      </c>
      <c r="AJ484">
        <v>0</v>
      </c>
      <c r="AK484">
        <v>0</v>
      </c>
    </row>
    <row r="485" spans="1:37" x14ac:dyDescent="0.25">
      <c r="A485">
        <v>2011</v>
      </c>
      <c r="B485">
        <v>22599</v>
      </c>
      <c r="C485" t="s">
        <v>231</v>
      </c>
      <c r="D485" t="s">
        <v>5085</v>
      </c>
      <c r="H485" t="s">
        <v>85</v>
      </c>
      <c r="J485" t="s">
        <v>5086</v>
      </c>
      <c r="K485" t="s">
        <v>5087</v>
      </c>
      <c r="L485">
        <v>52.884</v>
      </c>
      <c r="M485">
        <v>-111.7217</v>
      </c>
      <c r="N485">
        <v>1983</v>
      </c>
      <c r="O485">
        <v>211113</v>
      </c>
      <c r="P485">
        <v>4</v>
      </c>
      <c r="Q485" t="s">
        <v>2398</v>
      </c>
      <c r="R485" t="s">
        <v>2399</v>
      </c>
      <c r="S485">
        <v>4807</v>
      </c>
      <c r="T485" t="s">
        <v>2611</v>
      </c>
      <c r="U485">
        <v>4807031</v>
      </c>
      <c r="V485" t="s">
        <v>2650</v>
      </c>
      <c r="X485" t="s">
        <v>2402</v>
      </c>
      <c r="Y485">
        <v>4820</v>
      </c>
      <c r="Z485" t="s">
        <v>2508</v>
      </c>
      <c r="AA485" t="s">
        <v>2572</v>
      </c>
      <c r="AB485">
        <v>10</v>
      </c>
      <c r="AC485" t="s">
        <v>2405</v>
      </c>
      <c r="AD485" t="s">
        <v>2406</v>
      </c>
      <c r="AE485">
        <v>5</v>
      </c>
      <c r="AF485" t="s">
        <v>2407</v>
      </c>
      <c r="AG485" t="s">
        <v>2408</v>
      </c>
      <c r="AH485">
        <v>0</v>
      </c>
      <c r="AI485">
        <v>0</v>
      </c>
      <c r="AJ485">
        <v>0</v>
      </c>
      <c r="AK485">
        <v>0</v>
      </c>
    </row>
    <row r="486" spans="1:37" x14ac:dyDescent="0.25">
      <c r="A486">
        <v>2012</v>
      </c>
      <c r="B486">
        <v>25281</v>
      </c>
      <c r="C486" t="s">
        <v>5088</v>
      </c>
      <c r="D486" t="s">
        <v>5089</v>
      </c>
      <c r="G486" t="s">
        <v>5090</v>
      </c>
      <c r="H486" t="s">
        <v>85</v>
      </c>
      <c r="J486" t="s">
        <v>5091</v>
      </c>
      <c r="K486" t="s">
        <v>5092</v>
      </c>
      <c r="L486">
        <v>53.848652999999999</v>
      </c>
      <c r="M486">
        <v>-112.91221299999999</v>
      </c>
      <c r="N486">
        <v>1983</v>
      </c>
      <c r="O486">
        <v>211113</v>
      </c>
      <c r="P486">
        <v>4</v>
      </c>
      <c r="Q486" t="s">
        <v>2398</v>
      </c>
      <c r="R486" t="s">
        <v>2399</v>
      </c>
      <c r="S486">
        <v>4810</v>
      </c>
      <c r="T486" t="s">
        <v>2554</v>
      </c>
      <c r="U486">
        <v>4810058</v>
      </c>
      <c r="V486" t="s">
        <v>5093</v>
      </c>
      <c r="X486" t="s">
        <v>2402</v>
      </c>
      <c r="Y486">
        <v>4820</v>
      </c>
      <c r="Z486" t="s">
        <v>2508</v>
      </c>
      <c r="AA486" t="s">
        <v>2572</v>
      </c>
      <c r="AB486">
        <v>10</v>
      </c>
      <c r="AC486" t="s">
        <v>2405</v>
      </c>
      <c r="AD486" t="s">
        <v>2406</v>
      </c>
      <c r="AE486">
        <v>5</v>
      </c>
      <c r="AF486" t="s">
        <v>2407</v>
      </c>
      <c r="AG486" t="s">
        <v>2408</v>
      </c>
      <c r="AH486">
        <v>0</v>
      </c>
      <c r="AI486">
        <v>0</v>
      </c>
      <c r="AJ486">
        <v>0</v>
      </c>
      <c r="AK486">
        <v>0</v>
      </c>
    </row>
    <row r="487" spans="1:37" x14ac:dyDescent="0.25">
      <c r="A487">
        <v>2020</v>
      </c>
      <c r="B487">
        <v>31430</v>
      </c>
      <c r="C487" t="s">
        <v>1928</v>
      </c>
      <c r="D487" t="s">
        <v>5094</v>
      </c>
      <c r="H487" t="s">
        <v>243</v>
      </c>
      <c r="J487" t="s">
        <v>5095</v>
      </c>
      <c r="K487" t="s">
        <v>5096</v>
      </c>
      <c r="L487">
        <v>51.087000000000003</v>
      </c>
      <c r="M487">
        <v>-108.001107</v>
      </c>
      <c r="N487">
        <v>1983</v>
      </c>
      <c r="O487">
        <v>211110</v>
      </c>
      <c r="P487">
        <v>4</v>
      </c>
      <c r="Q487" t="s">
        <v>2398</v>
      </c>
      <c r="R487" t="s">
        <v>2399</v>
      </c>
      <c r="S487">
        <v>4708</v>
      </c>
      <c r="T487" t="s">
        <v>2400</v>
      </c>
      <c r="U487">
        <v>4708092</v>
      </c>
      <c r="V487" t="s">
        <v>3242</v>
      </c>
      <c r="X487" t="s">
        <v>2402</v>
      </c>
      <c r="Y487">
        <v>4720</v>
      </c>
      <c r="Z487" t="s">
        <v>2403</v>
      </c>
      <c r="AA487" t="s">
        <v>2431</v>
      </c>
      <c r="AB487">
        <v>10</v>
      </c>
      <c r="AC487" t="s">
        <v>2405</v>
      </c>
      <c r="AD487" t="s">
        <v>2406</v>
      </c>
      <c r="AE487">
        <v>5</v>
      </c>
      <c r="AF487" t="s">
        <v>2407</v>
      </c>
      <c r="AG487" t="s">
        <v>2408</v>
      </c>
      <c r="AH487">
        <v>0</v>
      </c>
      <c r="AI487">
        <v>0</v>
      </c>
      <c r="AJ487">
        <v>0</v>
      </c>
      <c r="AK487">
        <v>0</v>
      </c>
    </row>
    <row r="488" spans="1:37" x14ac:dyDescent="0.25">
      <c r="A488">
        <v>2008</v>
      </c>
      <c r="B488">
        <v>3030</v>
      </c>
      <c r="C488" t="s">
        <v>5097</v>
      </c>
      <c r="D488" t="s">
        <v>5098</v>
      </c>
      <c r="E488" t="s">
        <v>5099</v>
      </c>
      <c r="G488" t="s">
        <v>1241</v>
      </c>
      <c r="H488" t="s">
        <v>21</v>
      </c>
      <c r="I488" t="s">
        <v>5100</v>
      </c>
      <c r="K488" t="s">
        <v>5101</v>
      </c>
      <c r="L488">
        <v>43.656399999999998</v>
      </c>
      <c r="M488">
        <v>-79.659700000000001</v>
      </c>
      <c r="N488">
        <v>1983</v>
      </c>
      <c r="O488">
        <v>336390</v>
      </c>
      <c r="P488">
        <v>15</v>
      </c>
      <c r="Q488" t="s">
        <v>2592</v>
      </c>
      <c r="R488" t="s">
        <v>2593</v>
      </c>
      <c r="S488">
        <v>3521</v>
      </c>
      <c r="T488" t="s">
        <v>2438</v>
      </c>
      <c r="U488">
        <v>3521005</v>
      </c>
      <c r="V488" t="s">
        <v>1346</v>
      </c>
      <c r="W488">
        <v>535</v>
      </c>
      <c r="X488" t="s">
        <v>2439</v>
      </c>
      <c r="Y488">
        <v>3530</v>
      </c>
      <c r="Z488" t="s">
        <v>2439</v>
      </c>
      <c r="AA488" t="s">
        <v>3305</v>
      </c>
      <c r="AB488">
        <v>8</v>
      </c>
      <c r="AC488" t="s">
        <v>2420</v>
      </c>
      <c r="AD488" t="s">
        <v>2421</v>
      </c>
      <c r="AE488">
        <v>2</v>
      </c>
      <c r="AF488" t="s">
        <v>2422</v>
      </c>
      <c r="AG488" t="s">
        <v>2423</v>
      </c>
      <c r="AH488">
        <v>1</v>
      </c>
      <c r="AI488">
        <v>1</v>
      </c>
      <c r="AJ488">
        <v>0</v>
      </c>
      <c r="AK488">
        <v>1</v>
      </c>
    </row>
    <row r="489" spans="1:37" x14ac:dyDescent="0.25">
      <c r="A489">
        <v>2023</v>
      </c>
      <c r="B489">
        <v>22819</v>
      </c>
      <c r="C489" t="s">
        <v>1791</v>
      </c>
      <c r="D489" t="s">
        <v>5102</v>
      </c>
      <c r="H489" t="s">
        <v>243</v>
      </c>
      <c r="J489" t="s">
        <v>5103</v>
      </c>
      <c r="K489" t="s">
        <v>5104</v>
      </c>
      <c r="L489">
        <v>49.465299999999999</v>
      </c>
      <c r="M489">
        <v>-102.69110000000001</v>
      </c>
      <c r="N489">
        <v>1983</v>
      </c>
      <c r="O489">
        <v>211110</v>
      </c>
      <c r="P489">
        <v>4</v>
      </c>
      <c r="Q489" t="s">
        <v>2398</v>
      </c>
      <c r="R489" t="s">
        <v>2399</v>
      </c>
      <c r="S489">
        <v>4701</v>
      </c>
      <c r="T489" t="s">
        <v>2523</v>
      </c>
      <c r="U489">
        <v>4701031</v>
      </c>
      <c r="V489" t="s">
        <v>2654</v>
      </c>
      <c r="X489" t="s">
        <v>2402</v>
      </c>
      <c r="Y489">
        <v>4710</v>
      </c>
      <c r="Z489" t="s">
        <v>2525</v>
      </c>
      <c r="AA489" t="s">
        <v>2655</v>
      </c>
      <c r="AB489">
        <v>10</v>
      </c>
      <c r="AC489" t="s">
        <v>2405</v>
      </c>
      <c r="AD489" t="s">
        <v>2406</v>
      </c>
      <c r="AE489">
        <v>5</v>
      </c>
      <c r="AF489" t="s">
        <v>2407</v>
      </c>
      <c r="AG489" t="s">
        <v>2408</v>
      </c>
      <c r="AH489">
        <v>0</v>
      </c>
      <c r="AI489">
        <v>0</v>
      </c>
      <c r="AJ489">
        <v>0</v>
      </c>
      <c r="AK489">
        <v>0</v>
      </c>
    </row>
    <row r="490" spans="1:37" x14ac:dyDescent="0.25">
      <c r="A490">
        <v>2006</v>
      </c>
      <c r="B490">
        <v>11294</v>
      </c>
      <c r="C490" t="s">
        <v>5105</v>
      </c>
      <c r="D490" t="s">
        <v>5105</v>
      </c>
      <c r="E490" t="s">
        <v>5106</v>
      </c>
      <c r="G490" t="s">
        <v>5107</v>
      </c>
      <c r="H490" t="s">
        <v>21</v>
      </c>
      <c r="I490" t="s">
        <v>5108</v>
      </c>
      <c r="K490" t="s">
        <v>5109</v>
      </c>
      <c r="L490">
        <v>44.156599999999997</v>
      </c>
      <c r="M490">
        <v>-81.020099999999999</v>
      </c>
      <c r="N490">
        <v>1983</v>
      </c>
      <c r="O490">
        <v>321999</v>
      </c>
      <c r="P490">
        <v>18</v>
      </c>
      <c r="Q490" t="s">
        <v>2459</v>
      </c>
      <c r="R490" t="s">
        <v>2460</v>
      </c>
      <c r="S490">
        <v>3542</v>
      </c>
      <c r="T490" t="s">
        <v>5110</v>
      </c>
      <c r="U490">
        <v>3542029</v>
      </c>
      <c r="V490" t="s">
        <v>5111</v>
      </c>
      <c r="X490" t="s">
        <v>2402</v>
      </c>
      <c r="Y490">
        <v>3580</v>
      </c>
      <c r="Z490" t="s">
        <v>4317</v>
      </c>
      <c r="AA490" t="s">
        <v>5112</v>
      </c>
      <c r="AB490">
        <v>8</v>
      </c>
      <c r="AC490" t="s">
        <v>2420</v>
      </c>
      <c r="AD490" t="s">
        <v>2421</v>
      </c>
      <c r="AE490">
        <v>2</v>
      </c>
      <c r="AF490" t="s">
        <v>2422</v>
      </c>
      <c r="AG490" t="s">
        <v>2423</v>
      </c>
      <c r="AH490">
        <v>1</v>
      </c>
      <c r="AI490">
        <v>1</v>
      </c>
      <c r="AJ490">
        <v>0</v>
      </c>
      <c r="AK490">
        <v>1</v>
      </c>
    </row>
    <row r="491" spans="1:37" x14ac:dyDescent="0.25">
      <c r="A491">
        <v>2009</v>
      </c>
      <c r="B491">
        <v>5175</v>
      </c>
      <c r="C491" t="s">
        <v>2018</v>
      </c>
      <c r="D491" t="s">
        <v>5113</v>
      </c>
      <c r="E491" t="s">
        <v>5114</v>
      </c>
      <c r="G491" t="s">
        <v>2576</v>
      </c>
      <c r="H491" t="s">
        <v>69</v>
      </c>
      <c r="I491" t="s">
        <v>5115</v>
      </c>
      <c r="J491" t="s">
        <v>5116</v>
      </c>
      <c r="K491" t="s">
        <v>5117</v>
      </c>
      <c r="L491">
        <v>53.848979999999997</v>
      </c>
      <c r="M491">
        <v>-122.73018999999999</v>
      </c>
      <c r="N491">
        <v>1983</v>
      </c>
      <c r="O491">
        <v>321111</v>
      </c>
      <c r="P491">
        <v>18</v>
      </c>
      <c r="Q491" t="s">
        <v>2459</v>
      </c>
      <c r="R491" t="s">
        <v>2460</v>
      </c>
      <c r="S491">
        <v>5953</v>
      </c>
      <c r="T491" t="s">
        <v>2580</v>
      </c>
      <c r="U491">
        <v>5953023</v>
      </c>
      <c r="V491" t="s">
        <v>1214</v>
      </c>
      <c r="W491">
        <v>970</v>
      </c>
      <c r="X491" t="s">
        <v>1214</v>
      </c>
      <c r="Y491">
        <v>5950</v>
      </c>
      <c r="Z491" t="s">
        <v>2582</v>
      </c>
      <c r="AA491" t="s">
        <v>2583</v>
      </c>
      <c r="AB491">
        <v>14</v>
      </c>
      <c r="AC491" t="s">
        <v>2516</v>
      </c>
      <c r="AD491" t="s">
        <v>2517</v>
      </c>
      <c r="AE491">
        <v>8</v>
      </c>
      <c r="AF491" t="s">
        <v>2584</v>
      </c>
      <c r="AG491" t="s">
        <v>2585</v>
      </c>
      <c r="AH491">
        <v>0</v>
      </c>
      <c r="AI491">
        <v>0</v>
      </c>
      <c r="AJ491">
        <v>0</v>
      </c>
      <c r="AK491">
        <v>0</v>
      </c>
    </row>
    <row r="492" spans="1:37" x14ac:dyDescent="0.25">
      <c r="A492">
        <v>2020</v>
      </c>
      <c r="B492">
        <v>21570</v>
      </c>
      <c r="C492" t="s">
        <v>1938</v>
      </c>
      <c r="D492" t="s">
        <v>5118</v>
      </c>
      <c r="H492" t="s">
        <v>243</v>
      </c>
      <c r="J492" t="s">
        <v>2885</v>
      </c>
      <c r="K492" t="s">
        <v>5119</v>
      </c>
      <c r="L492">
        <v>49.172699999999999</v>
      </c>
      <c r="M492">
        <v>-109.4204</v>
      </c>
      <c r="N492">
        <v>1983</v>
      </c>
      <c r="O492">
        <v>211110</v>
      </c>
      <c r="P492">
        <v>4</v>
      </c>
      <c r="Q492" t="s">
        <v>2398</v>
      </c>
      <c r="R492" t="s">
        <v>2399</v>
      </c>
      <c r="S492">
        <v>4704</v>
      </c>
      <c r="T492" t="s">
        <v>2506</v>
      </c>
      <c r="U492">
        <v>4704019</v>
      </c>
      <c r="V492" t="s">
        <v>2887</v>
      </c>
      <c r="X492" t="s">
        <v>2402</v>
      </c>
      <c r="Y492">
        <v>4720</v>
      </c>
      <c r="Z492" t="s">
        <v>2403</v>
      </c>
      <c r="AA492" t="s">
        <v>2404</v>
      </c>
      <c r="AB492">
        <v>10</v>
      </c>
      <c r="AC492" t="s">
        <v>2405</v>
      </c>
      <c r="AD492" t="s">
        <v>2406</v>
      </c>
      <c r="AE492">
        <v>11</v>
      </c>
      <c r="AF492" t="s">
        <v>2888</v>
      </c>
      <c r="AG492" t="s">
        <v>2889</v>
      </c>
      <c r="AH492">
        <v>0</v>
      </c>
      <c r="AI492">
        <v>0</v>
      </c>
      <c r="AJ492">
        <v>0</v>
      </c>
      <c r="AK492">
        <v>0</v>
      </c>
    </row>
    <row r="493" spans="1:37" x14ac:dyDescent="0.25">
      <c r="A493">
        <v>2006</v>
      </c>
      <c r="B493">
        <v>16534</v>
      </c>
      <c r="C493" t="s">
        <v>1753</v>
      </c>
      <c r="D493" t="s">
        <v>5120</v>
      </c>
      <c r="E493" t="s">
        <v>5121</v>
      </c>
      <c r="H493" t="s">
        <v>85</v>
      </c>
      <c r="J493" t="s">
        <v>5122</v>
      </c>
      <c r="K493" t="s">
        <v>5123</v>
      </c>
      <c r="L493">
        <v>51.013399999999997</v>
      </c>
      <c r="M493">
        <v>-112.30119999999999</v>
      </c>
      <c r="N493">
        <v>1983</v>
      </c>
      <c r="O493">
        <v>211113</v>
      </c>
      <c r="P493">
        <v>4</v>
      </c>
      <c r="Q493" t="s">
        <v>2398</v>
      </c>
      <c r="R493" t="s">
        <v>2399</v>
      </c>
      <c r="S493">
        <v>4802</v>
      </c>
      <c r="T493" t="s">
        <v>2696</v>
      </c>
      <c r="U493">
        <v>4802031</v>
      </c>
      <c r="V493" t="s">
        <v>2905</v>
      </c>
      <c r="W493">
        <v>806</v>
      </c>
      <c r="X493" t="s">
        <v>2906</v>
      </c>
      <c r="Y493">
        <v>4810</v>
      </c>
      <c r="Z493" t="s">
        <v>2603</v>
      </c>
      <c r="AA493" t="s">
        <v>2671</v>
      </c>
      <c r="AB493">
        <v>10</v>
      </c>
      <c r="AC493" t="s">
        <v>2405</v>
      </c>
      <c r="AD493" t="s">
        <v>2406</v>
      </c>
      <c r="AE493">
        <v>5</v>
      </c>
      <c r="AF493" t="s">
        <v>2407</v>
      </c>
      <c r="AG493" t="s">
        <v>2408</v>
      </c>
      <c r="AH493">
        <v>0</v>
      </c>
      <c r="AI493">
        <v>0</v>
      </c>
      <c r="AJ493">
        <v>0</v>
      </c>
      <c r="AK493">
        <v>0</v>
      </c>
    </row>
    <row r="494" spans="1:37" x14ac:dyDescent="0.25">
      <c r="A494">
        <v>2004</v>
      </c>
      <c r="B494">
        <v>18021</v>
      </c>
      <c r="C494" t="s">
        <v>1940</v>
      </c>
      <c r="D494" t="s">
        <v>5124</v>
      </c>
      <c r="E494" t="s">
        <v>5125</v>
      </c>
      <c r="H494" t="s">
        <v>85</v>
      </c>
      <c r="J494" t="s">
        <v>5126</v>
      </c>
      <c r="K494" t="s">
        <v>5127</v>
      </c>
      <c r="L494">
        <v>53.949300000000001</v>
      </c>
      <c r="M494">
        <v>-117.27930000000001</v>
      </c>
      <c r="N494">
        <v>1983</v>
      </c>
      <c r="O494">
        <v>211113</v>
      </c>
      <c r="P494">
        <v>4</v>
      </c>
      <c r="Q494" t="s">
        <v>2398</v>
      </c>
      <c r="R494" t="s">
        <v>2399</v>
      </c>
      <c r="S494">
        <v>4814</v>
      </c>
      <c r="T494" t="s">
        <v>3256</v>
      </c>
      <c r="U494">
        <v>4814003</v>
      </c>
      <c r="V494" t="s">
        <v>3257</v>
      </c>
      <c r="X494" t="s">
        <v>2402</v>
      </c>
      <c r="Y494">
        <v>4840</v>
      </c>
      <c r="Z494" t="s">
        <v>2633</v>
      </c>
      <c r="AA494" t="s">
        <v>5128</v>
      </c>
      <c r="AB494">
        <v>9</v>
      </c>
      <c r="AC494" t="s">
        <v>2475</v>
      </c>
      <c r="AD494" t="s">
        <v>2476</v>
      </c>
      <c r="AE494">
        <v>7</v>
      </c>
      <c r="AF494" t="s">
        <v>2477</v>
      </c>
      <c r="AG494" t="s">
        <v>2478</v>
      </c>
      <c r="AH494">
        <v>0</v>
      </c>
      <c r="AI494">
        <v>0</v>
      </c>
      <c r="AJ494">
        <v>0</v>
      </c>
      <c r="AK494">
        <v>0</v>
      </c>
    </row>
    <row r="495" spans="1:37" x14ac:dyDescent="0.25">
      <c r="A495">
        <v>2023</v>
      </c>
      <c r="B495">
        <v>22843</v>
      </c>
      <c r="C495" t="s">
        <v>1997</v>
      </c>
      <c r="D495" t="s">
        <v>5129</v>
      </c>
      <c r="H495" t="s">
        <v>85</v>
      </c>
      <c r="J495" t="s">
        <v>5130</v>
      </c>
      <c r="K495" t="s">
        <v>5131</v>
      </c>
      <c r="L495">
        <v>56.1434</v>
      </c>
      <c r="M495">
        <v>-119.3609</v>
      </c>
      <c r="N495">
        <v>1983</v>
      </c>
      <c r="O495">
        <v>211110</v>
      </c>
      <c r="P495">
        <v>4</v>
      </c>
      <c r="Q495" t="s">
        <v>2398</v>
      </c>
      <c r="R495" t="s">
        <v>2399</v>
      </c>
      <c r="S495">
        <v>4819</v>
      </c>
      <c r="T495" t="s">
        <v>2565</v>
      </c>
      <c r="U495">
        <v>4819059</v>
      </c>
      <c r="V495" t="s">
        <v>2566</v>
      </c>
      <c r="X495" t="s">
        <v>2402</v>
      </c>
      <c r="Y495">
        <v>4870</v>
      </c>
      <c r="Z495" t="s">
        <v>2473</v>
      </c>
      <c r="AA495" t="s">
        <v>2474</v>
      </c>
      <c r="AB495">
        <v>9</v>
      </c>
      <c r="AC495" t="s">
        <v>2475</v>
      </c>
      <c r="AD495" t="s">
        <v>2476</v>
      </c>
      <c r="AE495">
        <v>7</v>
      </c>
      <c r="AF495" t="s">
        <v>2477</v>
      </c>
      <c r="AG495" t="s">
        <v>2478</v>
      </c>
      <c r="AH495">
        <v>0</v>
      </c>
      <c r="AI495">
        <v>0</v>
      </c>
      <c r="AJ495">
        <v>0</v>
      </c>
      <c r="AK495">
        <v>0</v>
      </c>
    </row>
    <row r="496" spans="1:37" x14ac:dyDescent="0.25">
      <c r="A496">
        <v>2011</v>
      </c>
      <c r="B496">
        <v>7872</v>
      </c>
      <c r="C496" t="s">
        <v>5132</v>
      </c>
      <c r="D496" t="s">
        <v>5132</v>
      </c>
      <c r="E496" t="s">
        <v>5133</v>
      </c>
      <c r="G496" t="s">
        <v>5134</v>
      </c>
      <c r="H496" t="s">
        <v>69</v>
      </c>
      <c r="I496" t="s">
        <v>5135</v>
      </c>
      <c r="J496" t="s">
        <v>5136</v>
      </c>
      <c r="K496" t="s">
        <v>5137</v>
      </c>
      <c r="L496">
        <v>49.768099999999997</v>
      </c>
      <c r="M496">
        <v>-117.46720000000001</v>
      </c>
      <c r="N496">
        <v>1983</v>
      </c>
      <c r="O496">
        <v>321111</v>
      </c>
      <c r="P496">
        <v>18</v>
      </c>
      <c r="Q496" t="s">
        <v>2459</v>
      </c>
      <c r="R496" t="s">
        <v>2460</v>
      </c>
      <c r="S496">
        <v>5903</v>
      </c>
      <c r="T496" t="s">
        <v>3380</v>
      </c>
      <c r="U496">
        <v>5903019</v>
      </c>
      <c r="V496" t="s">
        <v>5138</v>
      </c>
      <c r="X496" t="s">
        <v>2402</v>
      </c>
      <c r="Y496">
        <v>5940</v>
      </c>
      <c r="Z496" t="s">
        <v>3381</v>
      </c>
      <c r="AA496" t="s">
        <v>5139</v>
      </c>
      <c r="AB496">
        <v>14</v>
      </c>
      <c r="AC496" t="s">
        <v>2516</v>
      </c>
      <c r="AD496" t="s">
        <v>2517</v>
      </c>
      <c r="AE496">
        <v>8</v>
      </c>
      <c r="AF496" t="s">
        <v>2584</v>
      </c>
      <c r="AG496" t="s">
        <v>2585</v>
      </c>
      <c r="AH496">
        <v>0</v>
      </c>
      <c r="AI496">
        <v>0</v>
      </c>
      <c r="AJ496">
        <v>0</v>
      </c>
      <c r="AK496">
        <v>0</v>
      </c>
    </row>
    <row r="497" spans="1:37" x14ac:dyDescent="0.25">
      <c r="A497">
        <v>2018</v>
      </c>
      <c r="B497">
        <v>30418</v>
      </c>
      <c r="C497" t="s">
        <v>5140</v>
      </c>
      <c r="D497" t="s">
        <v>5141</v>
      </c>
      <c r="H497" t="s">
        <v>85</v>
      </c>
      <c r="J497" t="s">
        <v>5142</v>
      </c>
      <c r="K497" t="s">
        <v>5143</v>
      </c>
      <c r="L497">
        <v>55.735880000000002</v>
      </c>
      <c r="M497">
        <v>-119.70374</v>
      </c>
      <c r="N497">
        <v>1983</v>
      </c>
      <c r="O497">
        <v>211110</v>
      </c>
      <c r="P497">
        <v>4</v>
      </c>
      <c r="Q497" t="s">
        <v>2398</v>
      </c>
      <c r="R497" t="s">
        <v>2399</v>
      </c>
      <c r="S497">
        <v>4819</v>
      </c>
      <c r="T497" t="s">
        <v>2565</v>
      </c>
      <c r="U497">
        <v>4819059</v>
      </c>
      <c r="V497" t="s">
        <v>2566</v>
      </c>
      <c r="X497" t="s">
        <v>2402</v>
      </c>
      <c r="Y497">
        <v>4870</v>
      </c>
      <c r="Z497" t="s">
        <v>2473</v>
      </c>
      <c r="AA497" t="s">
        <v>2474</v>
      </c>
      <c r="AB497">
        <v>9</v>
      </c>
      <c r="AC497" t="s">
        <v>2475</v>
      </c>
      <c r="AD497" t="s">
        <v>2476</v>
      </c>
      <c r="AE497">
        <v>7</v>
      </c>
      <c r="AF497" t="s">
        <v>2477</v>
      </c>
      <c r="AG497" t="s">
        <v>2478</v>
      </c>
      <c r="AH497">
        <v>0</v>
      </c>
      <c r="AI497">
        <v>0</v>
      </c>
      <c r="AJ497">
        <v>0</v>
      </c>
      <c r="AK497">
        <v>0</v>
      </c>
    </row>
    <row r="498" spans="1:37" x14ac:dyDescent="0.25">
      <c r="A498">
        <v>2023</v>
      </c>
      <c r="B498">
        <v>23643</v>
      </c>
      <c r="C498" t="s">
        <v>2605</v>
      </c>
      <c r="D498" t="s">
        <v>5144</v>
      </c>
      <c r="G498" t="s">
        <v>2906</v>
      </c>
      <c r="H498" t="s">
        <v>85</v>
      </c>
      <c r="I498" t="s">
        <v>5145</v>
      </c>
      <c r="J498" t="s">
        <v>5146</v>
      </c>
      <c r="K498" t="s">
        <v>5147</v>
      </c>
      <c r="L498">
        <v>50.482500000000002</v>
      </c>
      <c r="M498">
        <v>-111.67400000000001</v>
      </c>
      <c r="N498">
        <v>1983</v>
      </c>
      <c r="O498">
        <v>211110</v>
      </c>
      <c r="P498">
        <v>4</v>
      </c>
      <c r="Q498" t="s">
        <v>2398</v>
      </c>
      <c r="R498" t="s">
        <v>2399</v>
      </c>
      <c r="S498">
        <v>4802</v>
      </c>
      <c r="T498" t="s">
        <v>2696</v>
      </c>
      <c r="U498">
        <v>4802031</v>
      </c>
      <c r="V498" t="s">
        <v>2905</v>
      </c>
      <c r="W498">
        <v>806</v>
      </c>
      <c r="X498" t="s">
        <v>2906</v>
      </c>
      <c r="Y498">
        <v>4810</v>
      </c>
      <c r="Z498" t="s">
        <v>2603</v>
      </c>
      <c r="AA498" t="s">
        <v>5148</v>
      </c>
      <c r="AB498">
        <v>10</v>
      </c>
      <c r="AC498" t="s">
        <v>2405</v>
      </c>
      <c r="AD498" t="s">
        <v>2406</v>
      </c>
      <c r="AE498">
        <v>5</v>
      </c>
      <c r="AF498" t="s">
        <v>2407</v>
      </c>
      <c r="AG498" t="s">
        <v>2408</v>
      </c>
      <c r="AH498">
        <v>0</v>
      </c>
      <c r="AI498">
        <v>0</v>
      </c>
      <c r="AJ498">
        <v>0</v>
      </c>
      <c r="AK498">
        <v>0</v>
      </c>
    </row>
    <row r="499" spans="1:37" x14ac:dyDescent="0.25">
      <c r="A499">
        <v>2023</v>
      </c>
      <c r="B499">
        <v>6453</v>
      </c>
      <c r="C499" t="s">
        <v>5149</v>
      </c>
      <c r="D499" t="s">
        <v>5150</v>
      </c>
      <c r="E499" t="s">
        <v>5151</v>
      </c>
      <c r="G499" t="s">
        <v>5152</v>
      </c>
      <c r="H499" t="s">
        <v>79</v>
      </c>
      <c r="I499" t="s">
        <v>5153</v>
      </c>
      <c r="K499" t="s">
        <v>5154</v>
      </c>
      <c r="L499">
        <v>45.5017</v>
      </c>
      <c r="M499">
        <v>-72.904300000000006</v>
      </c>
      <c r="N499">
        <v>1983</v>
      </c>
      <c r="O499">
        <v>311119</v>
      </c>
      <c r="P499">
        <v>11</v>
      </c>
      <c r="Q499" t="s">
        <v>2532</v>
      </c>
      <c r="R499" t="s">
        <v>2533</v>
      </c>
      <c r="S499">
        <v>2454</v>
      </c>
      <c r="T499" t="s">
        <v>3495</v>
      </c>
      <c r="U499">
        <v>2454008</v>
      </c>
      <c r="V499" t="s">
        <v>5155</v>
      </c>
      <c r="X499" t="s">
        <v>2402</v>
      </c>
      <c r="Y499">
        <v>2435</v>
      </c>
      <c r="Z499" t="s">
        <v>2451</v>
      </c>
      <c r="AA499" t="s">
        <v>5156</v>
      </c>
      <c r="AB499">
        <v>8</v>
      </c>
      <c r="AC499" t="s">
        <v>2420</v>
      </c>
      <c r="AD499" t="s">
        <v>2421</v>
      </c>
      <c r="AE499">
        <v>2</v>
      </c>
      <c r="AF499" t="s">
        <v>2422</v>
      </c>
      <c r="AG499" t="s">
        <v>2423</v>
      </c>
      <c r="AH499">
        <v>1</v>
      </c>
      <c r="AI499">
        <v>0</v>
      </c>
      <c r="AJ499">
        <v>1</v>
      </c>
      <c r="AK499">
        <v>1</v>
      </c>
    </row>
    <row r="500" spans="1:37" x14ac:dyDescent="0.25">
      <c r="A500">
        <v>2019</v>
      </c>
      <c r="B500">
        <v>30435</v>
      </c>
      <c r="C500" t="s">
        <v>5157</v>
      </c>
      <c r="D500" t="s">
        <v>5158</v>
      </c>
      <c r="H500" t="s">
        <v>243</v>
      </c>
      <c r="J500" t="s">
        <v>5159</v>
      </c>
      <c r="K500" t="s">
        <v>5160</v>
      </c>
      <c r="L500">
        <v>53.236168999999997</v>
      </c>
      <c r="M500">
        <v>-109.397227</v>
      </c>
      <c r="N500">
        <v>1983</v>
      </c>
      <c r="O500">
        <v>211110</v>
      </c>
      <c r="P500">
        <v>4</v>
      </c>
      <c r="Q500" t="s">
        <v>2398</v>
      </c>
      <c r="R500" t="s">
        <v>2399</v>
      </c>
      <c r="S500">
        <v>4717</v>
      </c>
      <c r="T500" t="s">
        <v>2471</v>
      </c>
      <c r="U500">
        <v>4717017</v>
      </c>
      <c r="V500" t="s">
        <v>4278</v>
      </c>
      <c r="X500" t="s">
        <v>2402</v>
      </c>
      <c r="Y500">
        <v>4750</v>
      </c>
      <c r="Z500" t="s">
        <v>3003</v>
      </c>
      <c r="AA500" t="s">
        <v>3238</v>
      </c>
      <c r="AB500">
        <v>10</v>
      </c>
      <c r="AC500" t="s">
        <v>2405</v>
      </c>
      <c r="AD500" t="s">
        <v>2406</v>
      </c>
      <c r="AE500">
        <v>5</v>
      </c>
      <c r="AF500" t="s">
        <v>2407</v>
      </c>
      <c r="AG500" t="s">
        <v>2408</v>
      </c>
      <c r="AH500">
        <v>0</v>
      </c>
      <c r="AI500">
        <v>0</v>
      </c>
      <c r="AJ500">
        <v>0</v>
      </c>
      <c r="AK500">
        <v>0</v>
      </c>
    </row>
    <row r="501" spans="1:37" x14ac:dyDescent="0.25">
      <c r="A501">
        <v>2023</v>
      </c>
      <c r="B501">
        <v>4740</v>
      </c>
      <c r="C501" t="s">
        <v>5161</v>
      </c>
      <c r="D501" t="s">
        <v>5161</v>
      </c>
      <c r="E501" t="s">
        <v>5162</v>
      </c>
      <c r="G501" t="s">
        <v>5163</v>
      </c>
      <c r="H501" t="s">
        <v>21</v>
      </c>
      <c r="I501" t="s">
        <v>5164</v>
      </c>
      <c r="K501" t="s">
        <v>5165</v>
      </c>
      <c r="L501">
        <v>43.721600000000002</v>
      </c>
      <c r="M501">
        <v>-79.682100000000005</v>
      </c>
      <c r="N501">
        <v>1983</v>
      </c>
      <c r="O501">
        <v>336390</v>
      </c>
      <c r="P501">
        <v>15</v>
      </c>
      <c r="Q501" t="s">
        <v>2592</v>
      </c>
      <c r="R501" t="s">
        <v>2593</v>
      </c>
      <c r="S501">
        <v>3521</v>
      </c>
      <c r="T501" t="s">
        <v>2438</v>
      </c>
      <c r="U501">
        <v>3521010</v>
      </c>
      <c r="V501" t="s">
        <v>352</v>
      </c>
      <c r="W501">
        <v>535</v>
      </c>
      <c r="X501" t="s">
        <v>2439</v>
      </c>
      <c r="Y501">
        <v>3530</v>
      </c>
      <c r="Z501" t="s">
        <v>2439</v>
      </c>
      <c r="AA501" t="s">
        <v>2440</v>
      </c>
      <c r="AB501">
        <v>8</v>
      </c>
      <c r="AC501" t="s">
        <v>2420</v>
      </c>
      <c r="AD501" t="s">
        <v>2421</v>
      </c>
      <c r="AE501">
        <v>2</v>
      </c>
      <c r="AF501" t="s">
        <v>2422</v>
      </c>
      <c r="AG501" t="s">
        <v>2423</v>
      </c>
      <c r="AH501">
        <v>1</v>
      </c>
      <c r="AI501">
        <v>1</v>
      </c>
      <c r="AJ501">
        <v>0</v>
      </c>
      <c r="AK501">
        <v>1</v>
      </c>
    </row>
  </sheetData>
  <sheetProtection algorithmName="SHA-512" hashValue="g7TYKMxqV/ZO0UYVQL860TEtFjUEF1UQpVCVCKGNJk1I498xGAv/knyYIatnHCo9aqJMf0mWEtLjM6EnzctBwA==" saltValue="MSWyaW3Sw28ygzFfVqG/GQ==" spinCount="100000" sheet="1" objects="1" scenarios="1" selectLockedCells="1" selectUnlockedCell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52C2-F67B-47E6-B424-9D51A24F01D4}">
  <sheetPr>
    <tabColor theme="2"/>
  </sheetPr>
  <dimension ref="A1:N501"/>
  <sheetViews>
    <sheetView workbookViewId="0"/>
  </sheetViews>
  <sheetFormatPr defaultRowHeight="15" x14ac:dyDescent="0.25"/>
  <sheetData>
    <row r="1" spans="1:14" x14ac:dyDescent="0.25">
      <c r="A1" s="2" t="s">
        <v>0</v>
      </c>
      <c r="B1" s="2" t="s">
        <v>1</v>
      </c>
      <c r="C1" s="2" t="s">
        <v>2</v>
      </c>
      <c r="D1" s="2" t="s">
        <v>3</v>
      </c>
      <c r="E1" s="2" t="s">
        <v>4</v>
      </c>
      <c r="F1" s="2" t="s">
        <v>5</v>
      </c>
      <c r="G1" s="2" t="s">
        <v>6</v>
      </c>
      <c r="H1" s="2" t="s">
        <v>7</v>
      </c>
      <c r="I1" s="2" t="s">
        <v>8</v>
      </c>
      <c r="J1" s="2" t="s">
        <v>9</v>
      </c>
      <c r="K1" s="2" t="s">
        <v>10</v>
      </c>
      <c r="L1" s="2" t="s">
        <v>5824</v>
      </c>
      <c r="M1" s="2" t="s">
        <v>5825</v>
      </c>
      <c r="N1" s="2" t="s">
        <v>5826</v>
      </c>
    </row>
    <row r="2" spans="1:14" x14ac:dyDescent="0.25">
      <c r="A2">
        <v>2021</v>
      </c>
      <c r="B2">
        <v>1070</v>
      </c>
      <c r="C2" t="s">
        <v>5827</v>
      </c>
      <c r="D2" t="s">
        <v>1470</v>
      </c>
      <c r="E2">
        <v>331110</v>
      </c>
      <c r="F2" t="s">
        <v>627</v>
      </c>
      <c r="G2" t="s">
        <v>336</v>
      </c>
      <c r="H2" t="s">
        <v>21</v>
      </c>
      <c r="I2" t="s">
        <v>1413</v>
      </c>
      <c r="J2" t="s">
        <v>1414</v>
      </c>
      <c r="K2" t="s">
        <v>1415</v>
      </c>
      <c r="L2" t="s">
        <v>5828</v>
      </c>
      <c r="M2" t="s">
        <v>5829</v>
      </c>
      <c r="N2" t="s">
        <v>5830</v>
      </c>
    </row>
    <row r="3" spans="1:14" x14ac:dyDescent="0.25">
      <c r="A3">
        <v>2005</v>
      </c>
      <c r="B3">
        <v>10303</v>
      </c>
      <c r="C3" t="s">
        <v>5831</v>
      </c>
      <c r="D3" t="s">
        <v>5832</v>
      </c>
      <c r="E3">
        <v>325190</v>
      </c>
      <c r="F3" t="s">
        <v>832</v>
      </c>
      <c r="G3" t="s">
        <v>601</v>
      </c>
      <c r="H3" t="s">
        <v>21</v>
      </c>
      <c r="I3" t="s">
        <v>402</v>
      </c>
      <c r="J3" t="s">
        <v>403</v>
      </c>
      <c r="K3" t="s">
        <v>404</v>
      </c>
      <c r="L3" t="s">
        <v>5828</v>
      </c>
      <c r="M3" t="s">
        <v>5829</v>
      </c>
      <c r="N3" t="s">
        <v>5833</v>
      </c>
    </row>
    <row r="4" spans="1:14" x14ac:dyDescent="0.25">
      <c r="A4">
        <v>2008</v>
      </c>
      <c r="B4">
        <v>4331</v>
      </c>
      <c r="C4" t="s">
        <v>5834</v>
      </c>
      <c r="D4" t="s">
        <v>5835</v>
      </c>
      <c r="E4">
        <v>331511</v>
      </c>
      <c r="F4" t="s">
        <v>160</v>
      </c>
      <c r="G4" t="s">
        <v>161</v>
      </c>
      <c r="H4" t="s">
        <v>79</v>
      </c>
      <c r="I4" t="s">
        <v>1421</v>
      </c>
      <c r="J4" t="s">
        <v>1422</v>
      </c>
      <c r="K4" t="s">
        <v>1423</v>
      </c>
      <c r="L4" t="s">
        <v>5828</v>
      </c>
      <c r="M4" t="s">
        <v>5829</v>
      </c>
      <c r="N4" t="s">
        <v>5836</v>
      </c>
    </row>
    <row r="5" spans="1:14" x14ac:dyDescent="0.25">
      <c r="A5">
        <v>1998</v>
      </c>
      <c r="B5">
        <v>723</v>
      </c>
      <c r="C5" t="s">
        <v>5837</v>
      </c>
      <c r="D5" t="s">
        <v>5838</v>
      </c>
      <c r="E5">
        <v>322122</v>
      </c>
      <c r="F5" t="s">
        <v>1556</v>
      </c>
      <c r="G5" t="s">
        <v>1062</v>
      </c>
      <c r="H5" t="s">
        <v>69</v>
      </c>
      <c r="I5" t="s">
        <v>86</v>
      </c>
      <c r="J5" t="s">
        <v>87</v>
      </c>
      <c r="K5" t="s">
        <v>88</v>
      </c>
      <c r="L5" t="s">
        <v>5828</v>
      </c>
      <c r="M5" t="s">
        <v>5829</v>
      </c>
      <c r="N5" t="s">
        <v>5839</v>
      </c>
    </row>
    <row r="6" spans="1:14" x14ac:dyDescent="0.25">
      <c r="A6">
        <v>2007</v>
      </c>
      <c r="B6">
        <v>2909</v>
      </c>
      <c r="C6" t="s">
        <v>363</v>
      </c>
      <c r="D6" t="s">
        <v>700</v>
      </c>
      <c r="E6">
        <v>321114</v>
      </c>
      <c r="F6" t="s">
        <v>365</v>
      </c>
      <c r="G6" t="s">
        <v>366</v>
      </c>
      <c r="H6" t="s">
        <v>79</v>
      </c>
      <c r="I6" t="s">
        <v>1487</v>
      </c>
      <c r="J6" t="s">
        <v>1488</v>
      </c>
      <c r="K6" t="s">
        <v>1489</v>
      </c>
      <c r="L6" t="s">
        <v>5828</v>
      </c>
      <c r="M6" t="s">
        <v>5829</v>
      </c>
      <c r="N6" t="s">
        <v>5840</v>
      </c>
    </row>
    <row r="7" spans="1:14" x14ac:dyDescent="0.25">
      <c r="A7">
        <v>2017</v>
      </c>
      <c r="B7">
        <v>1872</v>
      </c>
      <c r="C7" t="s">
        <v>1382</v>
      </c>
      <c r="D7" t="s">
        <v>1383</v>
      </c>
      <c r="E7">
        <v>322121</v>
      </c>
      <c r="F7" t="s">
        <v>938</v>
      </c>
      <c r="G7" t="s">
        <v>765</v>
      </c>
      <c r="H7" t="s">
        <v>79</v>
      </c>
      <c r="I7" t="s">
        <v>1413</v>
      </c>
      <c r="J7" t="s">
        <v>1414</v>
      </c>
      <c r="K7" t="s">
        <v>1415</v>
      </c>
      <c r="L7" t="s">
        <v>5828</v>
      </c>
      <c r="M7" t="s">
        <v>5829</v>
      </c>
      <c r="N7" t="s">
        <v>5841</v>
      </c>
    </row>
    <row r="8" spans="1:14" x14ac:dyDescent="0.25">
      <c r="A8">
        <v>2019</v>
      </c>
      <c r="B8">
        <v>10578</v>
      </c>
      <c r="C8" t="s">
        <v>5842</v>
      </c>
      <c r="D8" t="s">
        <v>5843</v>
      </c>
      <c r="E8">
        <v>333120</v>
      </c>
      <c r="F8" t="s">
        <v>5844</v>
      </c>
      <c r="G8" t="s">
        <v>5845</v>
      </c>
      <c r="H8" t="s">
        <v>21</v>
      </c>
      <c r="I8" t="s">
        <v>136</v>
      </c>
      <c r="J8" t="s">
        <v>137</v>
      </c>
      <c r="K8" t="s">
        <v>138</v>
      </c>
      <c r="L8" t="s">
        <v>5846</v>
      </c>
      <c r="M8" t="s">
        <v>5847</v>
      </c>
      <c r="N8" t="s">
        <v>5848</v>
      </c>
    </row>
    <row r="9" spans="1:14" x14ac:dyDescent="0.25">
      <c r="A9">
        <v>1999</v>
      </c>
      <c r="B9">
        <v>5685</v>
      </c>
      <c r="C9" t="s">
        <v>5849</v>
      </c>
      <c r="D9" t="s">
        <v>5850</v>
      </c>
      <c r="E9">
        <v>331490</v>
      </c>
      <c r="F9" t="s">
        <v>5851</v>
      </c>
      <c r="G9" t="s">
        <v>5852</v>
      </c>
      <c r="H9" t="s">
        <v>21</v>
      </c>
      <c r="I9" t="s">
        <v>152</v>
      </c>
      <c r="J9" t="s">
        <v>153</v>
      </c>
      <c r="K9" t="s">
        <v>154</v>
      </c>
      <c r="L9" t="s">
        <v>5846</v>
      </c>
      <c r="M9" t="s">
        <v>5847</v>
      </c>
      <c r="N9" t="s">
        <v>5853</v>
      </c>
    </row>
    <row r="10" spans="1:14" x14ac:dyDescent="0.25">
      <c r="A10">
        <v>2016</v>
      </c>
      <c r="B10">
        <v>18225</v>
      </c>
      <c r="C10" t="s">
        <v>5854</v>
      </c>
      <c r="D10" t="s">
        <v>5855</v>
      </c>
      <c r="E10">
        <v>221119</v>
      </c>
      <c r="F10" t="s">
        <v>322</v>
      </c>
      <c r="G10" t="s">
        <v>323</v>
      </c>
      <c r="H10" t="s">
        <v>85</v>
      </c>
      <c r="I10" t="s">
        <v>2201</v>
      </c>
      <c r="J10" t="s">
        <v>2202</v>
      </c>
      <c r="K10" t="s">
        <v>2203</v>
      </c>
      <c r="L10" t="s">
        <v>5846</v>
      </c>
      <c r="M10" t="s">
        <v>5847</v>
      </c>
      <c r="N10" t="s">
        <v>5856</v>
      </c>
    </row>
    <row r="11" spans="1:14" x14ac:dyDescent="0.25">
      <c r="A11">
        <v>2022</v>
      </c>
      <c r="B11">
        <v>1036</v>
      </c>
      <c r="C11" t="s">
        <v>5857</v>
      </c>
      <c r="D11" t="s">
        <v>5858</v>
      </c>
      <c r="E11">
        <v>221112</v>
      </c>
      <c r="F11" t="s">
        <v>499</v>
      </c>
      <c r="G11" t="s">
        <v>135</v>
      </c>
      <c r="H11" t="s">
        <v>85</v>
      </c>
      <c r="I11" t="s">
        <v>136</v>
      </c>
      <c r="J11" t="s">
        <v>137</v>
      </c>
      <c r="K11" t="s">
        <v>138</v>
      </c>
      <c r="L11" t="s">
        <v>5859</v>
      </c>
      <c r="M11" t="s">
        <v>5860</v>
      </c>
      <c r="N11" t="s">
        <v>5861</v>
      </c>
    </row>
    <row r="12" spans="1:14" x14ac:dyDescent="0.25">
      <c r="A12">
        <v>2019</v>
      </c>
      <c r="B12">
        <v>5765</v>
      </c>
      <c r="C12" t="s">
        <v>5862</v>
      </c>
      <c r="D12" t="s">
        <v>5863</v>
      </c>
      <c r="E12">
        <v>221112</v>
      </c>
      <c r="F12" t="s">
        <v>499</v>
      </c>
      <c r="G12" t="s">
        <v>135</v>
      </c>
      <c r="H12" t="s">
        <v>21</v>
      </c>
      <c r="I12" t="s">
        <v>337</v>
      </c>
      <c r="J12" t="s">
        <v>338</v>
      </c>
      <c r="K12" t="s">
        <v>339</v>
      </c>
      <c r="L12" t="s">
        <v>5828</v>
      </c>
      <c r="M12" t="s">
        <v>5829</v>
      </c>
      <c r="N12" t="s">
        <v>5864</v>
      </c>
    </row>
    <row r="13" spans="1:14" x14ac:dyDescent="0.25">
      <c r="A13">
        <v>2021</v>
      </c>
      <c r="B13">
        <v>28394</v>
      </c>
      <c r="C13" t="s">
        <v>5865</v>
      </c>
      <c r="D13" t="s">
        <v>5866</v>
      </c>
      <c r="E13">
        <v>211110</v>
      </c>
      <c r="F13" t="s">
        <v>233</v>
      </c>
      <c r="G13" t="s">
        <v>234</v>
      </c>
      <c r="H13" t="s">
        <v>85</v>
      </c>
      <c r="I13" t="s">
        <v>1457</v>
      </c>
      <c r="J13" t="s">
        <v>1458</v>
      </c>
      <c r="K13" t="s">
        <v>1459</v>
      </c>
      <c r="L13" t="s">
        <v>5828</v>
      </c>
      <c r="M13" t="s">
        <v>5829</v>
      </c>
      <c r="N13" t="s">
        <v>5867</v>
      </c>
    </row>
    <row r="14" spans="1:14" x14ac:dyDescent="0.25">
      <c r="A14">
        <v>2003</v>
      </c>
      <c r="B14">
        <v>6370</v>
      </c>
      <c r="C14" t="s">
        <v>5676</v>
      </c>
      <c r="D14" t="s">
        <v>5677</v>
      </c>
      <c r="E14">
        <v>562990</v>
      </c>
      <c r="F14" t="s">
        <v>104</v>
      </c>
      <c r="G14" t="s">
        <v>105</v>
      </c>
      <c r="H14" t="s">
        <v>79</v>
      </c>
      <c r="I14" t="s">
        <v>1533</v>
      </c>
      <c r="J14" t="s">
        <v>1534</v>
      </c>
      <c r="K14" t="s">
        <v>1535</v>
      </c>
      <c r="L14" t="s">
        <v>5828</v>
      </c>
      <c r="M14" t="s">
        <v>5829</v>
      </c>
      <c r="N14" t="s">
        <v>5868</v>
      </c>
    </row>
    <row r="15" spans="1:14" x14ac:dyDescent="0.25">
      <c r="A15">
        <v>2011</v>
      </c>
      <c r="B15">
        <v>4981</v>
      </c>
      <c r="C15" t="s">
        <v>5869</v>
      </c>
      <c r="D15" t="s">
        <v>5870</v>
      </c>
      <c r="E15">
        <v>336990</v>
      </c>
      <c r="F15" t="s">
        <v>5503</v>
      </c>
      <c r="G15" t="s">
        <v>1096</v>
      </c>
      <c r="H15" t="s">
        <v>79</v>
      </c>
      <c r="I15" t="s">
        <v>5871</v>
      </c>
      <c r="J15" t="s">
        <v>5872</v>
      </c>
      <c r="K15" t="s">
        <v>5873</v>
      </c>
      <c r="L15" t="s">
        <v>5828</v>
      </c>
      <c r="M15" t="s">
        <v>5829</v>
      </c>
      <c r="N15" t="s">
        <v>5874</v>
      </c>
    </row>
    <row r="16" spans="1:14" x14ac:dyDescent="0.25">
      <c r="A16">
        <v>2014</v>
      </c>
      <c r="B16">
        <v>10578</v>
      </c>
      <c r="C16" t="s">
        <v>5842</v>
      </c>
      <c r="D16" t="s">
        <v>5843</v>
      </c>
      <c r="E16">
        <v>332999</v>
      </c>
      <c r="F16" t="s">
        <v>303</v>
      </c>
      <c r="G16" t="s">
        <v>304</v>
      </c>
      <c r="H16" t="s">
        <v>21</v>
      </c>
      <c r="I16" t="s">
        <v>136</v>
      </c>
      <c r="J16" t="s">
        <v>137</v>
      </c>
      <c r="K16" t="s">
        <v>138</v>
      </c>
      <c r="L16" t="s">
        <v>5875</v>
      </c>
      <c r="M16" t="s">
        <v>5876</v>
      </c>
      <c r="N16" t="s">
        <v>5877</v>
      </c>
    </row>
    <row r="17" spans="1:14" x14ac:dyDescent="0.25">
      <c r="A17">
        <v>2018</v>
      </c>
      <c r="B17">
        <v>4173</v>
      </c>
      <c r="C17" t="s">
        <v>1108</v>
      </c>
      <c r="D17" t="s">
        <v>263</v>
      </c>
      <c r="E17">
        <v>336110</v>
      </c>
      <c r="F17" t="s">
        <v>43</v>
      </c>
      <c r="G17" t="s">
        <v>44</v>
      </c>
      <c r="H17" t="s">
        <v>21</v>
      </c>
      <c r="I17" t="s">
        <v>1421</v>
      </c>
      <c r="J17" t="s">
        <v>1422</v>
      </c>
      <c r="K17" t="s">
        <v>1423</v>
      </c>
      <c r="L17" t="s">
        <v>5828</v>
      </c>
      <c r="M17" t="s">
        <v>5829</v>
      </c>
      <c r="N17" t="s">
        <v>5878</v>
      </c>
    </row>
    <row r="18" spans="1:14" x14ac:dyDescent="0.25">
      <c r="A18">
        <v>2004</v>
      </c>
      <c r="B18">
        <v>6910</v>
      </c>
      <c r="C18" t="s">
        <v>1901</v>
      </c>
      <c r="D18" t="s">
        <v>1676</v>
      </c>
      <c r="E18">
        <v>486110</v>
      </c>
      <c r="F18" t="s">
        <v>540</v>
      </c>
      <c r="G18" t="s">
        <v>541</v>
      </c>
      <c r="H18" t="s">
        <v>85</v>
      </c>
      <c r="I18" t="s">
        <v>271</v>
      </c>
      <c r="J18" t="s">
        <v>272</v>
      </c>
      <c r="K18" t="s">
        <v>273</v>
      </c>
      <c r="L18" t="s">
        <v>5828</v>
      </c>
      <c r="M18" t="s">
        <v>5829</v>
      </c>
      <c r="N18" t="s">
        <v>5879</v>
      </c>
    </row>
    <row r="19" spans="1:14" x14ac:dyDescent="0.25">
      <c r="A19">
        <v>2018</v>
      </c>
      <c r="B19">
        <v>28761</v>
      </c>
      <c r="C19" t="s">
        <v>5471</v>
      </c>
      <c r="D19" t="s">
        <v>5472</v>
      </c>
      <c r="E19">
        <v>331410</v>
      </c>
      <c r="F19" t="s">
        <v>1234</v>
      </c>
      <c r="G19" t="s">
        <v>1235</v>
      </c>
      <c r="H19" t="s">
        <v>1625</v>
      </c>
      <c r="I19" t="s">
        <v>324</v>
      </c>
      <c r="J19" t="s">
        <v>325</v>
      </c>
      <c r="K19" t="s">
        <v>326</v>
      </c>
      <c r="L19" t="s">
        <v>5828</v>
      </c>
      <c r="M19" t="s">
        <v>5829</v>
      </c>
      <c r="N19" t="s">
        <v>5880</v>
      </c>
    </row>
    <row r="20" spans="1:14" x14ac:dyDescent="0.25">
      <c r="A20">
        <v>2023</v>
      </c>
      <c r="B20">
        <v>1370</v>
      </c>
      <c r="C20" t="s">
        <v>1649</v>
      </c>
      <c r="D20" t="s">
        <v>5881</v>
      </c>
      <c r="E20">
        <v>211110</v>
      </c>
      <c r="F20" t="s">
        <v>233</v>
      </c>
      <c r="G20" t="s">
        <v>234</v>
      </c>
      <c r="H20" t="s">
        <v>85</v>
      </c>
      <c r="I20" t="s">
        <v>348</v>
      </c>
      <c r="J20" t="s">
        <v>349</v>
      </c>
      <c r="K20" t="s">
        <v>350</v>
      </c>
      <c r="L20" t="s">
        <v>5828</v>
      </c>
      <c r="M20" t="s">
        <v>5829</v>
      </c>
      <c r="N20" t="s">
        <v>5882</v>
      </c>
    </row>
    <row r="21" spans="1:14" x14ac:dyDescent="0.25">
      <c r="A21">
        <v>2006</v>
      </c>
      <c r="B21">
        <v>7168</v>
      </c>
      <c r="C21" t="s">
        <v>5883</v>
      </c>
      <c r="D21" t="s">
        <v>5884</v>
      </c>
      <c r="E21">
        <v>339990</v>
      </c>
      <c r="F21" t="s">
        <v>871</v>
      </c>
      <c r="G21" t="s">
        <v>872</v>
      </c>
      <c r="H21" t="s">
        <v>21</v>
      </c>
      <c r="I21" t="s">
        <v>520</v>
      </c>
      <c r="J21" t="s">
        <v>521</v>
      </c>
      <c r="K21" t="s">
        <v>522</v>
      </c>
      <c r="L21" t="s">
        <v>5846</v>
      </c>
      <c r="M21" t="s">
        <v>5847</v>
      </c>
      <c r="N21" t="s">
        <v>5885</v>
      </c>
    </row>
    <row r="22" spans="1:14" x14ac:dyDescent="0.25">
      <c r="A22">
        <v>2020</v>
      </c>
      <c r="B22">
        <v>7646</v>
      </c>
      <c r="C22" t="s">
        <v>5886</v>
      </c>
      <c r="D22" t="s">
        <v>5887</v>
      </c>
      <c r="E22">
        <v>221320</v>
      </c>
      <c r="F22" t="s">
        <v>146</v>
      </c>
      <c r="G22" t="s">
        <v>147</v>
      </c>
      <c r="H22" t="s">
        <v>21</v>
      </c>
      <c r="I22" t="s">
        <v>62</v>
      </c>
      <c r="J22" t="s">
        <v>63</v>
      </c>
      <c r="K22" t="s">
        <v>64</v>
      </c>
      <c r="L22" t="s">
        <v>5888</v>
      </c>
      <c r="M22" t="s">
        <v>5889</v>
      </c>
      <c r="N22" t="s">
        <v>5890</v>
      </c>
    </row>
    <row r="23" spans="1:14" x14ac:dyDescent="0.25">
      <c r="A23">
        <v>1999</v>
      </c>
      <c r="B23">
        <v>1528</v>
      </c>
      <c r="C23" t="s">
        <v>5891</v>
      </c>
      <c r="D23" t="s">
        <v>5892</v>
      </c>
      <c r="E23">
        <v>322112</v>
      </c>
      <c r="F23" t="s">
        <v>620</v>
      </c>
      <c r="G23" t="s">
        <v>621</v>
      </c>
      <c r="H23" t="s">
        <v>79</v>
      </c>
      <c r="I23" t="s">
        <v>1549</v>
      </c>
      <c r="J23" t="s">
        <v>1550</v>
      </c>
      <c r="K23" t="s">
        <v>1551</v>
      </c>
      <c r="L23" t="s">
        <v>5828</v>
      </c>
      <c r="M23" t="s">
        <v>5829</v>
      </c>
      <c r="N23" t="s">
        <v>5893</v>
      </c>
    </row>
    <row r="24" spans="1:14" x14ac:dyDescent="0.25">
      <c r="A24">
        <v>2022</v>
      </c>
      <c r="B24">
        <v>29227</v>
      </c>
      <c r="C24" t="s">
        <v>5894</v>
      </c>
      <c r="D24" t="s">
        <v>5894</v>
      </c>
      <c r="E24">
        <v>333416</v>
      </c>
      <c r="F24" t="s">
        <v>5895</v>
      </c>
      <c r="G24" t="s">
        <v>5896</v>
      </c>
      <c r="H24" t="s">
        <v>69</v>
      </c>
      <c r="I24" t="s">
        <v>209</v>
      </c>
      <c r="J24" t="s">
        <v>210</v>
      </c>
      <c r="K24" t="s">
        <v>211</v>
      </c>
      <c r="L24" t="s">
        <v>5846</v>
      </c>
      <c r="M24" t="s">
        <v>5847</v>
      </c>
      <c r="N24" t="s">
        <v>5897</v>
      </c>
    </row>
    <row r="25" spans="1:14" x14ac:dyDescent="0.25">
      <c r="A25">
        <v>2006</v>
      </c>
      <c r="B25">
        <v>3140</v>
      </c>
      <c r="C25" t="s">
        <v>5516</v>
      </c>
      <c r="D25" t="s">
        <v>5898</v>
      </c>
      <c r="E25">
        <v>322130</v>
      </c>
      <c r="F25" t="s">
        <v>1645</v>
      </c>
      <c r="G25" t="s">
        <v>1646</v>
      </c>
      <c r="H25" t="s">
        <v>79</v>
      </c>
      <c r="I25" t="s">
        <v>97</v>
      </c>
      <c r="J25" t="s">
        <v>98</v>
      </c>
      <c r="K25" t="s">
        <v>99</v>
      </c>
      <c r="L25" t="s">
        <v>5875</v>
      </c>
      <c r="M25" t="s">
        <v>5876</v>
      </c>
      <c r="N25" t="s">
        <v>5899</v>
      </c>
    </row>
    <row r="26" spans="1:14" x14ac:dyDescent="0.25">
      <c r="A26">
        <v>2017</v>
      </c>
      <c r="B26">
        <v>27738</v>
      </c>
      <c r="C26" t="s">
        <v>1928</v>
      </c>
      <c r="D26" t="s">
        <v>5900</v>
      </c>
      <c r="E26">
        <v>211110</v>
      </c>
      <c r="F26" t="s">
        <v>233</v>
      </c>
      <c r="G26" t="s">
        <v>234</v>
      </c>
      <c r="H26" t="s">
        <v>85</v>
      </c>
      <c r="I26" t="s">
        <v>1369</v>
      </c>
      <c r="J26" t="s">
        <v>1370</v>
      </c>
      <c r="K26" t="s">
        <v>1371</v>
      </c>
      <c r="L26" t="s">
        <v>5828</v>
      </c>
      <c r="M26" t="s">
        <v>5829</v>
      </c>
      <c r="N26" t="s">
        <v>5901</v>
      </c>
    </row>
    <row r="27" spans="1:14" x14ac:dyDescent="0.25">
      <c r="A27">
        <v>2022</v>
      </c>
      <c r="B27">
        <v>6652</v>
      </c>
      <c r="C27" t="s">
        <v>806</v>
      </c>
      <c r="D27" t="s">
        <v>5556</v>
      </c>
      <c r="E27">
        <v>412110</v>
      </c>
      <c r="F27" t="s">
        <v>589</v>
      </c>
      <c r="G27" t="s">
        <v>590</v>
      </c>
      <c r="H27" t="s">
        <v>69</v>
      </c>
      <c r="I27" t="s">
        <v>427</v>
      </c>
      <c r="J27" t="s">
        <v>428</v>
      </c>
      <c r="K27" t="s">
        <v>429</v>
      </c>
      <c r="L27" t="s">
        <v>5828</v>
      </c>
      <c r="M27" t="s">
        <v>5829</v>
      </c>
      <c r="N27" t="s">
        <v>5902</v>
      </c>
    </row>
    <row r="28" spans="1:14" x14ac:dyDescent="0.25">
      <c r="A28">
        <v>2006</v>
      </c>
      <c r="B28">
        <v>17479</v>
      </c>
      <c r="C28" t="s">
        <v>2126</v>
      </c>
      <c r="D28" t="s">
        <v>5903</v>
      </c>
      <c r="E28">
        <v>213118</v>
      </c>
      <c r="F28" t="s">
        <v>1336</v>
      </c>
      <c r="G28" t="s">
        <v>1337</v>
      </c>
      <c r="H28" t="s">
        <v>85</v>
      </c>
      <c r="I28" t="s">
        <v>1533</v>
      </c>
      <c r="J28" t="s">
        <v>1534</v>
      </c>
      <c r="K28" t="s">
        <v>1535</v>
      </c>
      <c r="L28" t="s">
        <v>5828</v>
      </c>
      <c r="M28" t="s">
        <v>5829</v>
      </c>
      <c r="N28" t="s">
        <v>5904</v>
      </c>
    </row>
    <row r="29" spans="1:14" x14ac:dyDescent="0.25">
      <c r="A29">
        <v>2021</v>
      </c>
      <c r="B29">
        <v>8727</v>
      </c>
      <c r="C29" t="s">
        <v>5905</v>
      </c>
      <c r="D29" t="s">
        <v>709</v>
      </c>
      <c r="E29">
        <v>327330</v>
      </c>
      <c r="F29" t="s">
        <v>710</v>
      </c>
      <c r="G29" t="s">
        <v>711</v>
      </c>
      <c r="H29" t="s">
        <v>79</v>
      </c>
      <c r="I29" t="s">
        <v>62</v>
      </c>
      <c r="J29" t="s">
        <v>63</v>
      </c>
      <c r="K29" t="s">
        <v>64</v>
      </c>
      <c r="L29" t="s">
        <v>5828</v>
      </c>
      <c r="M29" t="s">
        <v>5829</v>
      </c>
      <c r="N29" t="s">
        <v>5906</v>
      </c>
    </row>
    <row r="30" spans="1:14" x14ac:dyDescent="0.25">
      <c r="A30">
        <v>2007</v>
      </c>
      <c r="B30">
        <v>434</v>
      </c>
      <c r="C30" t="s">
        <v>125</v>
      </c>
      <c r="D30" t="s">
        <v>5907</v>
      </c>
      <c r="E30">
        <v>211113</v>
      </c>
      <c r="F30" t="s">
        <v>425</v>
      </c>
      <c r="G30" t="s">
        <v>426</v>
      </c>
      <c r="H30" t="s">
        <v>85</v>
      </c>
      <c r="I30" t="s">
        <v>1533</v>
      </c>
      <c r="J30" t="s">
        <v>1534</v>
      </c>
      <c r="K30" t="s">
        <v>1535</v>
      </c>
      <c r="L30" t="s">
        <v>5828</v>
      </c>
      <c r="M30" t="s">
        <v>5829</v>
      </c>
      <c r="N30" t="s">
        <v>5908</v>
      </c>
    </row>
    <row r="31" spans="1:14" x14ac:dyDescent="0.25">
      <c r="A31">
        <v>2020</v>
      </c>
      <c r="B31">
        <v>5287</v>
      </c>
      <c r="C31" t="s">
        <v>1614</v>
      </c>
      <c r="D31" t="s">
        <v>5909</v>
      </c>
      <c r="E31">
        <v>211110</v>
      </c>
      <c r="F31" t="s">
        <v>233</v>
      </c>
      <c r="G31" t="s">
        <v>234</v>
      </c>
      <c r="H31" t="s">
        <v>85</v>
      </c>
      <c r="I31" t="s">
        <v>923</v>
      </c>
      <c r="J31" t="s">
        <v>924</v>
      </c>
      <c r="K31" t="s">
        <v>924</v>
      </c>
      <c r="L31" t="s">
        <v>5828</v>
      </c>
      <c r="M31" t="s">
        <v>5829</v>
      </c>
      <c r="N31" t="s">
        <v>5910</v>
      </c>
    </row>
    <row r="32" spans="1:14" x14ac:dyDescent="0.25">
      <c r="A32">
        <v>2022</v>
      </c>
      <c r="B32">
        <v>32983</v>
      </c>
      <c r="C32" t="s">
        <v>5911</v>
      </c>
      <c r="D32" t="s">
        <v>5912</v>
      </c>
      <c r="E32">
        <v>212315</v>
      </c>
      <c r="F32" t="s">
        <v>1869</v>
      </c>
      <c r="G32" t="s">
        <v>1831</v>
      </c>
      <c r="H32" t="s">
        <v>21</v>
      </c>
      <c r="I32" t="s">
        <v>1533</v>
      </c>
      <c r="J32" t="s">
        <v>1534</v>
      </c>
      <c r="K32" t="s">
        <v>1535</v>
      </c>
      <c r="L32" t="s">
        <v>5859</v>
      </c>
      <c r="M32" t="s">
        <v>5860</v>
      </c>
      <c r="N32" t="s">
        <v>5913</v>
      </c>
    </row>
    <row r="33" spans="1:14" x14ac:dyDescent="0.25">
      <c r="A33">
        <v>2009</v>
      </c>
      <c r="B33">
        <v>22725</v>
      </c>
      <c r="C33" t="s">
        <v>2164</v>
      </c>
      <c r="D33" t="s">
        <v>5914</v>
      </c>
      <c r="E33">
        <v>211113</v>
      </c>
      <c r="F33" t="s">
        <v>425</v>
      </c>
      <c r="G33" t="s">
        <v>426</v>
      </c>
      <c r="H33" t="s">
        <v>69</v>
      </c>
      <c r="I33" t="s">
        <v>1441</v>
      </c>
      <c r="J33" t="s">
        <v>1442</v>
      </c>
      <c r="K33" t="s">
        <v>1443</v>
      </c>
      <c r="L33" t="s">
        <v>5828</v>
      </c>
      <c r="M33" t="s">
        <v>5829</v>
      </c>
      <c r="N33" t="s">
        <v>5915</v>
      </c>
    </row>
    <row r="34" spans="1:14" x14ac:dyDescent="0.25">
      <c r="A34">
        <v>2003</v>
      </c>
      <c r="B34">
        <v>1816</v>
      </c>
      <c r="C34" t="s">
        <v>5916</v>
      </c>
      <c r="E34">
        <v>335110</v>
      </c>
      <c r="F34" t="s">
        <v>1279</v>
      </c>
      <c r="G34" t="s">
        <v>1280</v>
      </c>
      <c r="H34" t="s">
        <v>79</v>
      </c>
      <c r="I34" t="s">
        <v>271</v>
      </c>
      <c r="J34" t="s">
        <v>272</v>
      </c>
      <c r="K34" t="s">
        <v>273</v>
      </c>
      <c r="L34" t="s">
        <v>5828</v>
      </c>
      <c r="M34" t="s">
        <v>5829</v>
      </c>
      <c r="N34" t="s">
        <v>5917</v>
      </c>
    </row>
    <row r="35" spans="1:14" x14ac:dyDescent="0.25">
      <c r="A35">
        <v>2019</v>
      </c>
      <c r="B35">
        <v>7710</v>
      </c>
      <c r="C35" t="s">
        <v>5918</v>
      </c>
      <c r="D35" t="s">
        <v>5919</v>
      </c>
      <c r="E35">
        <v>321111</v>
      </c>
      <c r="F35" t="s">
        <v>1367</v>
      </c>
      <c r="G35" t="s">
        <v>1368</v>
      </c>
      <c r="H35" t="s">
        <v>69</v>
      </c>
      <c r="I35" t="s">
        <v>1533</v>
      </c>
      <c r="J35" t="s">
        <v>1534</v>
      </c>
      <c r="K35" t="s">
        <v>1535</v>
      </c>
      <c r="L35" t="s">
        <v>5828</v>
      </c>
      <c r="M35" t="s">
        <v>5829</v>
      </c>
      <c r="N35" t="s">
        <v>5920</v>
      </c>
    </row>
    <row r="36" spans="1:14" x14ac:dyDescent="0.25">
      <c r="A36">
        <v>2022</v>
      </c>
      <c r="B36">
        <v>3897</v>
      </c>
      <c r="C36" t="s">
        <v>1250</v>
      </c>
      <c r="D36" t="s">
        <v>275</v>
      </c>
      <c r="E36">
        <v>324110</v>
      </c>
      <c r="F36" t="s">
        <v>196</v>
      </c>
      <c r="G36" t="s">
        <v>96</v>
      </c>
      <c r="H36" t="s">
        <v>79</v>
      </c>
      <c r="I36" t="s">
        <v>337</v>
      </c>
      <c r="J36" t="s">
        <v>338</v>
      </c>
      <c r="K36" t="s">
        <v>339</v>
      </c>
      <c r="L36" t="s">
        <v>5875</v>
      </c>
      <c r="M36" t="s">
        <v>5876</v>
      </c>
      <c r="N36" t="s">
        <v>5921</v>
      </c>
    </row>
    <row r="37" spans="1:14" x14ac:dyDescent="0.25">
      <c r="A37">
        <v>2011</v>
      </c>
      <c r="B37">
        <v>5205</v>
      </c>
      <c r="C37" t="s">
        <v>5922</v>
      </c>
      <c r="D37" t="s">
        <v>5923</v>
      </c>
      <c r="E37">
        <v>321114</v>
      </c>
      <c r="F37" t="s">
        <v>365</v>
      </c>
      <c r="G37" t="s">
        <v>366</v>
      </c>
      <c r="H37" t="s">
        <v>243</v>
      </c>
      <c r="I37" t="s">
        <v>461</v>
      </c>
      <c r="J37" t="s">
        <v>462</v>
      </c>
      <c r="K37" t="s">
        <v>463</v>
      </c>
      <c r="L37" t="s">
        <v>5875</v>
      </c>
      <c r="M37" t="s">
        <v>5876</v>
      </c>
      <c r="N37" t="s">
        <v>5924</v>
      </c>
    </row>
    <row r="38" spans="1:14" x14ac:dyDescent="0.25">
      <c r="A38">
        <v>2011</v>
      </c>
      <c r="B38">
        <v>3707</v>
      </c>
      <c r="C38" t="s">
        <v>194</v>
      </c>
      <c r="D38" t="s">
        <v>195</v>
      </c>
      <c r="E38">
        <v>324110</v>
      </c>
      <c r="F38" t="s">
        <v>95</v>
      </c>
      <c r="G38" t="s">
        <v>96</v>
      </c>
      <c r="H38" t="s">
        <v>85</v>
      </c>
      <c r="I38" t="s">
        <v>22</v>
      </c>
      <c r="J38" t="s">
        <v>23</v>
      </c>
      <c r="K38" t="s">
        <v>24</v>
      </c>
      <c r="L38" t="s">
        <v>5828</v>
      </c>
      <c r="M38" t="s">
        <v>5829</v>
      </c>
      <c r="N38" t="s">
        <v>5925</v>
      </c>
    </row>
    <row r="39" spans="1:14" x14ac:dyDescent="0.25">
      <c r="A39">
        <v>2022</v>
      </c>
      <c r="B39">
        <v>26300</v>
      </c>
      <c r="C39" t="s">
        <v>5926</v>
      </c>
      <c r="D39" t="s">
        <v>5927</v>
      </c>
      <c r="E39">
        <v>493130</v>
      </c>
      <c r="F39" t="s">
        <v>1807</v>
      </c>
      <c r="G39" t="s">
        <v>1808</v>
      </c>
      <c r="H39" t="s">
        <v>21</v>
      </c>
      <c r="I39" t="s">
        <v>1369</v>
      </c>
      <c r="J39" t="s">
        <v>1370</v>
      </c>
      <c r="K39" t="s">
        <v>1371</v>
      </c>
      <c r="L39" t="s">
        <v>5828</v>
      </c>
      <c r="M39" t="s">
        <v>5829</v>
      </c>
      <c r="N39" t="s">
        <v>5928</v>
      </c>
    </row>
    <row r="40" spans="1:14" x14ac:dyDescent="0.25">
      <c r="A40">
        <v>2016</v>
      </c>
      <c r="B40">
        <v>2278</v>
      </c>
      <c r="C40" t="s">
        <v>5929</v>
      </c>
      <c r="D40" t="s">
        <v>5930</v>
      </c>
      <c r="E40">
        <v>212299</v>
      </c>
      <c r="F40" t="s">
        <v>1434</v>
      </c>
      <c r="G40" t="s">
        <v>1435</v>
      </c>
      <c r="H40" t="s">
        <v>54</v>
      </c>
      <c r="I40" t="s">
        <v>337</v>
      </c>
      <c r="J40" t="s">
        <v>338</v>
      </c>
      <c r="K40" t="s">
        <v>339</v>
      </c>
      <c r="L40" t="s">
        <v>5846</v>
      </c>
      <c r="M40" t="s">
        <v>5847</v>
      </c>
      <c r="N40" t="s">
        <v>5931</v>
      </c>
    </row>
    <row r="41" spans="1:14" x14ac:dyDescent="0.25">
      <c r="A41">
        <v>2013</v>
      </c>
      <c r="B41">
        <v>3754</v>
      </c>
      <c r="C41" t="s">
        <v>818</v>
      </c>
      <c r="D41" t="s">
        <v>635</v>
      </c>
      <c r="E41">
        <v>211113</v>
      </c>
      <c r="F41" t="s">
        <v>786</v>
      </c>
      <c r="G41" t="s">
        <v>426</v>
      </c>
      <c r="H41" t="s">
        <v>85</v>
      </c>
      <c r="I41" t="s">
        <v>923</v>
      </c>
      <c r="J41" t="s">
        <v>924</v>
      </c>
      <c r="K41" t="s">
        <v>924</v>
      </c>
      <c r="L41" t="s">
        <v>5828</v>
      </c>
      <c r="M41" t="s">
        <v>5829</v>
      </c>
      <c r="N41" t="s">
        <v>5932</v>
      </c>
    </row>
    <row r="42" spans="1:14" x14ac:dyDescent="0.25">
      <c r="A42">
        <v>1997</v>
      </c>
      <c r="B42">
        <v>3992</v>
      </c>
      <c r="C42" t="s">
        <v>5933</v>
      </c>
      <c r="D42" t="s">
        <v>5387</v>
      </c>
      <c r="E42">
        <v>221112</v>
      </c>
      <c r="F42" t="s">
        <v>134</v>
      </c>
      <c r="G42" t="s">
        <v>135</v>
      </c>
      <c r="H42" t="s">
        <v>483</v>
      </c>
      <c r="I42" t="s">
        <v>152</v>
      </c>
      <c r="J42" t="s">
        <v>153</v>
      </c>
      <c r="K42" t="s">
        <v>154</v>
      </c>
      <c r="L42" t="s">
        <v>5846</v>
      </c>
      <c r="M42" t="s">
        <v>5847</v>
      </c>
      <c r="N42" t="s">
        <v>5934</v>
      </c>
    </row>
    <row r="43" spans="1:14" x14ac:dyDescent="0.25">
      <c r="A43">
        <v>2012</v>
      </c>
      <c r="B43">
        <v>2587</v>
      </c>
      <c r="C43" t="s">
        <v>5935</v>
      </c>
      <c r="D43" t="s">
        <v>937</v>
      </c>
      <c r="E43">
        <v>322121</v>
      </c>
      <c r="F43" t="s">
        <v>938</v>
      </c>
      <c r="G43" t="s">
        <v>765</v>
      </c>
      <c r="H43" t="s">
        <v>79</v>
      </c>
      <c r="I43" t="s">
        <v>1421</v>
      </c>
      <c r="J43" t="s">
        <v>1422</v>
      </c>
      <c r="K43" t="s">
        <v>1423</v>
      </c>
      <c r="L43" t="s">
        <v>5828</v>
      </c>
      <c r="M43" t="s">
        <v>5829</v>
      </c>
      <c r="N43" t="s">
        <v>5936</v>
      </c>
    </row>
    <row r="44" spans="1:14" x14ac:dyDescent="0.25">
      <c r="A44">
        <v>2019</v>
      </c>
      <c r="B44">
        <v>267</v>
      </c>
      <c r="C44" t="s">
        <v>5519</v>
      </c>
      <c r="D44" t="s">
        <v>5520</v>
      </c>
      <c r="E44">
        <v>221112</v>
      </c>
      <c r="F44" t="s">
        <v>499</v>
      </c>
      <c r="G44" t="s">
        <v>135</v>
      </c>
      <c r="H44" t="s">
        <v>85</v>
      </c>
      <c r="I44" t="s">
        <v>1883</v>
      </c>
      <c r="J44" t="s">
        <v>1884</v>
      </c>
      <c r="K44" t="s">
        <v>1885</v>
      </c>
      <c r="L44" t="s">
        <v>5828</v>
      </c>
      <c r="M44" t="s">
        <v>5829</v>
      </c>
      <c r="N44" t="s">
        <v>5937</v>
      </c>
    </row>
    <row r="45" spans="1:14" x14ac:dyDescent="0.25">
      <c r="A45">
        <v>2006</v>
      </c>
      <c r="B45">
        <v>3962</v>
      </c>
      <c r="C45" t="s">
        <v>1955</v>
      </c>
      <c r="D45" t="s">
        <v>1956</v>
      </c>
      <c r="E45">
        <v>324110</v>
      </c>
      <c r="F45" t="s">
        <v>95</v>
      </c>
      <c r="G45" t="s">
        <v>96</v>
      </c>
      <c r="H45" t="s">
        <v>21</v>
      </c>
      <c r="I45" t="s">
        <v>535</v>
      </c>
      <c r="J45" t="s">
        <v>536</v>
      </c>
      <c r="K45" t="s">
        <v>537</v>
      </c>
      <c r="L45" t="s">
        <v>5828</v>
      </c>
      <c r="M45" t="s">
        <v>5829</v>
      </c>
      <c r="N45" t="s">
        <v>5938</v>
      </c>
    </row>
    <row r="46" spans="1:14" x14ac:dyDescent="0.25">
      <c r="A46">
        <v>2018</v>
      </c>
      <c r="B46">
        <v>5912</v>
      </c>
      <c r="C46" t="s">
        <v>5939</v>
      </c>
      <c r="D46" t="s">
        <v>5940</v>
      </c>
      <c r="E46">
        <v>337110</v>
      </c>
      <c r="F46" t="s">
        <v>2259</v>
      </c>
      <c r="G46" t="s">
        <v>2260</v>
      </c>
      <c r="H46" t="s">
        <v>21</v>
      </c>
      <c r="I46" t="s">
        <v>271</v>
      </c>
      <c r="J46" t="s">
        <v>272</v>
      </c>
      <c r="K46" t="s">
        <v>273</v>
      </c>
      <c r="L46" t="s">
        <v>5875</v>
      </c>
      <c r="M46" t="s">
        <v>5876</v>
      </c>
      <c r="N46" t="s">
        <v>5941</v>
      </c>
    </row>
    <row r="47" spans="1:14" x14ac:dyDescent="0.25">
      <c r="A47">
        <v>2020</v>
      </c>
      <c r="B47">
        <v>10229</v>
      </c>
      <c r="C47" t="s">
        <v>125</v>
      </c>
      <c r="D47" t="s">
        <v>1183</v>
      </c>
      <c r="E47">
        <v>412110</v>
      </c>
      <c r="F47" t="s">
        <v>127</v>
      </c>
      <c r="G47" t="s">
        <v>128</v>
      </c>
      <c r="H47" t="s">
        <v>21</v>
      </c>
      <c r="I47" t="s">
        <v>703</v>
      </c>
      <c r="J47" t="s">
        <v>1127</v>
      </c>
      <c r="K47" t="s">
        <v>1128</v>
      </c>
      <c r="L47" t="s">
        <v>5846</v>
      </c>
      <c r="M47" t="s">
        <v>5847</v>
      </c>
      <c r="N47" t="s">
        <v>5942</v>
      </c>
    </row>
    <row r="48" spans="1:14" x14ac:dyDescent="0.25">
      <c r="A48">
        <v>2011</v>
      </c>
      <c r="B48">
        <v>1383</v>
      </c>
      <c r="C48" t="s">
        <v>1706</v>
      </c>
      <c r="D48" t="s">
        <v>1707</v>
      </c>
      <c r="E48">
        <v>322112</v>
      </c>
      <c r="F48" t="s">
        <v>620</v>
      </c>
      <c r="G48" t="s">
        <v>621</v>
      </c>
      <c r="H48" t="s">
        <v>69</v>
      </c>
      <c r="I48" t="s">
        <v>461</v>
      </c>
      <c r="J48" t="s">
        <v>462</v>
      </c>
      <c r="K48" t="s">
        <v>463</v>
      </c>
      <c r="L48" t="s">
        <v>5875</v>
      </c>
      <c r="M48" t="s">
        <v>5876</v>
      </c>
      <c r="N48" t="s">
        <v>5943</v>
      </c>
    </row>
    <row r="49" spans="1:14" x14ac:dyDescent="0.25">
      <c r="A49">
        <v>2018</v>
      </c>
      <c r="B49">
        <v>7051</v>
      </c>
      <c r="C49" t="s">
        <v>5944</v>
      </c>
      <c r="D49" t="s">
        <v>5945</v>
      </c>
      <c r="E49">
        <v>212220</v>
      </c>
      <c r="F49" t="s">
        <v>1619</v>
      </c>
      <c r="G49" t="s">
        <v>1620</v>
      </c>
      <c r="H49" t="s">
        <v>21</v>
      </c>
      <c r="I49" t="s">
        <v>35</v>
      </c>
      <c r="J49" t="s">
        <v>36</v>
      </c>
      <c r="K49" t="s">
        <v>37</v>
      </c>
      <c r="L49" t="s">
        <v>5828</v>
      </c>
      <c r="M49" t="s">
        <v>5829</v>
      </c>
      <c r="N49" t="s">
        <v>5946</v>
      </c>
    </row>
    <row r="50" spans="1:14" x14ac:dyDescent="0.25">
      <c r="A50">
        <v>2004</v>
      </c>
      <c r="B50">
        <v>2948</v>
      </c>
      <c r="C50" t="s">
        <v>5947</v>
      </c>
      <c r="D50" t="s">
        <v>5723</v>
      </c>
      <c r="E50">
        <v>322112</v>
      </c>
      <c r="F50" t="s">
        <v>620</v>
      </c>
      <c r="G50" t="s">
        <v>621</v>
      </c>
      <c r="H50" t="s">
        <v>79</v>
      </c>
      <c r="I50" t="s">
        <v>504</v>
      </c>
      <c r="J50" t="s">
        <v>505</v>
      </c>
      <c r="K50" t="s">
        <v>506</v>
      </c>
      <c r="L50" t="s">
        <v>5828</v>
      </c>
      <c r="M50" t="s">
        <v>5829</v>
      </c>
      <c r="N50" t="s">
        <v>5948</v>
      </c>
    </row>
    <row r="51" spans="1:14" x14ac:dyDescent="0.25">
      <c r="A51">
        <v>2023</v>
      </c>
      <c r="B51">
        <v>22468</v>
      </c>
      <c r="C51" t="s">
        <v>1592</v>
      </c>
      <c r="D51" t="s">
        <v>5949</v>
      </c>
      <c r="E51">
        <v>211110</v>
      </c>
      <c r="F51" t="s">
        <v>233</v>
      </c>
      <c r="G51" t="s">
        <v>234</v>
      </c>
      <c r="H51" t="s">
        <v>85</v>
      </c>
      <c r="I51" t="s">
        <v>1457</v>
      </c>
      <c r="J51" t="s">
        <v>1680</v>
      </c>
      <c r="K51" t="s">
        <v>1681</v>
      </c>
      <c r="L51" t="s">
        <v>5828</v>
      </c>
      <c r="M51" t="s">
        <v>5829</v>
      </c>
      <c r="N51" t="s">
        <v>5950</v>
      </c>
    </row>
    <row r="52" spans="1:14" x14ac:dyDescent="0.25">
      <c r="A52">
        <v>2014</v>
      </c>
      <c r="B52">
        <v>1</v>
      </c>
      <c r="C52" t="s">
        <v>5470</v>
      </c>
      <c r="D52" t="s">
        <v>5470</v>
      </c>
      <c r="E52">
        <v>322112</v>
      </c>
      <c r="F52" t="s">
        <v>660</v>
      </c>
      <c r="G52" t="s">
        <v>621</v>
      </c>
      <c r="H52" t="s">
        <v>85</v>
      </c>
      <c r="I52" t="s">
        <v>1948</v>
      </c>
      <c r="J52" t="s">
        <v>1949</v>
      </c>
      <c r="K52" t="s">
        <v>1950</v>
      </c>
      <c r="L52" t="s">
        <v>5828</v>
      </c>
      <c r="M52" t="s">
        <v>5829</v>
      </c>
      <c r="N52" t="s">
        <v>5951</v>
      </c>
    </row>
    <row r="53" spans="1:14" x14ac:dyDescent="0.25">
      <c r="A53">
        <v>2004</v>
      </c>
      <c r="B53">
        <v>18161</v>
      </c>
      <c r="C53" t="s">
        <v>2126</v>
      </c>
      <c r="D53" t="s">
        <v>5952</v>
      </c>
      <c r="E53">
        <v>211113</v>
      </c>
      <c r="F53" t="s">
        <v>425</v>
      </c>
      <c r="G53" t="s">
        <v>426</v>
      </c>
      <c r="H53" t="s">
        <v>243</v>
      </c>
      <c r="I53" t="s">
        <v>1421</v>
      </c>
      <c r="J53" t="s">
        <v>1422</v>
      </c>
      <c r="K53" t="s">
        <v>1423</v>
      </c>
      <c r="L53" t="s">
        <v>5828</v>
      </c>
      <c r="M53" t="s">
        <v>5829</v>
      </c>
      <c r="N53" t="s">
        <v>5953</v>
      </c>
    </row>
    <row r="54" spans="1:14" x14ac:dyDescent="0.25">
      <c r="A54">
        <v>2003</v>
      </c>
      <c r="B54">
        <v>6508</v>
      </c>
      <c r="C54" t="s">
        <v>5954</v>
      </c>
      <c r="D54" t="s">
        <v>5955</v>
      </c>
      <c r="E54">
        <v>221310</v>
      </c>
      <c r="F54" t="s">
        <v>5956</v>
      </c>
      <c r="G54" t="s">
        <v>5957</v>
      </c>
      <c r="H54" t="s">
        <v>85</v>
      </c>
      <c r="I54" t="s">
        <v>504</v>
      </c>
      <c r="J54" t="s">
        <v>505</v>
      </c>
      <c r="K54" t="s">
        <v>506</v>
      </c>
      <c r="L54" t="s">
        <v>5875</v>
      </c>
      <c r="M54" t="s">
        <v>5876</v>
      </c>
      <c r="N54" t="s">
        <v>5958</v>
      </c>
    </row>
    <row r="55" spans="1:14" x14ac:dyDescent="0.25">
      <c r="A55">
        <v>2004</v>
      </c>
      <c r="B55">
        <v>3764</v>
      </c>
      <c r="C55" t="s">
        <v>5959</v>
      </c>
      <c r="D55" t="s">
        <v>5960</v>
      </c>
      <c r="E55">
        <v>336370</v>
      </c>
      <c r="F55" t="s">
        <v>586</v>
      </c>
      <c r="G55" t="s">
        <v>587</v>
      </c>
      <c r="H55" t="s">
        <v>21</v>
      </c>
      <c r="I55" t="s">
        <v>129</v>
      </c>
      <c r="J55" t="s">
        <v>130</v>
      </c>
      <c r="K55" t="s">
        <v>131</v>
      </c>
      <c r="L55" t="s">
        <v>5828</v>
      </c>
      <c r="M55" t="s">
        <v>5829</v>
      </c>
      <c r="N55" t="s">
        <v>5961</v>
      </c>
    </row>
    <row r="56" spans="1:14" x14ac:dyDescent="0.25">
      <c r="A56">
        <v>2007</v>
      </c>
      <c r="B56">
        <v>5727</v>
      </c>
      <c r="C56" t="s">
        <v>5962</v>
      </c>
      <c r="D56" t="s">
        <v>5963</v>
      </c>
      <c r="E56">
        <v>336390</v>
      </c>
      <c r="F56" t="s">
        <v>60</v>
      </c>
      <c r="G56" t="s">
        <v>61</v>
      </c>
      <c r="H56" t="s">
        <v>21</v>
      </c>
      <c r="I56" t="s">
        <v>1457</v>
      </c>
      <c r="J56" t="s">
        <v>1458</v>
      </c>
      <c r="K56" t="s">
        <v>1459</v>
      </c>
      <c r="L56" t="s">
        <v>5828</v>
      </c>
      <c r="M56" t="s">
        <v>5829</v>
      </c>
      <c r="N56" t="s">
        <v>5964</v>
      </c>
    </row>
    <row r="57" spans="1:14" x14ac:dyDescent="0.25">
      <c r="A57">
        <v>2023</v>
      </c>
      <c r="B57">
        <v>27914</v>
      </c>
      <c r="C57" t="s">
        <v>5965</v>
      </c>
      <c r="D57" t="s">
        <v>2075</v>
      </c>
      <c r="E57">
        <v>221119</v>
      </c>
      <c r="F57" t="s">
        <v>322</v>
      </c>
      <c r="G57" t="s">
        <v>323</v>
      </c>
      <c r="H57" t="s">
        <v>69</v>
      </c>
      <c r="I57" t="s">
        <v>1533</v>
      </c>
      <c r="J57" t="s">
        <v>1534</v>
      </c>
      <c r="K57" t="s">
        <v>1535</v>
      </c>
      <c r="L57" t="s">
        <v>5828</v>
      </c>
      <c r="M57" t="s">
        <v>5829</v>
      </c>
      <c r="N57" t="s">
        <v>5966</v>
      </c>
    </row>
    <row r="58" spans="1:14" x14ac:dyDescent="0.25">
      <c r="A58">
        <v>2021</v>
      </c>
      <c r="B58">
        <v>2083</v>
      </c>
      <c r="C58" t="s">
        <v>497</v>
      </c>
      <c r="D58" t="s">
        <v>498</v>
      </c>
      <c r="E58">
        <v>221112</v>
      </c>
      <c r="F58" t="s">
        <v>499</v>
      </c>
      <c r="G58" t="s">
        <v>135</v>
      </c>
      <c r="H58" t="s">
        <v>243</v>
      </c>
      <c r="I58" t="s">
        <v>1533</v>
      </c>
      <c r="J58" t="s">
        <v>1534</v>
      </c>
      <c r="K58" t="s">
        <v>1535</v>
      </c>
      <c r="L58" t="s">
        <v>5828</v>
      </c>
      <c r="M58" t="s">
        <v>5829</v>
      </c>
      <c r="N58" t="s">
        <v>5967</v>
      </c>
    </row>
    <row r="59" spans="1:14" x14ac:dyDescent="0.25">
      <c r="A59">
        <v>2016</v>
      </c>
      <c r="B59">
        <v>28033</v>
      </c>
      <c r="C59" t="s">
        <v>1995</v>
      </c>
      <c r="D59" t="s">
        <v>5968</v>
      </c>
      <c r="E59">
        <v>211114</v>
      </c>
      <c r="F59" t="s">
        <v>956</v>
      </c>
      <c r="G59" t="s">
        <v>836</v>
      </c>
      <c r="H59" t="s">
        <v>85</v>
      </c>
      <c r="I59" t="s">
        <v>504</v>
      </c>
      <c r="J59" t="s">
        <v>505</v>
      </c>
      <c r="K59" t="s">
        <v>506</v>
      </c>
      <c r="L59" t="s">
        <v>5828</v>
      </c>
      <c r="M59" t="s">
        <v>5829</v>
      </c>
      <c r="N59" t="s">
        <v>5969</v>
      </c>
    </row>
    <row r="60" spans="1:14" x14ac:dyDescent="0.25">
      <c r="A60">
        <v>2012</v>
      </c>
      <c r="B60">
        <v>5546</v>
      </c>
      <c r="C60" t="s">
        <v>5970</v>
      </c>
      <c r="D60" t="s">
        <v>5971</v>
      </c>
      <c r="E60">
        <v>562210</v>
      </c>
      <c r="F60" t="s">
        <v>84</v>
      </c>
      <c r="G60" t="s">
        <v>53</v>
      </c>
      <c r="H60" t="s">
        <v>79</v>
      </c>
      <c r="I60" t="s">
        <v>35</v>
      </c>
      <c r="J60" t="s">
        <v>36</v>
      </c>
      <c r="K60" t="s">
        <v>37</v>
      </c>
      <c r="L60" t="s">
        <v>5828</v>
      </c>
      <c r="M60" t="s">
        <v>5829</v>
      </c>
      <c r="N60" t="s">
        <v>5972</v>
      </c>
    </row>
    <row r="61" spans="1:14" x14ac:dyDescent="0.25">
      <c r="A61">
        <v>2014</v>
      </c>
      <c r="B61">
        <v>16483</v>
      </c>
      <c r="C61" t="s">
        <v>784</v>
      </c>
      <c r="D61" t="s">
        <v>814</v>
      </c>
      <c r="E61">
        <v>211113</v>
      </c>
      <c r="F61" t="s">
        <v>786</v>
      </c>
      <c r="G61" t="s">
        <v>426</v>
      </c>
      <c r="H61" t="s">
        <v>69</v>
      </c>
      <c r="I61" t="s">
        <v>331</v>
      </c>
      <c r="J61" t="s">
        <v>332</v>
      </c>
      <c r="K61" t="s">
        <v>333</v>
      </c>
      <c r="L61" t="s">
        <v>5846</v>
      </c>
      <c r="M61" t="s">
        <v>5847</v>
      </c>
      <c r="N61" t="s">
        <v>5973</v>
      </c>
    </row>
    <row r="62" spans="1:14" x14ac:dyDescent="0.25">
      <c r="A62">
        <v>2018</v>
      </c>
      <c r="B62">
        <v>3284</v>
      </c>
      <c r="C62" t="s">
        <v>5974</v>
      </c>
      <c r="D62" t="s">
        <v>5975</v>
      </c>
      <c r="E62">
        <v>325210</v>
      </c>
      <c r="F62" t="s">
        <v>414</v>
      </c>
      <c r="G62" t="s">
        <v>415</v>
      </c>
      <c r="H62" t="s">
        <v>21</v>
      </c>
      <c r="I62" t="s">
        <v>1421</v>
      </c>
      <c r="J62" t="s">
        <v>1422</v>
      </c>
      <c r="K62" t="s">
        <v>1423</v>
      </c>
      <c r="L62" t="s">
        <v>5828</v>
      </c>
      <c r="M62" t="s">
        <v>5829</v>
      </c>
      <c r="N62" t="s">
        <v>5976</v>
      </c>
    </row>
    <row r="63" spans="1:14" x14ac:dyDescent="0.25">
      <c r="A63">
        <v>2020</v>
      </c>
      <c r="B63">
        <v>1593</v>
      </c>
      <c r="C63" t="s">
        <v>5776</v>
      </c>
      <c r="D63" t="s">
        <v>5977</v>
      </c>
      <c r="E63">
        <v>322121</v>
      </c>
      <c r="F63" t="s">
        <v>938</v>
      </c>
      <c r="G63" t="s">
        <v>765</v>
      </c>
      <c r="H63" t="s">
        <v>69</v>
      </c>
      <c r="I63" t="s">
        <v>504</v>
      </c>
      <c r="J63" t="s">
        <v>505</v>
      </c>
      <c r="K63" t="s">
        <v>506</v>
      </c>
      <c r="L63" t="s">
        <v>5875</v>
      </c>
      <c r="M63" t="s">
        <v>5876</v>
      </c>
      <c r="N63" t="s">
        <v>5978</v>
      </c>
    </row>
    <row r="64" spans="1:14" x14ac:dyDescent="0.25">
      <c r="A64">
        <v>2022</v>
      </c>
      <c r="B64">
        <v>7650</v>
      </c>
      <c r="C64" t="s">
        <v>5349</v>
      </c>
      <c r="D64" t="s">
        <v>5979</v>
      </c>
      <c r="E64">
        <v>911110</v>
      </c>
      <c r="F64" t="s">
        <v>5980</v>
      </c>
      <c r="G64" t="s">
        <v>5981</v>
      </c>
      <c r="H64" t="s">
        <v>21</v>
      </c>
      <c r="I64" t="s">
        <v>35</v>
      </c>
      <c r="J64" t="s">
        <v>36</v>
      </c>
      <c r="K64" t="s">
        <v>37</v>
      </c>
      <c r="L64" t="s">
        <v>5828</v>
      </c>
      <c r="M64" t="s">
        <v>5829</v>
      </c>
      <c r="N64" t="s">
        <v>5982</v>
      </c>
    </row>
    <row r="65" spans="1:14" x14ac:dyDescent="0.25">
      <c r="A65">
        <v>2007</v>
      </c>
      <c r="B65">
        <v>3962</v>
      </c>
      <c r="C65" t="s">
        <v>1955</v>
      </c>
      <c r="D65" t="s">
        <v>1956</v>
      </c>
      <c r="E65">
        <v>324110</v>
      </c>
      <c r="F65" t="s">
        <v>95</v>
      </c>
      <c r="G65" t="s">
        <v>96</v>
      </c>
      <c r="H65" t="s">
        <v>21</v>
      </c>
      <c r="I65" t="s">
        <v>5358</v>
      </c>
      <c r="J65" t="s">
        <v>5359</v>
      </c>
      <c r="K65" t="s">
        <v>5360</v>
      </c>
      <c r="L65" t="s">
        <v>5875</v>
      </c>
      <c r="M65" t="s">
        <v>5876</v>
      </c>
      <c r="N65" t="s">
        <v>5983</v>
      </c>
    </row>
    <row r="66" spans="1:14" x14ac:dyDescent="0.25">
      <c r="A66">
        <v>2008</v>
      </c>
      <c r="B66">
        <v>7174</v>
      </c>
      <c r="C66" t="s">
        <v>5984</v>
      </c>
      <c r="D66" t="s">
        <v>5985</v>
      </c>
      <c r="E66">
        <v>331210</v>
      </c>
      <c r="F66" t="s">
        <v>1049</v>
      </c>
      <c r="G66" t="s">
        <v>657</v>
      </c>
      <c r="H66" t="s">
        <v>21</v>
      </c>
      <c r="I66" t="s">
        <v>62</v>
      </c>
      <c r="J66" t="s">
        <v>63</v>
      </c>
      <c r="K66" t="s">
        <v>64</v>
      </c>
      <c r="L66" t="s">
        <v>5846</v>
      </c>
      <c r="M66" t="s">
        <v>5847</v>
      </c>
      <c r="N66" t="s">
        <v>5986</v>
      </c>
    </row>
    <row r="67" spans="1:14" x14ac:dyDescent="0.25">
      <c r="A67">
        <v>2007</v>
      </c>
      <c r="B67">
        <v>5269</v>
      </c>
      <c r="C67" t="s">
        <v>5987</v>
      </c>
      <c r="D67" t="s">
        <v>5988</v>
      </c>
      <c r="E67">
        <v>311614</v>
      </c>
      <c r="F67" t="s">
        <v>5989</v>
      </c>
      <c r="G67" t="s">
        <v>5990</v>
      </c>
      <c r="H67" t="s">
        <v>54</v>
      </c>
      <c r="I67" t="s">
        <v>504</v>
      </c>
      <c r="J67" t="s">
        <v>505</v>
      </c>
      <c r="K67" t="s">
        <v>506</v>
      </c>
      <c r="L67" t="s">
        <v>5828</v>
      </c>
      <c r="M67" t="s">
        <v>5829</v>
      </c>
      <c r="N67" t="s">
        <v>5991</v>
      </c>
    </row>
    <row r="68" spans="1:14" x14ac:dyDescent="0.25">
      <c r="A68">
        <v>2012</v>
      </c>
      <c r="B68">
        <v>2343</v>
      </c>
      <c r="C68" t="s">
        <v>2015</v>
      </c>
      <c r="D68" t="s">
        <v>5992</v>
      </c>
      <c r="E68">
        <v>418410</v>
      </c>
      <c r="F68" t="s">
        <v>433</v>
      </c>
      <c r="G68" t="s">
        <v>434</v>
      </c>
      <c r="H68" t="s">
        <v>69</v>
      </c>
      <c r="I68" t="s">
        <v>778</v>
      </c>
      <c r="J68" t="s">
        <v>779</v>
      </c>
      <c r="K68" t="s">
        <v>780</v>
      </c>
      <c r="L68" t="s">
        <v>5828</v>
      </c>
      <c r="M68" t="s">
        <v>5829</v>
      </c>
      <c r="N68" t="s">
        <v>5993</v>
      </c>
    </row>
    <row r="69" spans="1:14" x14ac:dyDescent="0.25">
      <c r="A69">
        <v>2018</v>
      </c>
      <c r="B69">
        <v>7200</v>
      </c>
      <c r="C69" t="s">
        <v>5994</v>
      </c>
      <c r="D69" t="s">
        <v>5994</v>
      </c>
      <c r="E69">
        <v>332810</v>
      </c>
      <c r="F69" t="s">
        <v>361</v>
      </c>
      <c r="G69" t="s">
        <v>362</v>
      </c>
      <c r="H69" t="s">
        <v>21</v>
      </c>
      <c r="I69" t="s">
        <v>35</v>
      </c>
      <c r="J69" t="s">
        <v>36</v>
      </c>
      <c r="K69" t="s">
        <v>37</v>
      </c>
      <c r="L69" t="s">
        <v>5875</v>
      </c>
      <c r="M69" t="s">
        <v>5876</v>
      </c>
      <c r="N69" t="s">
        <v>5995</v>
      </c>
    </row>
    <row r="70" spans="1:14" x14ac:dyDescent="0.25">
      <c r="A70">
        <v>2019</v>
      </c>
      <c r="B70">
        <v>3242</v>
      </c>
      <c r="C70" t="s">
        <v>5262</v>
      </c>
      <c r="D70" t="s">
        <v>5263</v>
      </c>
      <c r="E70">
        <v>322112</v>
      </c>
      <c r="F70" t="s">
        <v>660</v>
      </c>
      <c r="G70" t="s">
        <v>621</v>
      </c>
      <c r="H70" t="s">
        <v>79</v>
      </c>
      <c r="I70" t="s">
        <v>1369</v>
      </c>
      <c r="J70" t="s">
        <v>1370</v>
      </c>
      <c r="K70" t="s">
        <v>1371</v>
      </c>
      <c r="L70" t="s">
        <v>5828</v>
      </c>
      <c r="M70" t="s">
        <v>5829</v>
      </c>
      <c r="N70" t="s">
        <v>5996</v>
      </c>
    </row>
    <row r="71" spans="1:14" x14ac:dyDescent="0.25">
      <c r="A71">
        <v>2019</v>
      </c>
      <c r="B71">
        <v>3571</v>
      </c>
      <c r="C71" t="s">
        <v>5312</v>
      </c>
      <c r="D71" t="s">
        <v>5313</v>
      </c>
      <c r="E71">
        <v>221320</v>
      </c>
      <c r="F71" t="s">
        <v>146</v>
      </c>
      <c r="G71" t="s">
        <v>147</v>
      </c>
      <c r="H71" t="s">
        <v>79</v>
      </c>
      <c r="I71" t="s">
        <v>209</v>
      </c>
      <c r="J71" t="s">
        <v>210</v>
      </c>
      <c r="K71" t="s">
        <v>211</v>
      </c>
      <c r="L71" t="s">
        <v>5846</v>
      </c>
      <c r="M71" t="s">
        <v>5847</v>
      </c>
      <c r="N71" t="s">
        <v>5997</v>
      </c>
    </row>
    <row r="72" spans="1:14" x14ac:dyDescent="0.25">
      <c r="A72">
        <v>2020</v>
      </c>
      <c r="B72">
        <v>5990</v>
      </c>
      <c r="C72" t="s">
        <v>5998</v>
      </c>
      <c r="D72" t="s">
        <v>5999</v>
      </c>
      <c r="E72">
        <v>221320</v>
      </c>
      <c r="F72" t="s">
        <v>146</v>
      </c>
      <c r="G72" t="s">
        <v>147</v>
      </c>
      <c r="H72" t="s">
        <v>21</v>
      </c>
      <c r="I72" t="s">
        <v>106</v>
      </c>
      <c r="J72" t="s">
        <v>107</v>
      </c>
      <c r="K72" t="s">
        <v>108</v>
      </c>
      <c r="L72" t="s">
        <v>5859</v>
      </c>
      <c r="M72" t="s">
        <v>5860</v>
      </c>
      <c r="N72" t="s">
        <v>6000</v>
      </c>
    </row>
    <row r="73" spans="1:14" x14ac:dyDescent="0.25">
      <c r="A73">
        <v>2020</v>
      </c>
      <c r="B73">
        <v>2984</v>
      </c>
      <c r="C73" t="s">
        <v>6001</v>
      </c>
      <c r="D73" t="s">
        <v>3452</v>
      </c>
      <c r="E73">
        <v>331110</v>
      </c>
      <c r="F73" t="s">
        <v>627</v>
      </c>
      <c r="G73" t="s">
        <v>336</v>
      </c>
      <c r="H73" t="s">
        <v>21</v>
      </c>
      <c r="I73" t="s">
        <v>543</v>
      </c>
      <c r="J73" t="s">
        <v>544</v>
      </c>
      <c r="K73" t="s">
        <v>545</v>
      </c>
      <c r="L73" t="s">
        <v>5875</v>
      </c>
      <c r="M73" t="s">
        <v>5876</v>
      </c>
      <c r="N73" t="s">
        <v>6002</v>
      </c>
    </row>
    <row r="74" spans="1:14" x14ac:dyDescent="0.25">
      <c r="A74">
        <v>2018</v>
      </c>
      <c r="B74">
        <v>2991</v>
      </c>
      <c r="C74" t="s">
        <v>2313</v>
      </c>
      <c r="D74" t="s">
        <v>5232</v>
      </c>
      <c r="E74">
        <v>322112</v>
      </c>
      <c r="F74" t="s">
        <v>660</v>
      </c>
      <c r="G74" t="s">
        <v>621</v>
      </c>
      <c r="H74" t="s">
        <v>85</v>
      </c>
      <c r="I74" t="s">
        <v>1948</v>
      </c>
      <c r="J74" t="s">
        <v>1949</v>
      </c>
      <c r="K74" t="s">
        <v>1950</v>
      </c>
      <c r="L74" t="s">
        <v>5828</v>
      </c>
      <c r="M74" t="s">
        <v>5829</v>
      </c>
      <c r="N74" t="s">
        <v>6003</v>
      </c>
    </row>
    <row r="75" spans="1:14" x14ac:dyDescent="0.25">
      <c r="A75">
        <v>2011</v>
      </c>
      <c r="B75">
        <v>5656</v>
      </c>
      <c r="C75" t="s">
        <v>1661</v>
      </c>
      <c r="D75" t="s">
        <v>1759</v>
      </c>
      <c r="E75">
        <v>212220</v>
      </c>
      <c r="F75" t="s">
        <v>1980</v>
      </c>
      <c r="G75" t="s">
        <v>1620</v>
      </c>
      <c r="H75" t="s">
        <v>21</v>
      </c>
      <c r="I75" t="s">
        <v>62</v>
      </c>
      <c r="J75" t="s">
        <v>63</v>
      </c>
      <c r="K75" t="s">
        <v>64</v>
      </c>
      <c r="L75" t="s">
        <v>5828</v>
      </c>
      <c r="M75" t="s">
        <v>5829</v>
      </c>
      <c r="N75" t="s">
        <v>6004</v>
      </c>
    </row>
    <row r="76" spans="1:14" x14ac:dyDescent="0.25">
      <c r="A76">
        <v>2023</v>
      </c>
      <c r="B76">
        <v>4063</v>
      </c>
      <c r="C76" t="s">
        <v>6005</v>
      </c>
      <c r="D76" t="s">
        <v>5370</v>
      </c>
      <c r="E76">
        <v>322112</v>
      </c>
      <c r="F76" t="s">
        <v>660</v>
      </c>
      <c r="G76" t="s">
        <v>621</v>
      </c>
      <c r="H76" t="s">
        <v>69</v>
      </c>
      <c r="I76" t="s">
        <v>500</v>
      </c>
      <c r="J76" t="s">
        <v>501</v>
      </c>
      <c r="K76" t="s">
        <v>502</v>
      </c>
      <c r="L76" t="s">
        <v>5828</v>
      </c>
      <c r="M76" t="s">
        <v>5829</v>
      </c>
      <c r="N76" t="s">
        <v>6006</v>
      </c>
    </row>
    <row r="77" spans="1:14" x14ac:dyDescent="0.25">
      <c r="A77">
        <v>2007</v>
      </c>
      <c r="B77">
        <v>2284</v>
      </c>
      <c r="C77" t="s">
        <v>1057</v>
      </c>
      <c r="D77" t="s">
        <v>6007</v>
      </c>
      <c r="E77">
        <v>221112</v>
      </c>
      <c r="F77" t="s">
        <v>134</v>
      </c>
      <c r="G77" t="s">
        <v>135</v>
      </c>
      <c r="H77" t="s">
        <v>85</v>
      </c>
      <c r="I77" t="s">
        <v>152</v>
      </c>
      <c r="J77" t="s">
        <v>153</v>
      </c>
      <c r="K77" t="s">
        <v>154</v>
      </c>
      <c r="L77" t="s">
        <v>5875</v>
      </c>
      <c r="M77" t="s">
        <v>5876</v>
      </c>
      <c r="N77" t="s">
        <v>6008</v>
      </c>
    </row>
    <row r="78" spans="1:14" x14ac:dyDescent="0.25">
      <c r="A78">
        <v>2019</v>
      </c>
      <c r="B78">
        <v>7781</v>
      </c>
      <c r="C78" t="s">
        <v>6009</v>
      </c>
      <c r="D78" t="s">
        <v>6010</v>
      </c>
      <c r="E78">
        <v>221320</v>
      </c>
      <c r="F78" t="s">
        <v>146</v>
      </c>
      <c r="G78" t="s">
        <v>147</v>
      </c>
      <c r="H78" t="s">
        <v>69</v>
      </c>
      <c r="I78" t="s">
        <v>504</v>
      </c>
      <c r="J78" t="s">
        <v>505</v>
      </c>
      <c r="K78" t="s">
        <v>506</v>
      </c>
      <c r="L78" t="s">
        <v>5846</v>
      </c>
      <c r="M78" t="s">
        <v>5847</v>
      </c>
      <c r="N78" t="s">
        <v>6011</v>
      </c>
    </row>
    <row r="79" spans="1:14" x14ac:dyDescent="0.25">
      <c r="A79">
        <v>2003</v>
      </c>
      <c r="B79">
        <v>5855</v>
      </c>
      <c r="C79" t="s">
        <v>1002</v>
      </c>
      <c r="D79" t="s">
        <v>1003</v>
      </c>
      <c r="E79">
        <v>336350</v>
      </c>
      <c r="F79" t="s">
        <v>1004</v>
      </c>
      <c r="G79" t="s">
        <v>1005</v>
      </c>
      <c r="H79" t="s">
        <v>21</v>
      </c>
      <c r="I79" t="s">
        <v>177</v>
      </c>
      <c r="J79" t="s">
        <v>178</v>
      </c>
      <c r="K79" t="s">
        <v>179</v>
      </c>
      <c r="L79" t="s">
        <v>5828</v>
      </c>
      <c r="M79" t="s">
        <v>5829</v>
      </c>
      <c r="N79" t="s">
        <v>6012</v>
      </c>
    </row>
    <row r="80" spans="1:14" x14ac:dyDescent="0.25">
      <c r="A80">
        <v>2011</v>
      </c>
      <c r="B80">
        <v>7788</v>
      </c>
      <c r="C80" t="s">
        <v>5231</v>
      </c>
      <c r="D80" t="s">
        <v>6013</v>
      </c>
      <c r="E80">
        <v>321111</v>
      </c>
      <c r="F80" t="s">
        <v>1474</v>
      </c>
      <c r="G80" t="s">
        <v>1368</v>
      </c>
      <c r="H80" t="s">
        <v>69</v>
      </c>
      <c r="I80" t="s">
        <v>500</v>
      </c>
      <c r="J80" t="s">
        <v>501</v>
      </c>
      <c r="K80" t="s">
        <v>502</v>
      </c>
      <c r="L80" t="s">
        <v>5828</v>
      </c>
      <c r="M80" t="s">
        <v>5829</v>
      </c>
      <c r="N80" t="s">
        <v>6014</v>
      </c>
    </row>
    <row r="81" spans="1:14" x14ac:dyDescent="0.25">
      <c r="A81">
        <v>2018</v>
      </c>
      <c r="B81">
        <v>22750</v>
      </c>
      <c r="C81" t="s">
        <v>6015</v>
      </c>
      <c r="D81" t="s">
        <v>6016</v>
      </c>
      <c r="E81">
        <v>211141</v>
      </c>
      <c r="F81" t="s">
        <v>1189</v>
      </c>
      <c r="G81" t="s">
        <v>1190</v>
      </c>
      <c r="H81" t="s">
        <v>85</v>
      </c>
      <c r="I81" t="s">
        <v>80</v>
      </c>
      <c r="J81" t="s">
        <v>81</v>
      </c>
      <c r="K81" t="s">
        <v>82</v>
      </c>
      <c r="L81" t="s">
        <v>5875</v>
      </c>
      <c r="M81" t="s">
        <v>5876</v>
      </c>
      <c r="N81" t="s">
        <v>6017</v>
      </c>
    </row>
    <row r="82" spans="1:14" x14ac:dyDescent="0.25">
      <c r="A82">
        <v>2022</v>
      </c>
      <c r="B82">
        <v>2334</v>
      </c>
      <c r="C82" t="s">
        <v>6018</v>
      </c>
      <c r="D82" t="s">
        <v>2016</v>
      </c>
      <c r="E82">
        <v>418410</v>
      </c>
      <c r="F82" t="s">
        <v>433</v>
      </c>
      <c r="G82" t="s">
        <v>434</v>
      </c>
      <c r="H82" t="s">
        <v>79</v>
      </c>
      <c r="I82" t="s">
        <v>331</v>
      </c>
      <c r="J82" t="s">
        <v>332</v>
      </c>
      <c r="K82" t="s">
        <v>333</v>
      </c>
      <c r="L82" t="s">
        <v>5828</v>
      </c>
      <c r="M82" t="s">
        <v>5829</v>
      </c>
      <c r="N82" t="s">
        <v>6019</v>
      </c>
    </row>
    <row r="83" spans="1:14" x14ac:dyDescent="0.25">
      <c r="A83">
        <v>2012</v>
      </c>
      <c r="B83">
        <v>11616</v>
      </c>
      <c r="C83" t="s">
        <v>1760</v>
      </c>
      <c r="D83" t="s">
        <v>4260</v>
      </c>
      <c r="E83">
        <v>325190</v>
      </c>
      <c r="F83" t="s">
        <v>600</v>
      </c>
      <c r="G83" t="s">
        <v>601</v>
      </c>
      <c r="H83" t="s">
        <v>79</v>
      </c>
      <c r="I83" t="s">
        <v>348</v>
      </c>
      <c r="J83" t="s">
        <v>349</v>
      </c>
      <c r="K83" t="s">
        <v>350</v>
      </c>
      <c r="L83" t="s">
        <v>5828</v>
      </c>
      <c r="M83" t="s">
        <v>5829</v>
      </c>
      <c r="N83" t="s">
        <v>6020</v>
      </c>
    </row>
    <row r="84" spans="1:14" x14ac:dyDescent="0.25">
      <c r="A84">
        <v>2019</v>
      </c>
      <c r="B84">
        <v>18066</v>
      </c>
      <c r="C84" t="s">
        <v>6021</v>
      </c>
      <c r="D84" t="s">
        <v>6022</v>
      </c>
      <c r="E84">
        <v>211110</v>
      </c>
      <c r="F84" t="s">
        <v>233</v>
      </c>
      <c r="G84" t="s">
        <v>234</v>
      </c>
      <c r="H84" t="s">
        <v>85</v>
      </c>
      <c r="I84" t="s">
        <v>1421</v>
      </c>
      <c r="J84" t="s">
        <v>1422</v>
      </c>
      <c r="K84" t="s">
        <v>1423</v>
      </c>
      <c r="L84" t="s">
        <v>5828</v>
      </c>
      <c r="M84" t="s">
        <v>5829</v>
      </c>
      <c r="N84" t="s">
        <v>6023</v>
      </c>
    </row>
    <row r="85" spans="1:14" x14ac:dyDescent="0.25">
      <c r="A85">
        <v>2014</v>
      </c>
      <c r="B85">
        <v>315</v>
      </c>
      <c r="C85" t="s">
        <v>6024</v>
      </c>
      <c r="D85" t="s">
        <v>6024</v>
      </c>
      <c r="E85">
        <v>331514</v>
      </c>
      <c r="F85" t="s">
        <v>292</v>
      </c>
      <c r="G85" t="s">
        <v>293</v>
      </c>
      <c r="H85" t="s">
        <v>21</v>
      </c>
      <c r="I85" t="s">
        <v>209</v>
      </c>
      <c r="J85" t="s">
        <v>210</v>
      </c>
      <c r="K85" t="s">
        <v>211</v>
      </c>
      <c r="L85" t="s">
        <v>5875</v>
      </c>
      <c r="M85" t="s">
        <v>5876</v>
      </c>
      <c r="N85" t="s">
        <v>6025</v>
      </c>
    </row>
    <row r="86" spans="1:14" x14ac:dyDescent="0.25">
      <c r="A86">
        <v>2006</v>
      </c>
      <c r="B86">
        <v>7304</v>
      </c>
      <c r="C86" t="s">
        <v>6026</v>
      </c>
      <c r="D86" t="s">
        <v>6027</v>
      </c>
      <c r="E86">
        <v>311520</v>
      </c>
      <c r="F86" t="s">
        <v>5292</v>
      </c>
      <c r="G86" t="s">
        <v>5293</v>
      </c>
      <c r="H86" t="s">
        <v>21</v>
      </c>
      <c r="I86" t="s">
        <v>1487</v>
      </c>
      <c r="J86" t="s">
        <v>1488</v>
      </c>
      <c r="K86" t="s">
        <v>1489</v>
      </c>
      <c r="L86" t="s">
        <v>5828</v>
      </c>
      <c r="M86" t="s">
        <v>5829</v>
      </c>
      <c r="N86" t="s">
        <v>6028</v>
      </c>
    </row>
    <row r="87" spans="1:14" x14ac:dyDescent="0.25">
      <c r="A87">
        <v>2022</v>
      </c>
      <c r="B87">
        <v>1510</v>
      </c>
      <c r="C87" t="s">
        <v>6029</v>
      </c>
      <c r="D87" t="s">
        <v>6030</v>
      </c>
      <c r="E87">
        <v>212396</v>
      </c>
      <c r="F87" t="s">
        <v>1419</v>
      </c>
      <c r="G87" t="s">
        <v>1420</v>
      </c>
      <c r="H87" t="s">
        <v>243</v>
      </c>
      <c r="I87" t="s">
        <v>1487</v>
      </c>
      <c r="J87" t="s">
        <v>1488</v>
      </c>
      <c r="K87" t="s">
        <v>1489</v>
      </c>
      <c r="L87" t="s">
        <v>5888</v>
      </c>
      <c r="M87" t="s">
        <v>5889</v>
      </c>
      <c r="N87" t="s">
        <v>6031</v>
      </c>
    </row>
    <row r="88" spans="1:14" x14ac:dyDescent="0.25">
      <c r="A88">
        <v>2013</v>
      </c>
      <c r="B88">
        <v>2343</v>
      </c>
      <c r="C88" t="s">
        <v>2015</v>
      </c>
      <c r="D88" t="s">
        <v>5992</v>
      </c>
      <c r="E88">
        <v>418410</v>
      </c>
      <c r="F88" t="s">
        <v>433</v>
      </c>
      <c r="G88" t="s">
        <v>434</v>
      </c>
      <c r="H88" t="s">
        <v>69</v>
      </c>
      <c r="I88" t="s">
        <v>331</v>
      </c>
      <c r="J88" t="s">
        <v>332</v>
      </c>
      <c r="K88" t="s">
        <v>333</v>
      </c>
      <c r="L88" t="s">
        <v>5875</v>
      </c>
      <c r="M88" t="s">
        <v>5876</v>
      </c>
      <c r="N88" t="s">
        <v>6032</v>
      </c>
    </row>
    <row r="89" spans="1:14" x14ac:dyDescent="0.25">
      <c r="A89">
        <v>2016</v>
      </c>
      <c r="B89">
        <v>22750</v>
      </c>
      <c r="C89" t="s">
        <v>6015</v>
      </c>
      <c r="D89" t="s">
        <v>6016</v>
      </c>
      <c r="E89">
        <v>211114</v>
      </c>
      <c r="F89" t="s">
        <v>956</v>
      </c>
      <c r="G89" t="s">
        <v>836</v>
      </c>
      <c r="H89" t="s">
        <v>85</v>
      </c>
      <c r="I89" t="s">
        <v>348</v>
      </c>
      <c r="J89" t="s">
        <v>349</v>
      </c>
      <c r="K89" t="s">
        <v>350</v>
      </c>
      <c r="L89" t="s">
        <v>5846</v>
      </c>
      <c r="M89" t="s">
        <v>5847</v>
      </c>
      <c r="N89" t="s">
        <v>6033</v>
      </c>
    </row>
    <row r="90" spans="1:14" x14ac:dyDescent="0.25">
      <c r="A90">
        <v>2009</v>
      </c>
      <c r="B90">
        <v>18782</v>
      </c>
      <c r="C90" t="s">
        <v>6034</v>
      </c>
      <c r="D90" t="s">
        <v>6035</v>
      </c>
      <c r="E90">
        <v>211113</v>
      </c>
      <c r="F90" t="s">
        <v>425</v>
      </c>
      <c r="G90" t="s">
        <v>426</v>
      </c>
      <c r="H90" t="s">
        <v>85</v>
      </c>
      <c r="I90" t="s">
        <v>1457</v>
      </c>
      <c r="J90" t="s">
        <v>1458</v>
      </c>
      <c r="K90" t="s">
        <v>1459</v>
      </c>
      <c r="L90" t="s">
        <v>5828</v>
      </c>
      <c r="M90" t="s">
        <v>5829</v>
      </c>
      <c r="N90" t="s">
        <v>6036</v>
      </c>
    </row>
    <row r="91" spans="1:14" x14ac:dyDescent="0.25">
      <c r="A91">
        <v>2017</v>
      </c>
      <c r="B91">
        <v>1464</v>
      </c>
      <c r="C91" t="s">
        <v>194</v>
      </c>
      <c r="D91" t="s">
        <v>443</v>
      </c>
      <c r="E91">
        <v>325110</v>
      </c>
      <c r="F91" t="s">
        <v>444</v>
      </c>
      <c r="G91" t="s">
        <v>445</v>
      </c>
      <c r="H91" t="s">
        <v>21</v>
      </c>
      <c r="I91" t="s">
        <v>811</v>
      </c>
      <c r="J91" t="s">
        <v>812</v>
      </c>
      <c r="K91" t="s">
        <v>813</v>
      </c>
      <c r="L91" t="s">
        <v>5828</v>
      </c>
      <c r="M91" t="s">
        <v>5829</v>
      </c>
      <c r="N91" t="s">
        <v>6037</v>
      </c>
    </row>
    <row r="92" spans="1:14" x14ac:dyDescent="0.25">
      <c r="A92">
        <v>2016</v>
      </c>
      <c r="B92">
        <v>25426</v>
      </c>
      <c r="C92" t="s">
        <v>6038</v>
      </c>
      <c r="D92" t="s">
        <v>6038</v>
      </c>
      <c r="E92">
        <v>562920</v>
      </c>
      <c r="F92" t="s">
        <v>329</v>
      </c>
      <c r="G92" t="s">
        <v>330</v>
      </c>
      <c r="H92" t="s">
        <v>21</v>
      </c>
      <c r="I92" t="s">
        <v>35</v>
      </c>
      <c r="J92" t="s">
        <v>36</v>
      </c>
      <c r="K92" t="s">
        <v>37</v>
      </c>
      <c r="L92" t="s">
        <v>5875</v>
      </c>
      <c r="M92" t="s">
        <v>5876</v>
      </c>
      <c r="N92" t="s">
        <v>6039</v>
      </c>
    </row>
    <row r="93" spans="1:14" x14ac:dyDescent="0.25">
      <c r="A93">
        <v>2006</v>
      </c>
      <c r="B93">
        <v>1401</v>
      </c>
      <c r="C93" t="s">
        <v>6040</v>
      </c>
      <c r="D93" t="s">
        <v>6041</v>
      </c>
      <c r="E93">
        <v>325999</v>
      </c>
      <c r="F93" t="s">
        <v>396</v>
      </c>
      <c r="G93" t="s">
        <v>397</v>
      </c>
      <c r="H93" t="s">
        <v>21</v>
      </c>
      <c r="I93" t="s">
        <v>281</v>
      </c>
      <c r="J93" t="s">
        <v>282</v>
      </c>
      <c r="K93" t="s">
        <v>283</v>
      </c>
      <c r="L93" t="s">
        <v>5875</v>
      </c>
      <c r="M93" t="s">
        <v>5876</v>
      </c>
      <c r="N93" t="s">
        <v>6042</v>
      </c>
    </row>
    <row r="94" spans="1:14" x14ac:dyDescent="0.25">
      <c r="A94">
        <v>1997</v>
      </c>
      <c r="B94">
        <v>4833</v>
      </c>
      <c r="C94" t="s">
        <v>6043</v>
      </c>
      <c r="D94" t="s">
        <v>352</v>
      </c>
      <c r="E94">
        <v>323120</v>
      </c>
      <c r="F94" t="s">
        <v>353</v>
      </c>
      <c r="G94" t="s">
        <v>354</v>
      </c>
      <c r="H94" t="s">
        <v>21</v>
      </c>
      <c r="I94" t="s">
        <v>22</v>
      </c>
      <c r="J94" t="s">
        <v>23</v>
      </c>
      <c r="K94" t="s">
        <v>24</v>
      </c>
      <c r="L94" t="s">
        <v>5875</v>
      </c>
      <c r="M94" t="s">
        <v>5876</v>
      </c>
      <c r="N94" t="s">
        <v>6044</v>
      </c>
    </row>
    <row r="95" spans="1:14" x14ac:dyDescent="0.25">
      <c r="A95">
        <v>2020</v>
      </c>
      <c r="B95">
        <v>144</v>
      </c>
      <c r="C95" t="s">
        <v>6045</v>
      </c>
      <c r="D95" t="s">
        <v>6046</v>
      </c>
      <c r="E95">
        <v>336410</v>
      </c>
      <c r="F95" t="s">
        <v>280</v>
      </c>
      <c r="G95" t="s">
        <v>261</v>
      </c>
      <c r="H95" t="s">
        <v>79</v>
      </c>
      <c r="I95" t="s">
        <v>35</v>
      </c>
      <c r="J95" t="s">
        <v>36</v>
      </c>
      <c r="K95" t="s">
        <v>37</v>
      </c>
      <c r="L95" t="s">
        <v>5828</v>
      </c>
      <c r="M95" t="s">
        <v>5829</v>
      </c>
      <c r="N95" t="s">
        <v>6047</v>
      </c>
    </row>
    <row r="96" spans="1:14" x14ac:dyDescent="0.25">
      <c r="A96">
        <v>2022</v>
      </c>
      <c r="B96">
        <v>4322</v>
      </c>
      <c r="C96" t="s">
        <v>6048</v>
      </c>
      <c r="D96" t="s">
        <v>3028</v>
      </c>
      <c r="E96">
        <v>325510</v>
      </c>
      <c r="F96" t="s">
        <v>111</v>
      </c>
      <c r="G96" t="s">
        <v>112</v>
      </c>
      <c r="H96" t="s">
        <v>79</v>
      </c>
      <c r="I96" t="s">
        <v>271</v>
      </c>
      <c r="J96" t="s">
        <v>272</v>
      </c>
      <c r="K96" t="s">
        <v>273</v>
      </c>
      <c r="L96" t="s">
        <v>5875</v>
      </c>
      <c r="M96" t="s">
        <v>5876</v>
      </c>
      <c r="N96" t="s">
        <v>6049</v>
      </c>
    </row>
    <row r="97" spans="1:14" x14ac:dyDescent="0.25">
      <c r="A97">
        <v>2019</v>
      </c>
      <c r="B97">
        <v>5471</v>
      </c>
      <c r="C97" t="s">
        <v>1304</v>
      </c>
      <c r="D97" t="s">
        <v>1305</v>
      </c>
      <c r="E97">
        <v>322122</v>
      </c>
      <c r="F97" t="s">
        <v>1061</v>
      </c>
      <c r="G97" t="s">
        <v>1062</v>
      </c>
      <c r="H97" t="s">
        <v>79</v>
      </c>
      <c r="I97" t="s">
        <v>324</v>
      </c>
      <c r="J97" t="s">
        <v>325</v>
      </c>
      <c r="K97" t="s">
        <v>326</v>
      </c>
      <c r="L97" t="s">
        <v>5846</v>
      </c>
      <c r="M97" t="s">
        <v>5847</v>
      </c>
      <c r="N97" t="s">
        <v>6050</v>
      </c>
    </row>
    <row r="98" spans="1:14" x14ac:dyDescent="0.25">
      <c r="A98">
        <v>2012</v>
      </c>
      <c r="B98">
        <v>4101</v>
      </c>
      <c r="C98" t="s">
        <v>6051</v>
      </c>
      <c r="D98" t="s">
        <v>6052</v>
      </c>
      <c r="E98">
        <v>324110</v>
      </c>
      <c r="F98" t="s">
        <v>196</v>
      </c>
      <c r="G98" t="s">
        <v>96</v>
      </c>
      <c r="H98" t="s">
        <v>661</v>
      </c>
      <c r="I98" t="s">
        <v>2079</v>
      </c>
      <c r="J98" t="s">
        <v>2080</v>
      </c>
      <c r="K98" t="s">
        <v>2081</v>
      </c>
      <c r="L98" t="s">
        <v>5846</v>
      </c>
      <c r="M98" t="s">
        <v>5847</v>
      </c>
      <c r="N98" t="s">
        <v>6053</v>
      </c>
    </row>
    <row r="99" spans="1:14" x14ac:dyDescent="0.25">
      <c r="A99">
        <v>2005</v>
      </c>
      <c r="B99">
        <v>7903</v>
      </c>
      <c r="C99" t="s">
        <v>6054</v>
      </c>
      <c r="D99" t="s">
        <v>6055</v>
      </c>
      <c r="E99">
        <v>324121</v>
      </c>
      <c r="F99" t="s">
        <v>2009</v>
      </c>
      <c r="G99" t="s">
        <v>1541</v>
      </c>
      <c r="H99" t="s">
        <v>69</v>
      </c>
      <c r="I99" t="s">
        <v>1369</v>
      </c>
      <c r="J99" t="s">
        <v>1370</v>
      </c>
      <c r="K99" t="s">
        <v>1371</v>
      </c>
      <c r="L99" t="s">
        <v>5828</v>
      </c>
      <c r="M99" t="s">
        <v>5829</v>
      </c>
      <c r="N99" t="s">
        <v>6056</v>
      </c>
    </row>
    <row r="100" spans="1:14" x14ac:dyDescent="0.25">
      <c r="A100">
        <v>2016</v>
      </c>
      <c r="B100">
        <v>18118</v>
      </c>
      <c r="C100" t="s">
        <v>1027</v>
      </c>
      <c r="D100" t="s">
        <v>6057</v>
      </c>
      <c r="E100">
        <v>211113</v>
      </c>
      <c r="F100" t="s">
        <v>786</v>
      </c>
      <c r="G100" t="s">
        <v>426</v>
      </c>
      <c r="H100" t="s">
        <v>85</v>
      </c>
      <c r="I100" t="s">
        <v>1413</v>
      </c>
      <c r="J100" t="s">
        <v>1414</v>
      </c>
      <c r="K100" t="s">
        <v>1415</v>
      </c>
      <c r="L100" t="s">
        <v>5828</v>
      </c>
      <c r="M100" t="s">
        <v>5829</v>
      </c>
      <c r="N100" t="s">
        <v>6058</v>
      </c>
    </row>
    <row r="101" spans="1:14" x14ac:dyDescent="0.25">
      <c r="A101">
        <v>2012</v>
      </c>
      <c r="B101">
        <v>25159</v>
      </c>
      <c r="C101" t="s">
        <v>6059</v>
      </c>
      <c r="D101" t="s">
        <v>6060</v>
      </c>
      <c r="E101">
        <v>212220</v>
      </c>
      <c r="F101" t="s">
        <v>1619</v>
      </c>
      <c r="G101" t="s">
        <v>1620</v>
      </c>
      <c r="H101" t="s">
        <v>243</v>
      </c>
      <c r="I101" t="s">
        <v>1421</v>
      </c>
      <c r="J101" t="s">
        <v>1422</v>
      </c>
      <c r="K101" t="s">
        <v>1423</v>
      </c>
      <c r="L101" t="s">
        <v>5828</v>
      </c>
      <c r="M101" t="s">
        <v>5829</v>
      </c>
      <c r="N101" t="s">
        <v>6061</v>
      </c>
    </row>
    <row r="102" spans="1:14" x14ac:dyDescent="0.25">
      <c r="A102">
        <v>2010</v>
      </c>
      <c r="B102">
        <v>22557</v>
      </c>
      <c r="C102" t="s">
        <v>2146</v>
      </c>
      <c r="D102" t="s">
        <v>6062</v>
      </c>
      <c r="E102">
        <v>211113</v>
      </c>
      <c r="F102" t="s">
        <v>425</v>
      </c>
      <c r="G102" t="s">
        <v>426</v>
      </c>
      <c r="H102" t="s">
        <v>85</v>
      </c>
      <c r="I102" t="s">
        <v>1421</v>
      </c>
      <c r="J102" t="s">
        <v>1422</v>
      </c>
      <c r="K102" t="s">
        <v>1423</v>
      </c>
      <c r="L102" t="s">
        <v>5828</v>
      </c>
      <c r="M102" t="s">
        <v>5829</v>
      </c>
      <c r="N102" t="s">
        <v>6063</v>
      </c>
    </row>
    <row r="103" spans="1:14" x14ac:dyDescent="0.25">
      <c r="A103">
        <v>2009</v>
      </c>
      <c r="B103">
        <v>23332</v>
      </c>
      <c r="C103" t="s">
        <v>1906</v>
      </c>
      <c r="D103" t="s">
        <v>6064</v>
      </c>
      <c r="E103">
        <v>211110</v>
      </c>
      <c r="H103" t="s">
        <v>85</v>
      </c>
      <c r="I103" t="s">
        <v>1533</v>
      </c>
      <c r="J103" t="s">
        <v>1534</v>
      </c>
      <c r="K103" t="s">
        <v>1535</v>
      </c>
      <c r="L103" t="s">
        <v>5828</v>
      </c>
      <c r="M103" t="s">
        <v>5829</v>
      </c>
      <c r="N103" t="s">
        <v>6065</v>
      </c>
    </row>
    <row r="104" spans="1:14" x14ac:dyDescent="0.25">
      <c r="A104">
        <v>2012</v>
      </c>
      <c r="B104">
        <v>25271</v>
      </c>
      <c r="C104" t="s">
        <v>497</v>
      </c>
      <c r="D104" t="s">
        <v>6066</v>
      </c>
      <c r="E104">
        <v>221112</v>
      </c>
      <c r="F104" t="s">
        <v>499</v>
      </c>
      <c r="G104" t="s">
        <v>135</v>
      </c>
      <c r="H104" t="s">
        <v>243</v>
      </c>
      <c r="I104" t="s">
        <v>1487</v>
      </c>
      <c r="J104" t="s">
        <v>1488</v>
      </c>
      <c r="K104" t="s">
        <v>1489</v>
      </c>
      <c r="L104" t="s">
        <v>5828</v>
      </c>
      <c r="M104" t="s">
        <v>5829</v>
      </c>
      <c r="N104" t="s">
        <v>6067</v>
      </c>
    </row>
    <row r="105" spans="1:14" x14ac:dyDescent="0.25">
      <c r="A105">
        <v>2007</v>
      </c>
      <c r="B105">
        <v>2334</v>
      </c>
      <c r="C105" t="s">
        <v>6068</v>
      </c>
      <c r="D105" t="s">
        <v>6069</v>
      </c>
      <c r="E105">
        <v>418410</v>
      </c>
      <c r="F105" t="s">
        <v>315</v>
      </c>
      <c r="G105" t="s">
        <v>885</v>
      </c>
      <c r="H105" t="s">
        <v>79</v>
      </c>
      <c r="I105" t="s">
        <v>22</v>
      </c>
      <c r="J105" t="s">
        <v>23</v>
      </c>
      <c r="K105" t="s">
        <v>24</v>
      </c>
      <c r="L105" t="s">
        <v>5875</v>
      </c>
      <c r="M105" t="s">
        <v>5876</v>
      </c>
      <c r="N105" t="s">
        <v>6070</v>
      </c>
    </row>
    <row r="106" spans="1:14" x14ac:dyDescent="0.25">
      <c r="A106">
        <v>2023</v>
      </c>
      <c r="B106">
        <v>11796</v>
      </c>
      <c r="C106" t="s">
        <v>6071</v>
      </c>
      <c r="D106" t="s">
        <v>5820</v>
      </c>
      <c r="E106">
        <v>212220</v>
      </c>
      <c r="F106" t="s">
        <v>1619</v>
      </c>
      <c r="G106" t="s">
        <v>1620</v>
      </c>
      <c r="H106" t="s">
        <v>21</v>
      </c>
      <c r="I106" t="s">
        <v>244</v>
      </c>
      <c r="J106" t="s">
        <v>245</v>
      </c>
      <c r="K106" t="s">
        <v>246</v>
      </c>
      <c r="L106" t="s">
        <v>6072</v>
      </c>
      <c r="M106" t="s">
        <v>6073</v>
      </c>
      <c r="N106" t="s">
        <v>6074</v>
      </c>
    </row>
    <row r="107" spans="1:14" x14ac:dyDescent="0.25">
      <c r="A107">
        <v>2013</v>
      </c>
      <c r="B107">
        <v>21476</v>
      </c>
      <c r="C107" t="s">
        <v>6075</v>
      </c>
      <c r="D107" t="s">
        <v>6076</v>
      </c>
      <c r="E107">
        <v>211113</v>
      </c>
      <c r="F107" t="s">
        <v>786</v>
      </c>
      <c r="G107" t="s">
        <v>426</v>
      </c>
      <c r="H107" t="s">
        <v>85</v>
      </c>
      <c r="I107" t="s">
        <v>1441</v>
      </c>
      <c r="J107" t="s">
        <v>1442</v>
      </c>
      <c r="K107" t="s">
        <v>1443</v>
      </c>
      <c r="L107" t="s">
        <v>5888</v>
      </c>
      <c r="M107" t="s">
        <v>5889</v>
      </c>
      <c r="N107" t="s">
        <v>6077</v>
      </c>
    </row>
    <row r="108" spans="1:14" x14ac:dyDescent="0.25">
      <c r="A108">
        <v>2023</v>
      </c>
      <c r="B108">
        <v>6896</v>
      </c>
      <c r="C108" t="s">
        <v>5766</v>
      </c>
      <c r="D108" t="s">
        <v>6078</v>
      </c>
      <c r="E108">
        <v>562210</v>
      </c>
      <c r="F108" t="s">
        <v>84</v>
      </c>
      <c r="G108" t="s">
        <v>53</v>
      </c>
      <c r="H108" t="s">
        <v>54</v>
      </c>
      <c r="I108" t="s">
        <v>1421</v>
      </c>
      <c r="J108" t="s">
        <v>1422</v>
      </c>
      <c r="K108" t="s">
        <v>1423</v>
      </c>
      <c r="L108" t="s">
        <v>5828</v>
      </c>
      <c r="M108" t="s">
        <v>5829</v>
      </c>
      <c r="N108" t="s">
        <v>6079</v>
      </c>
    </row>
    <row r="109" spans="1:14" x14ac:dyDescent="0.25">
      <c r="A109">
        <v>2012</v>
      </c>
      <c r="B109">
        <v>22403</v>
      </c>
      <c r="C109" t="s">
        <v>6080</v>
      </c>
      <c r="D109" t="s">
        <v>6081</v>
      </c>
      <c r="E109">
        <v>211113</v>
      </c>
      <c r="F109" t="s">
        <v>786</v>
      </c>
      <c r="G109" t="s">
        <v>426</v>
      </c>
      <c r="H109" t="s">
        <v>85</v>
      </c>
      <c r="I109" t="s">
        <v>1421</v>
      </c>
      <c r="J109" t="s">
        <v>1422</v>
      </c>
      <c r="K109" t="s">
        <v>1423</v>
      </c>
      <c r="L109" t="s">
        <v>5888</v>
      </c>
      <c r="M109" t="s">
        <v>5889</v>
      </c>
      <c r="N109" t="s">
        <v>6082</v>
      </c>
    </row>
    <row r="110" spans="1:14" x14ac:dyDescent="0.25">
      <c r="A110">
        <v>2019</v>
      </c>
      <c r="B110">
        <v>23762</v>
      </c>
      <c r="C110" t="s">
        <v>3925</v>
      </c>
      <c r="D110" t="s">
        <v>6083</v>
      </c>
      <c r="E110">
        <v>211110</v>
      </c>
      <c r="F110" t="s">
        <v>233</v>
      </c>
      <c r="G110" t="s">
        <v>234</v>
      </c>
      <c r="H110" t="s">
        <v>85</v>
      </c>
      <c r="I110" t="s">
        <v>1533</v>
      </c>
      <c r="J110" t="s">
        <v>1534</v>
      </c>
      <c r="K110" t="s">
        <v>1535</v>
      </c>
      <c r="L110" t="s">
        <v>5828</v>
      </c>
      <c r="M110" t="s">
        <v>5829</v>
      </c>
      <c r="N110" t="s">
        <v>6084</v>
      </c>
    </row>
    <row r="111" spans="1:14" x14ac:dyDescent="0.25">
      <c r="A111">
        <v>2018</v>
      </c>
      <c r="B111">
        <v>6793</v>
      </c>
      <c r="C111" t="s">
        <v>175</v>
      </c>
      <c r="D111" t="s">
        <v>6085</v>
      </c>
      <c r="E111">
        <v>562210</v>
      </c>
      <c r="F111" t="s">
        <v>84</v>
      </c>
      <c r="G111" t="s">
        <v>53</v>
      </c>
      <c r="H111" t="s">
        <v>69</v>
      </c>
      <c r="I111" t="s">
        <v>6086</v>
      </c>
      <c r="J111" t="s">
        <v>6087</v>
      </c>
      <c r="K111" t="s">
        <v>6088</v>
      </c>
      <c r="L111" t="s">
        <v>5828</v>
      </c>
      <c r="M111" t="s">
        <v>5829</v>
      </c>
      <c r="N111" t="s">
        <v>6089</v>
      </c>
    </row>
    <row r="112" spans="1:14" x14ac:dyDescent="0.25">
      <c r="A112">
        <v>2017</v>
      </c>
      <c r="B112">
        <v>5162</v>
      </c>
      <c r="C112" t="s">
        <v>6090</v>
      </c>
      <c r="D112" t="s">
        <v>6091</v>
      </c>
      <c r="E112">
        <v>321111</v>
      </c>
      <c r="F112" t="s">
        <v>1367</v>
      </c>
      <c r="G112" t="s">
        <v>1368</v>
      </c>
      <c r="H112" t="s">
        <v>69</v>
      </c>
      <c r="I112" t="s">
        <v>1421</v>
      </c>
      <c r="J112" t="s">
        <v>1422</v>
      </c>
      <c r="K112" t="s">
        <v>1423</v>
      </c>
      <c r="L112" t="s">
        <v>5828</v>
      </c>
      <c r="M112" t="s">
        <v>5829</v>
      </c>
      <c r="N112" t="s">
        <v>6092</v>
      </c>
    </row>
    <row r="113" spans="1:14" x14ac:dyDescent="0.25">
      <c r="A113">
        <v>2020</v>
      </c>
      <c r="B113">
        <v>24188</v>
      </c>
      <c r="C113" t="s">
        <v>6015</v>
      </c>
      <c r="D113" t="s">
        <v>6093</v>
      </c>
      <c r="E113">
        <v>211141</v>
      </c>
      <c r="F113" t="s">
        <v>1189</v>
      </c>
      <c r="G113" t="s">
        <v>1190</v>
      </c>
      <c r="H113" t="s">
        <v>85</v>
      </c>
      <c r="I113" t="s">
        <v>1533</v>
      </c>
      <c r="J113" t="s">
        <v>1534</v>
      </c>
      <c r="K113" t="s">
        <v>1535</v>
      </c>
      <c r="L113" t="s">
        <v>5828</v>
      </c>
      <c r="M113" t="s">
        <v>5829</v>
      </c>
      <c r="N113" t="s">
        <v>6094</v>
      </c>
    </row>
    <row r="114" spans="1:14" x14ac:dyDescent="0.25">
      <c r="A114">
        <v>2012</v>
      </c>
      <c r="B114">
        <v>7832</v>
      </c>
      <c r="C114" t="s">
        <v>6095</v>
      </c>
      <c r="D114" t="s">
        <v>6095</v>
      </c>
      <c r="E114">
        <v>321111</v>
      </c>
      <c r="F114" t="s">
        <v>1367</v>
      </c>
      <c r="G114" t="s">
        <v>1368</v>
      </c>
      <c r="H114" t="s">
        <v>69</v>
      </c>
      <c r="I114" t="s">
        <v>1487</v>
      </c>
      <c r="J114" t="s">
        <v>1488</v>
      </c>
      <c r="K114" t="s">
        <v>1489</v>
      </c>
      <c r="L114" t="s">
        <v>5828</v>
      </c>
      <c r="M114" t="s">
        <v>5829</v>
      </c>
      <c r="N114" t="s">
        <v>6096</v>
      </c>
    </row>
    <row r="115" spans="1:14" x14ac:dyDescent="0.25">
      <c r="A115">
        <v>1997</v>
      </c>
      <c r="B115">
        <v>2060</v>
      </c>
      <c r="C115" t="s">
        <v>6097</v>
      </c>
      <c r="E115">
        <v>325520</v>
      </c>
      <c r="F115" t="s">
        <v>1147</v>
      </c>
      <c r="G115" t="s">
        <v>1122</v>
      </c>
      <c r="H115" t="s">
        <v>21</v>
      </c>
      <c r="I115" t="s">
        <v>70</v>
      </c>
      <c r="J115" t="s">
        <v>71</v>
      </c>
      <c r="K115" t="s">
        <v>72</v>
      </c>
      <c r="L115" t="s">
        <v>5875</v>
      </c>
      <c r="M115" t="s">
        <v>5876</v>
      </c>
      <c r="N115" t="s">
        <v>6098</v>
      </c>
    </row>
    <row r="116" spans="1:14" x14ac:dyDescent="0.25">
      <c r="A116">
        <v>2007</v>
      </c>
      <c r="B116">
        <v>15978</v>
      </c>
      <c r="C116" t="s">
        <v>2164</v>
      </c>
      <c r="D116" t="s">
        <v>6099</v>
      </c>
      <c r="E116">
        <v>211113</v>
      </c>
      <c r="F116" t="s">
        <v>425</v>
      </c>
      <c r="G116" t="s">
        <v>426</v>
      </c>
      <c r="H116" t="s">
        <v>85</v>
      </c>
      <c r="I116" t="s">
        <v>1533</v>
      </c>
      <c r="J116" t="s">
        <v>1534</v>
      </c>
      <c r="K116" t="s">
        <v>1535</v>
      </c>
      <c r="L116" t="s">
        <v>5828</v>
      </c>
      <c r="M116" t="s">
        <v>5829</v>
      </c>
      <c r="N116" t="s">
        <v>6100</v>
      </c>
    </row>
    <row r="117" spans="1:14" x14ac:dyDescent="0.25">
      <c r="A117">
        <v>2015</v>
      </c>
      <c r="B117">
        <v>23275</v>
      </c>
      <c r="C117" t="s">
        <v>1027</v>
      </c>
      <c r="D117" t="s">
        <v>1522</v>
      </c>
      <c r="E117">
        <v>211114</v>
      </c>
      <c r="F117" t="s">
        <v>956</v>
      </c>
      <c r="G117" t="s">
        <v>836</v>
      </c>
      <c r="H117" t="s">
        <v>85</v>
      </c>
      <c r="I117" t="s">
        <v>1421</v>
      </c>
      <c r="J117" t="s">
        <v>1422</v>
      </c>
      <c r="K117" t="s">
        <v>1423</v>
      </c>
      <c r="L117" t="s">
        <v>5828</v>
      </c>
      <c r="M117" t="s">
        <v>5829</v>
      </c>
      <c r="N117" t="s">
        <v>6101</v>
      </c>
    </row>
    <row r="118" spans="1:14" x14ac:dyDescent="0.25">
      <c r="A118">
        <v>2008</v>
      </c>
      <c r="B118">
        <v>1300</v>
      </c>
      <c r="C118" t="s">
        <v>6102</v>
      </c>
      <c r="D118" t="s">
        <v>6103</v>
      </c>
      <c r="E118">
        <v>326198</v>
      </c>
      <c r="F118" t="s">
        <v>249</v>
      </c>
      <c r="G118" t="s">
        <v>250</v>
      </c>
      <c r="H118" t="s">
        <v>21</v>
      </c>
      <c r="I118" t="s">
        <v>682</v>
      </c>
      <c r="J118" t="s">
        <v>683</v>
      </c>
      <c r="K118" t="s">
        <v>684</v>
      </c>
      <c r="L118" t="s">
        <v>5846</v>
      </c>
      <c r="M118" t="s">
        <v>5847</v>
      </c>
      <c r="N118" t="s">
        <v>6104</v>
      </c>
    </row>
    <row r="119" spans="1:14" x14ac:dyDescent="0.25">
      <c r="A119">
        <v>1999</v>
      </c>
      <c r="B119">
        <v>1370</v>
      </c>
      <c r="C119" t="s">
        <v>6105</v>
      </c>
      <c r="D119" t="s">
        <v>5881</v>
      </c>
      <c r="E119">
        <v>211113</v>
      </c>
      <c r="F119" t="s">
        <v>425</v>
      </c>
      <c r="G119" t="s">
        <v>426</v>
      </c>
      <c r="H119" t="s">
        <v>85</v>
      </c>
      <c r="I119" t="s">
        <v>427</v>
      </c>
      <c r="J119" t="s">
        <v>428</v>
      </c>
      <c r="K119" t="s">
        <v>429</v>
      </c>
      <c r="L119" t="s">
        <v>5846</v>
      </c>
      <c r="M119" t="s">
        <v>5847</v>
      </c>
      <c r="N119" t="s">
        <v>6106</v>
      </c>
    </row>
    <row r="120" spans="1:14" x14ac:dyDescent="0.25">
      <c r="A120">
        <v>2022</v>
      </c>
      <c r="B120">
        <v>5502</v>
      </c>
      <c r="C120" t="s">
        <v>6107</v>
      </c>
      <c r="D120" t="s">
        <v>6108</v>
      </c>
      <c r="E120">
        <v>311515</v>
      </c>
      <c r="F120" t="s">
        <v>342</v>
      </c>
      <c r="G120" t="s">
        <v>343</v>
      </c>
      <c r="H120" t="s">
        <v>69</v>
      </c>
      <c r="I120" t="s">
        <v>402</v>
      </c>
      <c r="J120" t="s">
        <v>403</v>
      </c>
      <c r="K120" t="s">
        <v>404</v>
      </c>
      <c r="L120" t="s">
        <v>5875</v>
      </c>
      <c r="M120" t="s">
        <v>5876</v>
      </c>
      <c r="N120" t="s">
        <v>6109</v>
      </c>
    </row>
    <row r="121" spans="1:14" x14ac:dyDescent="0.25">
      <c r="A121">
        <v>2018</v>
      </c>
      <c r="B121">
        <v>29859</v>
      </c>
      <c r="C121" t="s">
        <v>1976</v>
      </c>
      <c r="D121" t="s">
        <v>6110</v>
      </c>
      <c r="E121">
        <v>211110</v>
      </c>
      <c r="F121" t="s">
        <v>233</v>
      </c>
      <c r="G121" t="s">
        <v>234</v>
      </c>
      <c r="H121" t="s">
        <v>243</v>
      </c>
      <c r="I121" t="s">
        <v>1421</v>
      </c>
      <c r="J121" t="s">
        <v>1422</v>
      </c>
      <c r="K121" t="s">
        <v>1423</v>
      </c>
      <c r="L121" t="s">
        <v>6111</v>
      </c>
      <c r="M121" t="s">
        <v>6112</v>
      </c>
      <c r="N121" t="s">
        <v>6113</v>
      </c>
    </row>
    <row r="122" spans="1:14" x14ac:dyDescent="0.25">
      <c r="A122">
        <v>2008</v>
      </c>
      <c r="B122">
        <v>5291</v>
      </c>
      <c r="C122" t="s">
        <v>6114</v>
      </c>
      <c r="D122" t="s">
        <v>6115</v>
      </c>
      <c r="E122">
        <v>327310</v>
      </c>
      <c r="F122" t="s">
        <v>2249</v>
      </c>
      <c r="G122" t="s">
        <v>1389</v>
      </c>
      <c r="H122" t="s">
        <v>85</v>
      </c>
      <c r="I122" t="s">
        <v>244</v>
      </c>
      <c r="J122" t="s">
        <v>245</v>
      </c>
      <c r="K122" t="s">
        <v>246</v>
      </c>
      <c r="L122" t="s">
        <v>5846</v>
      </c>
      <c r="M122" t="s">
        <v>5847</v>
      </c>
      <c r="N122" t="s">
        <v>6116</v>
      </c>
    </row>
    <row r="123" spans="1:14" x14ac:dyDescent="0.25">
      <c r="A123">
        <v>2006</v>
      </c>
      <c r="B123">
        <v>5830</v>
      </c>
      <c r="C123" t="s">
        <v>6117</v>
      </c>
      <c r="D123" t="s">
        <v>6118</v>
      </c>
      <c r="E123">
        <v>336370</v>
      </c>
      <c r="F123" t="s">
        <v>586</v>
      </c>
      <c r="G123" t="s">
        <v>587</v>
      </c>
      <c r="H123" t="s">
        <v>21</v>
      </c>
      <c r="I123" t="s">
        <v>1421</v>
      </c>
      <c r="J123" t="s">
        <v>1422</v>
      </c>
      <c r="K123" t="s">
        <v>1423</v>
      </c>
      <c r="L123" t="s">
        <v>5828</v>
      </c>
      <c r="M123" t="s">
        <v>5829</v>
      </c>
      <c r="N123" t="s">
        <v>6119</v>
      </c>
    </row>
    <row r="124" spans="1:14" x14ac:dyDescent="0.25">
      <c r="A124">
        <v>2018</v>
      </c>
      <c r="B124">
        <v>5802</v>
      </c>
      <c r="C124" t="s">
        <v>6120</v>
      </c>
      <c r="D124" t="s">
        <v>6121</v>
      </c>
      <c r="E124">
        <v>326150</v>
      </c>
      <c r="F124" t="s">
        <v>6122</v>
      </c>
      <c r="G124" t="s">
        <v>641</v>
      </c>
      <c r="H124" t="s">
        <v>21</v>
      </c>
      <c r="I124" t="s">
        <v>331</v>
      </c>
      <c r="J124" t="s">
        <v>332</v>
      </c>
      <c r="K124" t="s">
        <v>333</v>
      </c>
      <c r="L124" t="s">
        <v>5875</v>
      </c>
      <c r="M124" t="s">
        <v>5876</v>
      </c>
      <c r="N124" t="s">
        <v>6123</v>
      </c>
    </row>
    <row r="125" spans="1:14" x14ac:dyDescent="0.25">
      <c r="A125">
        <v>2023</v>
      </c>
      <c r="B125">
        <v>1303</v>
      </c>
      <c r="C125" t="s">
        <v>1745</v>
      </c>
      <c r="D125" t="s">
        <v>1746</v>
      </c>
      <c r="E125">
        <v>212233</v>
      </c>
      <c r="F125" t="s">
        <v>1111</v>
      </c>
      <c r="G125" t="s">
        <v>441</v>
      </c>
      <c r="H125" t="s">
        <v>69</v>
      </c>
      <c r="I125" t="s">
        <v>35</v>
      </c>
      <c r="J125" t="s">
        <v>36</v>
      </c>
      <c r="K125" t="s">
        <v>37</v>
      </c>
      <c r="L125" t="s">
        <v>5875</v>
      </c>
      <c r="M125" t="s">
        <v>5876</v>
      </c>
      <c r="N125" t="s">
        <v>6124</v>
      </c>
    </row>
    <row r="126" spans="1:14" x14ac:dyDescent="0.25">
      <c r="A126">
        <v>1999</v>
      </c>
      <c r="B126">
        <v>5739</v>
      </c>
      <c r="C126" t="s">
        <v>6125</v>
      </c>
      <c r="D126" t="s">
        <v>2347</v>
      </c>
      <c r="E126">
        <v>325190</v>
      </c>
      <c r="F126" t="s">
        <v>832</v>
      </c>
      <c r="G126" t="s">
        <v>601</v>
      </c>
      <c r="H126" t="s">
        <v>21</v>
      </c>
      <c r="I126" t="s">
        <v>504</v>
      </c>
      <c r="J126" t="s">
        <v>505</v>
      </c>
      <c r="K126" t="s">
        <v>506</v>
      </c>
      <c r="L126" t="s">
        <v>5828</v>
      </c>
      <c r="M126" t="s">
        <v>5829</v>
      </c>
      <c r="N126" t="s">
        <v>6126</v>
      </c>
    </row>
    <row r="127" spans="1:14" x14ac:dyDescent="0.25">
      <c r="A127">
        <v>2021</v>
      </c>
      <c r="B127">
        <v>477</v>
      </c>
      <c r="C127" t="s">
        <v>546</v>
      </c>
      <c r="D127" t="s">
        <v>547</v>
      </c>
      <c r="E127">
        <v>325999</v>
      </c>
      <c r="F127" t="s">
        <v>548</v>
      </c>
      <c r="G127" t="s">
        <v>397</v>
      </c>
      <c r="H127" t="s">
        <v>21</v>
      </c>
      <c r="I127" t="s">
        <v>80</v>
      </c>
      <c r="J127" t="s">
        <v>81</v>
      </c>
      <c r="K127" t="s">
        <v>82</v>
      </c>
      <c r="L127" t="s">
        <v>5828</v>
      </c>
      <c r="M127" t="s">
        <v>5829</v>
      </c>
      <c r="N127" t="s">
        <v>6127</v>
      </c>
    </row>
    <row r="128" spans="1:14" x14ac:dyDescent="0.25">
      <c r="A128">
        <v>2023</v>
      </c>
      <c r="B128">
        <v>2070</v>
      </c>
      <c r="C128" t="s">
        <v>6128</v>
      </c>
      <c r="D128" t="s">
        <v>6128</v>
      </c>
      <c r="E128">
        <v>325190</v>
      </c>
      <c r="F128" t="s">
        <v>600</v>
      </c>
      <c r="G128" t="s">
        <v>601</v>
      </c>
      <c r="H128" t="s">
        <v>21</v>
      </c>
      <c r="I128" t="s">
        <v>172</v>
      </c>
      <c r="J128" t="s">
        <v>173</v>
      </c>
      <c r="K128" t="s">
        <v>174</v>
      </c>
      <c r="L128" t="s">
        <v>5828</v>
      </c>
      <c r="M128" t="s">
        <v>5829</v>
      </c>
      <c r="N128" t="s">
        <v>6129</v>
      </c>
    </row>
    <row r="129" spans="1:14" x14ac:dyDescent="0.25">
      <c r="A129">
        <v>2023</v>
      </c>
      <c r="B129">
        <v>10296</v>
      </c>
      <c r="C129" t="s">
        <v>6130</v>
      </c>
      <c r="D129" t="s">
        <v>6131</v>
      </c>
      <c r="E129">
        <v>326198</v>
      </c>
      <c r="F129" t="s">
        <v>1069</v>
      </c>
      <c r="G129" t="s">
        <v>250</v>
      </c>
      <c r="H129" t="s">
        <v>21</v>
      </c>
      <c r="I129" t="s">
        <v>461</v>
      </c>
      <c r="J129" t="s">
        <v>462</v>
      </c>
      <c r="K129" t="s">
        <v>463</v>
      </c>
      <c r="L129" t="s">
        <v>5875</v>
      </c>
      <c r="M129" t="s">
        <v>5876</v>
      </c>
      <c r="N129" t="s">
        <v>6132</v>
      </c>
    </row>
    <row r="130" spans="1:14" x14ac:dyDescent="0.25">
      <c r="A130">
        <v>2023</v>
      </c>
      <c r="B130">
        <v>5914</v>
      </c>
      <c r="C130" t="s">
        <v>6133</v>
      </c>
      <c r="D130" t="s">
        <v>6133</v>
      </c>
      <c r="E130">
        <v>326193</v>
      </c>
      <c r="F130" t="s">
        <v>6134</v>
      </c>
      <c r="G130" t="s">
        <v>20</v>
      </c>
      <c r="H130" t="s">
        <v>21</v>
      </c>
      <c r="I130" t="s">
        <v>129</v>
      </c>
      <c r="J130" t="s">
        <v>130</v>
      </c>
      <c r="K130" t="s">
        <v>131</v>
      </c>
      <c r="L130" t="s">
        <v>5846</v>
      </c>
      <c r="M130" t="s">
        <v>5847</v>
      </c>
      <c r="N130" t="s">
        <v>6135</v>
      </c>
    </row>
    <row r="131" spans="1:14" x14ac:dyDescent="0.25">
      <c r="A131">
        <v>2010</v>
      </c>
      <c r="B131">
        <v>2108</v>
      </c>
      <c r="C131" t="s">
        <v>1961</v>
      </c>
      <c r="D131" t="s">
        <v>6136</v>
      </c>
      <c r="E131">
        <v>211113</v>
      </c>
      <c r="F131" t="s">
        <v>425</v>
      </c>
      <c r="G131" t="s">
        <v>426</v>
      </c>
      <c r="H131" t="s">
        <v>85</v>
      </c>
      <c r="I131" t="s">
        <v>1549</v>
      </c>
      <c r="J131" t="s">
        <v>1550</v>
      </c>
      <c r="K131" t="s">
        <v>1551</v>
      </c>
      <c r="L131" t="s">
        <v>5875</v>
      </c>
      <c r="M131" t="s">
        <v>5876</v>
      </c>
      <c r="N131" t="s">
        <v>4711</v>
      </c>
    </row>
    <row r="132" spans="1:14" x14ac:dyDescent="0.25">
      <c r="A132">
        <v>2017</v>
      </c>
      <c r="B132">
        <v>1755</v>
      </c>
      <c r="C132" t="s">
        <v>1027</v>
      </c>
      <c r="D132" t="s">
        <v>6137</v>
      </c>
      <c r="E132">
        <v>211110</v>
      </c>
      <c r="F132" t="s">
        <v>233</v>
      </c>
      <c r="G132" t="s">
        <v>234</v>
      </c>
      <c r="H132" t="s">
        <v>85</v>
      </c>
      <c r="I132" t="s">
        <v>271</v>
      </c>
      <c r="J132" t="s">
        <v>272</v>
      </c>
      <c r="K132" t="s">
        <v>273</v>
      </c>
      <c r="L132" t="s">
        <v>5828</v>
      </c>
      <c r="M132" t="s">
        <v>5829</v>
      </c>
      <c r="N132" t="s">
        <v>6138</v>
      </c>
    </row>
    <row r="133" spans="1:14" x14ac:dyDescent="0.25">
      <c r="A133">
        <v>2003</v>
      </c>
      <c r="B133">
        <v>978</v>
      </c>
      <c r="C133" t="s">
        <v>6139</v>
      </c>
      <c r="D133" t="s">
        <v>6140</v>
      </c>
      <c r="E133">
        <v>322122</v>
      </c>
      <c r="F133" t="s">
        <v>1556</v>
      </c>
      <c r="G133" t="s">
        <v>1062</v>
      </c>
      <c r="H133" t="s">
        <v>21</v>
      </c>
      <c r="I133" t="s">
        <v>324</v>
      </c>
      <c r="J133" t="s">
        <v>325</v>
      </c>
      <c r="K133" t="s">
        <v>326</v>
      </c>
      <c r="L133" t="s">
        <v>5828</v>
      </c>
      <c r="M133" t="s">
        <v>5829</v>
      </c>
      <c r="N133" t="s">
        <v>6141</v>
      </c>
    </row>
    <row r="134" spans="1:14" x14ac:dyDescent="0.25">
      <c r="A134">
        <v>2016</v>
      </c>
      <c r="B134">
        <v>5933</v>
      </c>
      <c r="C134" t="s">
        <v>6142</v>
      </c>
      <c r="D134" t="s">
        <v>6143</v>
      </c>
      <c r="E134">
        <v>326150</v>
      </c>
      <c r="F134" t="s">
        <v>6122</v>
      </c>
      <c r="G134" t="s">
        <v>641</v>
      </c>
      <c r="H134" t="s">
        <v>21</v>
      </c>
      <c r="I134" t="s">
        <v>1856</v>
      </c>
      <c r="J134" t="s">
        <v>1857</v>
      </c>
      <c r="K134" t="s">
        <v>1858</v>
      </c>
      <c r="L134" t="s">
        <v>5875</v>
      </c>
      <c r="M134" t="s">
        <v>5876</v>
      </c>
      <c r="N134" t="s">
        <v>6144</v>
      </c>
    </row>
    <row r="135" spans="1:14" x14ac:dyDescent="0.25">
      <c r="A135">
        <v>2016</v>
      </c>
      <c r="B135">
        <v>27100</v>
      </c>
      <c r="C135" t="s">
        <v>1043</v>
      </c>
      <c r="D135" t="s">
        <v>6145</v>
      </c>
      <c r="E135">
        <v>211114</v>
      </c>
      <c r="F135" t="s">
        <v>956</v>
      </c>
      <c r="G135" t="s">
        <v>836</v>
      </c>
      <c r="H135" t="s">
        <v>243</v>
      </c>
      <c r="I135" t="s">
        <v>1549</v>
      </c>
      <c r="J135" t="s">
        <v>1550</v>
      </c>
      <c r="K135" t="s">
        <v>1551</v>
      </c>
      <c r="L135" t="s">
        <v>5875</v>
      </c>
      <c r="M135" t="s">
        <v>5876</v>
      </c>
      <c r="N135" t="s">
        <v>6146</v>
      </c>
    </row>
    <row r="136" spans="1:14" x14ac:dyDescent="0.25">
      <c r="A136">
        <v>2014</v>
      </c>
      <c r="B136">
        <v>106</v>
      </c>
      <c r="C136" t="s">
        <v>1027</v>
      </c>
      <c r="D136" t="s">
        <v>6147</v>
      </c>
      <c r="E136">
        <v>211113</v>
      </c>
      <c r="F136" t="s">
        <v>786</v>
      </c>
      <c r="G136" t="s">
        <v>426</v>
      </c>
      <c r="H136" t="s">
        <v>85</v>
      </c>
      <c r="I136" t="s">
        <v>491</v>
      </c>
      <c r="J136" t="s">
        <v>492</v>
      </c>
      <c r="K136" t="s">
        <v>492</v>
      </c>
      <c r="L136" t="s">
        <v>5828</v>
      </c>
      <c r="M136" t="s">
        <v>5829</v>
      </c>
      <c r="N136" t="s">
        <v>6148</v>
      </c>
    </row>
    <row r="137" spans="1:14" x14ac:dyDescent="0.25">
      <c r="A137">
        <v>2014</v>
      </c>
      <c r="B137">
        <v>27095</v>
      </c>
      <c r="C137" t="s">
        <v>1043</v>
      </c>
      <c r="D137" t="s">
        <v>6149</v>
      </c>
      <c r="E137">
        <v>211113</v>
      </c>
      <c r="F137" t="s">
        <v>786</v>
      </c>
      <c r="G137" t="s">
        <v>426</v>
      </c>
      <c r="H137" t="s">
        <v>85</v>
      </c>
      <c r="I137" t="s">
        <v>1421</v>
      </c>
      <c r="J137" t="s">
        <v>1422</v>
      </c>
      <c r="K137" t="s">
        <v>1423</v>
      </c>
      <c r="L137" t="s">
        <v>5828</v>
      </c>
      <c r="M137" t="s">
        <v>5829</v>
      </c>
      <c r="N137" t="s">
        <v>6150</v>
      </c>
    </row>
    <row r="138" spans="1:14" x14ac:dyDescent="0.25">
      <c r="A138">
        <v>2022</v>
      </c>
      <c r="B138">
        <v>2274</v>
      </c>
      <c r="C138" t="s">
        <v>5425</v>
      </c>
      <c r="D138" t="s">
        <v>6151</v>
      </c>
      <c r="E138">
        <v>211142</v>
      </c>
      <c r="F138" t="s">
        <v>357</v>
      </c>
      <c r="G138" t="s">
        <v>358</v>
      </c>
      <c r="H138" t="s">
        <v>85</v>
      </c>
      <c r="I138" t="s">
        <v>1515</v>
      </c>
      <c r="J138" t="s">
        <v>1516</v>
      </c>
      <c r="K138" t="s">
        <v>1517</v>
      </c>
      <c r="L138" t="s">
        <v>5828</v>
      </c>
      <c r="M138" t="s">
        <v>5829</v>
      </c>
      <c r="N138" t="s">
        <v>6152</v>
      </c>
    </row>
    <row r="139" spans="1:14" x14ac:dyDescent="0.25">
      <c r="A139">
        <v>2006</v>
      </c>
      <c r="B139">
        <v>6743</v>
      </c>
      <c r="C139" t="s">
        <v>2105</v>
      </c>
      <c r="D139" t="s">
        <v>6153</v>
      </c>
      <c r="E139">
        <v>486210</v>
      </c>
      <c r="F139" t="s">
        <v>1789</v>
      </c>
      <c r="G139" t="s">
        <v>1329</v>
      </c>
      <c r="H139" t="s">
        <v>21</v>
      </c>
      <c r="I139" t="s">
        <v>1421</v>
      </c>
      <c r="J139" t="s">
        <v>1422</v>
      </c>
      <c r="K139" t="s">
        <v>1423</v>
      </c>
      <c r="L139" t="s">
        <v>5828</v>
      </c>
      <c r="M139" t="s">
        <v>5829</v>
      </c>
      <c r="N139" t="s">
        <v>6154</v>
      </c>
    </row>
    <row r="140" spans="1:14" x14ac:dyDescent="0.25">
      <c r="A140">
        <v>2004</v>
      </c>
      <c r="B140">
        <v>1593</v>
      </c>
      <c r="C140" t="s">
        <v>6155</v>
      </c>
      <c r="D140" t="s">
        <v>6156</v>
      </c>
      <c r="E140">
        <v>322122</v>
      </c>
      <c r="F140" t="s">
        <v>1556</v>
      </c>
      <c r="G140" t="s">
        <v>1062</v>
      </c>
      <c r="H140" t="s">
        <v>69</v>
      </c>
      <c r="I140" t="s">
        <v>469</v>
      </c>
      <c r="J140" t="s">
        <v>470</v>
      </c>
      <c r="K140" t="s">
        <v>471</v>
      </c>
      <c r="L140" t="s">
        <v>5875</v>
      </c>
      <c r="M140" t="s">
        <v>5876</v>
      </c>
      <c r="N140" t="s">
        <v>6157</v>
      </c>
    </row>
    <row r="141" spans="1:14" x14ac:dyDescent="0.25">
      <c r="A141">
        <v>2008</v>
      </c>
      <c r="B141">
        <v>22427</v>
      </c>
      <c r="C141" t="s">
        <v>3481</v>
      </c>
      <c r="D141" t="s">
        <v>6158</v>
      </c>
      <c r="E141">
        <v>211113</v>
      </c>
      <c r="F141" t="s">
        <v>425</v>
      </c>
      <c r="G141" t="s">
        <v>426</v>
      </c>
      <c r="H141" t="s">
        <v>85</v>
      </c>
      <c r="I141" t="s">
        <v>1369</v>
      </c>
      <c r="J141" t="s">
        <v>1370</v>
      </c>
      <c r="K141" t="s">
        <v>1371</v>
      </c>
      <c r="L141" t="s">
        <v>5828</v>
      </c>
      <c r="M141" t="s">
        <v>5829</v>
      </c>
      <c r="N141" t="s">
        <v>6159</v>
      </c>
    </row>
    <row r="142" spans="1:14" x14ac:dyDescent="0.25">
      <c r="A142">
        <v>2005</v>
      </c>
      <c r="B142">
        <v>5357</v>
      </c>
      <c r="C142" t="s">
        <v>6160</v>
      </c>
      <c r="D142" t="s">
        <v>6160</v>
      </c>
      <c r="E142">
        <v>325189</v>
      </c>
      <c r="F142" t="s">
        <v>1290</v>
      </c>
      <c r="G142" t="s">
        <v>1291</v>
      </c>
      <c r="H142" t="s">
        <v>85</v>
      </c>
      <c r="I142" t="s">
        <v>391</v>
      </c>
      <c r="J142" t="s">
        <v>392</v>
      </c>
      <c r="K142" t="s">
        <v>393</v>
      </c>
      <c r="L142" t="s">
        <v>5846</v>
      </c>
      <c r="M142" t="s">
        <v>5847</v>
      </c>
      <c r="N142" t="s">
        <v>6161</v>
      </c>
    </row>
    <row r="143" spans="1:14" x14ac:dyDescent="0.25">
      <c r="A143">
        <v>2020</v>
      </c>
      <c r="B143">
        <v>2984</v>
      </c>
      <c r="C143" t="s">
        <v>6001</v>
      </c>
      <c r="D143" t="s">
        <v>3452</v>
      </c>
      <c r="E143">
        <v>331110</v>
      </c>
      <c r="F143" t="s">
        <v>627</v>
      </c>
      <c r="G143" t="s">
        <v>336</v>
      </c>
      <c r="H143" t="s">
        <v>21</v>
      </c>
      <c r="I143" t="s">
        <v>913</v>
      </c>
      <c r="J143" t="s">
        <v>914</v>
      </c>
      <c r="K143" t="s">
        <v>915</v>
      </c>
      <c r="L143" t="s">
        <v>5875</v>
      </c>
      <c r="M143" t="s">
        <v>5876</v>
      </c>
      <c r="N143" t="s">
        <v>6162</v>
      </c>
    </row>
    <row r="144" spans="1:14" x14ac:dyDescent="0.25">
      <c r="A144">
        <v>2005</v>
      </c>
      <c r="B144">
        <v>2924</v>
      </c>
      <c r="C144" t="s">
        <v>5468</v>
      </c>
      <c r="D144" t="s">
        <v>5668</v>
      </c>
      <c r="E144">
        <v>322112</v>
      </c>
      <c r="F144" t="s">
        <v>620</v>
      </c>
      <c r="G144" t="s">
        <v>621</v>
      </c>
      <c r="H144" t="s">
        <v>69</v>
      </c>
      <c r="I144" t="s">
        <v>461</v>
      </c>
      <c r="J144" t="s">
        <v>462</v>
      </c>
      <c r="K144" t="s">
        <v>463</v>
      </c>
      <c r="L144" t="s">
        <v>5875</v>
      </c>
      <c r="M144" t="s">
        <v>5876</v>
      </c>
      <c r="N144" t="s">
        <v>6163</v>
      </c>
    </row>
    <row r="145" spans="1:14" x14ac:dyDescent="0.25">
      <c r="A145">
        <v>2007</v>
      </c>
      <c r="B145">
        <v>2991</v>
      </c>
      <c r="C145" t="s">
        <v>5300</v>
      </c>
      <c r="D145" t="s">
        <v>6164</v>
      </c>
      <c r="E145">
        <v>322112</v>
      </c>
      <c r="F145" t="s">
        <v>620</v>
      </c>
      <c r="G145" t="s">
        <v>621</v>
      </c>
      <c r="H145" t="s">
        <v>85</v>
      </c>
      <c r="I145" t="s">
        <v>324</v>
      </c>
      <c r="J145" t="s">
        <v>325</v>
      </c>
      <c r="K145" t="s">
        <v>326</v>
      </c>
      <c r="L145" t="s">
        <v>5828</v>
      </c>
      <c r="M145" t="s">
        <v>5829</v>
      </c>
      <c r="N145" t="s">
        <v>6165</v>
      </c>
    </row>
    <row r="146" spans="1:14" x14ac:dyDescent="0.25">
      <c r="A146">
        <v>2020</v>
      </c>
      <c r="B146">
        <v>2081</v>
      </c>
      <c r="C146" t="s">
        <v>497</v>
      </c>
      <c r="D146" t="s">
        <v>6166</v>
      </c>
      <c r="E146">
        <v>221112</v>
      </c>
      <c r="F146" t="s">
        <v>499</v>
      </c>
      <c r="G146" t="s">
        <v>135</v>
      </c>
      <c r="H146" t="s">
        <v>243</v>
      </c>
      <c r="I146" t="s">
        <v>877</v>
      </c>
      <c r="J146" t="s">
        <v>878</v>
      </c>
      <c r="K146" t="s">
        <v>879</v>
      </c>
      <c r="L146" t="s">
        <v>5828</v>
      </c>
      <c r="M146" t="s">
        <v>5829</v>
      </c>
      <c r="N146" t="s">
        <v>6167</v>
      </c>
    </row>
    <row r="147" spans="1:14" x14ac:dyDescent="0.25">
      <c r="A147">
        <v>2011</v>
      </c>
      <c r="B147">
        <v>10484</v>
      </c>
      <c r="C147" t="s">
        <v>989</v>
      </c>
      <c r="D147" t="s">
        <v>6168</v>
      </c>
      <c r="E147">
        <v>221320</v>
      </c>
      <c r="F147" t="s">
        <v>390</v>
      </c>
      <c r="G147" t="s">
        <v>147</v>
      </c>
      <c r="H147" t="s">
        <v>21</v>
      </c>
      <c r="I147" t="s">
        <v>1441</v>
      </c>
      <c r="J147" t="s">
        <v>1442</v>
      </c>
      <c r="K147" t="s">
        <v>1443</v>
      </c>
      <c r="L147" t="s">
        <v>5828</v>
      </c>
      <c r="M147" t="s">
        <v>5829</v>
      </c>
      <c r="N147" t="s">
        <v>6169</v>
      </c>
    </row>
    <row r="148" spans="1:14" x14ac:dyDescent="0.25">
      <c r="A148">
        <v>2002</v>
      </c>
      <c r="B148">
        <v>1411</v>
      </c>
      <c r="C148" t="s">
        <v>2981</v>
      </c>
      <c r="D148" t="s">
        <v>5805</v>
      </c>
      <c r="E148">
        <v>211113</v>
      </c>
      <c r="F148" t="s">
        <v>425</v>
      </c>
      <c r="G148" t="s">
        <v>426</v>
      </c>
      <c r="H148" t="s">
        <v>85</v>
      </c>
      <c r="I148" t="s">
        <v>923</v>
      </c>
      <c r="J148" t="s">
        <v>924</v>
      </c>
      <c r="K148" t="s">
        <v>924</v>
      </c>
      <c r="L148" t="s">
        <v>5846</v>
      </c>
      <c r="M148" t="s">
        <v>5847</v>
      </c>
      <c r="N148" t="s">
        <v>6170</v>
      </c>
    </row>
    <row r="149" spans="1:14" x14ac:dyDescent="0.25">
      <c r="A149">
        <v>2016</v>
      </c>
      <c r="B149">
        <v>1338</v>
      </c>
      <c r="C149" t="s">
        <v>212</v>
      </c>
      <c r="D149" t="s">
        <v>597</v>
      </c>
      <c r="E149">
        <v>221320</v>
      </c>
      <c r="F149" t="s">
        <v>146</v>
      </c>
      <c r="G149" t="s">
        <v>147</v>
      </c>
      <c r="H149" t="s">
        <v>69</v>
      </c>
      <c r="I149" t="s">
        <v>1878</v>
      </c>
      <c r="J149" t="s">
        <v>1879</v>
      </c>
      <c r="K149" t="s">
        <v>1880</v>
      </c>
      <c r="L149" t="s">
        <v>5875</v>
      </c>
      <c r="M149" t="s">
        <v>5876</v>
      </c>
      <c r="N149" t="s">
        <v>6171</v>
      </c>
    </row>
    <row r="150" spans="1:14" x14ac:dyDescent="0.25">
      <c r="A150">
        <v>2005</v>
      </c>
      <c r="B150">
        <v>6914</v>
      </c>
      <c r="C150" t="s">
        <v>1901</v>
      </c>
      <c r="D150" t="s">
        <v>6172</v>
      </c>
      <c r="E150">
        <v>486110</v>
      </c>
      <c r="F150" t="s">
        <v>540</v>
      </c>
      <c r="G150" t="s">
        <v>541</v>
      </c>
      <c r="H150" t="s">
        <v>243</v>
      </c>
      <c r="I150" t="s">
        <v>491</v>
      </c>
      <c r="J150" t="s">
        <v>492</v>
      </c>
      <c r="K150" t="s">
        <v>492</v>
      </c>
      <c r="L150" t="s">
        <v>5846</v>
      </c>
      <c r="M150" t="s">
        <v>5847</v>
      </c>
      <c r="N150" t="s">
        <v>6173</v>
      </c>
    </row>
    <row r="151" spans="1:14" x14ac:dyDescent="0.25">
      <c r="A151">
        <v>2007</v>
      </c>
      <c r="B151">
        <v>18471</v>
      </c>
      <c r="C151" t="s">
        <v>2164</v>
      </c>
      <c r="D151" t="s">
        <v>6174</v>
      </c>
      <c r="E151">
        <v>211113</v>
      </c>
      <c r="F151" t="s">
        <v>425</v>
      </c>
      <c r="G151" t="s">
        <v>426</v>
      </c>
      <c r="H151" t="s">
        <v>69</v>
      </c>
      <c r="I151" t="s">
        <v>1369</v>
      </c>
      <c r="J151" t="s">
        <v>1370</v>
      </c>
      <c r="K151" t="s">
        <v>1371</v>
      </c>
      <c r="L151" t="s">
        <v>5828</v>
      </c>
      <c r="M151" t="s">
        <v>5829</v>
      </c>
      <c r="N151" t="s">
        <v>6175</v>
      </c>
    </row>
    <row r="152" spans="1:14" x14ac:dyDescent="0.25">
      <c r="A152">
        <v>2020</v>
      </c>
      <c r="B152">
        <v>27853</v>
      </c>
      <c r="C152" t="s">
        <v>4352</v>
      </c>
      <c r="D152" t="s">
        <v>2028</v>
      </c>
      <c r="E152">
        <v>331313</v>
      </c>
      <c r="F152" t="s">
        <v>1405</v>
      </c>
      <c r="G152" t="s">
        <v>1132</v>
      </c>
      <c r="H152" t="s">
        <v>79</v>
      </c>
      <c r="I152" t="s">
        <v>1369</v>
      </c>
      <c r="J152" t="s">
        <v>1370</v>
      </c>
      <c r="K152" t="s">
        <v>1371</v>
      </c>
      <c r="L152" t="s">
        <v>5828</v>
      </c>
      <c r="M152" t="s">
        <v>5829</v>
      </c>
      <c r="N152" t="s">
        <v>6176</v>
      </c>
    </row>
    <row r="153" spans="1:14" x14ac:dyDescent="0.25">
      <c r="A153">
        <v>2009</v>
      </c>
      <c r="B153">
        <v>2363</v>
      </c>
      <c r="C153" t="s">
        <v>6177</v>
      </c>
      <c r="D153" t="s">
        <v>6178</v>
      </c>
      <c r="E153">
        <v>321217</v>
      </c>
      <c r="F153" t="s">
        <v>1702</v>
      </c>
      <c r="G153" t="s">
        <v>151</v>
      </c>
      <c r="H153" t="s">
        <v>21</v>
      </c>
      <c r="I153" t="s">
        <v>1421</v>
      </c>
      <c r="J153" t="s">
        <v>1422</v>
      </c>
      <c r="K153" t="s">
        <v>1423</v>
      </c>
      <c r="L153" t="s">
        <v>5828</v>
      </c>
      <c r="M153" t="s">
        <v>5829</v>
      </c>
      <c r="N153" t="s">
        <v>6179</v>
      </c>
    </row>
    <row r="154" spans="1:14" x14ac:dyDescent="0.25">
      <c r="A154">
        <v>2018</v>
      </c>
      <c r="B154">
        <v>7717</v>
      </c>
      <c r="C154" t="s">
        <v>1326</v>
      </c>
      <c r="D154" t="s">
        <v>6180</v>
      </c>
      <c r="E154">
        <v>486210</v>
      </c>
      <c r="F154" t="s">
        <v>1328</v>
      </c>
      <c r="G154" t="s">
        <v>1329</v>
      </c>
      <c r="H154" t="s">
        <v>69</v>
      </c>
      <c r="I154" t="s">
        <v>35</v>
      </c>
      <c r="J154" t="s">
        <v>36</v>
      </c>
      <c r="K154" t="s">
        <v>37</v>
      </c>
      <c r="L154" t="s">
        <v>5846</v>
      </c>
      <c r="M154" t="s">
        <v>5847</v>
      </c>
      <c r="N154" t="s">
        <v>6181</v>
      </c>
    </row>
    <row r="155" spans="1:14" x14ac:dyDescent="0.25">
      <c r="A155">
        <v>2018</v>
      </c>
      <c r="B155">
        <v>4316</v>
      </c>
      <c r="C155" t="s">
        <v>5244</v>
      </c>
      <c r="D155" t="s">
        <v>5245</v>
      </c>
      <c r="E155">
        <v>324110</v>
      </c>
      <c r="F155" t="s">
        <v>196</v>
      </c>
      <c r="G155" t="s">
        <v>96</v>
      </c>
      <c r="H155" t="s">
        <v>1625</v>
      </c>
      <c r="I155" t="s">
        <v>1251</v>
      </c>
      <c r="J155" t="s">
        <v>1252</v>
      </c>
      <c r="K155" t="s">
        <v>1253</v>
      </c>
      <c r="L155" t="s">
        <v>5846</v>
      </c>
      <c r="M155" t="s">
        <v>5847</v>
      </c>
      <c r="N155" t="s">
        <v>6182</v>
      </c>
    </row>
    <row r="156" spans="1:14" x14ac:dyDescent="0.25">
      <c r="A156">
        <v>2004</v>
      </c>
      <c r="B156">
        <v>6198</v>
      </c>
      <c r="C156" t="s">
        <v>6183</v>
      </c>
      <c r="D156" t="s">
        <v>6184</v>
      </c>
      <c r="E156">
        <v>212315</v>
      </c>
      <c r="F156" t="s">
        <v>1830</v>
      </c>
      <c r="G156" t="s">
        <v>1831</v>
      </c>
      <c r="H156" t="s">
        <v>79</v>
      </c>
      <c r="I156" t="s">
        <v>1487</v>
      </c>
      <c r="J156" t="s">
        <v>1488</v>
      </c>
      <c r="K156" t="s">
        <v>1489</v>
      </c>
      <c r="L156" t="s">
        <v>5828</v>
      </c>
      <c r="M156" t="s">
        <v>5829</v>
      </c>
      <c r="N156" t="s">
        <v>6185</v>
      </c>
    </row>
    <row r="157" spans="1:14" x14ac:dyDescent="0.25">
      <c r="A157">
        <v>2016</v>
      </c>
      <c r="B157">
        <v>11616</v>
      </c>
      <c r="C157" t="s">
        <v>1760</v>
      </c>
      <c r="D157" t="s">
        <v>4260</v>
      </c>
      <c r="E157">
        <v>325190</v>
      </c>
      <c r="F157" t="s">
        <v>600</v>
      </c>
      <c r="G157" t="s">
        <v>601</v>
      </c>
      <c r="H157" t="s">
        <v>79</v>
      </c>
      <c r="I157" t="s">
        <v>923</v>
      </c>
      <c r="J157" t="s">
        <v>924</v>
      </c>
      <c r="K157" t="s">
        <v>924</v>
      </c>
      <c r="L157" t="s">
        <v>5888</v>
      </c>
      <c r="M157" t="s">
        <v>5889</v>
      </c>
      <c r="N157" t="s">
        <v>6186</v>
      </c>
    </row>
    <row r="158" spans="1:14" x14ac:dyDescent="0.25">
      <c r="A158">
        <v>2013</v>
      </c>
      <c r="B158">
        <v>5124</v>
      </c>
      <c r="C158" t="s">
        <v>784</v>
      </c>
      <c r="D158" t="s">
        <v>6187</v>
      </c>
      <c r="E158">
        <v>211113</v>
      </c>
      <c r="F158" t="s">
        <v>786</v>
      </c>
      <c r="G158" t="s">
        <v>426</v>
      </c>
      <c r="H158" t="s">
        <v>69</v>
      </c>
      <c r="I158" t="s">
        <v>1533</v>
      </c>
      <c r="J158" t="s">
        <v>1534</v>
      </c>
      <c r="K158" t="s">
        <v>1535</v>
      </c>
      <c r="L158" t="s">
        <v>5828</v>
      </c>
      <c r="M158" t="s">
        <v>5829</v>
      </c>
      <c r="N158" t="s">
        <v>6188</v>
      </c>
    </row>
    <row r="159" spans="1:14" x14ac:dyDescent="0.25">
      <c r="A159">
        <v>2023</v>
      </c>
      <c r="B159">
        <v>6731</v>
      </c>
      <c r="C159" t="s">
        <v>1626</v>
      </c>
      <c r="D159" t="s">
        <v>6189</v>
      </c>
      <c r="E159">
        <v>486210</v>
      </c>
      <c r="F159" t="s">
        <v>1328</v>
      </c>
      <c r="G159" t="s">
        <v>1329</v>
      </c>
      <c r="H159" t="s">
        <v>85</v>
      </c>
      <c r="I159" t="s">
        <v>1533</v>
      </c>
      <c r="J159" t="s">
        <v>1534</v>
      </c>
      <c r="K159" t="s">
        <v>1535</v>
      </c>
      <c r="L159" t="s">
        <v>5828</v>
      </c>
      <c r="M159" t="s">
        <v>5829</v>
      </c>
      <c r="N159" t="s">
        <v>6190</v>
      </c>
    </row>
    <row r="160" spans="1:14" x14ac:dyDescent="0.25">
      <c r="A160">
        <v>2022</v>
      </c>
      <c r="B160">
        <v>33088</v>
      </c>
      <c r="C160" t="s">
        <v>1653</v>
      </c>
      <c r="D160" t="s">
        <v>6191</v>
      </c>
      <c r="E160">
        <v>211110</v>
      </c>
      <c r="F160" t="s">
        <v>233</v>
      </c>
      <c r="G160" t="s">
        <v>234</v>
      </c>
      <c r="H160" t="s">
        <v>243</v>
      </c>
      <c r="I160" t="s">
        <v>1457</v>
      </c>
      <c r="J160" t="s">
        <v>1680</v>
      </c>
      <c r="K160" t="s">
        <v>1681</v>
      </c>
      <c r="L160" t="s">
        <v>5828</v>
      </c>
      <c r="M160" t="s">
        <v>5829</v>
      </c>
      <c r="N160" t="s">
        <v>6192</v>
      </c>
    </row>
    <row r="161" spans="1:14" x14ac:dyDescent="0.25">
      <c r="A161">
        <v>2008</v>
      </c>
      <c r="B161">
        <v>3875</v>
      </c>
      <c r="C161" t="s">
        <v>6193</v>
      </c>
      <c r="D161" t="s">
        <v>6194</v>
      </c>
      <c r="E161">
        <v>322121</v>
      </c>
      <c r="F161" t="s">
        <v>764</v>
      </c>
      <c r="G161" t="s">
        <v>765</v>
      </c>
      <c r="H161" t="s">
        <v>79</v>
      </c>
      <c r="I161" t="s">
        <v>1421</v>
      </c>
      <c r="J161" t="s">
        <v>1422</v>
      </c>
      <c r="K161" t="s">
        <v>1423</v>
      </c>
      <c r="L161" t="s">
        <v>5828</v>
      </c>
      <c r="M161" t="s">
        <v>5829</v>
      </c>
      <c r="N161" t="s">
        <v>6195</v>
      </c>
    </row>
    <row r="162" spans="1:14" x14ac:dyDescent="0.25">
      <c r="A162">
        <v>2021</v>
      </c>
      <c r="B162">
        <v>6666</v>
      </c>
      <c r="C162" t="s">
        <v>507</v>
      </c>
      <c r="D162" t="s">
        <v>6196</v>
      </c>
      <c r="E162">
        <v>412110</v>
      </c>
      <c r="F162" t="s">
        <v>127</v>
      </c>
      <c r="G162" t="s">
        <v>128</v>
      </c>
      <c r="H162" t="s">
        <v>21</v>
      </c>
      <c r="I162" t="s">
        <v>271</v>
      </c>
      <c r="J162" t="s">
        <v>272</v>
      </c>
      <c r="K162" t="s">
        <v>273</v>
      </c>
      <c r="L162" t="s">
        <v>5875</v>
      </c>
      <c r="M162" t="s">
        <v>5876</v>
      </c>
      <c r="N162" t="s">
        <v>6197</v>
      </c>
    </row>
    <row r="163" spans="1:14" x14ac:dyDescent="0.25">
      <c r="A163">
        <v>2001</v>
      </c>
      <c r="B163">
        <v>1782</v>
      </c>
      <c r="C163" t="s">
        <v>6198</v>
      </c>
      <c r="D163" t="s">
        <v>6199</v>
      </c>
      <c r="E163">
        <v>325110</v>
      </c>
      <c r="F163" t="s">
        <v>1194</v>
      </c>
      <c r="G163" t="s">
        <v>445</v>
      </c>
      <c r="H163" t="s">
        <v>85</v>
      </c>
      <c r="I163" t="s">
        <v>55</v>
      </c>
      <c r="J163" t="s">
        <v>56</v>
      </c>
      <c r="K163" t="s">
        <v>57</v>
      </c>
      <c r="L163" t="s">
        <v>5828</v>
      </c>
      <c r="M163" t="s">
        <v>5829</v>
      </c>
      <c r="N163" t="s">
        <v>6200</v>
      </c>
    </row>
    <row r="164" spans="1:14" x14ac:dyDescent="0.25">
      <c r="A164">
        <v>2008</v>
      </c>
      <c r="B164">
        <v>6838</v>
      </c>
      <c r="C164" t="s">
        <v>6201</v>
      </c>
      <c r="D164" t="s">
        <v>6202</v>
      </c>
      <c r="E164">
        <v>336212</v>
      </c>
      <c r="F164" t="s">
        <v>6203</v>
      </c>
      <c r="G164" t="s">
        <v>790</v>
      </c>
      <c r="H164" t="s">
        <v>243</v>
      </c>
      <c r="I164" t="s">
        <v>1369</v>
      </c>
      <c r="J164" t="s">
        <v>1370</v>
      </c>
      <c r="K164" t="s">
        <v>1371</v>
      </c>
      <c r="L164" t="s">
        <v>5828</v>
      </c>
      <c r="M164" t="s">
        <v>5829</v>
      </c>
      <c r="N164" t="s">
        <v>6204</v>
      </c>
    </row>
    <row r="165" spans="1:14" x14ac:dyDescent="0.25">
      <c r="A165">
        <v>2008</v>
      </c>
      <c r="B165">
        <v>15097</v>
      </c>
      <c r="C165" t="s">
        <v>1576</v>
      </c>
      <c r="D165" t="s">
        <v>6205</v>
      </c>
      <c r="E165">
        <v>211113</v>
      </c>
      <c r="F165" t="s">
        <v>425</v>
      </c>
      <c r="G165" t="s">
        <v>426</v>
      </c>
      <c r="H165" t="s">
        <v>85</v>
      </c>
      <c r="I165" t="s">
        <v>1369</v>
      </c>
      <c r="J165" t="s">
        <v>1370</v>
      </c>
      <c r="K165" t="s">
        <v>1371</v>
      </c>
      <c r="L165" t="s">
        <v>5828</v>
      </c>
      <c r="M165" t="s">
        <v>5829</v>
      </c>
      <c r="N165" t="s">
        <v>6206</v>
      </c>
    </row>
    <row r="166" spans="1:14" x14ac:dyDescent="0.25">
      <c r="A166">
        <v>2021</v>
      </c>
      <c r="B166">
        <v>22946</v>
      </c>
      <c r="C166" t="s">
        <v>3120</v>
      </c>
      <c r="D166" t="s">
        <v>6207</v>
      </c>
      <c r="E166">
        <v>211110</v>
      </c>
      <c r="F166" t="s">
        <v>233</v>
      </c>
      <c r="G166" t="s">
        <v>234</v>
      </c>
      <c r="H166" t="s">
        <v>85</v>
      </c>
      <c r="I166" t="s">
        <v>1533</v>
      </c>
      <c r="J166" t="s">
        <v>1534</v>
      </c>
      <c r="K166" t="s">
        <v>1535</v>
      </c>
      <c r="L166" t="s">
        <v>5828</v>
      </c>
      <c r="M166" t="s">
        <v>5829</v>
      </c>
      <c r="N166" t="s">
        <v>6208</v>
      </c>
    </row>
    <row r="167" spans="1:14" x14ac:dyDescent="0.25">
      <c r="A167">
        <v>2021</v>
      </c>
      <c r="B167">
        <v>2316</v>
      </c>
      <c r="C167" t="s">
        <v>6209</v>
      </c>
      <c r="D167" t="s">
        <v>6210</v>
      </c>
      <c r="E167">
        <v>325210</v>
      </c>
      <c r="F167" t="s">
        <v>414</v>
      </c>
      <c r="G167" t="s">
        <v>415</v>
      </c>
      <c r="H167" t="s">
        <v>85</v>
      </c>
      <c r="I167" t="s">
        <v>331</v>
      </c>
      <c r="J167" t="s">
        <v>332</v>
      </c>
      <c r="K167" t="s">
        <v>333</v>
      </c>
      <c r="L167" t="s">
        <v>5875</v>
      </c>
      <c r="M167" t="s">
        <v>5876</v>
      </c>
      <c r="N167" t="s">
        <v>6211</v>
      </c>
    </row>
    <row r="168" spans="1:14" x14ac:dyDescent="0.25">
      <c r="A168">
        <v>2019</v>
      </c>
      <c r="B168">
        <v>10237</v>
      </c>
      <c r="C168" t="s">
        <v>125</v>
      </c>
      <c r="D168" t="s">
        <v>542</v>
      </c>
      <c r="E168">
        <v>412110</v>
      </c>
      <c r="F168" t="s">
        <v>127</v>
      </c>
      <c r="G168" t="s">
        <v>128</v>
      </c>
      <c r="H168" t="s">
        <v>54</v>
      </c>
      <c r="I168" t="s">
        <v>129</v>
      </c>
      <c r="J168" t="s">
        <v>130</v>
      </c>
      <c r="K168" t="s">
        <v>131</v>
      </c>
      <c r="L168" t="s">
        <v>5846</v>
      </c>
      <c r="M168" t="s">
        <v>5847</v>
      </c>
      <c r="N168" t="s">
        <v>6212</v>
      </c>
    </row>
    <row r="169" spans="1:14" x14ac:dyDescent="0.25">
      <c r="A169">
        <v>2010</v>
      </c>
      <c r="B169">
        <v>15067</v>
      </c>
      <c r="C169" t="s">
        <v>6213</v>
      </c>
      <c r="D169" t="s">
        <v>6214</v>
      </c>
      <c r="E169">
        <v>211113</v>
      </c>
      <c r="F169" t="s">
        <v>425</v>
      </c>
      <c r="G169" t="s">
        <v>426</v>
      </c>
      <c r="H169" t="s">
        <v>85</v>
      </c>
      <c r="I169" t="s">
        <v>1533</v>
      </c>
      <c r="J169" t="s">
        <v>1534</v>
      </c>
      <c r="K169" t="s">
        <v>1535</v>
      </c>
      <c r="L169" t="s">
        <v>5828</v>
      </c>
      <c r="M169" t="s">
        <v>5829</v>
      </c>
      <c r="N169" t="s">
        <v>6215</v>
      </c>
    </row>
    <row r="170" spans="1:14" x14ac:dyDescent="0.25">
      <c r="A170">
        <v>2016</v>
      </c>
      <c r="B170">
        <v>27917</v>
      </c>
      <c r="C170" t="s">
        <v>1348</v>
      </c>
      <c r="D170" t="s">
        <v>6216</v>
      </c>
      <c r="E170">
        <v>562910</v>
      </c>
      <c r="F170" t="s">
        <v>6217</v>
      </c>
      <c r="G170" t="s">
        <v>6218</v>
      </c>
      <c r="H170" t="s">
        <v>79</v>
      </c>
      <c r="I170" t="s">
        <v>324</v>
      </c>
      <c r="J170" t="s">
        <v>325</v>
      </c>
      <c r="K170" t="s">
        <v>326</v>
      </c>
      <c r="L170" t="s">
        <v>5846</v>
      </c>
      <c r="M170" t="s">
        <v>5847</v>
      </c>
      <c r="N170" t="s">
        <v>6219</v>
      </c>
    </row>
    <row r="171" spans="1:14" x14ac:dyDescent="0.25">
      <c r="A171">
        <v>2014</v>
      </c>
      <c r="B171">
        <v>10132</v>
      </c>
      <c r="C171" t="s">
        <v>6220</v>
      </c>
      <c r="D171" t="s">
        <v>6221</v>
      </c>
      <c r="E171">
        <v>562210</v>
      </c>
      <c r="F171" t="s">
        <v>84</v>
      </c>
      <c r="G171" t="s">
        <v>53</v>
      </c>
      <c r="H171" t="s">
        <v>21</v>
      </c>
      <c r="I171" t="s">
        <v>1457</v>
      </c>
      <c r="J171" t="s">
        <v>1458</v>
      </c>
      <c r="K171" t="s">
        <v>1459</v>
      </c>
      <c r="L171" t="s">
        <v>5828</v>
      </c>
      <c r="M171" t="s">
        <v>5829</v>
      </c>
      <c r="N171" t="s">
        <v>6222</v>
      </c>
    </row>
    <row r="172" spans="1:14" x14ac:dyDescent="0.25">
      <c r="A172">
        <v>2013</v>
      </c>
      <c r="B172">
        <v>1593</v>
      </c>
      <c r="C172" t="s">
        <v>5776</v>
      </c>
      <c r="D172" t="s">
        <v>5977</v>
      </c>
      <c r="E172">
        <v>322122</v>
      </c>
      <c r="F172" t="s">
        <v>1061</v>
      </c>
      <c r="G172" t="s">
        <v>1062</v>
      </c>
      <c r="H172" t="s">
        <v>69</v>
      </c>
      <c r="I172" t="s">
        <v>1487</v>
      </c>
      <c r="J172" t="s">
        <v>1488</v>
      </c>
      <c r="K172" t="s">
        <v>1489</v>
      </c>
      <c r="L172" t="s">
        <v>5828</v>
      </c>
      <c r="M172" t="s">
        <v>5829</v>
      </c>
      <c r="N172" t="s">
        <v>6223</v>
      </c>
    </row>
    <row r="173" spans="1:14" x14ac:dyDescent="0.25">
      <c r="A173">
        <v>2008</v>
      </c>
      <c r="B173">
        <v>16097</v>
      </c>
      <c r="C173" t="s">
        <v>6224</v>
      </c>
      <c r="D173" t="s">
        <v>6225</v>
      </c>
      <c r="E173">
        <v>211113</v>
      </c>
      <c r="F173" t="s">
        <v>425</v>
      </c>
      <c r="G173" t="s">
        <v>426</v>
      </c>
      <c r="H173" t="s">
        <v>85</v>
      </c>
      <c r="I173" t="s">
        <v>1441</v>
      </c>
      <c r="J173" t="s">
        <v>1442</v>
      </c>
      <c r="K173" t="s">
        <v>1443</v>
      </c>
      <c r="L173" t="s">
        <v>5828</v>
      </c>
      <c r="M173" t="s">
        <v>5829</v>
      </c>
      <c r="N173" t="s">
        <v>6226</v>
      </c>
    </row>
    <row r="174" spans="1:14" x14ac:dyDescent="0.25">
      <c r="A174">
        <v>2007</v>
      </c>
      <c r="B174">
        <v>6427</v>
      </c>
      <c r="C174" t="s">
        <v>6227</v>
      </c>
      <c r="D174" t="s">
        <v>6227</v>
      </c>
      <c r="E174">
        <v>325190</v>
      </c>
      <c r="F174" t="s">
        <v>832</v>
      </c>
      <c r="G174" t="s">
        <v>601</v>
      </c>
      <c r="H174" t="s">
        <v>79</v>
      </c>
      <c r="I174" t="s">
        <v>1441</v>
      </c>
      <c r="J174" t="s">
        <v>1442</v>
      </c>
      <c r="K174" t="s">
        <v>1443</v>
      </c>
      <c r="L174" t="s">
        <v>5828</v>
      </c>
      <c r="M174" t="s">
        <v>5829</v>
      </c>
      <c r="N174" t="s">
        <v>6228</v>
      </c>
    </row>
    <row r="175" spans="1:14" x14ac:dyDescent="0.25">
      <c r="A175">
        <v>2008</v>
      </c>
      <c r="B175">
        <v>806</v>
      </c>
      <c r="C175" t="s">
        <v>6229</v>
      </c>
      <c r="D175" t="s">
        <v>6230</v>
      </c>
      <c r="E175">
        <v>325999</v>
      </c>
      <c r="F175" t="s">
        <v>396</v>
      </c>
      <c r="G175" t="s">
        <v>397</v>
      </c>
      <c r="H175" t="s">
        <v>21</v>
      </c>
      <c r="I175" t="s">
        <v>70</v>
      </c>
      <c r="J175" t="s">
        <v>71</v>
      </c>
      <c r="K175" t="s">
        <v>72</v>
      </c>
      <c r="L175" t="s">
        <v>5875</v>
      </c>
      <c r="M175" t="s">
        <v>5876</v>
      </c>
      <c r="N175" t="s">
        <v>6231</v>
      </c>
    </row>
    <row r="176" spans="1:14" x14ac:dyDescent="0.25">
      <c r="A176">
        <v>2017</v>
      </c>
      <c r="B176">
        <v>4575</v>
      </c>
      <c r="C176" t="s">
        <v>6232</v>
      </c>
      <c r="D176" t="s">
        <v>6233</v>
      </c>
      <c r="E176">
        <v>325620</v>
      </c>
      <c r="F176" t="s">
        <v>1228</v>
      </c>
      <c r="G176" t="s">
        <v>1229</v>
      </c>
      <c r="H176" t="s">
        <v>79</v>
      </c>
      <c r="I176" t="s">
        <v>5547</v>
      </c>
      <c r="J176" t="s">
        <v>5548</v>
      </c>
      <c r="K176" t="s">
        <v>5549</v>
      </c>
      <c r="L176" t="s">
        <v>5846</v>
      </c>
      <c r="M176" t="s">
        <v>5847</v>
      </c>
      <c r="N176" t="s">
        <v>6234</v>
      </c>
    </row>
    <row r="177" spans="1:14" x14ac:dyDescent="0.25">
      <c r="A177">
        <v>2016</v>
      </c>
      <c r="B177">
        <v>28576</v>
      </c>
      <c r="C177" t="s">
        <v>6235</v>
      </c>
      <c r="D177" t="s">
        <v>6236</v>
      </c>
      <c r="E177">
        <v>221112</v>
      </c>
      <c r="F177" t="s">
        <v>499</v>
      </c>
      <c r="G177" t="s">
        <v>135</v>
      </c>
      <c r="H177" t="s">
        <v>85</v>
      </c>
      <c r="I177" t="s">
        <v>504</v>
      </c>
      <c r="J177" t="s">
        <v>505</v>
      </c>
      <c r="K177" t="s">
        <v>506</v>
      </c>
      <c r="L177" t="s">
        <v>5828</v>
      </c>
      <c r="M177" t="s">
        <v>5829</v>
      </c>
      <c r="N177" t="s">
        <v>6237</v>
      </c>
    </row>
    <row r="178" spans="1:14" x14ac:dyDescent="0.25">
      <c r="A178">
        <v>2005</v>
      </c>
      <c r="B178">
        <v>4897</v>
      </c>
      <c r="C178" t="s">
        <v>5719</v>
      </c>
      <c r="D178" t="s">
        <v>6238</v>
      </c>
      <c r="E178">
        <v>322122</v>
      </c>
      <c r="F178" t="s">
        <v>1556</v>
      </c>
      <c r="G178" t="s">
        <v>1062</v>
      </c>
      <c r="H178" t="s">
        <v>1625</v>
      </c>
      <c r="I178" t="s">
        <v>1457</v>
      </c>
      <c r="J178" t="s">
        <v>1458</v>
      </c>
      <c r="K178" t="s">
        <v>1459</v>
      </c>
      <c r="L178" t="s">
        <v>5828</v>
      </c>
      <c r="M178" t="s">
        <v>5829</v>
      </c>
      <c r="N178" t="s">
        <v>6239</v>
      </c>
    </row>
    <row r="179" spans="1:14" x14ac:dyDescent="0.25">
      <c r="A179">
        <v>2010</v>
      </c>
      <c r="B179">
        <v>4383</v>
      </c>
      <c r="C179" t="s">
        <v>6240</v>
      </c>
      <c r="D179" t="s">
        <v>279</v>
      </c>
      <c r="E179">
        <v>336410</v>
      </c>
      <c r="F179" t="s">
        <v>260</v>
      </c>
      <c r="G179" t="s">
        <v>261</v>
      </c>
      <c r="H179" t="s">
        <v>79</v>
      </c>
      <c r="I179" t="s">
        <v>1441</v>
      </c>
      <c r="J179" t="s">
        <v>1442</v>
      </c>
      <c r="K179" t="s">
        <v>1443</v>
      </c>
      <c r="L179" t="s">
        <v>5828</v>
      </c>
      <c r="M179" t="s">
        <v>5829</v>
      </c>
      <c r="N179" t="s">
        <v>6241</v>
      </c>
    </row>
    <row r="180" spans="1:14" x14ac:dyDescent="0.25">
      <c r="A180">
        <v>2021</v>
      </c>
      <c r="B180">
        <v>29979</v>
      </c>
      <c r="C180" t="s">
        <v>6242</v>
      </c>
      <c r="D180" t="s">
        <v>6243</v>
      </c>
      <c r="E180">
        <v>311614</v>
      </c>
      <c r="F180" t="s">
        <v>2280</v>
      </c>
      <c r="G180" t="s">
        <v>2281</v>
      </c>
      <c r="H180" t="s">
        <v>85</v>
      </c>
      <c r="I180" t="s">
        <v>504</v>
      </c>
      <c r="J180" t="s">
        <v>505</v>
      </c>
      <c r="K180" t="s">
        <v>506</v>
      </c>
      <c r="L180" t="s">
        <v>5875</v>
      </c>
      <c r="M180" t="s">
        <v>5876</v>
      </c>
      <c r="N180" t="s">
        <v>6244</v>
      </c>
    </row>
    <row r="181" spans="1:14" x14ac:dyDescent="0.25">
      <c r="A181">
        <v>2005</v>
      </c>
      <c r="B181">
        <v>3292</v>
      </c>
      <c r="C181" t="s">
        <v>1988</v>
      </c>
      <c r="D181" t="s">
        <v>6245</v>
      </c>
      <c r="E181">
        <v>322130</v>
      </c>
      <c r="F181" t="s">
        <v>1645</v>
      </c>
      <c r="G181" t="s">
        <v>1646</v>
      </c>
      <c r="H181" t="s">
        <v>79</v>
      </c>
      <c r="I181" t="s">
        <v>136</v>
      </c>
      <c r="J181" t="s">
        <v>137</v>
      </c>
      <c r="K181" t="s">
        <v>138</v>
      </c>
      <c r="L181" t="s">
        <v>5828</v>
      </c>
      <c r="M181" t="s">
        <v>5829</v>
      </c>
      <c r="N181" t="s">
        <v>6246</v>
      </c>
    </row>
    <row r="182" spans="1:14" x14ac:dyDescent="0.25">
      <c r="A182">
        <v>2015</v>
      </c>
      <c r="B182">
        <v>5070</v>
      </c>
      <c r="C182" t="s">
        <v>148</v>
      </c>
      <c r="D182" t="s">
        <v>6247</v>
      </c>
      <c r="E182">
        <v>321216</v>
      </c>
      <c r="F182" t="s">
        <v>6248</v>
      </c>
      <c r="G182" t="s">
        <v>1463</v>
      </c>
      <c r="H182" t="s">
        <v>483</v>
      </c>
      <c r="I182" t="s">
        <v>1487</v>
      </c>
      <c r="J182" t="s">
        <v>1488</v>
      </c>
      <c r="K182" t="s">
        <v>1489</v>
      </c>
      <c r="L182" t="s">
        <v>5828</v>
      </c>
      <c r="M182" t="s">
        <v>5829</v>
      </c>
      <c r="N182" t="s">
        <v>6249</v>
      </c>
    </row>
    <row r="183" spans="1:14" x14ac:dyDescent="0.25">
      <c r="A183">
        <v>2013</v>
      </c>
      <c r="B183">
        <v>27825</v>
      </c>
      <c r="C183" t="s">
        <v>6250</v>
      </c>
      <c r="D183" t="s">
        <v>6251</v>
      </c>
      <c r="E183">
        <v>311119</v>
      </c>
      <c r="F183" t="s">
        <v>1959</v>
      </c>
      <c r="G183" t="s">
        <v>1960</v>
      </c>
      <c r="H183" t="s">
        <v>54</v>
      </c>
      <c r="I183" t="s">
        <v>1487</v>
      </c>
      <c r="J183" t="s">
        <v>1488</v>
      </c>
      <c r="K183" t="s">
        <v>1489</v>
      </c>
      <c r="L183" t="s">
        <v>5828</v>
      </c>
      <c r="M183" t="s">
        <v>5829</v>
      </c>
      <c r="N183" t="s">
        <v>6252</v>
      </c>
    </row>
    <row r="184" spans="1:14" x14ac:dyDescent="0.25">
      <c r="A184">
        <v>1999</v>
      </c>
      <c r="B184">
        <v>2312</v>
      </c>
      <c r="C184" t="s">
        <v>6253</v>
      </c>
      <c r="D184" t="s">
        <v>6254</v>
      </c>
      <c r="E184">
        <v>331420</v>
      </c>
      <c r="F184" t="s">
        <v>511</v>
      </c>
      <c r="G184" t="s">
        <v>512</v>
      </c>
      <c r="H184" t="s">
        <v>79</v>
      </c>
      <c r="I184" t="s">
        <v>62</v>
      </c>
      <c r="J184" t="s">
        <v>63</v>
      </c>
      <c r="K184" t="s">
        <v>64</v>
      </c>
      <c r="L184" t="s">
        <v>5846</v>
      </c>
      <c r="M184" t="s">
        <v>5847</v>
      </c>
      <c r="N184" t="s">
        <v>6255</v>
      </c>
    </row>
    <row r="185" spans="1:14" x14ac:dyDescent="0.25">
      <c r="A185">
        <v>2019</v>
      </c>
      <c r="B185">
        <v>280</v>
      </c>
      <c r="C185" t="s">
        <v>6209</v>
      </c>
      <c r="D185" t="s">
        <v>1795</v>
      </c>
      <c r="E185">
        <v>325110</v>
      </c>
      <c r="F185" t="s">
        <v>444</v>
      </c>
      <c r="G185" t="s">
        <v>445</v>
      </c>
      <c r="H185" t="s">
        <v>85</v>
      </c>
      <c r="I185" t="s">
        <v>1515</v>
      </c>
      <c r="J185" t="s">
        <v>1516</v>
      </c>
      <c r="K185" t="s">
        <v>1517</v>
      </c>
      <c r="L185" t="s">
        <v>5828</v>
      </c>
      <c r="M185" t="s">
        <v>5829</v>
      </c>
      <c r="N185" t="s">
        <v>6256</v>
      </c>
    </row>
    <row r="186" spans="1:14" x14ac:dyDescent="0.25">
      <c r="A186">
        <v>2016</v>
      </c>
      <c r="B186">
        <v>4772</v>
      </c>
      <c r="C186" t="s">
        <v>642</v>
      </c>
      <c r="D186" t="s">
        <v>6257</v>
      </c>
      <c r="E186">
        <v>324190</v>
      </c>
      <c r="F186" t="s">
        <v>666</v>
      </c>
      <c r="G186" t="s">
        <v>667</v>
      </c>
      <c r="H186" t="s">
        <v>21</v>
      </c>
      <c r="I186" t="s">
        <v>86</v>
      </c>
      <c r="J186" t="s">
        <v>87</v>
      </c>
      <c r="K186" t="s">
        <v>88</v>
      </c>
      <c r="L186" t="s">
        <v>5828</v>
      </c>
      <c r="M186" t="s">
        <v>5829</v>
      </c>
      <c r="N186" t="s">
        <v>6258</v>
      </c>
    </row>
    <row r="187" spans="1:14" x14ac:dyDescent="0.25">
      <c r="A187">
        <v>2020</v>
      </c>
      <c r="B187">
        <v>5546</v>
      </c>
      <c r="C187" t="s">
        <v>5970</v>
      </c>
      <c r="D187" t="s">
        <v>5971</v>
      </c>
      <c r="E187">
        <v>562210</v>
      </c>
      <c r="F187" t="s">
        <v>84</v>
      </c>
      <c r="G187" t="s">
        <v>53</v>
      </c>
      <c r="H187" t="s">
        <v>79</v>
      </c>
      <c r="I187" t="s">
        <v>152</v>
      </c>
      <c r="J187" t="s">
        <v>153</v>
      </c>
      <c r="K187" t="s">
        <v>154</v>
      </c>
      <c r="L187" t="s">
        <v>5888</v>
      </c>
      <c r="M187" t="s">
        <v>5889</v>
      </c>
      <c r="N187" t="s">
        <v>6259</v>
      </c>
    </row>
    <row r="188" spans="1:14" x14ac:dyDescent="0.25">
      <c r="A188">
        <v>2012</v>
      </c>
      <c r="B188">
        <v>3756</v>
      </c>
      <c r="C188" t="s">
        <v>3661</v>
      </c>
      <c r="D188" t="s">
        <v>5751</v>
      </c>
      <c r="E188">
        <v>211113</v>
      </c>
      <c r="F188" t="s">
        <v>786</v>
      </c>
      <c r="G188" t="s">
        <v>426</v>
      </c>
      <c r="H188" t="s">
        <v>85</v>
      </c>
      <c r="I188" t="s">
        <v>348</v>
      </c>
      <c r="J188" t="s">
        <v>349</v>
      </c>
      <c r="K188" t="s">
        <v>350</v>
      </c>
      <c r="L188" t="s">
        <v>5875</v>
      </c>
      <c r="M188" t="s">
        <v>5876</v>
      </c>
      <c r="N188" t="s">
        <v>6260</v>
      </c>
    </row>
    <row r="189" spans="1:14" x14ac:dyDescent="0.25">
      <c r="A189">
        <v>2023</v>
      </c>
      <c r="B189">
        <v>322</v>
      </c>
      <c r="C189" t="s">
        <v>6261</v>
      </c>
      <c r="D189" t="s">
        <v>6262</v>
      </c>
      <c r="E189">
        <v>325920</v>
      </c>
      <c r="F189" t="s">
        <v>854</v>
      </c>
      <c r="G189" t="s">
        <v>855</v>
      </c>
      <c r="H189" t="s">
        <v>79</v>
      </c>
      <c r="I189" t="s">
        <v>6263</v>
      </c>
      <c r="J189" t="s">
        <v>6264</v>
      </c>
      <c r="K189" t="s">
        <v>6265</v>
      </c>
      <c r="L189" t="s">
        <v>5828</v>
      </c>
      <c r="M189" t="s">
        <v>5829</v>
      </c>
      <c r="N189" t="s">
        <v>6266</v>
      </c>
    </row>
    <row r="190" spans="1:14" x14ac:dyDescent="0.25">
      <c r="A190">
        <v>2019</v>
      </c>
      <c r="B190">
        <v>6519</v>
      </c>
      <c r="C190" t="s">
        <v>6267</v>
      </c>
      <c r="D190" t="s">
        <v>6267</v>
      </c>
      <c r="E190">
        <v>311611</v>
      </c>
      <c r="F190" t="s">
        <v>6268</v>
      </c>
      <c r="G190" t="s">
        <v>5222</v>
      </c>
      <c r="H190" t="s">
        <v>85</v>
      </c>
      <c r="I190" t="s">
        <v>504</v>
      </c>
      <c r="J190" t="s">
        <v>505</v>
      </c>
      <c r="K190" t="s">
        <v>506</v>
      </c>
      <c r="L190" t="s">
        <v>5875</v>
      </c>
      <c r="M190" t="s">
        <v>5876</v>
      </c>
      <c r="N190" t="s">
        <v>6269</v>
      </c>
    </row>
    <row r="191" spans="1:14" x14ac:dyDescent="0.25">
      <c r="A191">
        <v>2017</v>
      </c>
      <c r="B191">
        <v>2230</v>
      </c>
      <c r="C191" t="s">
        <v>1548</v>
      </c>
      <c r="D191" t="s">
        <v>1514</v>
      </c>
      <c r="E191">
        <v>211142</v>
      </c>
      <c r="F191" t="s">
        <v>357</v>
      </c>
      <c r="G191" t="s">
        <v>358</v>
      </c>
      <c r="H191" t="s">
        <v>85</v>
      </c>
      <c r="I191" t="s">
        <v>500</v>
      </c>
      <c r="J191" t="s">
        <v>501</v>
      </c>
      <c r="K191" t="s">
        <v>502</v>
      </c>
      <c r="L191" t="s">
        <v>5875</v>
      </c>
      <c r="M191" t="s">
        <v>5876</v>
      </c>
      <c r="N191" t="s">
        <v>6270</v>
      </c>
    </row>
    <row r="192" spans="1:14" x14ac:dyDescent="0.25">
      <c r="A192">
        <v>2019</v>
      </c>
      <c r="B192">
        <v>5090</v>
      </c>
      <c r="C192" t="s">
        <v>6271</v>
      </c>
      <c r="D192" t="s">
        <v>6272</v>
      </c>
      <c r="E192">
        <v>221320</v>
      </c>
      <c r="F192" t="s">
        <v>146</v>
      </c>
      <c r="G192" t="s">
        <v>147</v>
      </c>
      <c r="H192" t="s">
        <v>1012</v>
      </c>
      <c r="I192" t="s">
        <v>324</v>
      </c>
      <c r="J192" t="s">
        <v>325</v>
      </c>
      <c r="K192" t="s">
        <v>326</v>
      </c>
      <c r="L192" t="s">
        <v>5846</v>
      </c>
      <c r="M192" t="s">
        <v>5847</v>
      </c>
      <c r="N192" t="s">
        <v>6273</v>
      </c>
    </row>
    <row r="193" spans="1:14" x14ac:dyDescent="0.25">
      <c r="A193">
        <v>2014</v>
      </c>
      <c r="B193">
        <v>11877</v>
      </c>
      <c r="C193" t="s">
        <v>2096</v>
      </c>
      <c r="D193" t="s">
        <v>6274</v>
      </c>
      <c r="E193">
        <v>212232</v>
      </c>
      <c r="F193" t="s">
        <v>2003</v>
      </c>
      <c r="G193" t="s">
        <v>2004</v>
      </c>
      <c r="H193" t="s">
        <v>21</v>
      </c>
      <c r="I193" t="s">
        <v>1487</v>
      </c>
      <c r="J193" t="s">
        <v>1488</v>
      </c>
      <c r="K193" t="s">
        <v>1489</v>
      </c>
      <c r="L193" t="s">
        <v>5828</v>
      </c>
      <c r="M193" t="s">
        <v>5829</v>
      </c>
      <c r="N193" t="s">
        <v>6275</v>
      </c>
    </row>
    <row r="194" spans="1:14" x14ac:dyDescent="0.25">
      <c r="A194">
        <v>1999</v>
      </c>
      <c r="B194">
        <v>5449</v>
      </c>
      <c r="C194" t="s">
        <v>6276</v>
      </c>
      <c r="D194" t="s">
        <v>6277</v>
      </c>
      <c r="E194">
        <v>562210</v>
      </c>
      <c r="F194" t="s">
        <v>52</v>
      </c>
      <c r="G194" t="s">
        <v>53</v>
      </c>
      <c r="H194" t="s">
        <v>79</v>
      </c>
      <c r="I194" t="s">
        <v>2201</v>
      </c>
      <c r="J194" t="s">
        <v>2202</v>
      </c>
      <c r="K194" t="s">
        <v>2203</v>
      </c>
      <c r="L194" t="s">
        <v>5875</v>
      </c>
      <c r="M194" t="s">
        <v>5876</v>
      </c>
      <c r="N194" t="s">
        <v>6278</v>
      </c>
    </row>
    <row r="195" spans="1:14" x14ac:dyDescent="0.25">
      <c r="A195">
        <v>2008</v>
      </c>
      <c r="B195">
        <v>11466</v>
      </c>
      <c r="C195" t="s">
        <v>6279</v>
      </c>
      <c r="D195" t="s">
        <v>6280</v>
      </c>
      <c r="E195">
        <v>212232</v>
      </c>
      <c r="F195" t="s">
        <v>2257</v>
      </c>
      <c r="G195" t="s">
        <v>2004</v>
      </c>
      <c r="H195" t="s">
        <v>21</v>
      </c>
      <c r="I195" t="s">
        <v>62</v>
      </c>
      <c r="J195" t="s">
        <v>63</v>
      </c>
      <c r="K195" t="s">
        <v>64</v>
      </c>
      <c r="L195" t="s">
        <v>5828</v>
      </c>
      <c r="M195" t="s">
        <v>5829</v>
      </c>
      <c r="N195" t="s">
        <v>6281</v>
      </c>
    </row>
    <row r="196" spans="1:14" x14ac:dyDescent="0.25">
      <c r="A196">
        <v>2008</v>
      </c>
      <c r="B196">
        <v>6869</v>
      </c>
      <c r="C196" t="s">
        <v>6282</v>
      </c>
      <c r="D196" t="s">
        <v>6283</v>
      </c>
      <c r="E196">
        <v>562210</v>
      </c>
      <c r="F196" t="s">
        <v>52</v>
      </c>
      <c r="G196" t="s">
        <v>53</v>
      </c>
      <c r="H196" t="s">
        <v>85</v>
      </c>
      <c r="I196" t="s">
        <v>1487</v>
      </c>
      <c r="J196" t="s">
        <v>1488</v>
      </c>
      <c r="K196" t="s">
        <v>1489</v>
      </c>
      <c r="L196" t="s">
        <v>5828</v>
      </c>
      <c r="M196" t="s">
        <v>5829</v>
      </c>
      <c r="N196" t="s">
        <v>6284</v>
      </c>
    </row>
    <row r="197" spans="1:14" x14ac:dyDescent="0.25">
      <c r="A197">
        <v>2010</v>
      </c>
      <c r="B197">
        <v>3899</v>
      </c>
      <c r="C197" t="s">
        <v>1775</v>
      </c>
      <c r="D197" t="s">
        <v>1776</v>
      </c>
      <c r="E197">
        <v>324190</v>
      </c>
      <c r="F197" t="s">
        <v>6285</v>
      </c>
      <c r="G197" t="s">
        <v>667</v>
      </c>
      <c r="H197" t="s">
        <v>21</v>
      </c>
      <c r="I197" t="s">
        <v>152</v>
      </c>
      <c r="J197" t="s">
        <v>153</v>
      </c>
      <c r="K197" t="s">
        <v>154</v>
      </c>
      <c r="L197" t="s">
        <v>5875</v>
      </c>
      <c r="M197" t="s">
        <v>5876</v>
      </c>
      <c r="N197" t="s">
        <v>6286</v>
      </c>
    </row>
    <row r="198" spans="1:14" x14ac:dyDescent="0.25">
      <c r="A198">
        <v>2017</v>
      </c>
      <c r="B198">
        <v>7858</v>
      </c>
      <c r="C198" t="s">
        <v>5269</v>
      </c>
      <c r="D198" t="s">
        <v>5270</v>
      </c>
      <c r="E198">
        <v>221320</v>
      </c>
      <c r="F198" t="s">
        <v>146</v>
      </c>
      <c r="G198" t="s">
        <v>147</v>
      </c>
      <c r="H198" t="s">
        <v>69</v>
      </c>
      <c r="I198" t="s">
        <v>324</v>
      </c>
      <c r="J198" t="s">
        <v>325</v>
      </c>
      <c r="K198" t="s">
        <v>326</v>
      </c>
      <c r="L198" t="s">
        <v>5828</v>
      </c>
      <c r="M198" t="s">
        <v>5829</v>
      </c>
      <c r="N198" t="s">
        <v>6287</v>
      </c>
    </row>
    <row r="199" spans="1:14" x14ac:dyDescent="0.25">
      <c r="A199">
        <v>2019</v>
      </c>
      <c r="B199">
        <v>21799</v>
      </c>
      <c r="C199" t="s">
        <v>2116</v>
      </c>
      <c r="D199" t="s">
        <v>2117</v>
      </c>
      <c r="E199">
        <v>418410</v>
      </c>
      <c r="F199" t="s">
        <v>433</v>
      </c>
      <c r="G199" t="s">
        <v>434</v>
      </c>
      <c r="H199" t="s">
        <v>85</v>
      </c>
      <c r="I199" t="s">
        <v>55</v>
      </c>
      <c r="J199" t="s">
        <v>56</v>
      </c>
      <c r="K199" t="s">
        <v>57</v>
      </c>
      <c r="L199" t="s">
        <v>5875</v>
      </c>
      <c r="M199" t="s">
        <v>5876</v>
      </c>
      <c r="N199" t="s">
        <v>6288</v>
      </c>
    </row>
    <row r="200" spans="1:14" x14ac:dyDescent="0.25">
      <c r="A200">
        <v>2006</v>
      </c>
      <c r="B200">
        <v>6281</v>
      </c>
      <c r="C200" t="s">
        <v>6289</v>
      </c>
      <c r="D200" t="s">
        <v>6290</v>
      </c>
      <c r="E200">
        <v>332999</v>
      </c>
      <c r="F200" t="s">
        <v>309</v>
      </c>
      <c r="G200" t="s">
        <v>304</v>
      </c>
      <c r="H200" t="s">
        <v>79</v>
      </c>
      <c r="I200" t="s">
        <v>668</v>
      </c>
      <c r="J200" t="s">
        <v>669</v>
      </c>
      <c r="K200" t="s">
        <v>670</v>
      </c>
      <c r="L200" t="s">
        <v>5828</v>
      </c>
      <c r="M200" t="s">
        <v>5829</v>
      </c>
      <c r="N200" t="s">
        <v>6291</v>
      </c>
    </row>
    <row r="201" spans="1:14" x14ac:dyDescent="0.25">
      <c r="A201">
        <v>2015</v>
      </c>
      <c r="B201">
        <v>26401</v>
      </c>
      <c r="C201" t="s">
        <v>6292</v>
      </c>
      <c r="D201" t="s">
        <v>6293</v>
      </c>
      <c r="E201">
        <v>333910</v>
      </c>
      <c r="F201" t="s">
        <v>6294</v>
      </c>
      <c r="G201" t="s">
        <v>6295</v>
      </c>
      <c r="H201" t="s">
        <v>21</v>
      </c>
      <c r="I201" t="s">
        <v>177</v>
      </c>
      <c r="J201" t="s">
        <v>178</v>
      </c>
      <c r="K201" t="s">
        <v>179</v>
      </c>
      <c r="L201" t="s">
        <v>5846</v>
      </c>
      <c r="M201" t="s">
        <v>5847</v>
      </c>
      <c r="N201" t="s">
        <v>6296</v>
      </c>
    </row>
    <row r="202" spans="1:14" x14ac:dyDescent="0.25">
      <c r="A202">
        <v>2014</v>
      </c>
      <c r="B202">
        <v>7250</v>
      </c>
      <c r="C202" t="s">
        <v>5290</v>
      </c>
      <c r="D202" t="s">
        <v>6297</v>
      </c>
      <c r="E202">
        <v>311352</v>
      </c>
      <c r="F202" t="s">
        <v>6298</v>
      </c>
      <c r="G202" t="s">
        <v>6299</v>
      </c>
      <c r="H202" t="s">
        <v>21</v>
      </c>
      <c r="I202" t="s">
        <v>1421</v>
      </c>
      <c r="J202" t="s">
        <v>1422</v>
      </c>
      <c r="K202" t="s">
        <v>1423</v>
      </c>
      <c r="L202" t="s">
        <v>5828</v>
      </c>
      <c r="M202" t="s">
        <v>5829</v>
      </c>
      <c r="N202" t="s">
        <v>6300</v>
      </c>
    </row>
    <row r="203" spans="1:14" x14ac:dyDescent="0.25">
      <c r="A203">
        <v>2007</v>
      </c>
      <c r="B203">
        <v>2337</v>
      </c>
      <c r="C203" t="s">
        <v>6068</v>
      </c>
      <c r="D203" t="s">
        <v>6301</v>
      </c>
      <c r="E203">
        <v>418410</v>
      </c>
      <c r="F203" t="s">
        <v>315</v>
      </c>
      <c r="G203" t="s">
        <v>885</v>
      </c>
      <c r="H203" t="s">
        <v>54</v>
      </c>
      <c r="I203" t="s">
        <v>337</v>
      </c>
      <c r="J203" t="s">
        <v>338</v>
      </c>
      <c r="K203" t="s">
        <v>339</v>
      </c>
      <c r="L203" t="s">
        <v>5828</v>
      </c>
      <c r="M203" t="s">
        <v>5829</v>
      </c>
      <c r="N203" t="s">
        <v>6302</v>
      </c>
    </row>
    <row r="204" spans="1:14" x14ac:dyDescent="0.25">
      <c r="A204">
        <v>2004</v>
      </c>
      <c r="B204">
        <v>6206</v>
      </c>
      <c r="C204" t="s">
        <v>6303</v>
      </c>
      <c r="D204" t="s">
        <v>6303</v>
      </c>
      <c r="E204">
        <v>321111</v>
      </c>
      <c r="F204" t="s">
        <v>1474</v>
      </c>
      <c r="G204" t="s">
        <v>1368</v>
      </c>
      <c r="H204" t="s">
        <v>79</v>
      </c>
      <c r="I204" t="s">
        <v>1369</v>
      </c>
      <c r="J204" t="s">
        <v>1370</v>
      </c>
      <c r="K204" t="s">
        <v>1371</v>
      </c>
      <c r="L204" t="s">
        <v>5828</v>
      </c>
      <c r="M204" t="s">
        <v>5829</v>
      </c>
      <c r="N204" t="s">
        <v>6304</v>
      </c>
    </row>
    <row r="205" spans="1:14" x14ac:dyDescent="0.25">
      <c r="A205">
        <v>2014</v>
      </c>
      <c r="B205">
        <v>23387</v>
      </c>
      <c r="C205" t="s">
        <v>6305</v>
      </c>
      <c r="D205" t="s">
        <v>6306</v>
      </c>
      <c r="E205">
        <v>327990</v>
      </c>
      <c r="F205" t="s">
        <v>5746</v>
      </c>
      <c r="G205" t="s">
        <v>2171</v>
      </c>
      <c r="H205" t="s">
        <v>85</v>
      </c>
      <c r="I205" t="s">
        <v>504</v>
      </c>
      <c r="J205" t="s">
        <v>505</v>
      </c>
      <c r="K205" t="s">
        <v>506</v>
      </c>
      <c r="L205" t="s">
        <v>5828</v>
      </c>
      <c r="M205" t="s">
        <v>5829</v>
      </c>
      <c r="N205" t="s">
        <v>6307</v>
      </c>
    </row>
    <row r="206" spans="1:14" x14ac:dyDescent="0.25">
      <c r="A206">
        <v>2013</v>
      </c>
      <c r="B206">
        <v>20225</v>
      </c>
      <c r="C206" t="s">
        <v>5314</v>
      </c>
      <c r="D206" t="s">
        <v>5315</v>
      </c>
      <c r="E206">
        <v>212299</v>
      </c>
      <c r="F206" t="s">
        <v>1434</v>
      </c>
      <c r="G206" t="s">
        <v>1435</v>
      </c>
      <c r="H206" t="s">
        <v>379</v>
      </c>
      <c r="I206" t="s">
        <v>244</v>
      </c>
      <c r="J206" t="s">
        <v>245</v>
      </c>
      <c r="K206" t="s">
        <v>246</v>
      </c>
      <c r="L206" t="s">
        <v>5846</v>
      </c>
      <c r="M206" t="s">
        <v>5847</v>
      </c>
      <c r="N206" t="s">
        <v>6308</v>
      </c>
    </row>
    <row r="207" spans="1:14" x14ac:dyDescent="0.25">
      <c r="A207">
        <v>2010</v>
      </c>
      <c r="B207">
        <v>3475</v>
      </c>
      <c r="C207" t="s">
        <v>6309</v>
      </c>
      <c r="D207" t="s">
        <v>6310</v>
      </c>
      <c r="E207">
        <v>326114</v>
      </c>
      <c r="F207" t="s">
        <v>5239</v>
      </c>
      <c r="G207" t="s">
        <v>982</v>
      </c>
      <c r="H207" t="s">
        <v>21</v>
      </c>
      <c r="I207" t="s">
        <v>152</v>
      </c>
      <c r="J207" t="s">
        <v>153</v>
      </c>
      <c r="K207" t="s">
        <v>154</v>
      </c>
      <c r="L207" t="s">
        <v>5846</v>
      </c>
      <c r="M207" t="s">
        <v>5847</v>
      </c>
      <c r="N207" t="s">
        <v>6311</v>
      </c>
    </row>
    <row r="208" spans="1:14" x14ac:dyDescent="0.25">
      <c r="A208">
        <v>2006</v>
      </c>
      <c r="B208">
        <v>15114</v>
      </c>
      <c r="C208" t="s">
        <v>1576</v>
      </c>
      <c r="D208" t="s">
        <v>6312</v>
      </c>
      <c r="E208">
        <v>221210</v>
      </c>
      <c r="F208" t="s">
        <v>6313</v>
      </c>
      <c r="G208" t="s">
        <v>2042</v>
      </c>
      <c r="H208" t="s">
        <v>243</v>
      </c>
      <c r="I208" t="s">
        <v>1369</v>
      </c>
      <c r="J208" t="s">
        <v>1370</v>
      </c>
      <c r="K208" t="s">
        <v>1371</v>
      </c>
      <c r="L208" t="s">
        <v>5828</v>
      </c>
      <c r="M208" t="s">
        <v>5829</v>
      </c>
      <c r="N208" t="s">
        <v>6314</v>
      </c>
    </row>
    <row r="209" spans="1:14" x14ac:dyDescent="0.25">
      <c r="A209">
        <v>2023</v>
      </c>
      <c r="B209">
        <v>18241</v>
      </c>
      <c r="C209" t="s">
        <v>6315</v>
      </c>
      <c r="D209" t="s">
        <v>6316</v>
      </c>
      <c r="E209">
        <v>212392</v>
      </c>
      <c r="F209" t="s">
        <v>5463</v>
      </c>
      <c r="G209" t="s">
        <v>2085</v>
      </c>
      <c r="H209" t="s">
        <v>379</v>
      </c>
      <c r="I209" t="s">
        <v>177</v>
      </c>
      <c r="J209" t="s">
        <v>178</v>
      </c>
      <c r="K209" t="s">
        <v>179</v>
      </c>
      <c r="L209" t="s">
        <v>6317</v>
      </c>
      <c r="M209" t="s">
        <v>6318</v>
      </c>
      <c r="N209" t="s">
        <v>6319</v>
      </c>
    </row>
    <row r="210" spans="1:14" x14ac:dyDescent="0.25">
      <c r="A210">
        <v>2014</v>
      </c>
      <c r="B210">
        <v>16849</v>
      </c>
      <c r="C210" t="s">
        <v>3705</v>
      </c>
      <c r="D210" t="s">
        <v>6320</v>
      </c>
      <c r="E210">
        <v>211113</v>
      </c>
      <c r="F210" t="s">
        <v>786</v>
      </c>
      <c r="G210" t="s">
        <v>426</v>
      </c>
      <c r="H210" t="s">
        <v>85</v>
      </c>
      <c r="I210" t="s">
        <v>1533</v>
      </c>
      <c r="J210" t="s">
        <v>1534</v>
      </c>
      <c r="K210" t="s">
        <v>1535</v>
      </c>
      <c r="L210" t="s">
        <v>5828</v>
      </c>
      <c r="M210" t="s">
        <v>5829</v>
      </c>
      <c r="N210" t="s">
        <v>6321</v>
      </c>
    </row>
    <row r="211" spans="1:14" x14ac:dyDescent="0.25">
      <c r="A211">
        <v>2005</v>
      </c>
      <c r="B211">
        <v>1528</v>
      </c>
      <c r="C211" t="s">
        <v>6322</v>
      </c>
      <c r="D211" t="s">
        <v>6323</v>
      </c>
      <c r="E211">
        <v>322112</v>
      </c>
      <c r="F211" t="s">
        <v>620</v>
      </c>
      <c r="G211" t="s">
        <v>621</v>
      </c>
      <c r="H211" t="s">
        <v>79</v>
      </c>
      <c r="I211" t="s">
        <v>1251</v>
      </c>
      <c r="J211" t="s">
        <v>1252</v>
      </c>
      <c r="K211" t="s">
        <v>1253</v>
      </c>
      <c r="L211" t="s">
        <v>5828</v>
      </c>
      <c r="M211" t="s">
        <v>5829</v>
      </c>
      <c r="N211" t="s">
        <v>6324</v>
      </c>
    </row>
    <row r="212" spans="1:14" x14ac:dyDescent="0.25">
      <c r="A212">
        <v>2008</v>
      </c>
      <c r="B212">
        <v>10942</v>
      </c>
      <c r="C212" t="s">
        <v>6325</v>
      </c>
      <c r="D212" t="s">
        <v>6325</v>
      </c>
      <c r="E212">
        <v>336390</v>
      </c>
      <c r="F212" t="s">
        <v>60</v>
      </c>
      <c r="G212" t="s">
        <v>61</v>
      </c>
      <c r="H212" t="s">
        <v>21</v>
      </c>
      <c r="I212" t="s">
        <v>136</v>
      </c>
      <c r="J212" t="s">
        <v>137</v>
      </c>
      <c r="K212" t="s">
        <v>138</v>
      </c>
      <c r="L212" t="s">
        <v>5828</v>
      </c>
      <c r="M212" t="s">
        <v>5829</v>
      </c>
      <c r="N212" t="s">
        <v>6326</v>
      </c>
    </row>
    <row r="213" spans="1:14" x14ac:dyDescent="0.25">
      <c r="A213">
        <v>2013</v>
      </c>
      <c r="B213">
        <v>1353</v>
      </c>
      <c r="C213" t="s">
        <v>1633</v>
      </c>
      <c r="D213" t="s">
        <v>1634</v>
      </c>
      <c r="E213">
        <v>325510</v>
      </c>
      <c r="F213" t="s">
        <v>111</v>
      </c>
      <c r="G213" t="s">
        <v>112</v>
      </c>
      <c r="H213" t="s">
        <v>21</v>
      </c>
      <c r="I213" t="s">
        <v>70</v>
      </c>
      <c r="J213" t="s">
        <v>71</v>
      </c>
      <c r="K213" t="s">
        <v>72</v>
      </c>
      <c r="L213" t="s">
        <v>5846</v>
      </c>
      <c r="M213" t="s">
        <v>5847</v>
      </c>
      <c r="N213" t="s">
        <v>6327</v>
      </c>
    </row>
    <row r="214" spans="1:14" x14ac:dyDescent="0.25">
      <c r="A214">
        <v>2005</v>
      </c>
      <c r="B214">
        <v>15792</v>
      </c>
      <c r="C214" t="s">
        <v>2164</v>
      </c>
      <c r="D214" t="s">
        <v>6328</v>
      </c>
      <c r="E214">
        <v>211113</v>
      </c>
      <c r="F214" t="s">
        <v>425</v>
      </c>
      <c r="G214" t="s">
        <v>426</v>
      </c>
      <c r="H214" t="s">
        <v>85</v>
      </c>
      <c r="I214" t="s">
        <v>1421</v>
      </c>
      <c r="J214" t="s">
        <v>1422</v>
      </c>
      <c r="K214" t="s">
        <v>1423</v>
      </c>
      <c r="L214" t="s">
        <v>5828</v>
      </c>
      <c r="M214" t="s">
        <v>5829</v>
      </c>
      <c r="N214" t="s">
        <v>6329</v>
      </c>
    </row>
    <row r="215" spans="1:14" x14ac:dyDescent="0.25">
      <c r="A215">
        <v>2015</v>
      </c>
      <c r="B215">
        <v>2604</v>
      </c>
      <c r="C215" t="s">
        <v>6330</v>
      </c>
      <c r="D215" t="s">
        <v>6331</v>
      </c>
      <c r="E215">
        <v>322112</v>
      </c>
      <c r="F215" t="s">
        <v>660</v>
      </c>
      <c r="G215" t="s">
        <v>621</v>
      </c>
      <c r="H215" t="s">
        <v>661</v>
      </c>
      <c r="I215" t="s">
        <v>1457</v>
      </c>
      <c r="J215" t="s">
        <v>1458</v>
      </c>
      <c r="K215" t="s">
        <v>1459</v>
      </c>
      <c r="L215" t="s">
        <v>5828</v>
      </c>
      <c r="M215" t="s">
        <v>5829</v>
      </c>
      <c r="N215" t="s">
        <v>6332</v>
      </c>
    </row>
    <row r="216" spans="1:14" x14ac:dyDescent="0.25">
      <c r="A216">
        <v>2018</v>
      </c>
      <c r="B216">
        <v>28979</v>
      </c>
      <c r="C216" t="s">
        <v>1928</v>
      </c>
      <c r="D216" t="s">
        <v>6333</v>
      </c>
      <c r="E216">
        <v>211110</v>
      </c>
      <c r="F216" t="s">
        <v>233</v>
      </c>
      <c r="G216" t="s">
        <v>234</v>
      </c>
      <c r="H216" t="s">
        <v>85</v>
      </c>
      <c r="I216" t="s">
        <v>1413</v>
      </c>
      <c r="J216" t="s">
        <v>1414</v>
      </c>
      <c r="K216" t="s">
        <v>1415</v>
      </c>
      <c r="L216" t="s">
        <v>6111</v>
      </c>
      <c r="M216" t="s">
        <v>6112</v>
      </c>
      <c r="N216" t="s">
        <v>6334</v>
      </c>
    </row>
    <row r="217" spans="1:14" x14ac:dyDescent="0.25">
      <c r="A217">
        <v>2007</v>
      </c>
      <c r="B217">
        <v>3111</v>
      </c>
      <c r="C217" t="s">
        <v>755</v>
      </c>
      <c r="D217" t="s">
        <v>592</v>
      </c>
      <c r="E217">
        <v>332999</v>
      </c>
      <c r="F217" t="s">
        <v>309</v>
      </c>
      <c r="G217" t="s">
        <v>304</v>
      </c>
      <c r="H217" t="s">
        <v>21</v>
      </c>
      <c r="I217" t="s">
        <v>281</v>
      </c>
      <c r="J217" t="s">
        <v>282</v>
      </c>
      <c r="K217" t="s">
        <v>283</v>
      </c>
      <c r="L217" t="s">
        <v>5875</v>
      </c>
      <c r="M217" t="s">
        <v>5876</v>
      </c>
      <c r="N217" t="s">
        <v>6335</v>
      </c>
    </row>
    <row r="218" spans="1:14" x14ac:dyDescent="0.25">
      <c r="A218">
        <v>2020</v>
      </c>
      <c r="B218">
        <v>4522</v>
      </c>
      <c r="C218" t="s">
        <v>6336</v>
      </c>
      <c r="D218" t="s">
        <v>6337</v>
      </c>
      <c r="E218">
        <v>327215</v>
      </c>
      <c r="F218" t="s">
        <v>6338</v>
      </c>
      <c r="G218" t="s">
        <v>5699</v>
      </c>
      <c r="H218" t="s">
        <v>21</v>
      </c>
      <c r="I218" t="s">
        <v>55</v>
      </c>
      <c r="J218" t="s">
        <v>56</v>
      </c>
      <c r="K218" t="s">
        <v>57</v>
      </c>
      <c r="L218" t="s">
        <v>5846</v>
      </c>
      <c r="M218" t="s">
        <v>5847</v>
      </c>
      <c r="N218" t="s">
        <v>6339</v>
      </c>
    </row>
    <row r="219" spans="1:14" x14ac:dyDescent="0.25">
      <c r="A219">
        <v>2007</v>
      </c>
      <c r="B219">
        <v>7294</v>
      </c>
      <c r="C219" t="s">
        <v>5349</v>
      </c>
      <c r="D219" t="s">
        <v>5350</v>
      </c>
      <c r="E219">
        <v>541990</v>
      </c>
      <c r="F219" t="s">
        <v>5351</v>
      </c>
      <c r="G219" t="s">
        <v>1786</v>
      </c>
      <c r="H219" t="s">
        <v>21</v>
      </c>
      <c r="I219" t="s">
        <v>106</v>
      </c>
      <c r="J219" t="s">
        <v>107</v>
      </c>
      <c r="K219" t="s">
        <v>108</v>
      </c>
      <c r="L219" t="s">
        <v>5828</v>
      </c>
      <c r="M219" t="s">
        <v>5829</v>
      </c>
      <c r="N219" t="s">
        <v>6340</v>
      </c>
    </row>
    <row r="220" spans="1:14" x14ac:dyDescent="0.25">
      <c r="A220">
        <v>2014</v>
      </c>
      <c r="B220">
        <v>3480</v>
      </c>
      <c r="C220" t="s">
        <v>974</v>
      </c>
      <c r="D220" t="s">
        <v>6341</v>
      </c>
      <c r="E220">
        <v>336110</v>
      </c>
      <c r="F220" t="s">
        <v>43</v>
      </c>
      <c r="G220" t="s">
        <v>44</v>
      </c>
      <c r="H220" t="s">
        <v>21</v>
      </c>
      <c r="I220" t="s">
        <v>668</v>
      </c>
      <c r="J220" t="s">
        <v>669</v>
      </c>
      <c r="K220" t="s">
        <v>670</v>
      </c>
      <c r="L220" t="s">
        <v>5875</v>
      </c>
      <c r="M220" t="s">
        <v>5876</v>
      </c>
      <c r="N220" t="s">
        <v>6342</v>
      </c>
    </row>
    <row r="221" spans="1:14" x14ac:dyDescent="0.25">
      <c r="A221">
        <v>2018</v>
      </c>
      <c r="B221">
        <v>4772</v>
      </c>
      <c r="C221" t="s">
        <v>642</v>
      </c>
      <c r="D221" t="s">
        <v>6257</v>
      </c>
      <c r="E221">
        <v>324190</v>
      </c>
      <c r="F221" t="s">
        <v>666</v>
      </c>
      <c r="G221" t="s">
        <v>667</v>
      </c>
      <c r="H221" t="s">
        <v>21</v>
      </c>
      <c r="I221" t="s">
        <v>420</v>
      </c>
      <c r="J221" t="s">
        <v>421</v>
      </c>
      <c r="K221" t="s">
        <v>422</v>
      </c>
      <c r="L221" t="s">
        <v>5875</v>
      </c>
      <c r="M221" t="s">
        <v>5876</v>
      </c>
      <c r="N221" t="s">
        <v>6343</v>
      </c>
    </row>
    <row r="222" spans="1:14" x14ac:dyDescent="0.25">
      <c r="A222">
        <v>2006</v>
      </c>
      <c r="B222">
        <v>15417</v>
      </c>
      <c r="C222" t="s">
        <v>1430</v>
      </c>
      <c r="D222" t="s">
        <v>6344</v>
      </c>
      <c r="E222">
        <v>211113</v>
      </c>
      <c r="F222" t="s">
        <v>425</v>
      </c>
      <c r="G222" t="s">
        <v>426</v>
      </c>
      <c r="H222" t="s">
        <v>85</v>
      </c>
      <c r="I222" t="s">
        <v>1421</v>
      </c>
      <c r="J222" t="s">
        <v>1422</v>
      </c>
      <c r="K222" t="s">
        <v>1423</v>
      </c>
      <c r="L222" t="s">
        <v>5828</v>
      </c>
      <c r="M222" t="s">
        <v>5829</v>
      </c>
      <c r="N222" t="s">
        <v>6345</v>
      </c>
    </row>
    <row r="223" spans="1:14" x14ac:dyDescent="0.25">
      <c r="A223">
        <v>2016</v>
      </c>
      <c r="B223">
        <v>1464</v>
      </c>
      <c r="C223" t="s">
        <v>194</v>
      </c>
      <c r="D223" t="s">
        <v>443</v>
      </c>
      <c r="E223">
        <v>325110</v>
      </c>
      <c r="F223" t="s">
        <v>444</v>
      </c>
      <c r="G223" t="s">
        <v>445</v>
      </c>
      <c r="H223" t="s">
        <v>21</v>
      </c>
      <c r="I223" t="s">
        <v>1251</v>
      </c>
      <c r="J223" t="s">
        <v>1252</v>
      </c>
      <c r="K223" t="s">
        <v>1253</v>
      </c>
      <c r="L223" t="s">
        <v>5875</v>
      </c>
      <c r="M223" t="s">
        <v>5876</v>
      </c>
      <c r="N223" t="s">
        <v>6037</v>
      </c>
    </row>
    <row r="224" spans="1:14" x14ac:dyDescent="0.25">
      <c r="A224">
        <v>2022</v>
      </c>
      <c r="B224">
        <v>5236</v>
      </c>
      <c r="C224" t="s">
        <v>6346</v>
      </c>
      <c r="D224" t="s">
        <v>6347</v>
      </c>
      <c r="E224">
        <v>212392</v>
      </c>
      <c r="F224" t="s">
        <v>5463</v>
      </c>
      <c r="G224" t="s">
        <v>2085</v>
      </c>
      <c r="H224" t="s">
        <v>379</v>
      </c>
      <c r="I224" t="s">
        <v>5358</v>
      </c>
      <c r="J224" t="s">
        <v>5359</v>
      </c>
      <c r="K224" t="s">
        <v>5360</v>
      </c>
      <c r="L224" t="s">
        <v>5859</v>
      </c>
      <c r="M224" t="s">
        <v>5860</v>
      </c>
      <c r="N224" t="s">
        <v>6348</v>
      </c>
    </row>
    <row r="225" spans="1:14" x14ac:dyDescent="0.25">
      <c r="A225">
        <v>2018</v>
      </c>
      <c r="B225">
        <v>2537</v>
      </c>
      <c r="C225" t="s">
        <v>370</v>
      </c>
      <c r="D225" t="s">
        <v>2160</v>
      </c>
      <c r="E225">
        <v>562210</v>
      </c>
      <c r="F225" t="s">
        <v>84</v>
      </c>
      <c r="G225" t="s">
        <v>53</v>
      </c>
      <c r="H225" t="s">
        <v>21</v>
      </c>
      <c r="I225" t="s">
        <v>22</v>
      </c>
      <c r="J225" t="s">
        <v>23</v>
      </c>
      <c r="K225" t="s">
        <v>24</v>
      </c>
      <c r="L225" t="s">
        <v>5828</v>
      </c>
      <c r="M225" t="s">
        <v>5829</v>
      </c>
      <c r="N225" t="s">
        <v>6349</v>
      </c>
    </row>
    <row r="226" spans="1:14" x14ac:dyDescent="0.25">
      <c r="A226">
        <v>2008</v>
      </c>
      <c r="B226">
        <v>7840</v>
      </c>
      <c r="C226" t="s">
        <v>5300</v>
      </c>
      <c r="D226" t="s">
        <v>6350</v>
      </c>
      <c r="E226">
        <v>321111</v>
      </c>
      <c r="F226" t="s">
        <v>1474</v>
      </c>
      <c r="G226" t="s">
        <v>1368</v>
      </c>
      <c r="H226" t="s">
        <v>69</v>
      </c>
      <c r="I226" t="s">
        <v>55</v>
      </c>
      <c r="J226" t="s">
        <v>56</v>
      </c>
      <c r="K226" t="s">
        <v>57</v>
      </c>
      <c r="L226" t="s">
        <v>5828</v>
      </c>
      <c r="M226" t="s">
        <v>5829</v>
      </c>
      <c r="N226" t="s">
        <v>6351</v>
      </c>
    </row>
    <row r="227" spans="1:14" x14ac:dyDescent="0.25">
      <c r="A227">
        <v>2009</v>
      </c>
      <c r="B227">
        <v>2561</v>
      </c>
      <c r="C227" t="s">
        <v>6352</v>
      </c>
      <c r="D227" t="s">
        <v>6353</v>
      </c>
      <c r="E227">
        <v>326198</v>
      </c>
      <c r="F227" t="s">
        <v>249</v>
      </c>
      <c r="G227" t="s">
        <v>250</v>
      </c>
      <c r="H227" t="s">
        <v>79</v>
      </c>
      <c r="I227" t="s">
        <v>2201</v>
      </c>
      <c r="J227" t="s">
        <v>2202</v>
      </c>
      <c r="K227" t="s">
        <v>2203</v>
      </c>
      <c r="L227" t="s">
        <v>5828</v>
      </c>
      <c r="M227" t="s">
        <v>5829</v>
      </c>
      <c r="N227" t="s">
        <v>6354</v>
      </c>
    </row>
    <row r="228" spans="1:14" x14ac:dyDescent="0.25">
      <c r="A228">
        <v>2008</v>
      </c>
      <c r="B228">
        <v>11247</v>
      </c>
      <c r="C228" t="s">
        <v>6355</v>
      </c>
      <c r="D228" t="s">
        <v>6356</v>
      </c>
      <c r="E228">
        <v>336390</v>
      </c>
      <c r="F228" t="s">
        <v>60</v>
      </c>
      <c r="G228" t="s">
        <v>61</v>
      </c>
      <c r="H228" t="s">
        <v>21</v>
      </c>
      <c r="I228" t="s">
        <v>136</v>
      </c>
      <c r="J228" t="s">
        <v>137</v>
      </c>
      <c r="K228" t="s">
        <v>138</v>
      </c>
      <c r="L228" t="s">
        <v>5828</v>
      </c>
      <c r="M228" t="s">
        <v>5829</v>
      </c>
      <c r="N228" t="s">
        <v>6357</v>
      </c>
    </row>
    <row r="229" spans="1:14" x14ac:dyDescent="0.25">
      <c r="A229">
        <v>2012</v>
      </c>
      <c r="B229">
        <v>7734</v>
      </c>
      <c r="C229" t="s">
        <v>1326</v>
      </c>
      <c r="D229" t="s">
        <v>6358</v>
      </c>
      <c r="E229">
        <v>486210</v>
      </c>
      <c r="F229" t="s">
        <v>1328</v>
      </c>
      <c r="G229" t="s">
        <v>1329</v>
      </c>
      <c r="H229" t="s">
        <v>69</v>
      </c>
      <c r="I229" t="s">
        <v>1457</v>
      </c>
      <c r="J229" t="s">
        <v>1458</v>
      </c>
      <c r="K229" t="s">
        <v>1459</v>
      </c>
      <c r="L229" t="s">
        <v>5828</v>
      </c>
      <c r="M229" t="s">
        <v>5829</v>
      </c>
      <c r="N229" t="s">
        <v>6359</v>
      </c>
    </row>
    <row r="230" spans="1:14" x14ac:dyDescent="0.25">
      <c r="A230">
        <v>2019</v>
      </c>
      <c r="B230">
        <v>10241</v>
      </c>
      <c r="C230" t="s">
        <v>6360</v>
      </c>
      <c r="D230" t="s">
        <v>6361</v>
      </c>
      <c r="E230">
        <v>417990</v>
      </c>
      <c r="F230" t="s">
        <v>6362</v>
      </c>
      <c r="G230" t="s">
        <v>6363</v>
      </c>
      <c r="H230" t="s">
        <v>21</v>
      </c>
      <c r="I230" t="s">
        <v>1580</v>
      </c>
      <c r="J230" t="s">
        <v>1581</v>
      </c>
      <c r="K230" t="s">
        <v>1582</v>
      </c>
      <c r="L230" t="s">
        <v>5875</v>
      </c>
      <c r="M230" t="s">
        <v>5876</v>
      </c>
      <c r="N230" t="s">
        <v>6364</v>
      </c>
    </row>
    <row r="231" spans="1:14" x14ac:dyDescent="0.25">
      <c r="A231">
        <v>2004</v>
      </c>
      <c r="B231">
        <v>18043</v>
      </c>
      <c r="C231" t="s">
        <v>1940</v>
      </c>
      <c r="D231" t="s">
        <v>6365</v>
      </c>
      <c r="E231">
        <v>211113</v>
      </c>
      <c r="F231" t="s">
        <v>425</v>
      </c>
      <c r="G231" t="s">
        <v>426</v>
      </c>
      <c r="H231" t="s">
        <v>85</v>
      </c>
      <c r="I231" t="s">
        <v>1421</v>
      </c>
      <c r="J231" t="s">
        <v>1422</v>
      </c>
      <c r="K231" t="s">
        <v>1423</v>
      </c>
      <c r="L231" t="s">
        <v>5828</v>
      </c>
      <c r="M231" t="s">
        <v>5829</v>
      </c>
      <c r="N231" t="s">
        <v>6366</v>
      </c>
    </row>
    <row r="232" spans="1:14" x14ac:dyDescent="0.25">
      <c r="A232">
        <v>2001</v>
      </c>
      <c r="B232">
        <v>5464</v>
      </c>
      <c r="C232" t="s">
        <v>6367</v>
      </c>
      <c r="D232" t="s">
        <v>6368</v>
      </c>
      <c r="E232">
        <v>212220</v>
      </c>
      <c r="F232" t="s">
        <v>1980</v>
      </c>
      <c r="G232" t="s">
        <v>1620</v>
      </c>
      <c r="H232" t="s">
        <v>79</v>
      </c>
      <c r="I232" t="s">
        <v>177</v>
      </c>
      <c r="J232" t="s">
        <v>178</v>
      </c>
      <c r="K232" t="s">
        <v>179</v>
      </c>
      <c r="L232" t="s">
        <v>5828</v>
      </c>
      <c r="M232" t="s">
        <v>5829</v>
      </c>
      <c r="N232" t="s">
        <v>6369</v>
      </c>
    </row>
    <row r="233" spans="1:14" x14ac:dyDescent="0.25">
      <c r="A233">
        <v>2010</v>
      </c>
      <c r="B233">
        <v>7808</v>
      </c>
      <c r="C233" t="s">
        <v>93</v>
      </c>
      <c r="D233" t="s">
        <v>6370</v>
      </c>
      <c r="E233">
        <v>412110</v>
      </c>
      <c r="F233" t="s">
        <v>346</v>
      </c>
      <c r="G233" t="s">
        <v>347</v>
      </c>
      <c r="H233" t="s">
        <v>69</v>
      </c>
      <c r="I233" t="s">
        <v>923</v>
      </c>
      <c r="J233" t="s">
        <v>924</v>
      </c>
      <c r="K233" t="s">
        <v>924</v>
      </c>
      <c r="L233" t="s">
        <v>5828</v>
      </c>
      <c r="M233" t="s">
        <v>5829</v>
      </c>
      <c r="N233" t="s">
        <v>6371</v>
      </c>
    </row>
    <row r="234" spans="1:14" x14ac:dyDescent="0.25">
      <c r="A234">
        <v>2005</v>
      </c>
      <c r="B234">
        <v>1411</v>
      </c>
      <c r="C234" t="s">
        <v>1777</v>
      </c>
      <c r="D234" t="s">
        <v>5805</v>
      </c>
      <c r="E234">
        <v>211113</v>
      </c>
      <c r="F234" t="s">
        <v>425</v>
      </c>
      <c r="G234" t="s">
        <v>426</v>
      </c>
      <c r="H234" t="s">
        <v>85</v>
      </c>
      <c r="I234" t="s">
        <v>70</v>
      </c>
      <c r="J234" t="s">
        <v>71</v>
      </c>
      <c r="K234" t="s">
        <v>72</v>
      </c>
      <c r="L234" t="s">
        <v>5846</v>
      </c>
      <c r="M234" t="s">
        <v>5847</v>
      </c>
      <c r="N234" t="s">
        <v>6173</v>
      </c>
    </row>
    <row r="235" spans="1:14" x14ac:dyDescent="0.25">
      <c r="A235">
        <v>2023</v>
      </c>
      <c r="B235">
        <v>8783</v>
      </c>
      <c r="C235" t="s">
        <v>5225</v>
      </c>
      <c r="D235" t="s">
        <v>1599</v>
      </c>
      <c r="E235">
        <v>212210</v>
      </c>
      <c r="F235" t="s">
        <v>888</v>
      </c>
      <c r="G235" t="s">
        <v>889</v>
      </c>
      <c r="H235" t="s">
        <v>79</v>
      </c>
      <c r="I235" t="s">
        <v>209</v>
      </c>
      <c r="J235" t="s">
        <v>210</v>
      </c>
      <c r="K235" t="s">
        <v>211</v>
      </c>
      <c r="L235" t="s">
        <v>5846</v>
      </c>
      <c r="M235" t="s">
        <v>5847</v>
      </c>
      <c r="N235" t="s">
        <v>6372</v>
      </c>
    </row>
    <row r="236" spans="1:14" x14ac:dyDescent="0.25">
      <c r="A236">
        <v>2015</v>
      </c>
      <c r="B236">
        <v>27784</v>
      </c>
      <c r="C236" t="s">
        <v>6373</v>
      </c>
      <c r="D236" t="s">
        <v>6374</v>
      </c>
      <c r="E236">
        <v>331210</v>
      </c>
      <c r="F236" t="s">
        <v>656</v>
      </c>
      <c r="G236" t="s">
        <v>657</v>
      </c>
      <c r="H236" t="s">
        <v>85</v>
      </c>
      <c r="I236" t="s">
        <v>1487</v>
      </c>
      <c r="J236" t="s">
        <v>1488</v>
      </c>
      <c r="K236" t="s">
        <v>1489</v>
      </c>
      <c r="L236" t="s">
        <v>5828</v>
      </c>
      <c r="M236" t="s">
        <v>5829</v>
      </c>
      <c r="N236" t="s">
        <v>6375</v>
      </c>
    </row>
    <row r="237" spans="1:14" x14ac:dyDescent="0.25">
      <c r="A237">
        <v>2013</v>
      </c>
      <c r="B237">
        <v>5725</v>
      </c>
      <c r="C237" t="s">
        <v>6376</v>
      </c>
      <c r="D237" t="s">
        <v>6377</v>
      </c>
      <c r="E237">
        <v>336390</v>
      </c>
      <c r="F237" t="s">
        <v>182</v>
      </c>
      <c r="G237" t="s">
        <v>61</v>
      </c>
      <c r="H237" t="s">
        <v>21</v>
      </c>
      <c r="I237" t="s">
        <v>1421</v>
      </c>
      <c r="J237" t="s">
        <v>1422</v>
      </c>
      <c r="K237" t="s">
        <v>1423</v>
      </c>
      <c r="L237" t="s">
        <v>6111</v>
      </c>
      <c r="M237" t="s">
        <v>6112</v>
      </c>
      <c r="N237" t="s">
        <v>6378</v>
      </c>
    </row>
    <row r="238" spans="1:14" x14ac:dyDescent="0.25">
      <c r="A238">
        <v>2007</v>
      </c>
      <c r="B238">
        <v>22943</v>
      </c>
      <c r="C238" t="s">
        <v>6379</v>
      </c>
      <c r="D238" t="s">
        <v>6380</v>
      </c>
      <c r="E238">
        <v>561210</v>
      </c>
      <c r="F238" t="s">
        <v>6381</v>
      </c>
      <c r="G238" t="s">
        <v>6382</v>
      </c>
      <c r="H238" t="s">
        <v>54</v>
      </c>
      <c r="I238" t="s">
        <v>35</v>
      </c>
      <c r="J238" t="s">
        <v>36</v>
      </c>
      <c r="K238" t="s">
        <v>37</v>
      </c>
      <c r="L238" t="s">
        <v>5875</v>
      </c>
      <c r="M238" t="s">
        <v>5876</v>
      </c>
      <c r="N238" t="s">
        <v>6383</v>
      </c>
    </row>
    <row r="239" spans="1:14" x14ac:dyDescent="0.25">
      <c r="A239">
        <v>2020</v>
      </c>
      <c r="B239">
        <v>1221</v>
      </c>
      <c r="C239" t="s">
        <v>5321</v>
      </c>
      <c r="D239" t="s">
        <v>5322</v>
      </c>
      <c r="E239">
        <v>322112</v>
      </c>
      <c r="F239" t="s">
        <v>660</v>
      </c>
      <c r="G239" t="s">
        <v>621</v>
      </c>
      <c r="H239" t="s">
        <v>661</v>
      </c>
      <c r="I239" t="s">
        <v>337</v>
      </c>
      <c r="J239" t="s">
        <v>338</v>
      </c>
      <c r="K239" t="s">
        <v>339</v>
      </c>
      <c r="L239" t="s">
        <v>5875</v>
      </c>
      <c r="M239" t="s">
        <v>5876</v>
      </c>
      <c r="N239" t="s">
        <v>6384</v>
      </c>
    </row>
    <row r="240" spans="1:14" x14ac:dyDescent="0.25">
      <c r="A240">
        <v>2023</v>
      </c>
      <c r="B240">
        <v>25119</v>
      </c>
      <c r="C240" t="s">
        <v>995</v>
      </c>
      <c r="D240" t="s">
        <v>6385</v>
      </c>
      <c r="E240">
        <v>562110</v>
      </c>
      <c r="F240" t="s">
        <v>644</v>
      </c>
      <c r="G240" t="s">
        <v>645</v>
      </c>
      <c r="H240" t="s">
        <v>21</v>
      </c>
      <c r="I240" t="s">
        <v>324</v>
      </c>
      <c r="J240" t="s">
        <v>325</v>
      </c>
      <c r="K240" t="s">
        <v>326</v>
      </c>
      <c r="L240" t="s">
        <v>5846</v>
      </c>
      <c r="M240" t="s">
        <v>5847</v>
      </c>
      <c r="N240" t="s">
        <v>6386</v>
      </c>
    </row>
    <row r="241" spans="1:14" x14ac:dyDescent="0.25">
      <c r="A241">
        <v>2019</v>
      </c>
      <c r="B241">
        <v>3996</v>
      </c>
      <c r="C241" t="s">
        <v>1015</v>
      </c>
      <c r="D241" t="s">
        <v>1016</v>
      </c>
      <c r="E241">
        <v>221112</v>
      </c>
      <c r="F241" t="s">
        <v>499</v>
      </c>
      <c r="G241" t="s">
        <v>135</v>
      </c>
      <c r="H241" t="s">
        <v>483</v>
      </c>
      <c r="I241" t="s">
        <v>628</v>
      </c>
      <c r="J241" t="s">
        <v>629</v>
      </c>
      <c r="K241" t="s">
        <v>630</v>
      </c>
      <c r="L241" t="s">
        <v>5846</v>
      </c>
      <c r="M241" t="s">
        <v>5847</v>
      </c>
    </row>
    <row r="242" spans="1:14" x14ac:dyDescent="0.25">
      <c r="A242">
        <v>2011</v>
      </c>
      <c r="B242">
        <v>11467</v>
      </c>
      <c r="C242" t="s">
        <v>6387</v>
      </c>
      <c r="D242" t="s">
        <v>6388</v>
      </c>
      <c r="E242">
        <v>221320</v>
      </c>
      <c r="F242" t="s">
        <v>390</v>
      </c>
      <c r="G242" t="s">
        <v>147</v>
      </c>
      <c r="H242" t="s">
        <v>21</v>
      </c>
      <c r="I242" t="s">
        <v>1708</v>
      </c>
      <c r="J242" t="s">
        <v>1709</v>
      </c>
      <c r="K242" t="s">
        <v>1710</v>
      </c>
      <c r="L242" t="s">
        <v>5875</v>
      </c>
      <c r="M242" t="s">
        <v>5876</v>
      </c>
      <c r="N242" t="s">
        <v>6389</v>
      </c>
    </row>
    <row r="243" spans="1:14" x14ac:dyDescent="0.25">
      <c r="A243">
        <v>2014</v>
      </c>
      <c r="B243">
        <v>23202</v>
      </c>
      <c r="C243" t="s">
        <v>1940</v>
      </c>
      <c r="D243" t="s">
        <v>6390</v>
      </c>
      <c r="E243">
        <v>211113</v>
      </c>
      <c r="F243" t="s">
        <v>786</v>
      </c>
      <c r="G243" t="s">
        <v>426</v>
      </c>
      <c r="H243" t="s">
        <v>85</v>
      </c>
      <c r="I243" t="s">
        <v>1533</v>
      </c>
      <c r="J243" t="s">
        <v>1534</v>
      </c>
      <c r="K243" t="s">
        <v>1535</v>
      </c>
      <c r="L243" t="s">
        <v>5828</v>
      </c>
      <c r="M243" t="s">
        <v>5829</v>
      </c>
      <c r="N243" t="s">
        <v>6391</v>
      </c>
    </row>
    <row r="244" spans="1:14" x14ac:dyDescent="0.25">
      <c r="A244">
        <v>2006</v>
      </c>
      <c r="B244">
        <v>2451</v>
      </c>
      <c r="C244" t="s">
        <v>6392</v>
      </c>
      <c r="D244" t="s">
        <v>992</v>
      </c>
      <c r="E244">
        <v>326198</v>
      </c>
      <c r="F244" t="s">
        <v>249</v>
      </c>
      <c r="G244" t="s">
        <v>250</v>
      </c>
      <c r="H244" t="s">
        <v>21</v>
      </c>
      <c r="I244" t="s">
        <v>2201</v>
      </c>
      <c r="J244" t="s">
        <v>2202</v>
      </c>
      <c r="K244" t="s">
        <v>2203</v>
      </c>
      <c r="L244" t="s">
        <v>5875</v>
      </c>
      <c r="M244" t="s">
        <v>5876</v>
      </c>
      <c r="N244" t="s">
        <v>6393</v>
      </c>
    </row>
    <row r="245" spans="1:14" x14ac:dyDescent="0.25">
      <c r="A245">
        <v>2021</v>
      </c>
      <c r="B245">
        <v>3026</v>
      </c>
      <c r="C245" t="s">
        <v>2035</v>
      </c>
      <c r="D245" t="s">
        <v>6394</v>
      </c>
      <c r="E245">
        <v>336390</v>
      </c>
      <c r="F245" t="s">
        <v>182</v>
      </c>
      <c r="G245" t="s">
        <v>61</v>
      </c>
      <c r="H245" t="s">
        <v>21</v>
      </c>
      <c r="I245" t="s">
        <v>22</v>
      </c>
      <c r="J245" t="s">
        <v>23</v>
      </c>
      <c r="K245" t="s">
        <v>24</v>
      </c>
      <c r="L245" t="s">
        <v>5859</v>
      </c>
      <c r="M245" t="s">
        <v>5860</v>
      </c>
      <c r="N245" t="s">
        <v>6395</v>
      </c>
    </row>
    <row r="246" spans="1:14" x14ac:dyDescent="0.25">
      <c r="A246">
        <v>2006</v>
      </c>
      <c r="B246">
        <v>698</v>
      </c>
      <c r="C246" t="s">
        <v>423</v>
      </c>
      <c r="D246" t="s">
        <v>6396</v>
      </c>
      <c r="E246">
        <v>211113</v>
      </c>
      <c r="F246" t="s">
        <v>425</v>
      </c>
      <c r="G246" t="s">
        <v>426</v>
      </c>
      <c r="H246" t="s">
        <v>85</v>
      </c>
      <c r="I246" t="s">
        <v>348</v>
      </c>
      <c r="J246" t="s">
        <v>349</v>
      </c>
      <c r="K246" t="s">
        <v>350</v>
      </c>
      <c r="L246" t="s">
        <v>5846</v>
      </c>
      <c r="M246" t="s">
        <v>5847</v>
      </c>
      <c r="N246" t="s">
        <v>6397</v>
      </c>
    </row>
    <row r="247" spans="1:14" x14ac:dyDescent="0.25">
      <c r="A247">
        <v>2004</v>
      </c>
      <c r="B247">
        <v>1411</v>
      </c>
      <c r="C247" t="s">
        <v>1777</v>
      </c>
      <c r="D247" t="s">
        <v>5805</v>
      </c>
      <c r="E247">
        <v>211113</v>
      </c>
      <c r="F247" t="s">
        <v>425</v>
      </c>
      <c r="G247" t="s">
        <v>426</v>
      </c>
      <c r="H247" t="s">
        <v>85</v>
      </c>
      <c r="I247" t="s">
        <v>491</v>
      </c>
      <c r="J247" t="s">
        <v>492</v>
      </c>
      <c r="K247" t="s">
        <v>492</v>
      </c>
      <c r="L247" t="s">
        <v>5875</v>
      </c>
      <c r="M247" t="s">
        <v>5876</v>
      </c>
      <c r="N247" t="s">
        <v>6173</v>
      </c>
    </row>
    <row r="248" spans="1:14" x14ac:dyDescent="0.25">
      <c r="A248">
        <v>2012</v>
      </c>
      <c r="B248">
        <v>10018</v>
      </c>
      <c r="C248" t="s">
        <v>1981</v>
      </c>
      <c r="D248" t="s">
        <v>6398</v>
      </c>
      <c r="E248">
        <v>212315</v>
      </c>
      <c r="F248" t="s">
        <v>1869</v>
      </c>
      <c r="G248" t="s">
        <v>1831</v>
      </c>
      <c r="H248" t="s">
        <v>21</v>
      </c>
      <c r="I248" t="s">
        <v>1487</v>
      </c>
      <c r="J248" t="s">
        <v>1488</v>
      </c>
      <c r="K248" t="s">
        <v>1489</v>
      </c>
      <c r="L248" t="s">
        <v>5828</v>
      </c>
      <c r="M248" t="s">
        <v>5829</v>
      </c>
      <c r="N248" t="s">
        <v>6399</v>
      </c>
    </row>
    <row r="249" spans="1:14" x14ac:dyDescent="0.25">
      <c r="A249">
        <v>2016</v>
      </c>
      <c r="B249">
        <v>18443</v>
      </c>
      <c r="C249" t="s">
        <v>1027</v>
      </c>
      <c r="D249" t="s">
        <v>6400</v>
      </c>
      <c r="E249">
        <v>211113</v>
      </c>
      <c r="F249" t="s">
        <v>786</v>
      </c>
      <c r="G249" t="s">
        <v>426</v>
      </c>
      <c r="H249" t="s">
        <v>85</v>
      </c>
      <c r="I249" t="s">
        <v>1421</v>
      </c>
      <c r="J249" t="s">
        <v>1422</v>
      </c>
      <c r="K249" t="s">
        <v>1423</v>
      </c>
      <c r="L249" t="s">
        <v>5828</v>
      </c>
      <c r="M249" t="s">
        <v>5829</v>
      </c>
      <c r="N249" t="s">
        <v>6401</v>
      </c>
    </row>
    <row r="250" spans="1:14" x14ac:dyDescent="0.25">
      <c r="A250">
        <v>2009</v>
      </c>
      <c r="B250">
        <v>2737</v>
      </c>
      <c r="C250" t="s">
        <v>6402</v>
      </c>
      <c r="D250" t="s">
        <v>6403</v>
      </c>
      <c r="E250">
        <v>331317</v>
      </c>
      <c r="F250" t="s">
        <v>899</v>
      </c>
      <c r="G250" t="s">
        <v>769</v>
      </c>
      <c r="H250" t="s">
        <v>21</v>
      </c>
      <c r="I250" t="s">
        <v>271</v>
      </c>
      <c r="J250" t="s">
        <v>272</v>
      </c>
      <c r="K250" t="s">
        <v>273</v>
      </c>
      <c r="L250" t="s">
        <v>5875</v>
      </c>
      <c r="M250" t="s">
        <v>5876</v>
      </c>
      <c r="N250" t="s">
        <v>6404</v>
      </c>
    </row>
    <row r="251" spans="1:14" x14ac:dyDescent="0.25">
      <c r="A251">
        <v>2005</v>
      </c>
      <c r="B251">
        <v>4068</v>
      </c>
      <c r="C251" t="s">
        <v>6405</v>
      </c>
      <c r="D251" t="s">
        <v>6406</v>
      </c>
      <c r="E251">
        <v>322122</v>
      </c>
      <c r="F251" t="s">
        <v>1556</v>
      </c>
      <c r="G251" t="s">
        <v>1062</v>
      </c>
      <c r="H251" t="s">
        <v>79</v>
      </c>
      <c r="I251" t="s">
        <v>648</v>
      </c>
      <c r="J251" t="s">
        <v>649</v>
      </c>
      <c r="K251" t="s">
        <v>650</v>
      </c>
      <c r="L251" t="s">
        <v>5828</v>
      </c>
      <c r="M251" t="s">
        <v>5829</v>
      </c>
      <c r="N251" t="s">
        <v>6407</v>
      </c>
    </row>
    <row r="252" spans="1:14" x14ac:dyDescent="0.25">
      <c r="A252">
        <v>2009</v>
      </c>
      <c r="B252">
        <v>7622</v>
      </c>
      <c r="C252" t="s">
        <v>1828</v>
      </c>
      <c r="D252" t="s">
        <v>1829</v>
      </c>
      <c r="E252">
        <v>212315</v>
      </c>
      <c r="F252" t="s">
        <v>1830</v>
      </c>
      <c r="G252" t="s">
        <v>1831</v>
      </c>
      <c r="H252" t="s">
        <v>21</v>
      </c>
      <c r="I252" t="s">
        <v>1487</v>
      </c>
      <c r="J252" t="s">
        <v>1488</v>
      </c>
      <c r="K252" t="s">
        <v>1489</v>
      </c>
      <c r="L252" t="s">
        <v>5828</v>
      </c>
      <c r="M252" t="s">
        <v>5829</v>
      </c>
      <c r="N252" t="s">
        <v>6408</v>
      </c>
    </row>
    <row r="253" spans="1:14" x14ac:dyDescent="0.25">
      <c r="A253">
        <v>1998</v>
      </c>
      <c r="B253">
        <v>3677</v>
      </c>
      <c r="C253" t="s">
        <v>6409</v>
      </c>
      <c r="D253" t="s">
        <v>6410</v>
      </c>
      <c r="E253">
        <v>221320</v>
      </c>
      <c r="F253" t="s">
        <v>390</v>
      </c>
      <c r="G253" t="s">
        <v>147</v>
      </c>
      <c r="H253" t="s">
        <v>21</v>
      </c>
      <c r="I253" t="s">
        <v>504</v>
      </c>
      <c r="J253" t="s">
        <v>505</v>
      </c>
      <c r="K253" t="s">
        <v>506</v>
      </c>
      <c r="L253" t="s">
        <v>5875</v>
      </c>
      <c r="M253" t="s">
        <v>5876</v>
      </c>
      <c r="N253" t="s">
        <v>6411</v>
      </c>
    </row>
    <row r="254" spans="1:14" x14ac:dyDescent="0.25">
      <c r="A254">
        <v>2022</v>
      </c>
      <c r="B254">
        <v>10625</v>
      </c>
      <c r="C254" t="s">
        <v>6412</v>
      </c>
      <c r="D254" t="s">
        <v>6413</v>
      </c>
      <c r="E254">
        <v>212326</v>
      </c>
      <c r="F254" t="s">
        <v>6414</v>
      </c>
      <c r="G254" t="s">
        <v>6415</v>
      </c>
      <c r="H254" t="s">
        <v>21</v>
      </c>
      <c r="I254" t="s">
        <v>35</v>
      </c>
      <c r="J254" t="s">
        <v>36</v>
      </c>
      <c r="K254" t="s">
        <v>37</v>
      </c>
      <c r="L254" t="s">
        <v>5846</v>
      </c>
      <c r="M254" t="s">
        <v>5847</v>
      </c>
      <c r="N254" t="s">
        <v>6416</v>
      </c>
    </row>
    <row r="255" spans="1:14" x14ac:dyDescent="0.25">
      <c r="A255">
        <v>2006</v>
      </c>
      <c r="B255">
        <v>6050</v>
      </c>
      <c r="C255" t="s">
        <v>6417</v>
      </c>
      <c r="D255" t="s">
        <v>6418</v>
      </c>
      <c r="E255">
        <v>611310</v>
      </c>
      <c r="F255" t="s">
        <v>6419</v>
      </c>
      <c r="G255" t="s">
        <v>6420</v>
      </c>
      <c r="H255" t="s">
        <v>1625</v>
      </c>
      <c r="I255" t="s">
        <v>1487</v>
      </c>
      <c r="J255" t="s">
        <v>1488</v>
      </c>
      <c r="K255" t="s">
        <v>1489</v>
      </c>
      <c r="L255" t="s">
        <v>5828</v>
      </c>
      <c r="M255" t="s">
        <v>5829</v>
      </c>
      <c r="N255" t="s">
        <v>6421</v>
      </c>
    </row>
    <row r="256" spans="1:14" x14ac:dyDescent="0.25">
      <c r="A256">
        <v>2012</v>
      </c>
      <c r="B256">
        <v>18135</v>
      </c>
      <c r="C256" t="s">
        <v>6422</v>
      </c>
      <c r="D256" t="s">
        <v>6423</v>
      </c>
      <c r="E256">
        <v>486110</v>
      </c>
      <c r="F256" t="s">
        <v>1616</v>
      </c>
      <c r="G256" t="s">
        <v>541</v>
      </c>
      <c r="H256" t="s">
        <v>85</v>
      </c>
      <c r="I256" t="s">
        <v>271</v>
      </c>
      <c r="J256" t="s">
        <v>272</v>
      </c>
      <c r="K256" t="s">
        <v>273</v>
      </c>
      <c r="L256" t="s">
        <v>5846</v>
      </c>
      <c r="M256" t="s">
        <v>5847</v>
      </c>
      <c r="N256" t="s">
        <v>6424</v>
      </c>
    </row>
    <row r="257" spans="1:14" x14ac:dyDescent="0.25">
      <c r="A257">
        <v>2020</v>
      </c>
      <c r="B257">
        <v>6625</v>
      </c>
      <c r="C257" t="s">
        <v>5007</v>
      </c>
      <c r="D257" t="s">
        <v>5008</v>
      </c>
      <c r="E257">
        <v>211141</v>
      </c>
      <c r="F257" t="s">
        <v>1189</v>
      </c>
      <c r="G257" t="s">
        <v>1190</v>
      </c>
      <c r="H257" t="s">
        <v>85</v>
      </c>
      <c r="I257" t="s">
        <v>191</v>
      </c>
      <c r="J257" t="s">
        <v>192</v>
      </c>
      <c r="K257" t="s">
        <v>193</v>
      </c>
      <c r="L257" t="s">
        <v>5828</v>
      </c>
      <c r="M257" t="s">
        <v>5829</v>
      </c>
      <c r="N257" t="s">
        <v>6425</v>
      </c>
    </row>
    <row r="258" spans="1:14" x14ac:dyDescent="0.25">
      <c r="A258">
        <v>2015</v>
      </c>
      <c r="B258">
        <v>2181</v>
      </c>
      <c r="C258" t="s">
        <v>658</v>
      </c>
      <c r="D258" t="s">
        <v>659</v>
      </c>
      <c r="E258">
        <v>322112</v>
      </c>
      <c r="F258" t="s">
        <v>660</v>
      </c>
      <c r="G258" t="s">
        <v>621</v>
      </c>
      <c r="H258" t="s">
        <v>661</v>
      </c>
      <c r="I258" t="s">
        <v>847</v>
      </c>
      <c r="J258" t="s">
        <v>848</v>
      </c>
      <c r="K258" t="s">
        <v>849</v>
      </c>
      <c r="L258" t="s">
        <v>5846</v>
      </c>
      <c r="M258" t="s">
        <v>5847</v>
      </c>
      <c r="N258" t="s">
        <v>6426</v>
      </c>
    </row>
    <row r="259" spans="1:14" x14ac:dyDescent="0.25">
      <c r="A259">
        <v>2007</v>
      </c>
      <c r="B259">
        <v>2120</v>
      </c>
      <c r="C259" t="s">
        <v>1955</v>
      </c>
      <c r="D259" t="s">
        <v>6427</v>
      </c>
      <c r="E259">
        <v>211113</v>
      </c>
      <c r="F259" t="s">
        <v>425</v>
      </c>
      <c r="G259" t="s">
        <v>426</v>
      </c>
      <c r="H259" t="s">
        <v>85</v>
      </c>
      <c r="I259" t="s">
        <v>1549</v>
      </c>
      <c r="J259" t="s">
        <v>1550</v>
      </c>
      <c r="K259" t="s">
        <v>1551</v>
      </c>
      <c r="L259" t="s">
        <v>5828</v>
      </c>
      <c r="M259" t="s">
        <v>5829</v>
      </c>
      <c r="N259" t="s">
        <v>6428</v>
      </c>
    </row>
    <row r="260" spans="1:14" x14ac:dyDescent="0.25">
      <c r="A260">
        <v>2002</v>
      </c>
      <c r="B260">
        <v>3996</v>
      </c>
      <c r="C260" t="s">
        <v>1630</v>
      </c>
      <c r="D260" t="s">
        <v>6429</v>
      </c>
      <c r="E260">
        <v>221112</v>
      </c>
      <c r="F260" t="s">
        <v>134</v>
      </c>
      <c r="G260" t="s">
        <v>135</v>
      </c>
      <c r="H260" t="s">
        <v>483</v>
      </c>
      <c r="I260" t="s">
        <v>62</v>
      </c>
      <c r="J260" t="s">
        <v>63</v>
      </c>
      <c r="K260" t="s">
        <v>64</v>
      </c>
      <c r="L260" t="s">
        <v>5828</v>
      </c>
      <c r="M260" t="s">
        <v>5829</v>
      </c>
      <c r="N260" t="s">
        <v>6430</v>
      </c>
    </row>
    <row r="261" spans="1:14" x14ac:dyDescent="0.25">
      <c r="A261">
        <v>2021</v>
      </c>
      <c r="B261">
        <v>1492</v>
      </c>
      <c r="C261" t="s">
        <v>1864</v>
      </c>
      <c r="D261" t="s">
        <v>727</v>
      </c>
      <c r="E261">
        <v>325189</v>
      </c>
      <c r="F261" t="s">
        <v>1660</v>
      </c>
      <c r="G261" t="s">
        <v>1291</v>
      </c>
      <c r="H261" t="s">
        <v>79</v>
      </c>
      <c r="I261" t="s">
        <v>271</v>
      </c>
      <c r="J261" t="s">
        <v>272</v>
      </c>
      <c r="K261" t="s">
        <v>273</v>
      </c>
      <c r="L261" t="s">
        <v>5828</v>
      </c>
      <c r="M261" t="s">
        <v>5829</v>
      </c>
      <c r="N261" t="s">
        <v>6431</v>
      </c>
    </row>
    <row r="262" spans="1:14" x14ac:dyDescent="0.25">
      <c r="A262">
        <v>2011</v>
      </c>
      <c r="B262">
        <v>5308</v>
      </c>
      <c r="C262" t="s">
        <v>144</v>
      </c>
      <c r="D262" t="s">
        <v>503</v>
      </c>
      <c r="E262">
        <v>221320</v>
      </c>
      <c r="F262" t="s">
        <v>390</v>
      </c>
      <c r="G262" t="s">
        <v>147</v>
      </c>
      <c r="H262" t="s">
        <v>85</v>
      </c>
      <c r="I262" t="s">
        <v>152</v>
      </c>
      <c r="J262" t="s">
        <v>153</v>
      </c>
      <c r="K262" t="s">
        <v>154</v>
      </c>
      <c r="L262" t="s">
        <v>5875</v>
      </c>
      <c r="M262" t="s">
        <v>5876</v>
      </c>
      <c r="N262" t="s">
        <v>6432</v>
      </c>
    </row>
    <row r="263" spans="1:14" x14ac:dyDescent="0.25">
      <c r="A263">
        <v>2020</v>
      </c>
      <c r="B263">
        <v>8645</v>
      </c>
      <c r="C263" t="s">
        <v>642</v>
      </c>
      <c r="D263" t="s">
        <v>712</v>
      </c>
      <c r="E263">
        <v>562110</v>
      </c>
      <c r="F263" t="s">
        <v>644</v>
      </c>
      <c r="G263" t="s">
        <v>645</v>
      </c>
      <c r="H263" t="s">
        <v>79</v>
      </c>
      <c r="I263" t="s">
        <v>191</v>
      </c>
      <c r="J263" t="s">
        <v>192</v>
      </c>
      <c r="K263" t="s">
        <v>193</v>
      </c>
      <c r="L263" t="s">
        <v>5846</v>
      </c>
      <c r="M263" t="s">
        <v>5847</v>
      </c>
      <c r="N263" t="s">
        <v>6433</v>
      </c>
    </row>
    <row r="264" spans="1:14" x14ac:dyDescent="0.25">
      <c r="A264">
        <v>2007</v>
      </c>
      <c r="B264">
        <v>5528</v>
      </c>
      <c r="C264" t="s">
        <v>6434</v>
      </c>
      <c r="D264" t="s">
        <v>6435</v>
      </c>
      <c r="E264">
        <v>221320</v>
      </c>
      <c r="F264" t="s">
        <v>390</v>
      </c>
      <c r="G264" t="s">
        <v>147</v>
      </c>
      <c r="H264" t="s">
        <v>79</v>
      </c>
      <c r="I264" t="s">
        <v>628</v>
      </c>
      <c r="J264" t="s">
        <v>629</v>
      </c>
      <c r="K264" t="s">
        <v>630</v>
      </c>
      <c r="L264" t="s">
        <v>5828</v>
      </c>
      <c r="M264" t="s">
        <v>5829</v>
      </c>
      <c r="N264" t="s">
        <v>6436</v>
      </c>
    </row>
    <row r="265" spans="1:14" x14ac:dyDescent="0.25">
      <c r="A265">
        <v>2007</v>
      </c>
      <c r="B265">
        <v>10993</v>
      </c>
      <c r="C265" t="s">
        <v>2264</v>
      </c>
      <c r="D265" t="s">
        <v>6437</v>
      </c>
      <c r="E265">
        <v>336370</v>
      </c>
      <c r="F265" t="s">
        <v>586</v>
      </c>
      <c r="G265" t="s">
        <v>587</v>
      </c>
      <c r="H265" t="s">
        <v>21</v>
      </c>
      <c r="I265" t="s">
        <v>209</v>
      </c>
      <c r="J265" t="s">
        <v>210</v>
      </c>
      <c r="K265" t="s">
        <v>211</v>
      </c>
      <c r="L265" t="s">
        <v>5828</v>
      </c>
      <c r="M265" t="s">
        <v>5829</v>
      </c>
      <c r="N265" t="s">
        <v>6438</v>
      </c>
    </row>
    <row r="266" spans="1:14" x14ac:dyDescent="0.25">
      <c r="A266">
        <v>2008</v>
      </c>
      <c r="B266">
        <v>17331</v>
      </c>
      <c r="C266" t="s">
        <v>538</v>
      </c>
      <c r="D266" t="s">
        <v>539</v>
      </c>
      <c r="E266">
        <v>486110</v>
      </c>
      <c r="F266" t="s">
        <v>540</v>
      </c>
      <c r="G266" t="s">
        <v>541</v>
      </c>
      <c r="H266" t="s">
        <v>243</v>
      </c>
      <c r="I266" t="s">
        <v>491</v>
      </c>
      <c r="J266" t="s">
        <v>492</v>
      </c>
      <c r="K266" t="s">
        <v>492</v>
      </c>
      <c r="L266" t="s">
        <v>5828</v>
      </c>
      <c r="M266" t="s">
        <v>5829</v>
      </c>
      <c r="N266" t="s">
        <v>6439</v>
      </c>
    </row>
    <row r="267" spans="1:14" x14ac:dyDescent="0.25">
      <c r="A267">
        <v>2007</v>
      </c>
      <c r="B267">
        <v>5429</v>
      </c>
      <c r="C267" t="s">
        <v>723</v>
      </c>
      <c r="D267" t="s">
        <v>724</v>
      </c>
      <c r="E267">
        <v>325999</v>
      </c>
      <c r="F267" t="s">
        <v>396</v>
      </c>
      <c r="G267" t="s">
        <v>397</v>
      </c>
      <c r="H267" t="s">
        <v>79</v>
      </c>
      <c r="I267" t="s">
        <v>648</v>
      </c>
      <c r="J267" t="s">
        <v>649</v>
      </c>
      <c r="K267" t="s">
        <v>650</v>
      </c>
      <c r="L267" t="s">
        <v>5875</v>
      </c>
      <c r="M267" t="s">
        <v>5876</v>
      </c>
      <c r="N267" t="s">
        <v>6440</v>
      </c>
    </row>
    <row r="268" spans="1:14" x14ac:dyDescent="0.25">
      <c r="A268">
        <v>2005</v>
      </c>
      <c r="B268">
        <v>17416</v>
      </c>
      <c r="C268" t="s">
        <v>2270</v>
      </c>
      <c r="D268" t="s">
        <v>6441</v>
      </c>
      <c r="E268">
        <v>211113</v>
      </c>
      <c r="F268" t="s">
        <v>425</v>
      </c>
      <c r="G268" t="s">
        <v>426</v>
      </c>
      <c r="H268" t="s">
        <v>85</v>
      </c>
      <c r="I268" t="s">
        <v>1533</v>
      </c>
      <c r="J268" t="s">
        <v>1534</v>
      </c>
      <c r="K268" t="s">
        <v>1535</v>
      </c>
      <c r="L268" t="s">
        <v>5828</v>
      </c>
      <c r="M268" t="s">
        <v>5829</v>
      </c>
      <c r="N268" t="s">
        <v>6442</v>
      </c>
    </row>
    <row r="269" spans="1:14" x14ac:dyDescent="0.25">
      <c r="A269">
        <v>2014</v>
      </c>
      <c r="B269">
        <v>8756</v>
      </c>
      <c r="C269" t="s">
        <v>6443</v>
      </c>
      <c r="D269" t="s">
        <v>6444</v>
      </c>
      <c r="E269">
        <v>332999</v>
      </c>
      <c r="F269" t="s">
        <v>303</v>
      </c>
      <c r="G269" t="s">
        <v>304</v>
      </c>
      <c r="H269" t="s">
        <v>79</v>
      </c>
      <c r="I269" t="s">
        <v>86</v>
      </c>
      <c r="J269" t="s">
        <v>87</v>
      </c>
      <c r="K269" t="s">
        <v>88</v>
      </c>
      <c r="L269" t="s">
        <v>5846</v>
      </c>
      <c r="M269" t="s">
        <v>5847</v>
      </c>
      <c r="N269" t="s">
        <v>6445</v>
      </c>
    </row>
    <row r="270" spans="1:14" x14ac:dyDescent="0.25">
      <c r="A270">
        <v>2020</v>
      </c>
      <c r="B270">
        <v>27866</v>
      </c>
      <c r="C270" t="s">
        <v>6446</v>
      </c>
      <c r="D270" t="s">
        <v>6447</v>
      </c>
      <c r="E270">
        <v>211141</v>
      </c>
      <c r="F270" t="s">
        <v>1189</v>
      </c>
      <c r="G270" t="s">
        <v>1190</v>
      </c>
      <c r="H270" t="s">
        <v>85</v>
      </c>
      <c r="I270" t="s">
        <v>86</v>
      </c>
      <c r="J270" t="s">
        <v>87</v>
      </c>
      <c r="K270" t="s">
        <v>88</v>
      </c>
      <c r="L270" t="s">
        <v>5846</v>
      </c>
      <c r="M270" t="s">
        <v>5847</v>
      </c>
      <c r="N270" t="s">
        <v>6448</v>
      </c>
    </row>
    <row r="271" spans="1:14" x14ac:dyDescent="0.25">
      <c r="A271">
        <v>2009</v>
      </c>
      <c r="B271">
        <v>19973</v>
      </c>
      <c r="C271" t="s">
        <v>2981</v>
      </c>
      <c r="D271" t="s">
        <v>6449</v>
      </c>
      <c r="E271">
        <v>211113</v>
      </c>
      <c r="F271" t="s">
        <v>425</v>
      </c>
      <c r="G271" t="s">
        <v>426</v>
      </c>
      <c r="H271" t="s">
        <v>69</v>
      </c>
      <c r="I271" t="s">
        <v>1369</v>
      </c>
      <c r="J271" t="s">
        <v>1370</v>
      </c>
      <c r="K271" t="s">
        <v>1371</v>
      </c>
      <c r="L271" t="s">
        <v>5828</v>
      </c>
      <c r="M271" t="s">
        <v>5829</v>
      </c>
      <c r="N271" t="s">
        <v>6450</v>
      </c>
    </row>
    <row r="272" spans="1:14" x14ac:dyDescent="0.25">
      <c r="A272">
        <v>2020</v>
      </c>
      <c r="B272">
        <v>10584</v>
      </c>
      <c r="C272" t="s">
        <v>692</v>
      </c>
      <c r="E272">
        <v>238990</v>
      </c>
      <c r="F272" t="s">
        <v>6451</v>
      </c>
      <c r="G272" t="s">
        <v>6452</v>
      </c>
      <c r="H272" t="s">
        <v>21</v>
      </c>
      <c r="I272" t="s">
        <v>668</v>
      </c>
      <c r="J272" t="s">
        <v>669</v>
      </c>
      <c r="K272" t="s">
        <v>670</v>
      </c>
      <c r="L272" t="s">
        <v>5828</v>
      </c>
      <c r="M272" t="s">
        <v>5829</v>
      </c>
      <c r="N272" t="s">
        <v>6453</v>
      </c>
    </row>
    <row r="273" spans="1:14" x14ac:dyDescent="0.25">
      <c r="A273">
        <v>2019</v>
      </c>
      <c r="B273">
        <v>11496</v>
      </c>
      <c r="C273" t="s">
        <v>4817</v>
      </c>
      <c r="D273" t="s">
        <v>6454</v>
      </c>
      <c r="E273">
        <v>212323</v>
      </c>
      <c r="F273" t="s">
        <v>1568</v>
      </c>
      <c r="G273" t="s">
        <v>1498</v>
      </c>
      <c r="H273" t="s">
        <v>21</v>
      </c>
      <c r="I273" t="s">
        <v>1369</v>
      </c>
      <c r="J273" t="s">
        <v>1370</v>
      </c>
      <c r="K273" t="s">
        <v>1371</v>
      </c>
      <c r="L273" t="s">
        <v>5828</v>
      </c>
      <c r="M273" t="s">
        <v>5829</v>
      </c>
      <c r="N273" t="s">
        <v>6455</v>
      </c>
    </row>
    <row r="274" spans="1:14" x14ac:dyDescent="0.25">
      <c r="A274">
        <v>2011</v>
      </c>
      <c r="B274">
        <v>5189</v>
      </c>
      <c r="C274" t="s">
        <v>6456</v>
      </c>
      <c r="D274" t="s">
        <v>826</v>
      </c>
      <c r="E274">
        <v>221320</v>
      </c>
      <c r="F274" t="s">
        <v>390</v>
      </c>
      <c r="G274" t="s">
        <v>147</v>
      </c>
      <c r="H274" t="s">
        <v>69</v>
      </c>
      <c r="I274" t="s">
        <v>244</v>
      </c>
      <c r="J274" t="s">
        <v>245</v>
      </c>
      <c r="K274" t="s">
        <v>246</v>
      </c>
      <c r="L274" t="s">
        <v>5828</v>
      </c>
      <c r="M274" t="s">
        <v>5829</v>
      </c>
      <c r="N274" t="s">
        <v>6457</v>
      </c>
    </row>
    <row r="275" spans="1:14" x14ac:dyDescent="0.25">
      <c r="A275">
        <v>2013</v>
      </c>
      <c r="B275">
        <v>2405</v>
      </c>
      <c r="C275" t="s">
        <v>6458</v>
      </c>
      <c r="D275" t="s">
        <v>6459</v>
      </c>
      <c r="E275">
        <v>321114</v>
      </c>
      <c r="F275" t="s">
        <v>1212</v>
      </c>
      <c r="G275" t="s">
        <v>366</v>
      </c>
      <c r="H275" t="s">
        <v>661</v>
      </c>
      <c r="I275" t="s">
        <v>209</v>
      </c>
      <c r="J275" t="s">
        <v>210</v>
      </c>
      <c r="K275" t="s">
        <v>211</v>
      </c>
      <c r="L275" t="s">
        <v>5875</v>
      </c>
      <c r="M275" t="s">
        <v>5876</v>
      </c>
      <c r="N275" t="s">
        <v>6460</v>
      </c>
    </row>
    <row r="276" spans="1:14" x14ac:dyDescent="0.25">
      <c r="A276">
        <v>2007</v>
      </c>
      <c r="B276">
        <v>2604</v>
      </c>
      <c r="C276" t="s">
        <v>6461</v>
      </c>
      <c r="D276" t="s">
        <v>6462</v>
      </c>
      <c r="E276">
        <v>322112</v>
      </c>
      <c r="F276" t="s">
        <v>620</v>
      </c>
      <c r="G276" t="s">
        <v>621</v>
      </c>
      <c r="H276" t="s">
        <v>661</v>
      </c>
      <c r="I276" t="s">
        <v>1251</v>
      </c>
      <c r="J276" t="s">
        <v>1252</v>
      </c>
      <c r="K276" t="s">
        <v>1253</v>
      </c>
      <c r="L276" t="s">
        <v>5828</v>
      </c>
      <c r="M276" t="s">
        <v>5829</v>
      </c>
      <c r="N276" t="s">
        <v>6463</v>
      </c>
    </row>
    <row r="277" spans="1:14" x14ac:dyDescent="0.25">
      <c r="A277">
        <v>2019</v>
      </c>
      <c r="B277">
        <v>30647</v>
      </c>
      <c r="C277" t="s">
        <v>6464</v>
      </c>
      <c r="D277" t="s">
        <v>6465</v>
      </c>
      <c r="E277">
        <v>418190</v>
      </c>
      <c r="F277" t="s">
        <v>6466</v>
      </c>
      <c r="G277" t="s">
        <v>6467</v>
      </c>
      <c r="H277" t="s">
        <v>21</v>
      </c>
      <c r="I277" t="s">
        <v>1369</v>
      </c>
      <c r="J277" t="s">
        <v>1370</v>
      </c>
      <c r="K277" t="s">
        <v>1371</v>
      </c>
      <c r="L277" t="s">
        <v>5828</v>
      </c>
      <c r="M277" t="s">
        <v>5829</v>
      </c>
      <c r="N277" t="s">
        <v>6468</v>
      </c>
    </row>
    <row r="278" spans="1:14" x14ac:dyDescent="0.25">
      <c r="A278">
        <v>2017</v>
      </c>
      <c r="B278">
        <v>11041</v>
      </c>
      <c r="C278" t="s">
        <v>6469</v>
      </c>
      <c r="D278" t="s">
        <v>6469</v>
      </c>
      <c r="E278">
        <v>326111</v>
      </c>
      <c r="F278" t="s">
        <v>6470</v>
      </c>
      <c r="G278" t="s">
        <v>6471</v>
      </c>
      <c r="H278" t="s">
        <v>21</v>
      </c>
      <c r="I278" t="s">
        <v>55</v>
      </c>
      <c r="J278" t="s">
        <v>56</v>
      </c>
      <c r="K278" t="s">
        <v>57</v>
      </c>
      <c r="L278" t="s">
        <v>5846</v>
      </c>
      <c r="M278" t="s">
        <v>5847</v>
      </c>
      <c r="N278" t="s">
        <v>6472</v>
      </c>
    </row>
    <row r="279" spans="1:14" x14ac:dyDescent="0.25">
      <c r="A279">
        <v>2020</v>
      </c>
      <c r="B279">
        <v>1698</v>
      </c>
      <c r="C279" t="s">
        <v>6473</v>
      </c>
      <c r="D279" t="s">
        <v>6474</v>
      </c>
      <c r="E279">
        <v>221112</v>
      </c>
      <c r="F279" t="s">
        <v>499</v>
      </c>
      <c r="G279" t="s">
        <v>135</v>
      </c>
      <c r="H279" t="s">
        <v>661</v>
      </c>
      <c r="I279" t="s">
        <v>62</v>
      </c>
      <c r="J279" t="s">
        <v>63</v>
      </c>
      <c r="K279" t="s">
        <v>64</v>
      </c>
      <c r="L279" t="s">
        <v>5828</v>
      </c>
      <c r="M279" t="s">
        <v>5829</v>
      </c>
      <c r="N279" t="s">
        <v>6475</v>
      </c>
    </row>
    <row r="280" spans="1:14" x14ac:dyDescent="0.25">
      <c r="A280">
        <v>2018</v>
      </c>
      <c r="B280">
        <v>28021</v>
      </c>
      <c r="C280" t="s">
        <v>2094</v>
      </c>
      <c r="D280" t="s">
        <v>6476</v>
      </c>
      <c r="E280">
        <v>493110</v>
      </c>
      <c r="F280" t="s">
        <v>1483</v>
      </c>
      <c r="G280" t="s">
        <v>1484</v>
      </c>
      <c r="H280" t="s">
        <v>243</v>
      </c>
      <c r="I280" t="s">
        <v>1421</v>
      </c>
      <c r="J280" t="s">
        <v>1422</v>
      </c>
      <c r="K280" t="s">
        <v>1423</v>
      </c>
      <c r="L280" t="s">
        <v>6111</v>
      </c>
      <c r="M280" t="s">
        <v>6112</v>
      </c>
      <c r="N280" t="s">
        <v>6477</v>
      </c>
    </row>
    <row r="281" spans="1:14" x14ac:dyDescent="0.25">
      <c r="A281">
        <v>2003</v>
      </c>
      <c r="B281">
        <v>5515</v>
      </c>
      <c r="C281" t="s">
        <v>5564</v>
      </c>
      <c r="D281" t="s">
        <v>6478</v>
      </c>
      <c r="E281">
        <v>322122</v>
      </c>
      <c r="F281" t="s">
        <v>1556</v>
      </c>
      <c r="G281" t="s">
        <v>1062</v>
      </c>
      <c r="H281" t="s">
        <v>79</v>
      </c>
      <c r="I281" t="s">
        <v>35</v>
      </c>
      <c r="J281" t="s">
        <v>36</v>
      </c>
      <c r="K281" t="s">
        <v>37</v>
      </c>
      <c r="L281" t="s">
        <v>5828</v>
      </c>
      <c r="M281" t="s">
        <v>5829</v>
      </c>
      <c r="N281" t="s">
        <v>6479</v>
      </c>
    </row>
    <row r="282" spans="1:14" x14ac:dyDescent="0.25">
      <c r="A282">
        <v>2018</v>
      </c>
      <c r="B282">
        <v>8087</v>
      </c>
      <c r="C282" t="s">
        <v>6480</v>
      </c>
      <c r="D282" t="s">
        <v>6480</v>
      </c>
      <c r="E282">
        <v>327420</v>
      </c>
      <c r="F282" t="s">
        <v>6481</v>
      </c>
      <c r="G282" t="s">
        <v>6482</v>
      </c>
      <c r="H282" t="s">
        <v>661</v>
      </c>
      <c r="I282" t="s">
        <v>1487</v>
      </c>
      <c r="J282" t="s">
        <v>1488</v>
      </c>
      <c r="K282" t="s">
        <v>1489</v>
      </c>
      <c r="L282" t="s">
        <v>5888</v>
      </c>
      <c r="M282" t="s">
        <v>5889</v>
      </c>
      <c r="N282" t="s">
        <v>6483</v>
      </c>
    </row>
    <row r="283" spans="1:14" x14ac:dyDescent="0.25">
      <c r="A283">
        <v>1998</v>
      </c>
      <c r="B283">
        <v>3623</v>
      </c>
      <c r="C283" t="s">
        <v>6484</v>
      </c>
      <c r="D283" t="s">
        <v>6485</v>
      </c>
      <c r="E283">
        <v>331529</v>
      </c>
      <c r="F283" t="s">
        <v>760</v>
      </c>
      <c r="G283" t="s">
        <v>761</v>
      </c>
      <c r="H283" t="s">
        <v>79</v>
      </c>
      <c r="I283" t="s">
        <v>177</v>
      </c>
      <c r="J283" t="s">
        <v>178</v>
      </c>
      <c r="K283" t="s">
        <v>179</v>
      </c>
      <c r="L283" t="s">
        <v>5828</v>
      </c>
      <c r="M283" t="s">
        <v>5829</v>
      </c>
      <c r="N283" t="s">
        <v>6486</v>
      </c>
    </row>
    <row r="284" spans="1:14" x14ac:dyDescent="0.25">
      <c r="A284">
        <v>2012</v>
      </c>
      <c r="B284">
        <v>1755</v>
      </c>
      <c r="C284" t="s">
        <v>1027</v>
      </c>
      <c r="D284" t="s">
        <v>6137</v>
      </c>
      <c r="E284">
        <v>211113</v>
      </c>
      <c r="F284" t="s">
        <v>786</v>
      </c>
      <c r="G284" t="s">
        <v>426</v>
      </c>
      <c r="H284" t="s">
        <v>85</v>
      </c>
      <c r="I284" t="s">
        <v>271</v>
      </c>
      <c r="J284" t="s">
        <v>272</v>
      </c>
      <c r="K284" t="s">
        <v>273</v>
      </c>
      <c r="L284" t="s">
        <v>5846</v>
      </c>
      <c r="M284" t="s">
        <v>5847</v>
      </c>
      <c r="N284" t="s">
        <v>6487</v>
      </c>
    </row>
    <row r="285" spans="1:14" x14ac:dyDescent="0.25">
      <c r="A285">
        <v>2003</v>
      </c>
      <c r="B285">
        <v>10236</v>
      </c>
      <c r="C285" t="s">
        <v>125</v>
      </c>
      <c r="D285" t="s">
        <v>6488</v>
      </c>
      <c r="E285">
        <v>412110</v>
      </c>
      <c r="F285" t="s">
        <v>346</v>
      </c>
      <c r="G285" t="s">
        <v>347</v>
      </c>
      <c r="H285" t="s">
        <v>69</v>
      </c>
      <c r="I285" t="s">
        <v>70</v>
      </c>
      <c r="J285" t="s">
        <v>71</v>
      </c>
      <c r="K285" t="s">
        <v>72</v>
      </c>
      <c r="L285" t="s">
        <v>5846</v>
      </c>
      <c r="M285" t="s">
        <v>5847</v>
      </c>
      <c r="N285" t="s">
        <v>6489</v>
      </c>
    </row>
    <row r="286" spans="1:14" x14ac:dyDescent="0.25">
      <c r="A286">
        <v>2020</v>
      </c>
      <c r="B286">
        <v>7646</v>
      </c>
      <c r="C286" t="s">
        <v>5886</v>
      </c>
      <c r="D286" t="s">
        <v>5887</v>
      </c>
      <c r="E286">
        <v>221320</v>
      </c>
      <c r="F286" t="s">
        <v>146</v>
      </c>
      <c r="G286" t="s">
        <v>147</v>
      </c>
      <c r="H286" t="s">
        <v>21</v>
      </c>
      <c r="I286" t="s">
        <v>402</v>
      </c>
      <c r="J286" t="s">
        <v>403</v>
      </c>
      <c r="K286" t="s">
        <v>404</v>
      </c>
      <c r="L286" t="s">
        <v>5888</v>
      </c>
      <c r="M286" t="s">
        <v>5889</v>
      </c>
      <c r="N286" t="s">
        <v>6490</v>
      </c>
    </row>
    <row r="287" spans="1:14" x14ac:dyDescent="0.25">
      <c r="A287">
        <v>2020</v>
      </c>
      <c r="B287">
        <v>10219</v>
      </c>
      <c r="C287" t="s">
        <v>125</v>
      </c>
      <c r="D287" t="s">
        <v>746</v>
      </c>
      <c r="E287">
        <v>412110</v>
      </c>
      <c r="F287" t="s">
        <v>127</v>
      </c>
      <c r="G287" t="s">
        <v>128</v>
      </c>
      <c r="H287" t="s">
        <v>21</v>
      </c>
      <c r="I287" t="s">
        <v>1174</v>
      </c>
      <c r="J287" t="s">
        <v>1175</v>
      </c>
      <c r="K287" t="s">
        <v>1176</v>
      </c>
      <c r="L287" t="s">
        <v>5875</v>
      </c>
      <c r="M287" t="s">
        <v>5876</v>
      </c>
      <c r="N287" t="s">
        <v>6491</v>
      </c>
    </row>
    <row r="288" spans="1:14" x14ac:dyDescent="0.25">
      <c r="A288">
        <v>2004</v>
      </c>
      <c r="B288">
        <v>8003</v>
      </c>
      <c r="C288" t="s">
        <v>3507</v>
      </c>
      <c r="D288" t="s">
        <v>3508</v>
      </c>
      <c r="E288">
        <v>221112</v>
      </c>
      <c r="F288" t="s">
        <v>134</v>
      </c>
      <c r="G288" t="s">
        <v>135</v>
      </c>
      <c r="H288" t="s">
        <v>661</v>
      </c>
      <c r="I288" t="s">
        <v>1369</v>
      </c>
      <c r="J288" t="s">
        <v>1370</v>
      </c>
      <c r="K288" t="s">
        <v>1371</v>
      </c>
      <c r="L288" t="s">
        <v>5828</v>
      </c>
      <c r="M288" t="s">
        <v>5829</v>
      </c>
      <c r="N288" t="s">
        <v>6492</v>
      </c>
    </row>
    <row r="289" spans="1:14" x14ac:dyDescent="0.25">
      <c r="A289">
        <v>2015</v>
      </c>
      <c r="B289">
        <v>2984</v>
      </c>
      <c r="C289" t="s">
        <v>5334</v>
      </c>
      <c r="D289" t="s">
        <v>5335</v>
      </c>
      <c r="E289">
        <v>331110</v>
      </c>
      <c r="F289" t="s">
        <v>627</v>
      </c>
      <c r="G289" t="s">
        <v>336</v>
      </c>
      <c r="H289" t="s">
        <v>21</v>
      </c>
      <c r="I289" t="s">
        <v>622</v>
      </c>
      <c r="J289" t="s">
        <v>623</v>
      </c>
      <c r="K289" t="s">
        <v>624</v>
      </c>
      <c r="L289" t="s">
        <v>5875</v>
      </c>
      <c r="M289" t="s">
        <v>5876</v>
      </c>
      <c r="N289" t="s">
        <v>6493</v>
      </c>
    </row>
    <row r="290" spans="1:14" x14ac:dyDescent="0.25">
      <c r="A290">
        <v>2018</v>
      </c>
      <c r="B290">
        <v>6546</v>
      </c>
      <c r="C290" t="s">
        <v>355</v>
      </c>
      <c r="D290" t="s">
        <v>356</v>
      </c>
      <c r="E290">
        <v>211142</v>
      </c>
      <c r="F290" t="s">
        <v>357</v>
      </c>
      <c r="G290" t="s">
        <v>358</v>
      </c>
      <c r="H290" t="s">
        <v>85</v>
      </c>
      <c r="I290" t="s">
        <v>1050</v>
      </c>
      <c r="J290" t="s">
        <v>1051</v>
      </c>
      <c r="K290" t="s">
        <v>1052</v>
      </c>
      <c r="L290" t="s">
        <v>5846</v>
      </c>
      <c r="M290" t="s">
        <v>5847</v>
      </c>
      <c r="N290" t="s">
        <v>6494</v>
      </c>
    </row>
    <row r="291" spans="1:14" x14ac:dyDescent="0.25">
      <c r="A291">
        <v>2016</v>
      </c>
      <c r="B291">
        <v>1340</v>
      </c>
      <c r="C291" t="s">
        <v>212</v>
      </c>
      <c r="D291" t="s">
        <v>213</v>
      </c>
      <c r="E291">
        <v>221320</v>
      </c>
      <c r="F291" t="s">
        <v>146</v>
      </c>
      <c r="G291" t="s">
        <v>147</v>
      </c>
      <c r="H291" t="s">
        <v>69</v>
      </c>
      <c r="I291" t="s">
        <v>97</v>
      </c>
      <c r="J291" t="s">
        <v>98</v>
      </c>
      <c r="K291" t="s">
        <v>99</v>
      </c>
      <c r="L291" t="s">
        <v>5875</v>
      </c>
      <c r="M291" t="s">
        <v>5876</v>
      </c>
      <c r="N291" t="s">
        <v>6495</v>
      </c>
    </row>
    <row r="292" spans="1:14" x14ac:dyDescent="0.25">
      <c r="A292">
        <v>2007</v>
      </c>
      <c r="B292">
        <v>18749</v>
      </c>
      <c r="C292" t="s">
        <v>947</v>
      </c>
      <c r="D292" t="s">
        <v>6496</v>
      </c>
      <c r="E292">
        <v>211113</v>
      </c>
      <c r="F292" t="s">
        <v>425</v>
      </c>
      <c r="G292" t="s">
        <v>426</v>
      </c>
      <c r="H292" t="s">
        <v>85</v>
      </c>
      <c r="I292" t="s">
        <v>1421</v>
      </c>
      <c r="J292" t="s">
        <v>1422</v>
      </c>
      <c r="K292" t="s">
        <v>1423</v>
      </c>
      <c r="L292" t="s">
        <v>5828</v>
      </c>
      <c r="M292" t="s">
        <v>5829</v>
      </c>
      <c r="N292" t="s">
        <v>6497</v>
      </c>
    </row>
    <row r="293" spans="1:14" x14ac:dyDescent="0.25">
      <c r="A293">
        <v>2011</v>
      </c>
      <c r="B293">
        <v>8596</v>
      </c>
      <c r="C293" t="s">
        <v>2279</v>
      </c>
      <c r="D293" t="s">
        <v>2279</v>
      </c>
      <c r="E293">
        <v>311614</v>
      </c>
      <c r="F293" t="s">
        <v>5989</v>
      </c>
      <c r="G293" t="s">
        <v>5990</v>
      </c>
      <c r="H293" t="s">
        <v>79</v>
      </c>
      <c r="I293" t="s">
        <v>1369</v>
      </c>
      <c r="J293" t="s">
        <v>1370</v>
      </c>
      <c r="K293" t="s">
        <v>1371</v>
      </c>
      <c r="L293" t="s">
        <v>5828</v>
      </c>
      <c r="M293" t="s">
        <v>5829</v>
      </c>
      <c r="N293" t="s">
        <v>6498</v>
      </c>
    </row>
    <row r="294" spans="1:14" x14ac:dyDescent="0.25">
      <c r="A294">
        <v>2021</v>
      </c>
      <c r="B294">
        <v>7807</v>
      </c>
      <c r="C294" t="s">
        <v>3099</v>
      </c>
      <c r="D294" t="s">
        <v>3100</v>
      </c>
      <c r="E294">
        <v>221122</v>
      </c>
      <c r="F294" t="s">
        <v>573</v>
      </c>
      <c r="G294" t="s">
        <v>574</v>
      </c>
      <c r="H294" t="s">
        <v>69</v>
      </c>
      <c r="I294" t="s">
        <v>1533</v>
      </c>
      <c r="J294" t="s">
        <v>1534</v>
      </c>
      <c r="K294" t="s">
        <v>1535</v>
      </c>
      <c r="L294" t="s">
        <v>5828</v>
      </c>
      <c r="M294" t="s">
        <v>5829</v>
      </c>
      <c r="N294" t="s">
        <v>6499</v>
      </c>
    </row>
    <row r="295" spans="1:14" x14ac:dyDescent="0.25">
      <c r="A295">
        <v>2002</v>
      </c>
      <c r="B295">
        <v>5347</v>
      </c>
      <c r="C295" t="s">
        <v>6500</v>
      </c>
      <c r="D295" t="s">
        <v>6501</v>
      </c>
      <c r="E295">
        <v>221320</v>
      </c>
      <c r="F295" t="s">
        <v>390</v>
      </c>
      <c r="G295" t="s">
        <v>147</v>
      </c>
      <c r="H295" t="s">
        <v>243</v>
      </c>
      <c r="I295" t="s">
        <v>106</v>
      </c>
      <c r="J295" t="s">
        <v>107</v>
      </c>
      <c r="K295" t="s">
        <v>108</v>
      </c>
      <c r="L295" t="s">
        <v>5828</v>
      </c>
      <c r="M295" t="s">
        <v>5829</v>
      </c>
      <c r="N295" t="s">
        <v>6502</v>
      </c>
    </row>
    <row r="296" spans="1:14" x14ac:dyDescent="0.25">
      <c r="A296">
        <v>2020</v>
      </c>
      <c r="B296">
        <v>29759</v>
      </c>
      <c r="C296" t="s">
        <v>2283</v>
      </c>
      <c r="D296" t="s">
        <v>6503</v>
      </c>
      <c r="E296">
        <v>211110</v>
      </c>
      <c r="F296" t="s">
        <v>233</v>
      </c>
      <c r="G296" t="s">
        <v>234</v>
      </c>
      <c r="H296" t="s">
        <v>85</v>
      </c>
      <c r="I296" t="s">
        <v>1441</v>
      </c>
      <c r="J296" t="s">
        <v>1442</v>
      </c>
      <c r="K296" t="s">
        <v>1443</v>
      </c>
      <c r="L296" t="s">
        <v>5828</v>
      </c>
      <c r="M296" t="s">
        <v>5829</v>
      </c>
      <c r="N296" t="s">
        <v>6504</v>
      </c>
    </row>
    <row r="297" spans="1:14" x14ac:dyDescent="0.25">
      <c r="A297">
        <v>2014</v>
      </c>
      <c r="B297">
        <v>6662</v>
      </c>
      <c r="C297" t="s">
        <v>806</v>
      </c>
      <c r="D297" t="s">
        <v>542</v>
      </c>
      <c r="E297">
        <v>412110</v>
      </c>
      <c r="F297" t="s">
        <v>127</v>
      </c>
      <c r="G297" t="s">
        <v>128</v>
      </c>
      <c r="H297" t="s">
        <v>54</v>
      </c>
      <c r="I297" t="s">
        <v>70</v>
      </c>
      <c r="J297" t="s">
        <v>71</v>
      </c>
      <c r="K297" t="s">
        <v>72</v>
      </c>
      <c r="L297" t="s">
        <v>5875</v>
      </c>
      <c r="M297" t="s">
        <v>5876</v>
      </c>
      <c r="N297" t="s">
        <v>6505</v>
      </c>
    </row>
    <row r="298" spans="1:14" x14ac:dyDescent="0.25">
      <c r="A298">
        <v>1998</v>
      </c>
      <c r="B298">
        <v>4849</v>
      </c>
      <c r="C298" t="s">
        <v>6506</v>
      </c>
      <c r="D298" t="s">
        <v>6507</v>
      </c>
      <c r="E298">
        <v>326193</v>
      </c>
      <c r="F298" t="s">
        <v>19</v>
      </c>
      <c r="G298" t="s">
        <v>20</v>
      </c>
      <c r="H298" t="s">
        <v>21</v>
      </c>
      <c r="I298" t="s">
        <v>70</v>
      </c>
      <c r="J298" t="s">
        <v>71</v>
      </c>
      <c r="K298" t="s">
        <v>72</v>
      </c>
      <c r="L298" t="s">
        <v>5828</v>
      </c>
      <c r="M298" t="s">
        <v>5829</v>
      </c>
      <c r="N298" t="s">
        <v>6508</v>
      </c>
    </row>
    <row r="299" spans="1:14" x14ac:dyDescent="0.25">
      <c r="A299">
        <v>2018</v>
      </c>
      <c r="B299">
        <v>6040</v>
      </c>
      <c r="C299" t="s">
        <v>6509</v>
      </c>
      <c r="D299" t="s">
        <v>6510</v>
      </c>
      <c r="E299">
        <v>312120</v>
      </c>
      <c r="F299" t="s">
        <v>6511</v>
      </c>
      <c r="G299" t="s">
        <v>6512</v>
      </c>
      <c r="H299" t="s">
        <v>1625</v>
      </c>
      <c r="I299" t="s">
        <v>337</v>
      </c>
      <c r="J299" t="s">
        <v>338</v>
      </c>
      <c r="K299" t="s">
        <v>339</v>
      </c>
      <c r="L299" t="s">
        <v>5828</v>
      </c>
      <c r="M299" t="s">
        <v>5829</v>
      </c>
      <c r="N299" t="s">
        <v>6513</v>
      </c>
    </row>
    <row r="300" spans="1:14" x14ac:dyDescent="0.25">
      <c r="A300">
        <v>2013</v>
      </c>
      <c r="B300">
        <v>5308</v>
      </c>
      <c r="C300" t="s">
        <v>144</v>
      </c>
      <c r="D300" t="s">
        <v>503</v>
      </c>
      <c r="E300">
        <v>221320</v>
      </c>
      <c r="F300" t="s">
        <v>146</v>
      </c>
      <c r="G300" t="s">
        <v>147</v>
      </c>
      <c r="H300" t="s">
        <v>85</v>
      </c>
      <c r="I300" t="s">
        <v>97</v>
      </c>
      <c r="J300" t="s">
        <v>98</v>
      </c>
      <c r="K300" t="s">
        <v>99</v>
      </c>
      <c r="L300" t="s">
        <v>5888</v>
      </c>
      <c r="M300" t="s">
        <v>5889</v>
      </c>
      <c r="N300" t="s">
        <v>6514</v>
      </c>
    </row>
    <row r="301" spans="1:14" x14ac:dyDescent="0.25">
      <c r="A301">
        <v>2018</v>
      </c>
      <c r="B301">
        <v>28630</v>
      </c>
      <c r="C301" t="s">
        <v>6515</v>
      </c>
      <c r="D301" t="s">
        <v>6516</v>
      </c>
      <c r="E301">
        <v>211110</v>
      </c>
      <c r="F301" t="s">
        <v>233</v>
      </c>
      <c r="G301" t="s">
        <v>234</v>
      </c>
      <c r="H301" t="s">
        <v>85</v>
      </c>
      <c r="I301" t="s">
        <v>1413</v>
      </c>
      <c r="J301" t="s">
        <v>1414</v>
      </c>
      <c r="K301" t="s">
        <v>1415</v>
      </c>
      <c r="L301" t="s">
        <v>6111</v>
      </c>
      <c r="M301" t="s">
        <v>6112</v>
      </c>
      <c r="N301" t="s">
        <v>6517</v>
      </c>
    </row>
    <row r="302" spans="1:14" x14ac:dyDescent="0.25">
      <c r="A302">
        <v>2019</v>
      </c>
      <c r="B302">
        <v>2788</v>
      </c>
      <c r="C302" t="s">
        <v>4352</v>
      </c>
      <c r="D302" t="s">
        <v>6518</v>
      </c>
      <c r="E302">
        <v>331313</v>
      </c>
      <c r="F302" t="s">
        <v>1405</v>
      </c>
      <c r="G302" t="s">
        <v>1132</v>
      </c>
      <c r="H302" t="s">
        <v>69</v>
      </c>
      <c r="I302" t="s">
        <v>367</v>
      </c>
      <c r="J302" t="s">
        <v>368</v>
      </c>
      <c r="K302" t="s">
        <v>369</v>
      </c>
      <c r="L302" t="s">
        <v>5875</v>
      </c>
      <c r="M302" t="s">
        <v>5876</v>
      </c>
      <c r="N302" t="s">
        <v>6519</v>
      </c>
    </row>
    <row r="303" spans="1:14" x14ac:dyDescent="0.25">
      <c r="A303">
        <v>2008</v>
      </c>
      <c r="B303">
        <v>16878</v>
      </c>
      <c r="C303" t="s">
        <v>6520</v>
      </c>
      <c r="D303" t="s">
        <v>6521</v>
      </c>
      <c r="E303">
        <v>211113</v>
      </c>
      <c r="F303" t="s">
        <v>425</v>
      </c>
      <c r="G303" t="s">
        <v>426</v>
      </c>
      <c r="H303" t="s">
        <v>85</v>
      </c>
      <c r="I303" t="s">
        <v>1457</v>
      </c>
      <c r="J303" t="s">
        <v>1458</v>
      </c>
      <c r="K303" t="s">
        <v>1459</v>
      </c>
      <c r="L303" t="s">
        <v>5828</v>
      </c>
      <c r="M303" t="s">
        <v>5829</v>
      </c>
      <c r="N303" t="s">
        <v>6522</v>
      </c>
    </row>
    <row r="304" spans="1:14" x14ac:dyDescent="0.25">
      <c r="A304">
        <v>2008</v>
      </c>
      <c r="B304">
        <v>15445</v>
      </c>
      <c r="C304" t="s">
        <v>6523</v>
      </c>
      <c r="D304" t="s">
        <v>6524</v>
      </c>
      <c r="E304">
        <v>211113</v>
      </c>
      <c r="F304" t="s">
        <v>425</v>
      </c>
      <c r="G304" t="s">
        <v>426</v>
      </c>
      <c r="H304" t="s">
        <v>85</v>
      </c>
      <c r="I304" t="s">
        <v>1457</v>
      </c>
      <c r="J304" t="s">
        <v>1458</v>
      </c>
      <c r="K304" t="s">
        <v>1459</v>
      </c>
      <c r="L304" t="s">
        <v>5828</v>
      </c>
      <c r="M304" t="s">
        <v>5829</v>
      </c>
      <c r="N304" t="s">
        <v>6525</v>
      </c>
    </row>
    <row r="305" spans="1:14" x14ac:dyDescent="0.25">
      <c r="A305">
        <v>2014</v>
      </c>
      <c r="B305">
        <v>26407</v>
      </c>
      <c r="C305" t="s">
        <v>6526</v>
      </c>
      <c r="D305" t="s">
        <v>6527</v>
      </c>
      <c r="E305">
        <v>221112</v>
      </c>
      <c r="F305" t="s">
        <v>499</v>
      </c>
      <c r="G305" t="s">
        <v>135</v>
      </c>
      <c r="H305" t="s">
        <v>21</v>
      </c>
      <c r="I305" t="s">
        <v>1533</v>
      </c>
      <c r="J305" t="s">
        <v>1534</v>
      </c>
      <c r="K305" t="s">
        <v>1535</v>
      </c>
      <c r="L305" t="s">
        <v>5828</v>
      </c>
      <c r="M305" t="s">
        <v>5829</v>
      </c>
      <c r="N305" t="s">
        <v>6528</v>
      </c>
    </row>
    <row r="306" spans="1:14" x14ac:dyDescent="0.25">
      <c r="A306">
        <v>2017</v>
      </c>
      <c r="B306">
        <v>3419</v>
      </c>
      <c r="C306" t="s">
        <v>856</v>
      </c>
      <c r="D306" t="s">
        <v>926</v>
      </c>
      <c r="E306">
        <v>336110</v>
      </c>
      <c r="F306" t="s">
        <v>43</v>
      </c>
      <c r="G306" t="s">
        <v>44</v>
      </c>
      <c r="H306" t="s">
        <v>21</v>
      </c>
      <c r="I306" t="s">
        <v>668</v>
      </c>
      <c r="J306" t="s">
        <v>669</v>
      </c>
      <c r="K306" t="s">
        <v>670</v>
      </c>
      <c r="L306" t="s">
        <v>5846</v>
      </c>
      <c r="M306" t="s">
        <v>5847</v>
      </c>
      <c r="N306" t="s">
        <v>6529</v>
      </c>
    </row>
    <row r="307" spans="1:14" x14ac:dyDescent="0.25">
      <c r="A307">
        <v>2014</v>
      </c>
      <c r="B307">
        <v>577</v>
      </c>
      <c r="C307" t="s">
        <v>6530</v>
      </c>
      <c r="D307" t="s">
        <v>2128</v>
      </c>
      <c r="E307">
        <v>325410</v>
      </c>
      <c r="F307" t="s">
        <v>1208</v>
      </c>
      <c r="G307" t="s">
        <v>219</v>
      </c>
      <c r="H307" t="s">
        <v>21</v>
      </c>
      <c r="I307" t="s">
        <v>310</v>
      </c>
      <c r="J307" t="s">
        <v>311</v>
      </c>
      <c r="K307" t="s">
        <v>312</v>
      </c>
      <c r="L307" t="s">
        <v>5828</v>
      </c>
      <c r="M307" t="s">
        <v>5829</v>
      </c>
      <c r="N307" t="s">
        <v>6531</v>
      </c>
    </row>
    <row r="308" spans="1:14" x14ac:dyDescent="0.25">
      <c r="A308">
        <v>2007</v>
      </c>
      <c r="B308">
        <v>1620</v>
      </c>
      <c r="C308" t="s">
        <v>6532</v>
      </c>
      <c r="D308" t="s">
        <v>6533</v>
      </c>
      <c r="E308">
        <v>322111</v>
      </c>
      <c r="F308" t="s">
        <v>1077</v>
      </c>
      <c r="G308" t="s">
        <v>1078</v>
      </c>
      <c r="H308" t="s">
        <v>661</v>
      </c>
      <c r="I308" t="s">
        <v>324</v>
      </c>
      <c r="J308" t="s">
        <v>325</v>
      </c>
      <c r="K308" t="s">
        <v>326</v>
      </c>
      <c r="L308" t="s">
        <v>5828</v>
      </c>
      <c r="M308" t="s">
        <v>5829</v>
      </c>
      <c r="N308" t="s">
        <v>6534</v>
      </c>
    </row>
    <row r="309" spans="1:14" x14ac:dyDescent="0.25">
      <c r="A309">
        <v>2006</v>
      </c>
      <c r="B309">
        <v>4768</v>
      </c>
      <c r="C309" t="s">
        <v>1136</v>
      </c>
      <c r="D309" t="s">
        <v>1137</v>
      </c>
      <c r="E309">
        <v>562210</v>
      </c>
      <c r="F309" t="s">
        <v>52</v>
      </c>
      <c r="G309" t="s">
        <v>53</v>
      </c>
      <c r="H309" t="s">
        <v>21</v>
      </c>
      <c r="I309" t="s">
        <v>244</v>
      </c>
      <c r="J309" t="s">
        <v>245</v>
      </c>
      <c r="K309" t="s">
        <v>246</v>
      </c>
      <c r="L309" t="s">
        <v>5828</v>
      </c>
      <c r="M309" t="s">
        <v>5829</v>
      </c>
      <c r="N309" t="s">
        <v>6535</v>
      </c>
    </row>
    <row r="310" spans="1:14" x14ac:dyDescent="0.25">
      <c r="A310">
        <v>2019</v>
      </c>
      <c r="B310">
        <v>30917</v>
      </c>
      <c r="C310" t="s">
        <v>6536</v>
      </c>
      <c r="D310" t="s">
        <v>6537</v>
      </c>
      <c r="E310">
        <v>211110</v>
      </c>
      <c r="F310" t="s">
        <v>233</v>
      </c>
      <c r="G310" t="s">
        <v>234</v>
      </c>
      <c r="H310" t="s">
        <v>85</v>
      </c>
      <c r="I310" t="s">
        <v>1369</v>
      </c>
      <c r="J310" t="s">
        <v>1370</v>
      </c>
      <c r="K310" t="s">
        <v>1371</v>
      </c>
      <c r="L310" t="s">
        <v>5888</v>
      </c>
      <c r="M310" t="s">
        <v>5889</v>
      </c>
      <c r="N310" t="s">
        <v>6538</v>
      </c>
    </row>
    <row r="311" spans="1:14" x14ac:dyDescent="0.25">
      <c r="A311">
        <v>2017</v>
      </c>
      <c r="B311">
        <v>397</v>
      </c>
      <c r="C311" t="s">
        <v>41</v>
      </c>
      <c r="D311" t="s">
        <v>42</v>
      </c>
      <c r="E311">
        <v>336110</v>
      </c>
      <c r="F311" t="s">
        <v>43</v>
      </c>
      <c r="G311" t="s">
        <v>44</v>
      </c>
      <c r="H311" t="s">
        <v>21</v>
      </c>
      <c r="I311" t="s">
        <v>520</v>
      </c>
      <c r="J311" t="s">
        <v>521</v>
      </c>
      <c r="K311" t="s">
        <v>522</v>
      </c>
      <c r="L311" t="s">
        <v>5846</v>
      </c>
      <c r="M311" t="s">
        <v>5847</v>
      </c>
      <c r="N311" t="s">
        <v>6539</v>
      </c>
    </row>
    <row r="312" spans="1:14" x14ac:dyDescent="0.25">
      <c r="A312">
        <v>2018</v>
      </c>
      <c r="B312">
        <v>4316</v>
      </c>
      <c r="C312" t="s">
        <v>5244</v>
      </c>
      <c r="D312" t="s">
        <v>5245</v>
      </c>
      <c r="E312">
        <v>324110</v>
      </c>
      <c r="F312" t="s">
        <v>196</v>
      </c>
      <c r="G312" t="s">
        <v>96</v>
      </c>
      <c r="H312" t="s">
        <v>1625</v>
      </c>
      <c r="I312" t="s">
        <v>1413</v>
      </c>
      <c r="J312" t="s">
        <v>1414</v>
      </c>
      <c r="K312" t="s">
        <v>1415</v>
      </c>
      <c r="L312" t="s">
        <v>5828</v>
      </c>
      <c r="M312" t="s">
        <v>5829</v>
      </c>
      <c r="N312" t="s">
        <v>6540</v>
      </c>
    </row>
    <row r="313" spans="1:14" x14ac:dyDescent="0.25">
      <c r="A313">
        <v>2023</v>
      </c>
      <c r="B313">
        <v>23196</v>
      </c>
      <c r="C313" t="s">
        <v>1704</v>
      </c>
      <c r="D313" t="s">
        <v>6541</v>
      </c>
      <c r="E313">
        <v>211110</v>
      </c>
      <c r="F313" t="s">
        <v>233</v>
      </c>
      <c r="G313" t="s">
        <v>234</v>
      </c>
      <c r="H313" t="s">
        <v>69</v>
      </c>
      <c r="I313" t="s">
        <v>1457</v>
      </c>
      <c r="J313" t="s">
        <v>1680</v>
      </c>
      <c r="K313" t="s">
        <v>1681</v>
      </c>
      <c r="L313" t="s">
        <v>5828</v>
      </c>
      <c r="M313" t="s">
        <v>5829</v>
      </c>
      <c r="N313" t="s">
        <v>6542</v>
      </c>
    </row>
    <row r="314" spans="1:14" x14ac:dyDescent="0.25">
      <c r="A314">
        <v>2003</v>
      </c>
      <c r="B314">
        <v>1861</v>
      </c>
      <c r="C314" t="s">
        <v>909</v>
      </c>
      <c r="D314" t="s">
        <v>825</v>
      </c>
      <c r="E314">
        <v>221112</v>
      </c>
      <c r="F314" t="s">
        <v>134</v>
      </c>
      <c r="G314" t="s">
        <v>135</v>
      </c>
      <c r="H314" t="s">
        <v>21</v>
      </c>
      <c r="I314" t="s">
        <v>847</v>
      </c>
      <c r="J314" t="s">
        <v>848</v>
      </c>
      <c r="K314" t="s">
        <v>849</v>
      </c>
      <c r="L314" t="s">
        <v>5846</v>
      </c>
      <c r="M314" t="s">
        <v>5847</v>
      </c>
      <c r="N314" t="s">
        <v>6543</v>
      </c>
    </row>
    <row r="315" spans="1:14" x14ac:dyDescent="0.25">
      <c r="A315">
        <v>2022</v>
      </c>
      <c r="B315">
        <v>2081</v>
      </c>
      <c r="C315" t="s">
        <v>497</v>
      </c>
      <c r="D315" t="s">
        <v>6166</v>
      </c>
      <c r="E315">
        <v>221112</v>
      </c>
      <c r="F315" t="s">
        <v>499</v>
      </c>
      <c r="G315" t="s">
        <v>135</v>
      </c>
      <c r="H315" t="s">
        <v>243</v>
      </c>
      <c r="I315" t="s">
        <v>177</v>
      </c>
      <c r="J315" t="s">
        <v>178</v>
      </c>
      <c r="K315" t="s">
        <v>179</v>
      </c>
      <c r="L315" t="s">
        <v>5828</v>
      </c>
      <c r="M315" t="s">
        <v>5829</v>
      </c>
      <c r="N315" t="s">
        <v>6167</v>
      </c>
    </row>
    <row r="316" spans="1:14" x14ac:dyDescent="0.25">
      <c r="A316">
        <v>2014</v>
      </c>
      <c r="B316">
        <v>3751</v>
      </c>
      <c r="C316" t="s">
        <v>892</v>
      </c>
      <c r="D316" t="s">
        <v>2178</v>
      </c>
      <c r="E316">
        <v>211113</v>
      </c>
      <c r="F316" t="s">
        <v>786</v>
      </c>
      <c r="G316" t="s">
        <v>426</v>
      </c>
      <c r="H316" t="s">
        <v>85</v>
      </c>
      <c r="I316" t="s">
        <v>70</v>
      </c>
      <c r="J316" t="s">
        <v>71</v>
      </c>
      <c r="K316" t="s">
        <v>72</v>
      </c>
      <c r="L316" t="s">
        <v>5828</v>
      </c>
      <c r="M316" t="s">
        <v>5829</v>
      </c>
      <c r="N316" t="s">
        <v>6544</v>
      </c>
    </row>
    <row r="317" spans="1:14" x14ac:dyDescent="0.25">
      <c r="A317">
        <v>2014</v>
      </c>
      <c r="B317">
        <v>4819</v>
      </c>
      <c r="C317" t="s">
        <v>6545</v>
      </c>
      <c r="D317" t="s">
        <v>6546</v>
      </c>
      <c r="E317">
        <v>331514</v>
      </c>
      <c r="F317" t="s">
        <v>292</v>
      </c>
      <c r="G317" t="s">
        <v>293</v>
      </c>
      <c r="H317" t="s">
        <v>79</v>
      </c>
      <c r="I317" t="s">
        <v>80</v>
      </c>
      <c r="J317" t="s">
        <v>81</v>
      </c>
      <c r="K317" t="s">
        <v>82</v>
      </c>
      <c r="L317" t="s">
        <v>5888</v>
      </c>
      <c r="M317" t="s">
        <v>5889</v>
      </c>
      <c r="N317" t="s">
        <v>6547</v>
      </c>
    </row>
    <row r="318" spans="1:14" x14ac:dyDescent="0.25">
      <c r="A318">
        <v>1999</v>
      </c>
      <c r="B318">
        <v>4642</v>
      </c>
      <c r="C318" t="s">
        <v>284</v>
      </c>
      <c r="E318">
        <v>331222</v>
      </c>
      <c r="F318" t="s">
        <v>946</v>
      </c>
      <c r="G318" t="s">
        <v>287</v>
      </c>
      <c r="H318" t="s">
        <v>21</v>
      </c>
      <c r="I318" t="s">
        <v>209</v>
      </c>
      <c r="J318" t="s">
        <v>210</v>
      </c>
      <c r="K318" t="s">
        <v>211</v>
      </c>
      <c r="L318" t="s">
        <v>5828</v>
      </c>
      <c r="M318" t="s">
        <v>5829</v>
      </c>
      <c r="N318" t="s">
        <v>6548</v>
      </c>
    </row>
    <row r="319" spans="1:14" x14ac:dyDescent="0.25">
      <c r="A319">
        <v>2010</v>
      </c>
      <c r="B319">
        <v>6130</v>
      </c>
      <c r="C319" t="s">
        <v>6549</v>
      </c>
      <c r="D319" t="s">
        <v>6550</v>
      </c>
      <c r="E319">
        <v>221112</v>
      </c>
      <c r="F319" t="s">
        <v>134</v>
      </c>
      <c r="G319" t="s">
        <v>135</v>
      </c>
      <c r="H319" t="s">
        <v>79</v>
      </c>
      <c r="I319" t="s">
        <v>1533</v>
      </c>
      <c r="J319" t="s">
        <v>1534</v>
      </c>
      <c r="K319" t="s">
        <v>1535</v>
      </c>
      <c r="L319" t="s">
        <v>5828</v>
      </c>
      <c r="M319" t="s">
        <v>5829</v>
      </c>
      <c r="N319" t="s">
        <v>6551</v>
      </c>
    </row>
    <row r="320" spans="1:14" x14ac:dyDescent="0.25">
      <c r="A320">
        <v>2018</v>
      </c>
      <c r="B320">
        <v>28455</v>
      </c>
      <c r="C320" t="s">
        <v>2100</v>
      </c>
      <c r="D320" t="s">
        <v>6552</v>
      </c>
      <c r="E320">
        <v>212210</v>
      </c>
      <c r="F320" t="s">
        <v>888</v>
      </c>
      <c r="G320" t="s">
        <v>889</v>
      </c>
      <c r="H320" t="s">
        <v>2102</v>
      </c>
      <c r="I320" t="s">
        <v>1017</v>
      </c>
      <c r="J320" t="s">
        <v>1018</v>
      </c>
      <c r="K320" t="s">
        <v>1019</v>
      </c>
      <c r="L320" t="s">
        <v>5828</v>
      </c>
      <c r="M320" t="s">
        <v>5829</v>
      </c>
      <c r="N320" t="s">
        <v>6553</v>
      </c>
    </row>
    <row r="321" spans="1:14" x14ac:dyDescent="0.25">
      <c r="A321">
        <v>2019</v>
      </c>
      <c r="B321">
        <v>5568</v>
      </c>
      <c r="C321" t="s">
        <v>6554</v>
      </c>
      <c r="D321" t="s">
        <v>6555</v>
      </c>
      <c r="E321">
        <v>325510</v>
      </c>
      <c r="F321" t="s">
        <v>111</v>
      </c>
      <c r="G321" t="s">
        <v>112</v>
      </c>
      <c r="H321" t="s">
        <v>79</v>
      </c>
      <c r="I321" t="s">
        <v>1180</v>
      </c>
      <c r="J321" t="s">
        <v>1181</v>
      </c>
      <c r="K321" t="s">
        <v>1182</v>
      </c>
      <c r="L321" t="s">
        <v>5828</v>
      </c>
      <c r="M321" t="s">
        <v>5829</v>
      </c>
      <c r="N321" t="s">
        <v>6556</v>
      </c>
    </row>
    <row r="322" spans="1:14" x14ac:dyDescent="0.25">
      <c r="A322">
        <v>2023</v>
      </c>
      <c r="B322">
        <v>30869</v>
      </c>
      <c r="C322" t="s">
        <v>6557</v>
      </c>
      <c r="D322" t="s">
        <v>6558</v>
      </c>
      <c r="E322">
        <v>488119</v>
      </c>
      <c r="F322" t="s">
        <v>6559</v>
      </c>
      <c r="G322" t="s">
        <v>6560</v>
      </c>
      <c r="H322" t="s">
        <v>483</v>
      </c>
      <c r="I322" t="s">
        <v>331</v>
      </c>
      <c r="J322" t="s">
        <v>332</v>
      </c>
      <c r="K322" t="s">
        <v>333</v>
      </c>
      <c r="L322" t="s">
        <v>6072</v>
      </c>
      <c r="M322" t="s">
        <v>6073</v>
      </c>
      <c r="N322" t="s">
        <v>6561</v>
      </c>
    </row>
    <row r="323" spans="1:14" x14ac:dyDescent="0.25">
      <c r="A323">
        <v>2016</v>
      </c>
      <c r="B323">
        <v>22300</v>
      </c>
      <c r="C323" t="s">
        <v>3981</v>
      </c>
      <c r="D323" t="s">
        <v>6562</v>
      </c>
      <c r="E323">
        <v>211113</v>
      </c>
      <c r="F323" t="s">
        <v>786</v>
      </c>
      <c r="G323" t="s">
        <v>426</v>
      </c>
      <c r="H323" t="s">
        <v>85</v>
      </c>
      <c r="I323" t="s">
        <v>1441</v>
      </c>
      <c r="J323" t="s">
        <v>1442</v>
      </c>
      <c r="K323" t="s">
        <v>1443</v>
      </c>
      <c r="L323" t="s">
        <v>5828</v>
      </c>
      <c r="M323" t="s">
        <v>5829</v>
      </c>
      <c r="N323" t="s">
        <v>6563</v>
      </c>
    </row>
    <row r="324" spans="1:14" x14ac:dyDescent="0.25">
      <c r="A324">
        <v>2021</v>
      </c>
      <c r="B324">
        <v>26403</v>
      </c>
      <c r="C324" t="s">
        <v>1168</v>
      </c>
      <c r="D324" t="s">
        <v>1169</v>
      </c>
      <c r="E324">
        <v>211142</v>
      </c>
      <c r="F324" t="s">
        <v>357</v>
      </c>
      <c r="G324" t="s">
        <v>358</v>
      </c>
      <c r="H324" t="s">
        <v>85</v>
      </c>
      <c r="I324" t="s">
        <v>331</v>
      </c>
      <c r="J324" t="s">
        <v>332</v>
      </c>
      <c r="K324" t="s">
        <v>333</v>
      </c>
      <c r="L324" t="s">
        <v>5846</v>
      </c>
      <c r="M324" t="s">
        <v>5847</v>
      </c>
      <c r="N324" t="s">
        <v>6564</v>
      </c>
    </row>
    <row r="325" spans="1:14" x14ac:dyDescent="0.25">
      <c r="A325">
        <v>2018</v>
      </c>
      <c r="B325">
        <v>2274</v>
      </c>
      <c r="C325" t="s">
        <v>5425</v>
      </c>
      <c r="D325" t="s">
        <v>6151</v>
      </c>
      <c r="E325">
        <v>211142</v>
      </c>
      <c r="F325" t="s">
        <v>357</v>
      </c>
      <c r="G325" t="s">
        <v>358</v>
      </c>
      <c r="H325" t="s">
        <v>85</v>
      </c>
      <c r="I325" t="s">
        <v>6565</v>
      </c>
      <c r="J325" t="s">
        <v>6566</v>
      </c>
      <c r="K325" t="s">
        <v>6566</v>
      </c>
      <c r="L325" t="s">
        <v>5828</v>
      </c>
      <c r="M325" t="s">
        <v>5829</v>
      </c>
      <c r="N325" t="s">
        <v>6567</v>
      </c>
    </row>
    <row r="326" spans="1:14" x14ac:dyDescent="0.25">
      <c r="A326">
        <v>2018</v>
      </c>
      <c r="B326">
        <v>4778</v>
      </c>
      <c r="C326" t="s">
        <v>1404</v>
      </c>
      <c r="D326" t="s">
        <v>1404</v>
      </c>
      <c r="E326">
        <v>331313</v>
      </c>
      <c r="F326" t="s">
        <v>1405</v>
      </c>
      <c r="G326" t="s">
        <v>1132</v>
      </c>
      <c r="H326" t="s">
        <v>79</v>
      </c>
      <c r="I326" t="s">
        <v>6568</v>
      </c>
      <c r="J326" t="s">
        <v>6569</v>
      </c>
      <c r="K326" t="s">
        <v>6570</v>
      </c>
      <c r="L326" t="s">
        <v>5828</v>
      </c>
      <c r="M326" t="s">
        <v>5829</v>
      </c>
      <c r="N326" t="s">
        <v>6571</v>
      </c>
    </row>
    <row r="327" spans="1:14" x14ac:dyDescent="0.25">
      <c r="A327">
        <v>2005</v>
      </c>
      <c r="B327">
        <v>18793</v>
      </c>
      <c r="C327" t="s">
        <v>1753</v>
      </c>
      <c r="D327" t="s">
        <v>6572</v>
      </c>
      <c r="E327">
        <v>211113</v>
      </c>
      <c r="F327" t="s">
        <v>425</v>
      </c>
      <c r="G327" t="s">
        <v>426</v>
      </c>
      <c r="H327" t="s">
        <v>85</v>
      </c>
      <c r="I327" t="s">
        <v>1441</v>
      </c>
      <c r="J327" t="s">
        <v>1442</v>
      </c>
      <c r="K327" t="s">
        <v>1443</v>
      </c>
      <c r="L327" t="s">
        <v>5828</v>
      </c>
      <c r="M327" t="s">
        <v>5829</v>
      </c>
      <c r="N327" t="s">
        <v>6573</v>
      </c>
    </row>
    <row r="328" spans="1:14" x14ac:dyDescent="0.25">
      <c r="A328">
        <v>2020</v>
      </c>
      <c r="B328">
        <v>2134</v>
      </c>
      <c r="C328" t="s">
        <v>1115</v>
      </c>
      <c r="D328" t="s">
        <v>1338</v>
      </c>
      <c r="E328">
        <v>325313</v>
      </c>
      <c r="F328" t="s">
        <v>1054</v>
      </c>
      <c r="G328" t="s">
        <v>1055</v>
      </c>
      <c r="H328" t="s">
        <v>85</v>
      </c>
      <c r="I328" t="s">
        <v>191</v>
      </c>
      <c r="J328" t="s">
        <v>192</v>
      </c>
      <c r="K328" t="s">
        <v>193</v>
      </c>
      <c r="L328" t="s">
        <v>5888</v>
      </c>
      <c r="M328" t="s">
        <v>5889</v>
      </c>
      <c r="N328" t="s">
        <v>6574</v>
      </c>
    </row>
    <row r="329" spans="1:14" x14ac:dyDescent="0.25">
      <c r="A329">
        <v>2016</v>
      </c>
      <c r="B329">
        <v>26314</v>
      </c>
      <c r="C329" t="s">
        <v>1614</v>
      </c>
      <c r="D329" t="s">
        <v>6575</v>
      </c>
      <c r="E329">
        <v>211113</v>
      </c>
      <c r="F329" t="s">
        <v>786</v>
      </c>
      <c r="G329" t="s">
        <v>426</v>
      </c>
      <c r="H329" t="s">
        <v>85</v>
      </c>
      <c r="I329" t="s">
        <v>1457</v>
      </c>
      <c r="J329" t="s">
        <v>1458</v>
      </c>
      <c r="K329" t="s">
        <v>1459</v>
      </c>
      <c r="L329" t="s">
        <v>5828</v>
      </c>
      <c r="M329" t="s">
        <v>5829</v>
      </c>
      <c r="N329" t="s">
        <v>6576</v>
      </c>
    </row>
    <row r="330" spans="1:14" x14ac:dyDescent="0.25">
      <c r="A330">
        <v>2019</v>
      </c>
      <c r="B330">
        <v>29162</v>
      </c>
      <c r="C330" t="s">
        <v>5140</v>
      </c>
      <c r="D330" t="s">
        <v>6577</v>
      </c>
      <c r="E330">
        <v>211110</v>
      </c>
      <c r="F330" t="s">
        <v>233</v>
      </c>
      <c r="G330" t="s">
        <v>234</v>
      </c>
      <c r="H330" t="s">
        <v>85</v>
      </c>
      <c r="I330" t="s">
        <v>1487</v>
      </c>
      <c r="J330" t="s">
        <v>1488</v>
      </c>
      <c r="K330" t="s">
        <v>1489</v>
      </c>
      <c r="L330" t="s">
        <v>5828</v>
      </c>
      <c r="M330" t="s">
        <v>5829</v>
      </c>
      <c r="N330" t="s">
        <v>6578</v>
      </c>
    </row>
    <row r="331" spans="1:14" x14ac:dyDescent="0.25">
      <c r="A331">
        <v>2022</v>
      </c>
      <c r="B331">
        <v>207</v>
      </c>
      <c r="C331" t="s">
        <v>6579</v>
      </c>
      <c r="D331" t="s">
        <v>6580</v>
      </c>
      <c r="E331">
        <v>326198</v>
      </c>
      <c r="F331" t="s">
        <v>1069</v>
      </c>
      <c r="G331" t="s">
        <v>250</v>
      </c>
      <c r="H331" t="s">
        <v>21</v>
      </c>
      <c r="I331" t="s">
        <v>1369</v>
      </c>
      <c r="J331" t="s">
        <v>1370</v>
      </c>
      <c r="K331" t="s">
        <v>1371</v>
      </c>
      <c r="L331" t="s">
        <v>5828</v>
      </c>
      <c r="M331" t="s">
        <v>5829</v>
      </c>
      <c r="N331" t="s">
        <v>6581</v>
      </c>
    </row>
    <row r="332" spans="1:14" x14ac:dyDescent="0.25">
      <c r="A332">
        <v>2002</v>
      </c>
      <c r="B332">
        <v>2349</v>
      </c>
      <c r="C332" t="s">
        <v>6582</v>
      </c>
      <c r="D332" t="s">
        <v>3161</v>
      </c>
      <c r="E332">
        <v>418410</v>
      </c>
      <c r="F332" t="s">
        <v>315</v>
      </c>
      <c r="G332" t="s">
        <v>885</v>
      </c>
      <c r="H332" t="s">
        <v>85</v>
      </c>
      <c r="I332" t="s">
        <v>778</v>
      </c>
      <c r="J332" t="s">
        <v>779</v>
      </c>
      <c r="K332" t="s">
        <v>780</v>
      </c>
      <c r="L332" t="s">
        <v>5875</v>
      </c>
      <c r="M332" t="s">
        <v>5876</v>
      </c>
      <c r="N332" t="s">
        <v>6583</v>
      </c>
    </row>
    <row r="333" spans="1:14" x14ac:dyDescent="0.25">
      <c r="A333">
        <v>2021</v>
      </c>
      <c r="B333">
        <v>30901</v>
      </c>
      <c r="C333" t="s">
        <v>6584</v>
      </c>
      <c r="D333" t="s">
        <v>6585</v>
      </c>
      <c r="E333">
        <v>211110</v>
      </c>
      <c r="F333" t="s">
        <v>233</v>
      </c>
      <c r="G333" t="s">
        <v>234</v>
      </c>
      <c r="H333" t="s">
        <v>85</v>
      </c>
      <c r="I333" t="s">
        <v>1533</v>
      </c>
      <c r="J333" t="s">
        <v>1534</v>
      </c>
      <c r="K333" t="s">
        <v>1535</v>
      </c>
      <c r="L333" t="s">
        <v>5828</v>
      </c>
      <c r="M333" t="s">
        <v>5829</v>
      </c>
      <c r="N333" t="s">
        <v>6586</v>
      </c>
    </row>
    <row r="334" spans="1:14" x14ac:dyDescent="0.25">
      <c r="A334">
        <v>1997</v>
      </c>
      <c r="B334">
        <v>4850</v>
      </c>
      <c r="C334" t="s">
        <v>6587</v>
      </c>
      <c r="E334">
        <v>325510</v>
      </c>
      <c r="F334" t="s">
        <v>143</v>
      </c>
      <c r="G334" t="s">
        <v>112</v>
      </c>
      <c r="H334" t="s">
        <v>79</v>
      </c>
      <c r="I334" t="s">
        <v>70</v>
      </c>
      <c r="J334" t="s">
        <v>71</v>
      </c>
      <c r="K334" t="s">
        <v>72</v>
      </c>
      <c r="L334" t="s">
        <v>5828</v>
      </c>
      <c r="M334" t="s">
        <v>5829</v>
      </c>
      <c r="N334" t="s">
        <v>6588</v>
      </c>
    </row>
    <row r="335" spans="1:14" x14ac:dyDescent="0.25">
      <c r="A335">
        <v>2016</v>
      </c>
      <c r="B335">
        <v>2604</v>
      </c>
      <c r="C335" t="s">
        <v>6589</v>
      </c>
      <c r="D335" t="s">
        <v>6331</v>
      </c>
      <c r="E335">
        <v>322112</v>
      </c>
      <c r="F335" t="s">
        <v>660</v>
      </c>
      <c r="G335" t="s">
        <v>621</v>
      </c>
      <c r="H335" t="s">
        <v>661</v>
      </c>
      <c r="I335" t="s">
        <v>152</v>
      </c>
      <c r="J335" t="s">
        <v>153</v>
      </c>
      <c r="K335" t="s">
        <v>154</v>
      </c>
      <c r="L335" t="s">
        <v>5828</v>
      </c>
      <c r="M335" t="s">
        <v>5829</v>
      </c>
      <c r="N335" t="s">
        <v>6590</v>
      </c>
    </row>
    <row r="336" spans="1:14" x14ac:dyDescent="0.25">
      <c r="A336">
        <v>2012</v>
      </c>
      <c r="B336">
        <v>6652</v>
      </c>
      <c r="C336" t="s">
        <v>507</v>
      </c>
      <c r="D336" t="s">
        <v>5556</v>
      </c>
      <c r="E336">
        <v>412110</v>
      </c>
      <c r="F336" t="s">
        <v>127</v>
      </c>
      <c r="G336" t="s">
        <v>128</v>
      </c>
      <c r="H336" t="s">
        <v>69</v>
      </c>
      <c r="I336" t="s">
        <v>491</v>
      </c>
      <c r="J336" t="s">
        <v>492</v>
      </c>
      <c r="K336" t="s">
        <v>492</v>
      </c>
      <c r="L336" t="s">
        <v>5828</v>
      </c>
      <c r="M336" t="s">
        <v>5829</v>
      </c>
      <c r="N336" t="s">
        <v>6591</v>
      </c>
    </row>
    <row r="337" spans="1:14" x14ac:dyDescent="0.25">
      <c r="A337">
        <v>2004</v>
      </c>
      <c r="B337">
        <v>5516</v>
      </c>
      <c r="C337" t="s">
        <v>2453</v>
      </c>
      <c r="D337" t="s">
        <v>2454</v>
      </c>
      <c r="E337">
        <v>321217</v>
      </c>
      <c r="F337" t="s">
        <v>1702</v>
      </c>
      <c r="G337" t="s">
        <v>151</v>
      </c>
      <c r="H337" t="s">
        <v>79</v>
      </c>
      <c r="I337" t="s">
        <v>1762</v>
      </c>
      <c r="J337" t="s">
        <v>1763</v>
      </c>
      <c r="K337" t="s">
        <v>1764</v>
      </c>
      <c r="L337" t="s">
        <v>5828</v>
      </c>
      <c r="M337" t="s">
        <v>5829</v>
      </c>
      <c r="N337" t="s">
        <v>6592</v>
      </c>
    </row>
    <row r="338" spans="1:14" x14ac:dyDescent="0.25">
      <c r="A338">
        <v>2020</v>
      </c>
      <c r="B338">
        <v>3753</v>
      </c>
      <c r="C338" t="s">
        <v>1027</v>
      </c>
      <c r="D338" t="s">
        <v>922</v>
      </c>
      <c r="E338">
        <v>211110</v>
      </c>
      <c r="F338" t="s">
        <v>233</v>
      </c>
      <c r="G338" t="s">
        <v>234</v>
      </c>
      <c r="H338" t="s">
        <v>85</v>
      </c>
      <c r="I338" t="s">
        <v>1533</v>
      </c>
      <c r="J338" t="s">
        <v>1534</v>
      </c>
      <c r="K338" t="s">
        <v>1535</v>
      </c>
      <c r="L338" t="s">
        <v>5828</v>
      </c>
      <c r="M338" t="s">
        <v>5829</v>
      </c>
      <c r="N338" t="s">
        <v>6593</v>
      </c>
    </row>
    <row r="339" spans="1:14" x14ac:dyDescent="0.25">
      <c r="A339">
        <v>2021</v>
      </c>
      <c r="B339">
        <v>5102</v>
      </c>
      <c r="C339" t="s">
        <v>6594</v>
      </c>
      <c r="D339" t="s">
        <v>6595</v>
      </c>
      <c r="E339">
        <v>212299</v>
      </c>
      <c r="F339" t="s">
        <v>1434</v>
      </c>
      <c r="G339" t="s">
        <v>1435</v>
      </c>
      <c r="H339" t="s">
        <v>69</v>
      </c>
      <c r="I339" t="s">
        <v>97</v>
      </c>
      <c r="J339" t="s">
        <v>98</v>
      </c>
      <c r="K339" t="s">
        <v>99</v>
      </c>
      <c r="L339" t="s">
        <v>5875</v>
      </c>
      <c r="M339" t="s">
        <v>5876</v>
      </c>
      <c r="N339" t="s">
        <v>6596</v>
      </c>
    </row>
    <row r="340" spans="1:14" x14ac:dyDescent="0.25">
      <c r="A340">
        <v>2005</v>
      </c>
      <c r="B340">
        <v>4870</v>
      </c>
      <c r="C340" t="s">
        <v>6597</v>
      </c>
      <c r="D340" t="s">
        <v>6598</v>
      </c>
      <c r="E340">
        <v>325189</v>
      </c>
      <c r="F340" t="s">
        <v>1290</v>
      </c>
      <c r="G340" t="s">
        <v>1291</v>
      </c>
      <c r="H340" t="s">
        <v>79</v>
      </c>
      <c r="I340" t="s">
        <v>1883</v>
      </c>
      <c r="J340" t="s">
        <v>1884</v>
      </c>
      <c r="K340" t="s">
        <v>1885</v>
      </c>
      <c r="L340" t="s">
        <v>5846</v>
      </c>
      <c r="M340" t="s">
        <v>5847</v>
      </c>
      <c r="N340" t="s">
        <v>6599</v>
      </c>
    </row>
    <row r="341" spans="1:14" x14ac:dyDescent="0.25">
      <c r="A341">
        <v>2019</v>
      </c>
      <c r="B341">
        <v>26380</v>
      </c>
      <c r="C341" t="s">
        <v>1614</v>
      </c>
      <c r="D341" t="s">
        <v>6600</v>
      </c>
      <c r="E341">
        <v>486110</v>
      </c>
      <c r="F341" t="s">
        <v>1616</v>
      </c>
      <c r="G341" t="s">
        <v>541</v>
      </c>
      <c r="H341" t="s">
        <v>85</v>
      </c>
      <c r="I341" t="s">
        <v>348</v>
      </c>
      <c r="J341" t="s">
        <v>349</v>
      </c>
      <c r="K341" t="s">
        <v>350</v>
      </c>
      <c r="L341" t="s">
        <v>5828</v>
      </c>
      <c r="M341" t="s">
        <v>5829</v>
      </c>
      <c r="N341" t="s">
        <v>6601</v>
      </c>
    </row>
    <row r="342" spans="1:14" x14ac:dyDescent="0.25">
      <c r="A342">
        <v>2021</v>
      </c>
      <c r="B342">
        <v>4871</v>
      </c>
      <c r="C342" t="s">
        <v>370</v>
      </c>
      <c r="D342" t="s">
        <v>382</v>
      </c>
      <c r="E342">
        <v>562210</v>
      </c>
      <c r="F342" t="s">
        <v>84</v>
      </c>
      <c r="G342" t="s">
        <v>53</v>
      </c>
      <c r="H342" t="s">
        <v>85</v>
      </c>
      <c r="I342" t="s">
        <v>55</v>
      </c>
      <c r="J342" t="s">
        <v>56</v>
      </c>
      <c r="K342" t="s">
        <v>57</v>
      </c>
      <c r="L342" t="s">
        <v>5875</v>
      </c>
      <c r="M342" t="s">
        <v>5876</v>
      </c>
      <c r="N342" t="s">
        <v>6386</v>
      </c>
    </row>
    <row r="343" spans="1:14" x14ac:dyDescent="0.25">
      <c r="A343">
        <v>2011</v>
      </c>
      <c r="B343">
        <v>2286</v>
      </c>
      <c r="C343" t="s">
        <v>2830</v>
      </c>
      <c r="D343" t="s">
        <v>6602</v>
      </c>
      <c r="E343">
        <v>221112</v>
      </c>
      <c r="F343" t="s">
        <v>134</v>
      </c>
      <c r="G343" t="s">
        <v>135</v>
      </c>
      <c r="H343" t="s">
        <v>85</v>
      </c>
      <c r="I343" t="s">
        <v>152</v>
      </c>
      <c r="J343" t="s">
        <v>153</v>
      </c>
      <c r="K343" t="s">
        <v>154</v>
      </c>
      <c r="L343" t="s">
        <v>5875</v>
      </c>
      <c r="M343" t="s">
        <v>5876</v>
      </c>
      <c r="N343" t="s">
        <v>6603</v>
      </c>
    </row>
    <row r="344" spans="1:14" x14ac:dyDescent="0.25">
      <c r="A344">
        <v>2022</v>
      </c>
      <c r="B344">
        <v>26540</v>
      </c>
      <c r="C344" t="s">
        <v>1938</v>
      </c>
      <c r="D344" t="s">
        <v>4101</v>
      </c>
      <c r="E344">
        <v>211110</v>
      </c>
      <c r="F344" t="s">
        <v>233</v>
      </c>
      <c r="G344" t="s">
        <v>234</v>
      </c>
      <c r="H344" t="s">
        <v>243</v>
      </c>
      <c r="I344" t="s">
        <v>1457</v>
      </c>
      <c r="J344" t="s">
        <v>1680</v>
      </c>
      <c r="K344" t="s">
        <v>1681</v>
      </c>
      <c r="L344" t="s">
        <v>5828</v>
      </c>
      <c r="M344" t="s">
        <v>5829</v>
      </c>
      <c r="N344" t="s">
        <v>6604</v>
      </c>
    </row>
    <row r="345" spans="1:14" x14ac:dyDescent="0.25">
      <c r="A345">
        <v>2011</v>
      </c>
      <c r="B345">
        <v>5146</v>
      </c>
      <c r="C345" t="s">
        <v>6594</v>
      </c>
      <c r="D345" t="s">
        <v>5544</v>
      </c>
      <c r="E345">
        <v>212233</v>
      </c>
      <c r="F345" t="s">
        <v>440</v>
      </c>
      <c r="G345" t="s">
        <v>441</v>
      </c>
      <c r="H345" t="s">
        <v>69</v>
      </c>
      <c r="I345" t="s">
        <v>209</v>
      </c>
      <c r="J345" t="s">
        <v>210</v>
      </c>
      <c r="K345" t="s">
        <v>211</v>
      </c>
      <c r="L345" t="s">
        <v>5875</v>
      </c>
      <c r="M345" t="s">
        <v>5876</v>
      </c>
      <c r="N345" t="s">
        <v>6605</v>
      </c>
    </row>
    <row r="346" spans="1:14" x14ac:dyDescent="0.25">
      <c r="A346">
        <v>2022</v>
      </c>
      <c r="B346">
        <v>6010</v>
      </c>
      <c r="C346" t="s">
        <v>5349</v>
      </c>
      <c r="D346" t="s">
        <v>6606</v>
      </c>
      <c r="E346">
        <v>911110</v>
      </c>
      <c r="F346" t="s">
        <v>5980</v>
      </c>
      <c r="G346" t="s">
        <v>5981</v>
      </c>
      <c r="H346" t="s">
        <v>1625</v>
      </c>
      <c r="I346" t="s">
        <v>35</v>
      </c>
      <c r="J346" t="s">
        <v>36</v>
      </c>
      <c r="K346" t="s">
        <v>37</v>
      </c>
      <c r="L346" t="s">
        <v>5888</v>
      </c>
      <c r="M346" t="s">
        <v>5889</v>
      </c>
      <c r="N346" t="s">
        <v>6607</v>
      </c>
    </row>
    <row r="347" spans="1:14" x14ac:dyDescent="0.25">
      <c r="A347">
        <v>2019</v>
      </c>
      <c r="B347">
        <v>31349</v>
      </c>
      <c r="C347" t="s">
        <v>6608</v>
      </c>
      <c r="D347" t="s">
        <v>2664</v>
      </c>
      <c r="E347">
        <v>332999</v>
      </c>
      <c r="F347" t="s">
        <v>303</v>
      </c>
      <c r="G347" t="s">
        <v>304</v>
      </c>
      <c r="H347" t="s">
        <v>85</v>
      </c>
      <c r="I347" t="s">
        <v>136</v>
      </c>
      <c r="J347" t="s">
        <v>137</v>
      </c>
      <c r="K347" t="s">
        <v>138</v>
      </c>
      <c r="L347" t="s">
        <v>5846</v>
      </c>
      <c r="M347" t="s">
        <v>5847</v>
      </c>
      <c r="N347" t="s">
        <v>6609</v>
      </c>
    </row>
    <row r="348" spans="1:14" x14ac:dyDescent="0.25">
      <c r="A348">
        <v>2007</v>
      </c>
      <c r="B348">
        <v>3571</v>
      </c>
      <c r="C348" t="s">
        <v>6610</v>
      </c>
      <c r="D348" t="s">
        <v>6611</v>
      </c>
      <c r="E348">
        <v>221320</v>
      </c>
      <c r="F348" t="s">
        <v>390</v>
      </c>
      <c r="G348" t="s">
        <v>147</v>
      </c>
      <c r="H348" t="s">
        <v>79</v>
      </c>
      <c r="I348" t="s">
        <v>152</v>
      </c>
      <c r="J348" t="s">
        <v>153</v>
      </c>
      <c r="K348" t="s">
        <v>154</v>
      </c>
      <c r="L348" t="s">
        <v>5875</v>
      </c>
      <c r="M348" t="s">
        <v>5876</v>
      </c>
      <c r="N348" t="s">
        <v>6612</v>
      </c>
    </row>
    <row r="349" spans="1:14" x14ac:dyDescent="0.25">
      <c r="A349">
        <v>2003</v>
      </c>
      <c r="B349">
        <v>2986</v>
      </c>
      <c r="C349" t="s">
        <v>6613</v>
      </c>
      <c r="E349">
        <v>331110</v>
      </c>
      <c r="F349" t="s">
        <v>335</v>
      </c>
      <c r="G349" t="s">
        <v>336</v>
      </c>
      <c r="H349" t="s">
        <v>79</v>
      </c>
      <c r="I349" t="s">
        <v>152</v>
      </c>
      <c r="J349" t="s">
        <v>153</v>
      </c>
      <c r="K349" t="s">
        <v>154</v>
      </c>
      <c r="L349" t="s">
        <v>5828</v>
      </c>
      <c r="M349" t="s">
        <v>5829</v>
      </c>
      <c r="N349" t="s">
        <v>6614</v>
      </c>
    </row>
    <row r="350" spans="1:14" x14ac:dyDescent="0.25">
      <c r="A350">
        <v>2000</v>
      </c>
      <c r="B350">
        <v>5008</v>
      </c>
      <c r="C350" t="s">
        <v>6615</v>
      </c>
      <c r="E350">
        <v>322112</v>
      </c>
      <c r="F350" t="s">
        <v>620</v>
      </c>
      <c r="G350" t="s">
        <v>621</v>
      </c>
      <c r="H350" t="s">
        <v>661</v>
      </c>
      <c r="I350" t="s">
        <v>1883</v>
      </c>
      <c r="J350" t="s">
        <v>1884</v>
      </c>
      <c r="K350" t="s">
        <v>1885</v>
      </c>
      <c r="L350" t="s">
        <v>5828</v>
      </c>
      <c r="M350" t="s">
        <v>5829</v>
      </c>
      <c r="N350" t="s">
        <v>6616</v>
      </c>
    </row>
    <row r="351" spans="1:14" x14ac:dyDescent="0.25">
      <c r="A351">
        <v>2008</v>
      </c>
      <c r="B351">
        <v>10280</v>
      </c>
      <c r="C351" t="s">
        <v>6617</v>
      </c>
      <c r="D351" t="s">
        <v>6069</v>
      </c>
      <c r="E351">
        <v>325189</v>
      </c>
      <c r="F351" t="s">
        <v>1290</v>
      </c>
      <c r="G351" t="s">
        <v>1291</v>
      </c>
      <c r="H351" t="s">
        <v>79</v>
      </c>
      <c r="I351" t="s">
        <v>1441</v>
      </c>
      <c r="J351" t="s">
        <v>1442</v>
      </c>
      <c r="K351" t="s">
        <v>1443</v>
      </c>
      <c r="L351" t="s">
        <v>5828</v>
      </c>
      <c r="M351" t="s">
        <v>5829</v>
      </c>
      <c r="N351" t="s">
        <v>6618</v>
      </c>
    </row>
    <row r="352" spans="1:14" x14ac:dyDescent="0.25">
      <c r="A352">
        <v>2022</v>
      </c>
      <c r="B352">
        <v>29514</v>
      </c>
      <c r="C352" t="s">
        <v>995</v>
      </c>
      <c r="D352" t="s">
        <v>643</v>
      </c>
      <c r="E352">
        <v>562110</v>
      </c>
      <c r="F352" t="s">
        <v>644</v>
      </c>
      <c r="G352" t="s">
        <v>645</v>
      </c>
      <c r="H352" t="s">
        <v>85</v>
      </c>
      <c r="I352" t="s">
        <v>500</v>
      </c>
      <c r="J352" t="s">
        <v>501</v>
      </c>
      <c r="K352" t="s">
        <v>502</v>
      </c>
      <c r="L352" t="s">
        <v>5828</v>
      </c>
      <c r="M352" t="s">
        <v>5829</v>
      </c>
      <c r="N352" t="s">
        <v>6619</v>
      </c>
    </row>
    <row r="353" spans="1:14" x14ac:dyDescent="0.25">
      <c r="A353">
        <v>2023</v>
      </c>
      <c r="B353">
        <v>29191</v>
      </c>
      <c r="C353" t="s">
        <v>6620</v>
      </c>
      <c r="D353" t="s">
        <v>6621</v>
      </c>
      <c r="E353">
        <v>212233</v>
      </c>
      <c r="F353" t="s">
        <v>1111</v>
      </c>
      <c r="G353" t="s">
        <v>441</v>
      </c>
      <c r="H353" t="s">
        <v>69</v>
      </c>
      <c r="I353" t="s">
        <v>35</v>
      </c>
      <c r="J353" t="s">
        <v>36</v>
      </c>
      <c r="K353" t="s">
        <v>37</v>
      </c>
      <c r="L353" t="s">
        <v>6317</v>
      </c>
      <c r="M353" t="s">
        <v>6318</v>
      </c>
      <c r="N353" t="s">
        <v>6622</v>
      </c>
    </row>
    <row r="354" spans="1:14" x14ac:dyDescent="0.25">
      <c r="A354">
        <v>2013</v>
      </c>
      <c r="B354">
        <v>8596</v>
      </c>
      <c r="C354" t="s">
        <v>2279</v>
      </c>
      <c r="D354" t="s">
        <v>2279</v>
      </c>
      <c r="E354">
        <v>311614</v>
      </c>
      <c r="F354" t="s">
        <v>2280</v>
      </c>
      <c r="G354" t="s">
        <v>2281</v>
      </c>
      <c r="H354" t="s">
        <v>79</v>
      </c>
      <c r="I354" t="s">
        <v>1487</v>
      </c>
      <c r="J354" t="s">
        <v>1488</v>
      </c>
      <c r="K354" t="s">
        <v>1489</v>
      </c>
      <c r="L354" t="s">
        <v>5828</v>
      </c>
      <c r="M354" t="s">
        <v>5829</v>
      </c>
      <c r="N354" t="s">
        <v>6623</v>
      </c>
    </row>
    <row r="355" spans="1:14" x14ac:dyDescent="0.25">
      <c r="A355">
        <v>2005</v>
      </c>
      <c r="B355">
        <v>11051</v>
      </c>
      <c r="C355" t="s">
        <v>6624</v>
      </c>
      <c r="D355" t="s">
        <v>3754</v>
      </c>
      <c r="E355">
        <v>333519</v>
      </c>
      <c r="F355" t="s">
        <v>6625</v>
      </c>
      <c r="G355" t="s">
        <v>6626</v>
      </c>
      <c r="H355" t="s">
        <v>21</v>
      </c>
      <c r="I355" t="s">
        <v>461</v>
      </c>
      <c r="J355" t="s">
        <v>462</v>
      </c>
      <c r="K355" t="s">
        <v>463</v>
      </c>
      <c r="L355" t="s">
        <v>5846</v>
      </c>
      <c r="M355" t="s">
        <v>5847</v>
      </c>
      <c r="N355" t="s">
        <v>6627</v>
      </c>
    </row>
    <row r="356" spans="1:14" x14ac:dyDescent="0.25">
      <c r="A356">
        <v>2013</v>
      </c>
      <c r="B356">
        <v>4305</v>
      </c>
      <c r="C356" t="s">
        <v>1326</v>
      </c>
      <c r="D356" t="s">
        <v>6628</v>
      </c>
      <c r="E356">
        <v>211113</v>
      </c>
      <c r="F356" t="s">
        <v>786</v>
      </c>
      <c r="G356" t="s">
        <v>426</v>
      </c>
      <c r="H356" t="s">
        <v>69</v>
      </c>
      <c r="I356" t="s">
        <v>1549</v>
      </c>
      <c r="J356" t="s">
        <v>1550</v>
      </c>
      <c r="K356" t="s">
        <v>1551</v>
      </c>
      <c r="L356" t="s">
        <v>6111</v>
      </c>
      <c r="M356" t="s">
        <v>6112</v>
      </c>
      <c r="N356" t="s">
        <v>6629</v>
      </c>
    </row>
    <row r="357" spans="1:14" x14ac:dyDescent="0.25">
      <c r="A357">
        <v>2010</v>
      </c>
      <c r="B357">
        <v>3994</v>
      </c>
      <c r="C357" t="s">
        <v>1630</v>
      </c>
      <c r="D357" t="s">
        <v>6630</v>
      </c>
      <c r="E357">
        <v>221112</v>
      </c>
      <c r="F357" t="s">
        <v>134</v>
      </c>
      <c r="G357" t="s">
        <v>135</v>
      </c>
      <c r="H357" t="s">
        <v>483</v>
      </c>
      <c r="I357" t="s">
        <v>106</v>
      </c>
      <c r="J357" t="s">
        <v>107</v>
      </c>
      <c r="K357" t="s">
        <v>108</v>
      </c>
      <c r="L357" t="s">
        <v>5846</v>
      </c>
      <c r="M357" t="s">
        <v>5847</v>
      </c>
      <c r="N357" t="s">
        <v>6631</v>
      </c>
    </row>
    <row r="358" spans="1:14" x14ac:dyDescent="0.25">
      <c r="A358">
        <v>2013</v>
      </c>
      <c r="B358">
        <v>2740</v>
      </c>
      <c r="C358" t="s">
        <v>6632</v>
      </c>
      <c r="D358" t="s">
        <v>6633</v>
      </c>
      <c r="E358">
        <v>331110</v>
      </c>
      <c r="F358" t="s">
        <v>627</v>
      </c>
      <c r="G358" t="s">
        <v>336</v>
      </c>
      <c r="H358" t="s">
        <v>243</v>
      </c>
      <c r="I358" t="s">
        <v>500</v>
      </c>
      <c r="J358" t="s">
        <v>501</v>
      </c>
      <c r="K358" t="s">
        <v>502</v>
      </c>
      <c r="L358" t="s">
        <v>6111</v>
      </c>
      <c r="M358" t="s">
        <v>6112</v>
      </c>
      <c r="N358" t="s">
        <v>6634</v>
      </c>
    </row>
    <row r="359" spans="1:14" x14ac:dyDescent="0.25">
      <c r="A359">
        <v>2005</v>
      </c>
      <c r="B359">
        <v>3216</v>
      </c>
      <c r="C359" t="s">
        <v>6635</v>
      </c>
      <c r="D359" t="s">
        <v>6636</v>
      </c>
      <c r="E359">
        <v>332999</v>
      </c>
      <c r="F359" t="s">
        <v>309</v>
      </c>
      <c r="G359" t="s">
        <v>304</v>
      </c>
      <c r="H359" t="s">
        <v>21</v>
      </c>
      <c r="I359" t="s">
        <v>778</v>
      </c>
      <c r="J359" t="s">
        <v>779</v>
      </c>
      <c r="K359" t="s">
        <v>780</v>
      </c>
      <c r="L359" t="s">
        <v>5828</v>
      </c>
      <c r="M359" t="s">
        <v>5829</v>
      </c>
      <c r="N359" t="s">
        <v>6637</v>
      </c>
    </row>
    <row r="360" spans="1:14" x14ac:dyDescent="0.25">
      <c r="A360">
        <v>2013</v>
      </c>
      <c r="B360">
        <v>1520</v>
      </c>
      <c r="C360" t="s">
        <v>6638</v>
      </c>
      <c r="D360" t="s">
        <v>6639</v>
      </c>
      <c r="E360">
        <v>331110</v>
      </c>
      <c r="F360" t="s">
        <v>627</v>
      </c>
      <c r="G360" t="s">
        <v>336</v>
      </c>
      <c r="H360" t="s">
        <v>21</v>
      </c>
      <c r="I360" t="s">
        <v>324</v>
      </c>
      <c r="J360" t="s">
        <v>325</v>
      </c>
      <c r="K360" t="s">
        <v>326</v>
      </c>
      <c r="L360" t="s">
        <v>5828</v>
      </c>
      <c r="M360" t="s">
        <v>5829</v>
      </c>
      <c r="N360" t="s">
        <v>6640</v>
      </c>
    </row>
    <row r="361" spans="1:14" x14ac:dyDescent="0.25">
      <c r="A361">
        <v>2008</v>
      </c>
      <c r="B361">
        <v>16194</v>
      </c>
      <c r="C361" t="s">
        <v>3873</v>
      </c>
      <c r="D361" t="s">
        <v>6641</v>
      </c>
      <c r="E361">
        <v>211113</v>
      </c>
      <c r="F361" t="s">
        <v>425</v>
      </c>
      <c r="G361" t="s">
        <v>426</v>
      </c>
      <c r="H361" t="s">
        <v>85</v>
      </c>
      <c r="I361" t="s">
        <v>1533</v>
      </c>
      <c r="J361" t="s">
        <v>1534</v>
      </c>
      <c r="K361" t="s">
        <v>1535</v>
      </c>
      <c r="L361" t="s">
        <v>5828</v>
      </c>
      <c r="M361" t="s">
        <v>5829</v>
      </c>
      <c r="N361" t="s">
        <v>6642</v>
      </c>
    </row>
    <row r="362" spans="1:14" x14ac:dyDescent="0.25">
      <c r="A362">
        <v>2016</v>
      </c>
      <c r="B362">
        <v>5556</v>
      </c>
      <c r="C362" t="s">
        <v>6643</v>
      </c>
      <c r="D362" t="s">
        <v>6644</v>
      </c>
      <c r="E362">
        <v>325210</v>
      </c>
      <c r="F362" t="s">
        <v>414</v>
      </c>
      <c r="G362" t="s">
        <v>415</v>
      </c>
      <c r="H362" t="s">
        <v>79</v>
      </c>
      <c r="I362" t="s">
        <v>55</v>
      </c>
      <c r="J362" t="s">
        <v>56</v>
      </c>
      <c r="K362" t="s">
        <v>57</v>
      </c>
      <c r="L362" t="s">
        <v>5828</v>
      </c>
      <c r="M362" t="s">
        <v>5829</v>
      </c>
      <c r="N362" t="s">
        <v>6645</v>
      </c>
    </row>
    <row r="363" spans="1:14" x14ac:dyDescent="0.25">
      <c r="A363">
        <v>2013</v>
      </c>
      <c r="B363">
        <v>4383</v>
      </c>
      <c r="C363" t="s">
        <v>278</v>
      </c>
      <c r="D363" t="s">
        <v>279</v>
      </c>
      <c r="E363">
        <v>336410</v>
      </c>
      <c r="F363" t="s">
        <v>280</v>
      </c>
      <c r="G363" t="s">
        <v>261</v>
      </c>
      <c r="H363" t="s">
        <v>79</v>
      </c>
      <c r="I363" t="s">
        <v>1533</v>
      </c>
      <c r="J363" t="s">
        <v>1534</v>
      </c>
      <c r="K363" t="s">
        <v>1535</v>
      </c>
      <c r="L363" t="s">
        <v>6111</v>
      </c>
      <c r="M363" t="s">
        <v>6112</v>
      </c>
      <c r="N363" t="s">
        <v>6646</v>
      </c>
    </row>
    <row r="364" spans="1:14" x14ac:dyDescent="0.25">
      <c r="A364">
        <v>2001</v>
      </c>
      <c r="B364">
        <v>5162</v>
      </c>
      <c r="C364" t="s">
        <v>2313</v>
      </c>
      <c r="D364" t="s">
        <v>6647</v>
      </c>
      <c r="E364">
        <v>321111</v>
      </c>
      <c r="F364" t="s">
        <v>1474</v>
      </c>
      <c r="G364" t="s">
        <v>6648</v>
      </c>
      <c r="H364" t="s">
        <v>69</v>
      </c>
      <c r="I364" t="s">
        <v>628</v>
      </c>
      <c r="J364" t="s">
        <v>629</v>
      </c>
      <c r="K364" t="s">
        <v>630</v>
      </c>
      <c r="L364" t="s">
        <v>5828</v>
      </c>
      <c r="M364" t="s">
        <v>5829</v>
      </c>
      <c r="N364" t="s">
        <v>6649</v>
      </c>
    </row>
    <row r="365" spans="1:14" x14ac:dyDescent="0.25">
      <c r="A365">
        <v>2013</v>
      </c>
      <c r="B365">
        <v>5454</v>
      </c>
      <c r="C365" t="s">
        <v>370</v>
      </c>
      <c r="D365" t="s">
        <v>371</v>
      </c>
      <c r="E365">
        <v>562990</v>
      </c>
      <c r="F365" t="s">
        <v>581</v>
      </c>
      <c r="G365" t="s">
        <v>105</v>
      </c>
      <c r="H365" t="s">
        <v>79</v>
      </c>
      <c r="I365" t="s">
        <v>45</v>
      </c>
      <c r="J365" t="s">
        <v>46</v>
      </c>
      <c r="K365" t="s">
        <v>47</v>
      </c>
      <c r="L365" t="s">
        <v>5846</v>
      </c>
      <c r="M365" t="s">
        <v>5847</v>
      </c>
      <c r="N365" t="s">
        <v>6650</v>
      </c>
    </row>
    <row r="366" spans="1:14" x14ac:dyDescent="0.25">
      <c r="A366">
        <v>2014</v>
      </c>
      <c r="B366">
        <v>17235</v>
      </c>
      <c r="C366" t="s">
        <v>4624</v>
      </c>
      <c r="D366" t="s">
        <v>6651</v>
      </c>
      <c r="E366">
        <v>211113</v>
      </c>
      <c r="F366" t="s">
        <v>786</v>
      </c>
      <c r="G366" t="s">
        <v>426</v>
      </c>
      <c r="H366" t="s">
        <v>243</v>
      </c>
      <c r="I366" t="s">
        <v>1369</v>
      </c>
      <c r="J366" t="s">
        <v>1370</v>
      </c>
      <c r="K366" t="s">
        <v>1371</v>
      </c>
      <c r="L366" t="s">
        <v>6111</v>
      </c>
      <c r="M366" t="s">
        <v>6112</v>
      </c>
      <c r="N366" t="s">
        <v>6652</v>
      </c>
    </row>
    <row r="367" spans="1:14" x14ac:dyDescent="0.25">
      <c r="A367">
        <v>2019</v>
      </c>
      <c r="B367">
        <v>3541</v>
      </c>
      <c r="C367" t="s">
        <v>6653</v>
      </c>
      <c r="D367" t="s">
        <v>6654</v>
      </c>
      <c r="E367">
        <v>327310</v>
      </c>
      <c r="F367" t="s">
        <v>1388</v>
      </c>
      <c r="G367" t="s">
        <v>1389</v>
      </c>
      <c r="H367" t="s">
        <v>21</v>
      </c>
      <c r="I367" t="s">
        <v>628</v>
      </c>
      <c r="J367" t="s">
        <v>629</v>
      </c>
      <c r="K367" t="s">
        <v>630</v>
      </c>
      <c r="L367" t="s">
        <v>5828</v>
      </c>
      <c r="M367" t="s">
        <v>5829</v>
      </c>
      <c r="N367" t="s">
        <v>6655</v>
      </c>
    </row>
    <row r="368" spans="1:14" x14ac:dyDescent="0.25">
      <c r="A368">
        <v>2016</v>
      </c>
      <c r="B368">
        <v>25244</v>
      </c>
      <c r="C368" t="s">
        <v>6656</v>
      </c>
      <c r="D368" t="s">
        <v>6657</v>
      </c>
      <c r="E368">
        <v>488190</v>
      </c>
      <c r="F368" t="s">
        <v>6658</v>
      </c>
      <c r="G368" t="s">
        <v>1303</v>
      </c>
      <c r="H368" t="s">
        <v>69</v>
      </c>
      <c r="I368" t="s">
        <v>331</v>
      </c>
      <c r="J368" t="s">
        <v>332</v>
      </c>
      <c r="K368" t="s">
        <v>333</v>
      </c>
      <c r="L368" t="s">
        <v>5828</v>
      </c>
      <c r="M368" t="s">
        <v>5829</v>
      </c>
      <c r="N368" t="s">
        <v>6659</v>
      </c>
    </row>
    <row r="369" spans="1:14" x14ac:dyDescent="0.25">
      <c r="A369">
        <v>2009</v>
      </c>
      <c r="B369">
        <v>15570</v>
      </c>
      <c r="C369" t="s">
        <v>1906</v>
      </c>
      <c r="D369" t="s">
        <v>6660</v>
      </c>
      <c r="E369">
        <v>211110</v>
      </c>
      <c r="H369" t="s">
        <v>85</v>
      </c>
      <c r="I369" t="s">
        <v>1421</v>
      </c>
      <c r="J369" t="s">
        <v>1422</v>
      </c>
      <c r="K369" t="s">
        <v>1423</v>
      </c>
      <c r="L369" t="s">
        <v>5828</v>
      </c>
      <c r="M369" t="s">
        <v>5829</v>
      </c>
      <c r="N369" t="s">
        <v>6661</v>
      </c>
    </row>
    <row r="370" spans="1:14" x14ac:dyDescent="0.25">
      <c r="A370">
        <v>2008</v>
      </c>
      <c r="B370">
        <v>17358</v>
      </c>
      <c r="C370" t="s">
        <v>2773</v>
      </c>
      <c r="D370" t="s">
        <v>6662</v>
      </c>
      <c r="E370">
        <v>211113</v>
      </c>
      <c r="F370" t="s">
        <v>425</v>
      </c>
      <c r="G370" t="s">
        <v>426</v>
      </c>
      <c r="H370" t="s">
        <v>243</v>
      </c>
      <c r="I370" t="s">
        <v>1421</v>
      </c>
      <c r="J370" t="s">
        <v>1422</v>
      </c>
      <c r="K370" t="s">
        <v>1423</v>
      </c>
      <c r="L370" t="s">
        <v>5828</v>
      </c>
      <c r="M370" t="s">
        <v>5829</v>
      </c>
      <c r="N370" t="s">
        <v>6663</v>
      </c>
    </row>
    <row r="371" spans="1:14" x14ac:dyDescent="0.25">
      <c r="A371">
        <v>2003</v>
      </c>
      <c r="B371">
        <v>5026</v>
      </c>
      <c r="C371" t="s">
        <v>6664</v>
      </c>
      <c r="D371" t="s">
        <v>1862</v>
      </c>
      <c r="E371">
        <v>562210</v>
      </c>
      <c r="F371" t="s">
        <v>52</v>
      </c>
      <c r="G371" t="s">
        <v>53</v>
      </c>
      <c r="H371" t="s">
        <v>1625</v>
      </c>
      <c r="I371" t="s">
        <v>1441</v>
      </c>
      <c r="J371" t="s">
        <v>1442</v>
      </c>
      <c r="K371" t="s">
        <v>1443</v>
      </c>
      <c r="L371" t="s">
        <v>5828</v>
      </c>
      <c r="M371" t="s">
        <v>5829</v>
      </c>
      <c r="N371" t="s">
        <v>6665</v>
      </c>
    </row>
    <row r="372" spans="1:14" x14ac:dyDescent="0.25">
      <c r="A372">
        <v>2005</v>
      </c>
      <c r="B372">
        <v>3655</v>
      </c>
      <c r="C372" t="s">
        <v>1236</v>
      </c>
      <c r="D372" t="s">
        <v>1237</v>
      </c>
      <c r="E372">
        <v>339990</v>
      </c>
      <c r="F372" t="s">
        <v>871</v>
      </c>
      <c r="G372" t="s">
        <v>872</v>
      </c>
      <c r="H372" t="s">
        <v>79</v>
      </c>
      <c r="I372" t="s">
        <v>152</v>
      </c>
      <c r="J372" t="s">
        <v>153</v>
      </c>
      <c r="K372" t="s">
        <v>154</v>
      </c>
      <c r="L372" t="s">
        <v>5828</v>
      </c>
      <c r="M372" t="s">
        <v>5829</v>
      </c>
      <c r="N372" t="s">
        <v>6666</v>
      </c>
    </row>
    <row r="373" spans="1:14" x14ac:dyDescent="0.25">
      <c r="A373">
        <v>2014</v>
      </c>
      <c r="B373">
        <v>1236</v>
      </c>
      <c r="C373" t="s">
        <v>1109</v>
      </c>
      <c r="D373" t="s">
        <v>2157</v>
      </c>
      <c r="E373">
        <v>331410</v>
      </c>
      <c r="F373" t="s">
        <v>1234</v>
      </c>
      <c r="G373" t="s">
        <v>1235</v>
      </c>
      <c r="H373" t="s">
        <v>21</v>
      </c>
      <c r="I373" t="s">
        <v>525</v>
      </c>
      <c r="J373" t="s">
        <v>526</v>
      </c>
      <c r="K373" t="s">
        <v>527</v>
      </c>
      <c r="L373" t="s">
        <v>5828</v>
      </c>
      <c r="M373" t="s">
        <v>5829</v>
      </c>
      <c r="N373" t="s">
        <v>6667</v>
      </c>
    </row>
    <row r="374" spans="1:14" x14ac:dyDescent="0.25">
      <c r="A374">
        <v>2018</v>
      </c>
      <c r="B374">
        <v>6572</v>
      </c>
      <c r="C374" t="s">
        <v>5425</v>
      </c>
      <c r="D374" t="s">
        <v>6668</v>
      </c>
      <c r="E374">
        <v>211142</v>
      </c>
      <c r="F374" t="s">
        <v>357</v>
      </c>
      <c r="G374" t="s">
        <v>358</v>
      </c>
      <c r="H374" t="s">
        <v>85</v>
      </c>
      <c r="I374" t="s">
        <v>847</v>
      </c>
      <c r="J374" t="s">
        <v>848</v>
      </c>
      <c r="K374" t="s">
        <v>849</v>
      </c>
      <c r="L374" t="s">
        <v>5875</v>
      </c>
      <c r="M374" t="s">
        <v>5876</v>
      </c>
      <c r="N374" t="s">
        <v>6669</v>
      </c>
    </row>
    <row r="375" spans="1:14" x14ac:dyDescent="0.25">
      <c r="A375">
        <v>2016</v>
      </c>
      <c r="B375">
        <v>3704</v>
      </c>
      <c r="C375" t="s">
        <v>194</v>
      </c>
      <c r="D375" t="s">
        <v>468</v>
      </c>
      <c r="E375">
        <v>324110</v>
      </c>
      <c r="F375" t="s">
        <v>196</v>
      </c>
      <c r="G375" t="s">
        <v>96</v>
      </c>
      <c r="H375" t="s">
        <v>21</v>
      </c>
      <c r="I375" t="s">
        <v>811</v>
      </c>
      <c r="J375" t="s">
        <v>812</v>
      </c>
      <c r="K375" t="s">
        <v>813</v>
      </c>
      <c r="L375" t="s">
        <v>6072</v>
      </c>
      <c r="M375" t="s">
        <v>6073</v>
      </c>
      <c r="N375" t="s">
        <v>6670</v>
      </c>
    </row>
    <row r="376" spans="1:14" x14ac:dyDescent="0.25">
      <c r="A376">
        <v>2018</v>
      </c>
      <c r="B376">
        <v>28985</v>
      </c>
      <c r="C376" t="s">
        <v>1928</v>
      </c>
      <c r="D376" t="s">
        <v>6671</v>
      </c>
      <c r="E376">
        <v>211110</v>
      </c>
      <c r="F376" t="s">
        <v>233</v>
      </c>
      <c r="G376" t="s">
        <v>234</v>
      </c>
      <c r="H376" t="s">
        <v>85</v>
      </c>
      <c r="I376" t="s">
        <v>1487</v>
      </c>
      <c r="J376" t="s">
        <v>1488</v>
      </c>
      <c r="K376" t="s">
        <v>1489</v>
      </c>
      <c r="L376" t="s">
        <v>6111</v>
      </c>
      <c r="M376" t="s">
        <v>6112</v>
      </c>
      <c r="N376" t="s">
        <v>6672</v>
      </c>
    </row>
    <row r="377" spans="1:14" x14ac:dyDescent="0.25">
      <c r="A377">
        <v>2018</v>
      </c>
      <c r="B377">
        <v>5284</v>
      </c>
      <c r="C377" t="s">
        <v>6673</v>
      </c>
      <c r="D377" t="s">
        <v>6674</v>
      </c>
      <c r="E377">
        <v>211110</v>
      </c>
      <c r="F377" t="s">
        <v>233</v>
      </c>
      <c r="G377" t="s">
        <v>234</v>
      </c>
      <c r="H377" t="s">
        <v>85</v>
      </c>
      <c r="I377" t="s">
        <v>331</v>
      </c>
      <c r="J377" t="s">
        <v>332</v>
      </c>
      <c r="K377" t="s">
        <v>333</v>
      </c>
      <c r="L377" t="s">
        <v>5875</v>
      </c>
      <c r="M377" t="s">
        <v>5876</v>
      </c>
      <c r="N377" t="s">
        <v>6675</v>
      </c>
    </row>
    <row r="378" spans="1:14" x14ac:dyDescent="0.25">
      <c r="A378">
        <v>2007</v>
      </c>
      <c r="B378">
        <v>2960</v>
      </c>
      <c r="C378" t="s">
        <v>1955</v>
      </c>
      <c r="D378" t="s">
        <v>807</v>
      </c>
      <c r="E378">
        <v>324110</v>
      </c>
      <c r="F378" t="s">
        <v>95</v>
      </c>
      <c r="G378" t="s">
        <v>96</v>
      </c>
      <c r="H378" t="s">
        <v>85</v>
      </c>
      <c r="I378" t="s">
        <v>391</v>
      </c>
      <c r="J378" t="s">
        <v>392</v>
      </c>
      <c r="K378" t="s">
        <v>393</v>
      </c>
      <c r="L378" t="s">
        <v>5828</v>
      </c>
      <c r="M378" t="s">
        <v>5829</v>
      </c>
      <c r="N378" t="s">
        <v>6676</v>
      </c>
    </row>
    <row r="379" spans="1:14" x14ac:dyDescent="0.25">
      <c r="A379">
        <v>2017</v>
      </c>
      <c r="B379">
        <v>1340</v>
      </c>
      <c r="C379" t="s">
        <v>212</v>
      </c>
      <c r="D379" t="s">
        <v>213</v>
      </c>
      <c r="E379">
        <v>221320</v>
      </c>
      <c r="F379" t="s">
        <v>146</v>
      </c>
      <c r="G379" t="s">
        <v>147</v>
      </c>
      <c r="H379" t="s">
        <v>69</v>
      </c>
      <c r="I379" t="s">
        <v>6677</v>
      </c>
      <c r="J379" t="s">
        <v>6678</v>
      </c>
      <c r="K379" t="s">
        <v>6679</v>
      </c>
      <c r="L379" t="s">
        <v>5828</v>
      </c>
      <c r="M379" t="s">
        <v>5829</v>
      </c>
      <c r="N379" t="s">
        <v>6680</v>
      </c>
    </row>
    <row r="380" spans="1:14" x14ac:dyDescent="0.25">
      <c r="A380">
        <v>2004</v>
      </c>
      <c r="B380">
        <v>3057</v>
      </c>
      <c r="C380" t="s">
        <v>6681</v>
      </c>
      <c r="D380" t="s">
        <v>6682</v>
      </c>
      <c r="E380">
        <v>331313</v>
      </c>
      <c r="F380" t="s">
        <v>1131</v>
      </c>
      <c r="G380" t="s">
        <v>1132</v>
      </c>
      <c r="H380" t="s">
        <v>79</v>
      </c>
      <c r="I380" t="s">
        <v>1441</v>
      </c>
      <c r="J380" t="s">
        <v>1442</v>
      </c>
      <c r="K380" t="s">
        <v>1443</v>
      </c>
      <c r="L380" t="s">
        <v>5828</v>
      </c>
      <c r="M380" t="s">
        <v>5829</v>
      </c>
      <c r="N380" t="s">
        <v>6683</v>
      </c>
    </row>
    <row r="381" spans="1:14" x14ac:dyDescent="0.25">
      <c r="A381">
        <v>2005</v>
      </c>
      <c r="B381">
        <v>15570</v>
      </c>
      <c r="C381" t="s">
        <v>1906</v>
      </c>
      <c r="D381" t="s">
        <v>6660</v>
      </c>
      <c r="E381">
        <v>211110</v>
      </c>
      <c r="H381" t="s">
        <v>85</v>
      </c>
      <c r="I381" t="s">
        <v>1369</v>
      </c>
      <c r="J381" t="s">
        <v>1370</v>
      </c>
      <c r="K381" t="s">
        <v>1371</v>
      </c>
      <c r="L381" t="s">
        <v>5828</v>
      </c>
      <c r="M381" t="s">
        <v>5829</v>
      </c>
      <c r="N381" t="s">
        <v>6684</v>
      </c>
    </row>
    <row r="382" spans="1:14" x14ac:dyDescent="0.25">
      <c r="A382">
        <v>2013</v>
      </c>
      <c r="B382">
        <v>2221</v>
      </c>
      <c r="C382" t="s">
        <v>6685</v>
      </c>
      <c r="D382" t="s">
        <v>6686</v>
      </c>
      <c r="E382">
        <v>322122</v>
      </c>
      <c r="F382" t="s">
        <v>1061</v>
      </c>
      <c r="G382" t="s">
        <v>1062</v>
      </c>
      <c r="H382" t="s">
        <v>483</v>
      </c>
      <c r="I382" t="s">
        <v>5358</v>
      </c>
      <c r="J382" t="s">
        <v>5359</v>
      </c>
      <c r="K382" t="s">
        <v>5360</v>
      </c>
      <c r="L382" t="s">
        <v>5875</v>
      </c>
      <c r="M382" t="s">
        <v>5876</v>
      </c>
      <c r="N382" t="s">
        <v>6687</v>
      </c>
    </row>
    <row r="383" spans="1:14" x14ac:dyDescent="0.25">
      <c r="A383">
        <v>2021</v>
      </c>
      <c r="B383">
        <v>10648</v>
      </c>
      <c r="C383" t="s">
        <v>6688</v>
      </c>
      <c r="D383" t="s">
        <v>6689</v>
      </c>
      <c r="E383">
        <v>336390</v>
      </c>
      <c r="F383" t="s">
        <v>182</v>
      </c>
      <c r="G383" t="s">
        <v>61</v>
      </c>
      <c r="H383" t="s">
        <v>21</v>
      </c>
      <c r="I383" t="s">
        <v>209</v>
      </c>
      <c r="J383" t="s">
        <v>210</v>
      </c>
      <c r="K383" t="s">
        <v>211</v>
      </c>
      <c r="L383" t="s">
        <v>5828</v>
      </c>
      <c r="M383" t="s">
        <v>5829</v>
      </c>
      <c r="N383" t="s">
        <v>6690</v>
      </c>
    </row>
    <row r="384" spans="1:14" x14ac:dyDescent="0.25">
      <c r="A384">
        <v>2003</v>
      </c>
      <c r="B384">
        <v>2740</v>
      </c>
      <c r="C384" t="s">
        <v>6691</v>
      </c>
      <c r="D384" t="s">
        <v>1833</v>
      </c>
      <c r="E384">
        <v>331110</v>
      </c>
      <c r="F384" t="s">
        <v>335</v>
      </c>
      <c r="G384" t="s">
        <v>336</v>
      </c>
      <c r="H384" t="s">
        <v>243</v>
      </c>
      <c r="I384" t="s">
        <v>106</v>
      </c>
      <c r="J384" t="s">
        <v>107</v>
      </c>
      <c r="K384" t="s">
        <v>108</v>
      </c>
      <c r="L384" t="s">
        <v>5828</v>
      </c>
      <c r="M384" t="s">
        <v>5829</v>
      </c>
      <c r="N384" t="s">
        <v>6692</v>
      </c>
    </row>
    <row r="385" spans="1:14" x14ac:dyDescent="0.25">
      <c r="A385">
        <v>2019</v>
      </c>
      <c r="B385">
        <v>21263</v>
      </c>
      <c r="C385" t="s">
        <v>2064</v>
      </c>
      <c r="D385" t="s">
        <v>6693</v>
      </c>
      <c r="E385">
        <v>486110</v>
      </c>
      <c r="F385" t="s">
        <v>1616</v>
      </c>
      <c r="G385" t="s">
        <v>541</v>
      </c>
      <c r="H385" t="s">
        <v>85</v>
      </c>
      <c r="I385" t="s">
        <v>491</v>
      </c>
      <c r="J385" t="s">
        <v>492</v>
      </c>
      <c r="K385" t="s">
        <v>492</v>
      </c>
      <c r="L385" t="s">
        <v>5828</v>
      </c>
      <c r="M385" t="s">
        <v>5829</v>
      </c>
      <c r="N385" t="s">
        <v>6694</v>
      </c>
    </row>
    <row r="386" spans="1:14" x14ac:dyDescent="0.25">
      <c r="A386">
        <v>2022</v>
      </c>
      <c r="B386">
        <v>21948</v>
      </c>
      <c r="C386" t="s">
        <v>6695</v>
      </c>
      <c r="D386" t="s">
        <v>6696</v>
      </c>
      <c r="E386">
        <v>336212</v>
      </c>
      <c r="F386" t="s">
        <v>789</v>
      </c>
      <c r="G386" t="s">
        <v>790</v>
      </c>
      <c r="H386" t="s">
        <v>243</v>
      </c>
      <c r="I386" t="s">
        <v>811</v>
      </c>
      <c r="J386" t="s">
        <v>812</v>
      </c>
      <c r="K386" t="s">
        <v>813</v>
      </c>
      <c r="L386" t="s">
        <v>5875</v>
      </c>
      <c r="M386" t="s">
        <v>5876</v>
      </c>
      <c r="N386" t="s">
        <v>6697</v>
      </c>
    </row>
    <row r="387" spans="1:14" x14ac:dyDescent="0.25">
      <c r="A387">
        <v>2002</v>
      </c>
      <c r="B387">
        <v>1508</v>
      </c>
      <c r="C387" t="s">
        <v>6698</v>
      </c>
      <c r="D387" t="s">
        <v>6699</v>
      </c>
      <c r="E387">
        <v>212220</v>
      </c>
      <c r="F387" t="s">
        <v>1980</v>
      </c>
      <c r="G387" t="s">
        <v>1620</v>
      </c>
      <c r="H387" t="s">
        <v>2102</v>
      </c>
      <c r="I387" t="s">
        <v>504</v>
      </c>
      <c r="J387" t="s">
        <v>505</v>
      </c>
      <c r="K387" t="s">
        <v>506</v>
      </c>
      <c r="L387" t="s">
        <v>5828</v>
      </c>
      <c r="M387" t="s">
        <v>5829</v>
      </c>
      <c r="N387" t="s">
        <v>6700</v>
      </c>
    </row>
    <row r="388" spans="1:14" x14ac:dyDescent="0.25">
      <c r="A388">
        <v>2008</v>
      </c>
      <c r="B388">
        <v>1931</v>
      </c>
      <c r="C388" t="s">
        <v>1035</v>
      </c>
      <c r="D388" t="s">
        <v>745</v>
      </c>
      <c r="E388">
        <v>325510</v>
      </c>
      <c r="F388" t="s">
        <v>143</v>
      </c>
      <c r="G388" t="s">
        <v>112</v>
      </c>
      <c r="H388" t="s">
        <v>21</v>
      </c>
      <c r="I388" t="s">
        <v>129</v>
      </c>
      <c r="J388" t="s">
        <v>130</v>
      </c>
      <c r="K388" t="s">
        <v>131</v>
      </c>
      <c r="L388" t="s">
        <v>5828</v>
      </c>
      <c r="M388" t="s">
        <v>5829</v>
      </c>
      <c r="N388" t="s">
        <v>6701</v>
      </c>
    </row>
    <row r="389" spans="1:14" x14ac:dyDescent="0.25">
      <c r="A389">
        <v>2005</v>
      </c>
      <c r="B389">
        <v>15290</v>
      </c>
      <c r="C389" t="s">
        <v>6702</v>
      </c>
      <c r="D389" t="s">
        <v>6703</v>
      </c>
      <c r="E389">
        <v>211113</v>
      </c>
      <c r="F389" t="s">
        <v>425</v>
      </c>
      <c r="G389" t="s">
        <v>426</v>
      </c>
      <c r="H389" t="s">
        <v>85</v>
      </c>
      <c r="I389" t="s">
        <v>1369</v>
      </c>
      <c r="J389" t="s">
        <v>1370</v>
      </c>
      <c r="K389" t="s">
        <v>1371</v>
      </c>
      <c r="L389" t="s">
        <v>5828</v>
      </c>
      <c r="M389" t="s">
        <v>5829</v>
      </c>
      <c r="N389" t="s">
        <v>6704</v>
      </c>
    </row>
    <row r="390" spans="1:14" x14ac:dyDescent="0.25">
      <c r="A390">
        <v>1998</v>
      </c>
      <c r="B390">
        <v>1054</v>
      </c>
      <c r="C390" t="s">
        <v>6705</v>
      </c>
      <c r="D390" t="s">
        <v>6706</v>
      </c>
      <c r="E390">
        <v>325181</v>
      </c>
      <c r="F390" t="s">
        <v>1947</v>
      </c>
      <c r="G390" t="s">
        <v>729</v>
      </c>
      <c r="H390" t="s">
        <v>21</v>
      </c>
      <c r="I390" t="s">
        <v>5398</v>
      </c>
      <c r="J390" t="s">
        <v>5399</v>
      </c>
      <c r="K390" t="s">
        <v>5400</v>
      </c>
      <c r="L390" t="s">
        <v>5846</v>
      </c>
      <c r="M390" t="s">
        <v>5847</v>
      </c>
      <c r="N390" t="s">
        <v>6707</v>
      </c>
    </row>
    <row r="391" spans="1:14" x14ac:dyDescent="0.25">
      <c r="A391">
        <v>2007</v>
      </c>
      <c r="B391">
        <v>7780</v>
      </c>
      <c r="C391" t="s">
        <v>2018</v>
      </c>
      <c r="D391" t="s">
        <v>6708</v>
      </c>
      <c r="E391">
        <v>321111</v>
      </c>
      <c r="F391" t="s">
        <v>1474</v>
      </c>
      <c r="G391" t="s">
        <v>1368</v>
      </c>
      <c r="H391" t="s">
        <v>69</v>
      </c>
      <c r="I391" t="s">
        <v>1369</v>
      </c>
      <c r="J391" t="s">
        <v>1370</v>
      </c>
      <c r="K391" t="s">
        <v>1371</v>
      </c>
      <c r="L391" t="s">
        <v>5828</v>
      </c>
      <c r="M391" t="s">
        <v>5829</v>
      </c>
      <c r="N391" t="s">
        <v>6709</v>
      </c>
    </row>
    <row r="392" spans="1:14" x14ac:dyDescent="0.25">
      <c r="A392">
        <v>2003</v>
      </c>
      <c r="B392">
        <v>7299</v>
      </c>
      <c r="C392" t="s">
        <v>6710</v>
      </c>
      <c r="D392" t="s">
        <v>6711</v>
      </c>
      <c r="E392">
        <v>611310</v>
      </c>
      <c r="F392" t="s">
        <v>6419</v>
      </c>
      <c r="G392" t="s">
        <v>6420</v>
      </c>
      <c r="H392" t="s">
        <v>21</v>
      </c>
      <c r="I392" t="s">
        <v>1533</v>
      </c>
      <c r="J392" t="s">
        <v>1534</v>
      </c>
      <c r="K392" t="s">
        <v>1535</v>
      </c>
      <c r="L392" t="s">
        <v>5828</v>
      </c>
      <c r="M392" t="s">
        <v>5829</v>
      </c>
      <c r="N392" t="s">
        <v>6712</v>
      </c>
    </row>
    <row r="393" spans="1:14" x14ac:dyDescent="0.25">
      <c r="A393">
        <v>2008</v>
      </c>
      <c r="B393">
        <v>2343</v>
      </c>
      <c r="C393" t="s">
        <v>6068</v>
      </c>
      <c r="D393" t="s">
        <v>6713</v>
      </c>
      <c r="E393">
        <v>418410</v>
      </c>
      <c r="F393" t="s">
        <v>315</v>
      </c>
      <c r="G393" t="s">
        <v>885</v>
      </c>
      <c r="H393" t="s">
        <v>69</v>
      </c>
      <c r="I393" t="s">
        <v>271</v>
      </c>
      <c r="J393" t="s">
        <v>272</v>
      </c>
      <c r="K393" t="s">
        <v>273</v>
      </c>
      <c r="L393" t="s">
        <v>5846</v>
      </c>
      <c r="M393" t="s">
        <v>5847</v>
      </c>
      <c r="N393" t="s">
        <v>6714</v>
      </c>
    </row>
    <row r="394" spans="1:14" x14ac:dyDescent="0.25">
      <c r="A394">
        <v>2020</v>
      </c>
      <c r="B394">
        <v>29124</v>
      </c>
      <c r="C394" t="s">
        <v>6715</v>
      </c>
      <c r="D394" t="s">
        <v>6716</v>
      </c>
      <c r="E394">
        <v>486110</v>
      </c>
      <c r="F394" t="s">
        <v>1616</v>
      </c>
      <c r="G394" t="s">
        <v>541</v>
      </c>
      <c r="H394" t="s">
        <v>85</v>
      </c>
      <c r="I394" t="s">
        <v>70</v>
      </c>
      <c r="J394" t="s">
        <v>71</v>
      </c>
      <c r="K394" t="s">
        <v>72</v>
      </c>
      <c r="L394" t="s">
        <v>5846</v>
      </c>
      <c r="M394" t="s">
        <v>5847</v>
      </c>
      <c r="N394" t="s">
        <v>6717</v>
      </c>
    </row>
    <row r="395" spans="1:14" x14ac:dyDescent="0.25">
      <c r="A395">
        <v>2022</v>
      </c>
      <c r="B395">
        <v>30414</v>
      </c>
      <c r="C395" t="s">
        <v>1938</v>
      </c>
      <c r="D395" t="s">
        <v>6718</v>
      </c>
      <c r="E395">
        <v>211110</v>
      </c>
      <c r="F395" t="s">
        <v>233</v>
      </c>
      <c r="G395" t="s">
        <v>234</v>
      </c>
      <c r="H395" t="s">
        <v>85</v>
      </c>
      <c r="I395" t="s">
        <v>1369</v>
      </c>
      <c r="J395" t="s">
        <v>1370</v>
      </c>
      <c r="K395" t="s">
        <v>1371</v>
      </c>
      <c r="L395" t="s">
        <v>5828</v>
      </c>
      <c r="M395" t="s">
        <v>5829</v>
      </c>
      <c r="N395" t="s">
        <v>6719</v>
      </c>
    </row>
    <row r="396" spans="1:14" x14ac:dyDescent="0.25">
      <c r="A396">
        <v>2018</v>
      </c>
      <c r="B396">
        <v>23939</v>
      </c>
      <c r="C396" t="s">
        <v>6720</v>
      </c>
      <c r="D396" t="s">
        <v>6721</v>
      </c>
      <c r="E396">
        <v>211110</v>
      </c>
      <c r="F396" t="s">
        <v>233</v>
      </c>
      <c r="G396" t="s">
        <v>234</v>
      </c>
      <c r="H396" t="s">
        <v>85</v>
      </c>
      <c r="I396" t="s">
        <v>1369</v>
      </c>
      <c r="J396" t="s">
        <v>1370</v>
      </c>
      <c r="K396" t="s">
        <v>1371</v>
      </c>
      <c r="L396" t="s">
        <v>6111</v>
      </c>
      <c r="M396" t="s">
        <v>6112</v>
      </c>
      <c r="N396" t="s">
        <v>6722</v>
      </c>
    </row>
    <row r="397" spans="1:14" x14ac:dyDescent="0.25">
      <c r="A397">
        <v>2012</v>
      </c>
      <c r="B397">
        <v>5574</v>
      </c>
      <c r="C397" t="s">
        <v>6723</v>
      </c>
      <c r="D397" t="s">
        <v>6724</v>
      </c>
      <c r="E397">
        <v>333611</v>
      </c>
      <c r="F397" t="s">
        <v>6725</v>
      </c>
      <c r="G397" t="s">
        <v>6726</v>
      </c>
      <c r="H397" t="s">
        <v>79</v>
      </c>
      <c r="I397" t="s">
        <v>461</v>
      </c>
      <c r="J397" t="s">
        <v>462</v>
      </c>
      <c r="K397" t="s">
        <v>463</v>
      </c>
      <c r="L397" t="s">
        <v>5875</v>
      </c>
      <c r="M397" t="s">
        <v>5876</v>
      </c>
      <c r="N397" t="s">
        <v>6727</v>
      </c>
    </row>
    <row r="398" spans="1:14" x14ac:dyDescent="0.25">
      <c r="A398">
        <v>1999</v>
      </c>
      <c r="B398">
        <v>1653</v>
      </c>
      <c r="C398" t="s">
        <v>6728</v>
      </c>
      <c r="D398" t="s">
        <v>6729</v>
      </c>
      <c r="E398">
        <v>336990</v>
      </c>
      <c r="F398" t="s">
        <v>5503</v>
      </c>
      <c r="G398" t="s">
        <v>1096</v>
      </c>
      <c r="H398" t="s">
        <v>54</v>
      </c>
      <c r="I398" t="s">
        <v>136</v>
      </c>
      <c r="J398" t="s">
        <v>137</v>
      </c>
      <c r="K398" t="s">
        <v>138</v>
      </c>
      <c r="L398" t="s">
        <v>5875</v>
      </c>
      <c r="M398" t="s">
        <v>5876</v>
      </c>
      <c r="N398" t="s">
        <v>6730</v>
      </c>
    </row>
    <row r="399" spans="1:14" x14ac:dyDescent="0.25">
      <c r="A399">
        <v>2005</v>
      </c>
      <c r="B399">
        <v>653</v>
      </c>
      <c r="C399" t="s">
        <v>6731</v>
      </c>
      <c r="D399" t="s">
        <v>6732</v>
      </c>
      <c r="E399">
        <v>211113</v>
      </c>
      <c r="F399" t="s">
        <v>425</v>
      </c>
      <c r="G399" t="s">
        <v>426</v>
      </c>
      <c r="H399" t="s">
        <v>85</v>
      </c>
      <c r="I399" t="s">
        <v>70</v>
      </c>
      <c r="J399" t="s">
        <v>71</v>
      </c>
      <c r="K399" t="s">
        <v>72</v>
      </c>
      <c r="L399" t="s">
        <v>5828</v>
      </c>
      <c r="M399" t="s">
        <v>5829</v>
      </c>
      <c r="N399" t="s">
        <v>6733</v>
      </c>
    </row>
    <row r="400" spans="1:14" x14ac:dyDescent="0.25">
      <c r="A400">
        <v>2009</v>
      </c>
      <c r="B400">
        <v>3426</v>
      </c>
      <c r="C400" t="s">
        <v>6734</v>
      </c>
      <c r="D400" t="s">
        <v>6735</v>
      </c>
      <c r="E400">
        <v>325510</v>
      </c>
      <c r="F400" t="s">
        <v>143</v>
      </c>
      <c r="G400" t="s">
        <v>112</v>
      </c>
      <c r="H400" t="s">
        <v>69</v>
      </c>
      <c r="I400" t="s">
        <v>331</v>
      </c>
      <c r="J400" t="s">
        <v>332</v>
      </c>
      <c r="K400" t="s">
        <v>333</v>
      </c>
      <c r="L400" t="s">
        <v>5846</v>
      </c>
      <c r="M400" t="s">
        <v>5847</v>
      </c>
      <c r="N400" t="s">
        <v>6736</v>
      </c>
    </row>
    <row r="401" spans="1:14" x14ac:dyDescent="0.25">
      <c r="A401">
        <v>2005</v>
      </c>
      <c r="B401">
        <v>15199</v>
      </c>
      <c r="C401" t="s">
        <v>1576</v>
      </c>
      <c r="D401" t="s">
        <v>6737</v>
      </c>
      <c r="E401">
        <v>221210</v>
      </c>
      <c r="F401" t="s">
        <v>6313</v>
      </c>
      <c r="G401" t="s">
        <v>2042</v>
      </c>
      <c r="H401" t="s">
        <v>85</v>
      </c>
      <c r="I401" t="s">
        <v>1441</v>
      </c>
      <c r="J401" t="s">
        <v>1442</v>
      </c>
      <c r="K401" t="s">
        <v>1443</v>
      </c>
      <c r="L401" t="s">
        <v>5828</v>
      </c>
      <c r="M401" t="s">
        <v>5829</v>
      </c>
      <c r="N401" t="s">
        <v>6738</v>
      </c>
    </row>
    <row r="402" spans="1:14" x14ac:dyDescent="0.25">
      <c r="A402">
        <v>2012</v>
      </c>
      <c r="B402">
        <v>1136</v>
      </c>
      <c r="C402" t="s">
        <v>1670</v>
      </c>
      <c r="D402" t="s">
        <v>583</v>
      </c>
      <c r="E402">
        <v>336410</v>
      </c>
      <c r="F402" t="s">
        <v>280</v>
      </c>
      <c r="G402" t="s">
        <v>261</v>
      </c>
      <c r="H402" t="s">
        <v>79</v>
      </c>
      <c r="I402" t="s">
        <v>209</v>
      </c>
      <c r="J402" t="s">
        <v>210</v>
      </c>
      <c r="K402" t="s">
        <v>211</v>
      </c>
      <c r="L402" t="s">
        <v>5828</v>
      </c>
      <c r="M402" t="s">
        <v>5829</v>
      </c>
      <c r="N402" t="s">
        <v>6739</v>
      </c>
    </row>
    <row r="403" spans="1:14" x14ac:dyDescent="0.25">
      <c r="A403">
        <v>2009</v>
      </c>
      <c r="B403">
        <v>2284</v>
      </c>
      <c r="C403" t="s">
        <v>1057</v>
      </c>
      <c r="D403" t="s">
        <v>6007</v>
      </c>
      <c r="E403">
        <v>221112</v>
      </c>
      <c r="F403" t="s">
        <v>134</v>
      </c>
      <c r="G403" t="s">
        <v>135</v>
      </c>
      <c r="H403" t="s">
        <v>85</v>
      </c>
      <c r="I403" t="s">
        <v>525</v>
      </c>
      <c r="J403" t="s">
        <v>526</v>
      </c>
      <c r="K403" t="s">
        <v>527</v>
      </c>
      <c r="L403" t="s">
        <v>5875</v>
      </c>
      <c r="M403" t="s">
        <v>5876</v>
      </c>
      <c r="N403" t="s">
        <v>6740</v>
      </c>
    </row>
    <row r="404" spans="1:14" x14ac:dyDescent="0.25">
      <c r="A404">
        <v>2012</v>
      </c>
      <c r="B404">
        <v>2960</v>
      </c>
      <c r="C404" t="s">
        <v>806</v>
      </c>
      <c r="D404" t="s">
        <v>2214</v>
      </c>
      <c r="E404">
        <v>324110</v>
      </c>
      <c r="F404" t="s">
        <v>196</v>
      </c>
      <c r="G404" t="s">
        <v>96</v>
      </c>
      <c r="H404" t="s">
        <v>85</v>
      </c>
      <c r="I404" t="s">
        <v>324</v>
      </c>
      <c r="J404" t="s">
        <v>325</v>
      </c>
      <c r="K404" t="s">
        <v>326</v>
      </c>
      <c r="L404" t="s">
        <v>5875</v>
      </c>
      <c r="M404" t="s">
        <v>5876</v>
      </c>
      <c r="N404" t="s">
        <v>6741</v>
      </c>
    </row>
    <row r="405" spans="1:14" x14ac:dyDescent="0.25">
      <c r="A405">
        <v>2022</v>
      </c>
      <c r="B405">
        <v>32152</v>
      </c>
      <c r="C405" t="s">
        <v>1928</v>
      </c>
      <c r="D405" t="s">
        <v>6742</v>
      </c>
      <c r="E405">
        <v>211110</v>
      </c>
      <c r="F405" t="s">
        <v>233</v>
      </c>
      <c r="G405" t="s">
        <v>234</v>
      </c>
      <c r="H405" t="s">
        <v>243</v>
      </c>
      <c r="I405" t="s">
        <v>1457</v>
      </c>
      <c r="J405" t="s">
        <v>1680</v>
      </c>
      <c r="K405" t="s">
        <v>1681</v>
      </c>
      <c r="L405" t="s">
        <v>5828</v>
      </c>
      <c r="M405" t="s">
        <v>5829</v>
      </c>
      <c r="N405" t="s">
        <v>6743</v>
      </c>
    </row>
    <row r="406" spans="1:14" x14ac:dyDescent="0.25">
      <c r="A406">
        <v>2005</v>
      </c>
      <c r="B406">
        <v>4723</v>
      </c>
      <c r="C406" t="s">
        <v>6744</v>
      </c>
      <c r="D406" t="s">
        <v>6745</v>
      </c>
      <c r="E406">
        <v>488320</v>
      </c>
      <c r="F406" t="s">
        <v>6746</v>
      </c>
      <c r="G406" t="s">
        <v>1589</v>
      </c>
      <c r="H406" t="s">
        <v>69</v>
      </c>
      <c r="I406" t="s">
        <v>244</v>
      </c>
      <c r="J406" t="s">
        <v>245</v>
      </c>
      <c r="K406" t="s">
        <v>246</v>
      </c>
      <c r="L406" t="s">
        <v>5846</v>
      </c>
      <c r="M406" t="s">
        <v>5847</v>
      </c>
      <c r="N406" t="s">
        <v>6747</v>
      </c>
    </row>
    <row r="407" spans="1:14" x14ac:dyDescent="0.25">
      <c r="A407">
        <v>2001</v>
      </c>
      <c r="B407">
        <v>2334</v>
      </c>
      <c r="C407" t="s">
        <v>6748</v>
      </c>
      <c r="D407" t="s">
        <v>2016</v>
      </c>
      <c r="E407">
        <v>418410</v>
      </c>
      <c r="F407" t="s">
        <v>315</v>
      </c>
      <c r="G407" t="s">
        <v>316</v>
      </c>
      <c r="H407" t="s">
        <v>79</v>
      </c>
      <c r="I407" t="s">
        <v>478</v>
      </c>
      <c r="J407" t="s">
        <v>479</v>
      </c>
      <c r="K407" t="s">
        <v>480</v>
      </c>
      <c r="L407" t="s">
        <v>5846</v>
      </c>
      <c r="M407" t="s">
        <v>5847</v>
      </c>
      <c r="N407" t="s">
        <v>6749</v>
      </c>
    </row>
    <row r="408" spans="1:14" x14ac:dyDescent="0.25">
      <c r="A408">
        <v>2010</v>
      </c>
      <c r="B408">
        <v>2051</v>
      </c>
      <c r="C408" t="s">
        <v>2182</v>
      </c>
      <c r="D408" t="s">
        <v>2183</v>
      </c>
      <c r="E408">
        <v>322121</v>
      </c>
      <c r="F408" t="s">
        <v>764</v>
      </c>
      <c r="G408" t="s">
        <v>765</v>
      </c>
      <c r="H408" t="s">
        <v>54</v>
      </c>
      <c r="I408" t="s">
        <v>543</v>
      </c>
      <c r="J408" t="s">
        <v>544</v>
      </c>
      <c r="K408" t="s">
        <v>545</v>
      </c>
      <c r="L408" t="s">
        <v>5828</v>
      </c>
      <c r="M408" t="s">
        <v>5829</v>
      </c>
      <c r="N408" t="s">
        <v>6750</v>
      </c>
    </row>
    <row r="409" spans="1:14" x14ac:dyDescent="0.25">
      <c r="A409">
        <v>2009</v>
      </c>
      <c r="B409">
        <v>5587</v>
      </c>
      <c r="C409" t="s">
        <v>6751</v>
      </c>
      <c r="D409" t="s">
        <v>6752</v>
      </c>
      <c r="E409">
        <v>311119</v>
      </c>
      <c r="F409" t="s">
        <v>1847</v>
      </c>
      <c r="G409" t="s">
        <v>1848</v>
      </c>
      <c r="H409" t="s">
        <v>79</v>
      </c>
      <c r="I409" t="s">
        <v>97</v>
      </c>
      <c r="J409" t="s">
        <v>98</v>
      </c>
      <c r="K409" t="s">
        <v>99</v>
      </c>
      <c r="L409" t="s">
        <v>5828</v>
      </c>
      <c r="M409" t="s">
        <v>5829</v>
      </c>
      <c r="N409" t="s">
        <v>6753</v>
      </c>
    </row>
    <row r="410" spans="1:14" x14ac:dyDescent="0.25">
      <c r="A410">
        <v>2006</v>
      </c>
      <c r="B410">
        <v>16008</v>
      </c>
      <c r="C410" t="s">
        <v>2164</v>
      </c>
      <c r="D410" t="s">
        <v>6754</v>
      </c>
      <c r="E410">
        <v>211113</v>
      </c>
      <c r="F410" t="s">
        <v>425</v>
      </c>
      <c r="G410" t="s">
        <v>426</v>
      </c>
      <c r="H410" t="s">
        <v>85</v>
      </c>
      <c r="I410" t="s">
        <v>1441</v>
      </c>
      <c r="J410" t="s">
        <v>1442</v>
      </c>
      <c r="K410" t="s">
        <v>1443</v>
      </c>
      <c r="L410" t="s">
        <v>5828</v>
      </c>
      <c r="M410" t="s">
        <v>5829</v>
      </c>
      <c r="N410" t="s">
        <v>6755</v>
      </c>
    </row>
    <row r="411" spans="1:14" x14ac:dyDescent="0.25">
      <c r="A411">
        <v>2021</v>
      </c>
      <c r="B411">
        <v>479</v>
      </c>
      <c r="C411" t="s">
        <v>6756</v>
      </c>
      <c r="D411" t="s">
        <v>6756</v>
      </c>
      <c r="E411">
        <v>322112</v>
      </c>
      <c r="F411" t="s">
        <v>660</v>
      </c>
      <c r="G411" t="s">
        <v>621</v>
      </c>
      <c r="H411" t="s">
        <v>69</v>
      </c>
      <c r="I411" t="s">
        <v>80</v>
      </c>
      <c r="J411" t="s">
        <v>81</v>
      </c>
      <c r="K411" t="s">
        <v>82</v>
      </c>
      <c r="L411" t="s">
        <v>5828</v>
      </c>
      <c r="M411" t="s">
        <v>5829</v>
      </c>
      <c r="N411" t="s">
        <v>6757</v>
      </c>
    </row>
    <row r="412" spans="1:14" x14ac:dyDescent="0.25">
      <c r="A412">
        <v>2015</v>
      </c>
      <c r="B412">
        <v>3147</v>
      </c>
      <c r="C412" t="s">
        <v>1783</v>
      </c>
      <c r="D412" t="s">
        <v>5454</v>
      </c>
      <c r="E412">
        <v>541990</v>
      </c>
      <c r="F412" t="s">
        <v>1785</v>
      </c>
      <c r="G412" t="s">
        <v>1786</v>
      </c>
      <c r="H412" t="s">
        <v>21</v>
      </c>
      <c r="I412" t="s">
        <v>106</v>
      </c>
      <c r="J412" t="s">
        <v>107</v>
      </c>
      <c r="K412" t="s">
        <v>108</v>
      </c>
      <c r="L412" t="s">
        <v>5875</v>
      </c>
      <c r="M412" t="s">
        <v>5876</v>
      </c>
      <c r="N412" t="s">
        <v>6758</v>
      </c>
    </row>
    <row r="413" spans="1:14" x14ac:dyDescent="0.25">
      <c r="A413">
        <v>2015</v>
      </c>
      <c r="B413">
        <v>11796</v>
      </c>
      <c r="C413" t="s">
        <v>5819</v>
      </c>
      <c r="D413" t="s">
        <v>5820</v>
      </c>
      <c r="E413">
        <v>212220</v>
      </c>
      <c r="F413" t="s">
        <v>1619</v>
      </c>
      <c r="G413" t="s">
        <v>1620</v>
      </c>
      <c r="H413" t="s">
        <v>21</v>
      </c>
      <c r="I413" t="s">
        <v>62</v>
      </c>
      <c r="J413" t="s">
        <v>63</v>
      </c>
      <c r="K413" t="s">
        <v>64</v>
      </c>
      <c r="L413" t="s">
        <v>5875</v>
      </c>
      <c r="M413" t="s">
        <v>5876</v>
      </c>
      <c r="N413" t="s">
        <v>6759</v>
      </c>
    </row>
    <row r="414" spans="1:14" x14ac:dyDescent="0.25">
      <c r="A414">
        <v>2018</v>
      </c>
      <c r="B414">
        <v>27021</v>
      </c>
      <c r="C414" t="s">
        <v>231</v>
      </c>
      <c r="D414" t="s">
        <v>6760</v>
      </c>
      <c r="E414">
        <v>211110</v>
      </c>
      <c r="F414" t="s">
        <v>233</v>
      </c>
      <c r="G414" t="s">
        <v>234</v>
      </c>
      <c r="H414" t="s">
        <v>85</v>
      </c>
      <c r="I414" t="s">
        <v>129</v>
      </c>
      <c r="J414" t="s">
        <v>130</v>
      </c>
      <c r="K414" t="s">
        <v>131</v>
      </c>
      <c r="L414" t="s">
        <v>6111</v>
      </c>
      <c r="M414" t="s">
        <v>6112</v>
      </c>
      <c r="N414" t="s">
        <v>6761</v>
      </c>
    </row>
    <row r="415" spans="1:14" x14ac:dyDescent="0.25">
      <c r="A415">
        <v>2012</v>
      </c>
      <c r="B415">
        <v>7770</v>
      </c>
      <c r="C415" t="s">
        <v>5918</v>
      </c>
      <c r="D415" t="s">
        <v>6762</v>
      </c>
      <c r="E415">
        <v>321111</v>
      </c>
      <c r="F415" t="s">
        <v>1367</v>
      </c>
      <c r="G415" t="s">
        <v>1368</v>
      </c>
      <c r="H415" t="s">
        <v>69</v>
      </c>
      <c r="I415" t="s">
        <v>1369</v>
      </c>
      <c r="J415" t="s">
        <v>1370</v>
      </c>
      <c r="K415" t="s">
        <v>1371</v>
      </c>
      <c r="L415" t="s">
        <v>5828</v>
      </c>
      <c r="M415" t="s">
        <v>5829</v>
      </c>
      <c r="N415" t="s">
        <v>6763</v>
      </c>
    </row>
    <row r="416" spans="1:14" x14ac:dyDescent="0.25">
      <c r="A416">
        <v>2022</v>
      </c>
      <c r="B416">
        <v>8576</v>
      </c>
      <c r="C416" t="s">
        <v>6764</v>
      </c>
      <c r="D416" t="s">
        <v>6765</v>
      </c>
      <c r="E416">
        <v>331410</v>
      </c>
      <c r="F416" t="s">
        <v>1234</v>
      </c>
      <c r="G416" t="s">
        <v>1235</v>
      </c>
      <c r="H416" t="s">
        <v>79</v>
      </c>
      <c r="I416" t="s">
        <v>324</v>
      </c>
      <c r="J416" t="s">
        <v>325</v>
      </c>
      <c r="K416" t="s">
        <v>326</v>
      </c>
      <c r="L416" t="s">
        <v>5846</v>
      </c>
      <c r="M416" t="s">
        <v>5847</v>
      </c>
      <c r="N416" t="s">
        <v>6766</v>
      </c>
    </row>
    <row r="417" spans="1:14" x14ac:dyDescent="0.25">
      <c r="A417">
        <v>2007</v>
      </c>
      <c r="B417">
        <v>6903</v>
      </c>
      <c r="C417" t="s">
        <v>1901</v>
      </c>
      <c r="D417" t="s">
        <v>6767</v>
      </c>
      <c r="E417">
        <v>486110</v>
      </c>
      <c r="F417" t="s">
        <v>540</v>
      </c>
      <c r="G417" t="s">
        <v>541</v>
      </c>
      <c r="H417" t="s">
        <v>243</v>
      </c>
      <c r="I417" t="s">
        <v>491</v>
      </c>
      <c r="J417" t="s">
        <v>492</v>
      </c>
      <c r="K417" t="s">
        <v>492</v>
      </c>
      <c r="L417" t="s">
        <v>5828</v>
      </c>
      <c r="M417" t="s">
        <v>5829</v>
      </c>
      <c r="N417" t="s">
        <v>6768</v>
      </c>
    </row>
    <row r="418" spans="1:14" x14ac:dyDescent="0.25">
      <c r="A418">
        <v>2018</v>
      </c>
      <c r="B418">
        <v>2337</v>
      </c>
      <c r="C418" t="s">
        <v>2015</v>
      </c>
      <c r="D418" t="s">
        <v>4844</v>
      </c>
      <c r="E418">
        <v>418410</v>
      </c>
      <c r="F418" t="s">
        <v>433</v>
      </c>
      <c r="G418" t="s">
        <v>434</v>
      </c>
      <c r="H418" t="s">
        <v>54</v>
      </c>
      <c r="I418" t="s">
        <v>129</v>
      </c>
      <c r="J418" t="s">
        <v>130</v>
      </c>
      <c r="K418" t="s">
        <v>131</v>
      </c>
      <c r="L418" t="s">
        <v>5875</v>
      </c>
      <c r="M418" t="s">
        <v>5876</v>
      </c>
      <c r="N418" t="s">
        <v>6032</v>
      </c>
    </row>
    <row r="419" spans="1:14" x14ac:dyDescent="0.25">
      <c r="A419">
        <v>2009</v>
      </c>
      <c r="B419">
        <v>5615</v>
      </c>
      <c r="C419" t="s">
        <v>6769</v>
      </c>
      <c r="D419" t="s">
        <v>3538</v>
      </c>
      <c r="E419">
        <v>339990</v>
      </c>
      <c r="F419" t="s">
        <v>871</v>
      </c>
      <c r="G419" t="s">
        <v>872</v>
      </c>
      <c r="H419" t="s">
        <v>21</v>
      </c>
      <c r="I419" t="s">
        <v>106</v>
      </c>
      <c r="J419" t="s">
        <v>107</v>
      </c>
      <c r="K419" t="s">
        <v>108</v>
      </c>
      <c r="L419" t="s">
        <v>5846</v>
      </c>
      <c r="M419" t="s">
        <v>5847</v>
      </c>
      <c r="N419" t="s">
        <v>6770</v>
      </c>
    </row>
    <row r="420" spans="1:14" x14ac:dyDescent="0.25">
      <c r="A420">
        <v>2019</v>
      </c>
      <c r="B420">
        <v>30954</v>
      </c>
      <c r="C420" t="s">
        <v>1411</v>
      </c>
      <c r="D420" t="s">
        <v>6771</v>
      </c>
      <c r="E420">
        <v>211110</v>
      </c>
      <c r="F420" t="s">
        <v>233</v>
      </c>
      <c r="G420" t="s">
        <v>234</v>
      </c>
      <c r="H420" t="s">
        <v>243</v>
      </c>
      <c r="I420" t="s">
        <v>1533</v>
      </c>
      <c r="J420" t="s">
        <v>1534</v>
      </c>
      <c r="K420" t="s">
        <v>1535</v>
      </c>
      <c r="L420" t="s">
        <v>5888</v>
      </c>
      <c r="M420" t="s">
        <v>5889</v>
      </c>
      <c r="N420" t="s">
        <v>6772</v>
      </c>
    </row>
    <row r="421" spans="1:14" x14ac:dyDescent="0.25">
      <c r="A421">
        <v>2021</v>
      </c>
      <c r="B421">
        <v>6223</v>
      </c>
      <c r="C421" t="s">
        <v>995</v>
      </c>
      <c r="D421" t="s">
        <v>6773</v>
      </c>
      <c r="E421">
        <v>562110</v>
      </c>
      <c r="F421" t="s">
        <v>644</v>
      </c>
      <c r="G421" t="s">
        <v>645</v>
      </c>
      <c r="H421" t="s">
        <v>79</v>
      </c>
      <c r="I421" t="s">
        <v>324</v>
      </c>
      <c r="J421" t="s">
        <v>325</v>
      </c>
      <c r="K421" t="s">
        <v>326</v>
      </c>
      <c r="L421" t="s">
        <v>5828</v>
      </c>
      <c r="M421" t="s">
        <v>5829</v>
      </c>
      <c r="N421" t="s">
        <v>6386</v>
      </c>
    </row>
    <row r="422" spans="1:14" x14ac:dyDescent="0.25">
      <c r="A422">
        <v>2013</v>
      </c>
      <c r="B422">
        <v>19671</v>
      </c>
      <c r="C422" t="s">
        <v>65</v>
      </c>
      <c r="D422" t="s">
        <v>559</v>
      </c>
      <c r="E422">
        <v>562210</v>
      </c>
      <c r="F422" t="s">
        <v>84</v>
      </c>
      <c r="G422" t="s">
        <v>53</v>
      </c>
      <c r="H422" t="s">
        <v>243</v>
      </c>
      <c r="I422" t="s">
        <v>6086</v>
      </c>
      <c r="J422" t="s">
        <v>6087</v>
      </c>
      <c r="K422" t="s">
        <v>6088</v>
      </c>
      <c r="L422" t="s">
        <v>5875</v>
      </c>
      <c r="M422" t="s">
        <v>5876</v>
      </c>
      <c r="N422" t="s">
        <v>6774</v>
      </c>
    </row>
    <row r="423" spans="1:14" x14ac:dyDescent="0.25">
      <c r="A423">
        <v>2017</v>
      </c>
      <c r="B423">
        <v>8684</v>
      </c>
      <c r="C423" t="s">
        <v>6775</v>
      </c>
      <c r="D423" t="s">
        <v>6776</v>
      </c>
      <c r="E423">
        <v>325210</v>
      </c>
      <c r="F423" t="s">
        <v>414</v>
      </c>
      <c r="G423" t="s">
        <v>415</v>
      </c>
      <c r="H423" t="s">
        <v>79</v>
      </c>
      <c r="I423" t="s">
        <v>209</v>
      </c>
      <c r="J423" t="s">
        <v>210</v>
      </c>
      <c r="K423" t="s">
        <v>211</v>
      </c>
      <c r="L423" t="s">
        <v>5828</v>
      </c>
      <c r="M423" t="s">
        <v>5829</v>
      </c>
      <c r="N423" t="s">
        <v>6777</v>
      </c>
    </row>
    <row r="424" spans="1:14" x14ac:dyDescent="0.25">
      <c r="A424">
        <v>2014</v>
      </c>
      <c r="B424">
        <v>5601</v>
      </c>
      <c r="C424" t="s">
        <v>1670</v>
      </c>
      <c r="D424" t="s">
        <v>6778</v>
      </c>
      <c r="E424">
        <v>336510</v>
      </c>
      <c r="F424" t="s">
        <v>6779</v>
      </c>
      <c r="G424" t="s">
        <v>6780</v>
      </c>
      <c r="H424" t="s">
        <v>21</v>
      </c>
      <c r="I424" t="s">
        <v>152</v>
      </c>
      <c r="J424" t="s">
        <v>153</v>
      </c>
      <c r="K424" t="s">
        <v>154</v>
      </c>
      <c r="L424" t="s">
        <v>5846</v>
      </c>
      <c r="M424" t="s">
        <v>5847</v>
      </c>
      <c r="N424" t="s">
        <v>6781</v>
      </c>
    </row>
    <row r="425" spans="1:14" x14ac:dyDescent="0.25">
      <c r="A425">
        <v>2012</v>
      </c>
      <c r="B425">
        <v>5205</v>
      </c>
      <c r="C425" t="s">
        <v>5922</v>
      </c>
      <c r="D425" t="s">
        <v>5923</v>
      </c>
      <c r="E425">
        <v>321114</v>
      </c>
      <c r="F425" t="s">
        <v>1212</v>
      </c>
      <c r="G425" t="s">
        <v>366</v>
      </c>
      <c r="H425" t="s">
        <v>243</v>
      </c>
      <c r="I425" t="s">
        <v>209</v>
      </c>
      <c r="J425" t="s">
        <v>210</v>
      </c>
      <c r="K425" t="s">
        <v>211</v>
      </c>
      <c r="L425" t="s">
        <v>5846</v>
      </c>
      <c r="M425" t="s">
        <v>5847</v>
      </c>
      <c r="N425" t="s">
        <v>6416</v>
      </c>
    </row>
    <row r="426" spans="1:14" x14ac:dyDescent="0.25">
      <c r="A426">
        <v>2011</v>
      </c>
      <c r="B426">
        <v>2134</v>
      </c>
      <c r="C426" t="s">
        <v>1115</v>
      </c>
      <c r="D426" t="s">
        <v>1338</v>
      </c>
      <c r="E426">
        <v>325313</v>
      </c>
      <c r="F426" t="s">
        <v>1585</v>
      </c>
      <c r="G426" t="s">
        <v>1055</v>
      </c>
      <c r="H426" t="s">
        <v>85</v>
      </c>
      <c r="I426" t="s">
        <v>55</v>
      </c>
      <c r="J426" t="s">
        <v>56</v>
      </c>
      <c r="K426" t="s">
        <v>57</v>
      </c>
      <c r="L426" t="s">
        <v>5828</v>
      </c>
      <c r="M426" t="s">
        <v>5829</v>
      </c>
      <c r="N426" t="s">
        <v>6782</v>
      </c>
    </row>
    <row r="427" spans="1:14" x14ac:dyDescent="0.25">
      <c r="A427">
        <v>2016</v>
      </c>
      <c r="B427">
        <v>2230</v>
      </c>
      <c r="C427" t="s">
        <v>1548</v>
      </c>
      <c r="D427" t="s">
        <v>1514</v>
      </c>
      <c r="E427">
        <v>211114</v>
      </c>
      <c r="F427" t="s">
        <v>956</v>
      </c>
      <c r="G427" t="s">
        <v>836</v>
      </c>
      <c r="H427" t="s">
        <v>85</v>
      </c>
      <c r="I427" t="s">
        <v>1457</v>
      </c>
      <c r="J427" t="s">
        <v>1458</v>
      </c>
      <c r="K427" t="s">
        <v>1459</v>
      </c>
      <c r="L427" t="s">
        <v>5828</v>
      </c>
      <c r="M427" t="s">
        <v>5829</v>
      </c>
      <c r="N427" t="s">
        <v>6783</v>
      </c>
    </row>
    <row r="428" spans="1:14" x14ac:dyDescent="0.25">
      <c r="A428">
        <v>2013</v>
      </c>
      <c r="B428">
        <v>479</v>
      </c>
      <c r="C428" t="s">
        <v>6756</v>
      </c>
      <c r="D428" t="s">
        <v>6756</v>
      </c>
      <c r="E428">
        <v>322112</v>
      </c>
      <c r="F428" t="s">
        <v>660</v>
      </c>
      <c r="G428" t="s">
        <v>621</v>
      </c>
      <c r="H428" t="s">
        <v>69</v>
      </c>
      <c r="I428" t="s">
        <v>1050</v>
      </c>
      <c r="J428" t="s">
        <v>1051</v>
      </c>
      <c r="K428" t="s">
        <v>1052</v>
      </c>
      <c r="L428" t="s">
        <v>5875</v>
      </c>
      <c r="M428" t="s">
        <v>5876</v>
      </c>
      <c r="N428" t="s">
        <v>6784</v>
      </c>
    </row>
    <row r="429" spans="1:14" x14ac:dyDescent="0.25">
      <c r="A429">
        <v>2016</v>
      </c>
      <c r="B429">
        <v>26054</v>
      </c>
      <c r="C429" t="s">
        <v>6785</v>
      </c>
      <c r="D429" t="s">
        <v>6786</v>
      </c>
      <c r="E429">
        <v>211113</v>
      </c>
      <c r="F429" t="s">
        <v>786</v>
      </c>
      <c r="G429" t="s">
        <v>426</v>
      </c>
      <c r="H429" t="s">
        <v>85</v>
      </c>
      <c r="I429" t="s">
        <v>1533</v>
      </c>
      <c r="J429" t="s">
        <v>1534</v>
      </c>
      <c r="K429" t="s">
        <v>1535</v>
      </c>
      <c r="L429" t="s">
        <v>5828</v>
      </c>
      <c r="M429" t="s">
        <v>5829</v>
      </c>
      <c r="N429" t="s">
        <v>6787</v>
      </c>
    </row>
    <row r="430" spans="1:14" x14ac:dyDescent="0.25">
      <c r="A430">
        <v>2020</v>
      </c>
      <c r="B430">
        <v>3158</v>
      </c>
      <c r="C430" t="s">
        <v>6788</v>
      </c>
      <c r="D430" t="s">
        <v>6788</v>
      </c>
      <c r="E430">
        <v>331110</v>
      </c>
      <c r="F430" t="s">
        <v>627</v>
      </c>
      <c r="G430" t="s">
        <v>336</v>
      </c>
      <c r="H430" t="s">
        <v>21</v>
      </c>
      <c r="I430" t="s">
        <v>177</v>
      </c>
      <c r="J430" t="s">
        <v>178</v>
      </c>
      <c r="K430" t="s">
        <v>179</v>
      </c>
      <c r="L430" t="s">
        <v>5828</v>
      </c>
      <c r="M430" t="s">
        <v>5829</v>
      </c>
      <c r="N430" t="s">
        <v>6789</v>
      </c>
    </row>
    <row r="431" spans="1:14" x14ac:dyDescent="0.25">
      <c r="A431">
        <v>2013</v>
      </c>
      <c r="B431">
        <v>23475</v>
      </c>
      <c r="C431" t="s">
        <v>6790</v>
      </c>
      <c r="D431" t="s">
        <v>6791</v>
      </c>
      <c r="E431">
        <v>211113</v>
      </c>
      <c r="F431" t="s">
        <v>786</v>
      </c>
      <c r="G431" t="s">
        <v>426</v>
      </c>
      <c r="H431" t="s">
        <v>85</v>
      </c>
      <c r="I431" t="s">
        <v>1533</v>
      </c>
      <c r="J431" t="s">
        <v>1534</v>
      </c>
      <c r="K431" t="s">
        <v>1535</v>
      </c>
      <c r="L431" t="s">
        <v>5828</v>
      </c>
      <c r="M431" t="s">
        <v>5829</v>
      </c>
      <c r="N431" t="s">
        <v>6792</v>
      </c>
    </row>
    <row r="432" spans="1:14" x14ac:dyDescent="0.25">
      <c r="A432">
        <v>2013</v>
      </c>
      <c r="B432">
        <v>6838</v>
      </c>
      <c r="C432" t="s">
        <v>6695</v>
      </c>
      <c r="D432" t="s">
        <v>6793</v>
      </c>
      <c r="E432">
        <v>336212</v>
      </c>
      <c r="F432" t="s">
        <v>789</v>
      </c>
      <c r="G432" t="s">
        <v>790</v>
      </c>
      <c r="H432" t="s">
        <v>243</v>
      </c>
      <c r="I432" t="s">
        <v>97</v>
      </c>
      <c r="J432" t="s">
        <v>98</v>
      </c>
      <c r="K432" t="s">
        <v>99</v>
      </c>
      <c r="L432" t="s">
        <v>5828</v>
      </c>
      <c r="M432" t="s">
        <v>5829</v>
      </c>
      <c r="N432" t="s">
        <v>6794</v>
      </c>
    </row>
    <row r="433" spans="1:14" x14ac:dyDescent="0.25">
      <c r="A433">
        <v>1999</v>
      </c>
      <c r="B433">
        <v>333</v>
      </c>
      <c r="C433" t="s">
        <v>6795</v>
      </c>
      <c r="D433" t="s">
        <v>6796</v>
      </c>
      <c r="E433">
        <v>322112</v>
      </c>
      <c r="F433" t="s">
        <v>620</v>
      </c>
      <c r="G433" t="s">
        <v>621</v>
      </c>
      <c r="H433" t="s">
        <v>69</v>
      </c>
      <c r="I433" t="s">
        <v>1948</v>
      </c>
      <c r="J433" t="s">
        <v>1949</v>
      </c>
      <c r="K433" t="s">
        <v>1950</v>
      </c>
      <c r="L433" t="s">
        <v>5875</v>
      </c>
      <c r="M433" t="s">
        <v>5876</v>
      </c>
      <c r="N433" t="s">
        <v>6797</v>
      </c>
    </row>
    <row r="434" spans="1:14" x14ac:dyDescent="0.25">
      <c r="A434">
        <v>2010</v>
      </c>
      <c r="B434">
        <v>6108</v>
      </c>
      <c r="C434" t="s">
        <v>6798</v>
      </c>
      <c r="D434" t="s">
        <v>5505</v>
      </c>
      <c r="E434">
        <v>311119</v>
      </c>
      <c r="F434" t="s">
        <v>1847</v>
      </c>
      <c r="G434" t="s">
        <v>1848</v>
      </c>
      <c r="H434" t="s">
        <v>79</v>
      </c>
      <c r="I434" t="s">
        <v>1487</v>
      </c>
      <c r="J434" t="s">
        <v>1488</v>
      </c>
      <c r="K434" t="s">
        <v>1489</v>
      </c>
      <c r="L434" t="s">
        <v>5828</v>
      </c>
      <c r="M434" t="s">
        <v>5829</v>
      </c>
      <c r="N434" t="s">
        <v>6799</v>
      </c>
    </row>
    <row r="435" spans="1:14" x14ac:dyDescent="0.25">
      <c r="A435">
        <v>2005</v>
      </c>
      <c r="B435">
        <v>5151</v>
      </c>
      <c r="C435" t="s">
        <v>6800</v>
      </c>
      <c r="D435" t="s">
        <v>6801</v>
      </c>
      <c r="E435">
        <v>325510</v>
      </c>
      <c r="F435" t="s">
        <v>143</v>
      </c>
      <c r="G435" t="s">
        <v>112</v>
      </c>
      <c r="H435" t="s">
        <v>69</v>
      </c>
      <c r="I435" t="s">
        <v>35</v>
      </c>
      <c r="J435" t="s">
        <v>36</v>
      </c>
      <c r="K435" t="s">
        <v>37</v>
      </c>
      <c r="L435" t="s">
        <v>5846</v>
      </c>
      <c r="M435" t="s">
        <v>5847</v>
      </c>
      <c r="N435" t="s">
        <v>6802</v>
      </c>
    </row>
    <row r="436" spans="1:14" x14ac:dyDescent="0.25">
      <c r="A436">
        <v>2003</v>
      </c>
      <c r="B436">
        <v>6168</v>
      </c>
      <c r="C436" t="s">
        <v>6803</v>
      </c>
      <c r="D436" t="s">
        <v>6804</v>
      </c>
      <c r="E436">
        <v>331110</v>
      </c>
      <c r="F436" t="s">
        <v>335</v>
      </c>
      <c r="G436" t="s">
        <v>336</v>
      </c>
      <c r="H436" t="s">
        <v>79</v>
      </c>
      <c r="I436" t="s">
        <v>1487</v>
      </c>
      <c r="J436" t="s">
        <v>1488</v>
      </c>
      <c r="K436" t="s">
        <v>1489</v>
      </c>
      <c r="L436" t="s">
        <v>5828</v>
      </c>
      <c r="M436" t="s">
        <v>5829</v>
      </c>
      <c r="N436" t="s">
        <v>6805</v>
      </c>
    </row>
    <row r="437" spans="1:14" x14ac:dyDescent="0.25">
      <c r="A437">
        <v>2020</v>
      </c>
      <c r="B437">
        <v>4197</v>
      </c>
      <c r="C437" t="s">
        <v>5686</v>
      </c>
      <c r="D437" t="s">
        <v>5687</v>
      </c>
      <c r="E437">
        <v>331317</v>
      </c>
      <c r="F437" t="s">
        <v>768</v>
      </c>
      <c r="G437" t="s">
        <v>769</v>
      </c>
      <c r="H437" t="s">
        <v>21</v>
      </c>
      <c r="I437" t="s">
        <v>136</v>
      </c>
      <c r="J437" t="s">
        <v>137</v>
      </c>
      <c r="K437" t="s">
        <v>138</v>
      </c>
      <c r="L437" t="s">
        <v>5828</v>
      </c>
      <c r="M437" t="s">
        <v>5829</v>
      </c>
      <c r="N437" t="s">
        <v>6806</v>
      </c>
    </row>
    <row r="438" spans="1:14" x14ac:dyDescent="0.25">
      <c r="A438">
        <v>2003</v>
      </c>
      <c r="B438">
        <v>7243</v>
      </c>
      <c r="C438" t="s">
        <v>6807</v>
      </c>
      <c r="D438" t="s">
        <v>6808</v>
      </c>
      <c r="E438">
        <v>327390</v>
      </c>
      <c r="F438" t="s">
        <v>6809</v>
      </c>
      <c r="G438" t="s">
        <v>6810</v>
      </c>
      <c r="H438" t="s">
        <v>21</v>
      </c>
      <c r="I438" t="s">
        <v>1369</v>
      </c>
      <c r="J438" t="s">
        <v>1370</v>
      </c>
      <c r="K438" t="s">
        <v>1371</v>
      </c>
      <c r="L438" t="s">
        <v>5828</v>
      </c>
      <c r="M438" t="s">
        <v>5829</v>
      </c>
      <c r="N438" t="s">
        <v>6811</v>
      </c>
    </row>
    <row r="439" spans="1:14" x14ac:dyDescent="0.25">
      <c r="A439">
        <v>2005</v>
      </c>
      <c r="B439">
        <v>6914</v>
      </c>
      <c r="C439" t="s">
        <v>1901</v>
      </c>
      <c r="D439" t="s">
        <v>6172</v>
      </c>
      <c r="E439">
        <v>486110</v>
      </c>
      <c r="F439" t="s">
        <v>540</v>
      </c>
      <c r="G439" t="s">
        <v>541</v>
      </c>
      <c r="H439" t="s">
        <v>243</v>
      </c>
      <c r="I439" t="s">
        <v>271</v>
      </c>
      <c r="J439" t="s">
        <v>272</v>
      </c>
      <c r="K439" t="s">
        <v>273</v>
      </c>
      <c r="L439" t="s">
        <v>5828</v>
      </c>
      <c r="M439" t="s">
        <v>5829</v>
      </c>
      <c r="N439" t="s">
        <v>6812</v>
      </c>
    </row>
    <row r="440" spans="1:14" x14ac:dyDescent="0.25">
      <c r="A440">
        <v>2012</v>
      </c>
      <c r="B440">
        <v>3242</v>
      </c>
      <c r="C440" t="s">
        <v>5262</v>
      </c>
      <c r="D440" t="s">
        <v>5263</v>
      </c>
      <c r="E440">
        <v>322112</v>
      </c>
      <c r="F440" t="s">
        <v>660</v>
      </c>
      <c r="G440" t="s">
        <v>621</v>
      </c>
      <c r="H440" t="s">
        <v>79</v>
      </c>
      <c r="I440" t="s">
        <v>97</v>
      </c>
      <c r="J440" t="s">
        <v>98</v>
      </c>
      <c r="K440" t="s">
        <v>99</v>
      </c>
      <c r="L440" t="s">
        <v>5828</v>
      </c>
      <c r="M440" t="s">
        <v>5829</v>
      </c>
      <c r="N440" t="s">
        <v>6813</v>
      </c>
    </row>
    <row r="441" spans="1:14" x14ac:dyDescent="0.25">
      <c r="A441">
        <v>2001</v>
      </c>
      <c r="B441">
        <v>1755</v>
      </c>
      <c r="C441" t="s">
        <v>5782</v>
      </c>
      <c r="D441" t="s">
        <v>6137</v>
      </c>
      <c r="E441">
        <v>211113</v>
      </c>
      <c r="F441" t="s">
        <v>425</v>
      </c>
      <c r="G441" t="s">
        <v>426</v>
      </c>
      <c r="H441" t="s">
        <v>85</v>
      </c>
      <c r="I441" t="s">
        <v>55</v>
      </c>
      <c r="J441" t="s">
        <v>56</v>
      </c>
      <c r="K441" t="s">
        <v>57</v>
      </c>
      <c r="L441" t="s">
        <v>5875</v>
      </c>
      <c r="M441" t="s">
        <v>5876</v>
      </c>
      <c r="N441" t="s">
        <v>6814</v>
      </c>
    </row>
    <row r="442" spans="1:14" x14ac:dyDescent="0.25">
      <c r="A442">
        <v>1997</v>
      </c>
      <c r="B442">
        <v>3994</v>
      </c>
      <c r="C442" t="s">
        <v>5933</v>
      </c>
      <c r="D442" t="s">
        <v>1799</v>
      </c>
      <c r="E442">
        <v>221112</v>
      </c>
      <c r="F442" t="s">
        <v>134</v>
      </c>
      <c r="G442" t="s">
        <v>135</v>
      </c>
      <c r="H442" t="s">
        <v>483</v>
      </c>
      <c r="I442" t="s">
        <v>244</v>
      </c>
      <c r="J442" t="s">
        <v>245</v>
      </c>
      <c r="K442" t="s">
        <v>246</v>
      </c>
      <c r="L442" t="s">
        <v>5846</v>
      </c>
      <c r="M442" t="s">
        <v>5847</v>
      </c>
      <c r="N442" t="s">
        <v>5934</v>
      </c>
    </row>
    <row r="443" spans="1:14" x14ac:dyDescent="0.25">
      <c r="A443">
        <v>2017</v>
      </c>
      <c r="B443">
        <v>4422</v>
      </c>
      <c r="C443" t="s">
        <v>2015</v>
      </c>
      <c r="D443" t="s">
        <v>6815</v>
      </c>
      <c r="E443">
        <v>418410</v>
      </c>
      <c r="F443" t="s">
        <v>433</v>
      </c>
      <c r="G443" t="s">
        <v>434</v>
      </c>
      <c r="H443" t="s">
        <v>21</v>
      </c>
      <c r="I443" t="s">
        <v>317</v>
      </c>
      <c r="J443" t="s">
        <v>318</v>
      </c>
      <c r="K443" t="s">
        <v>319</v>
      </c>
      <c r="L443" t="s">
        <v>5828</v>
      </c>
      <c r="M443" t="s">
        <v>5829</v>
      </c>
      <c r="N443" t="s">
        <v>6816</v>
      </c>
    </row>
    <row r="444" spans="1:14" x14ac:dyDescent="0.25">
      <c r="A444">
        <v>2005</v>
      </c>
      <c r="B444">
        <v>16031</v>
      </c>
      <c r="C444" t="s">
        <v>2118</v>
      </c>
      <c r="D444" t="s">
        <v>6817</v>
      </c>
      <c r="E444">
        <v>211113</v>
      </c>
      <c r="F444" t="s">
        <v>425</v>
      </c>
      <c r="G444" t="s">
        <v>426</v>
      </c>
      <c r="H444" t="s">
        <v>85</v>
      </c>
      <c r="I444" t="s">
        <v>1533</v>
      </c>
      <c r="J444" t="s">
        <v>1534</v>
      </c>
      <c r="K444" t="s">
        <v>1535</v>
      </c>
      <c r="L444" t="s">
        <v>5828</v>
      </c>
      <c r="M444" t="s">
        <v>5829</v>
      </c>
      <c r="N444" t="s">
        <v>6818</v>
      </c>
    </row>
    <row r="445" spans="1:14" x14ac:dyDescent="0.25">
      <c r="A445">
        <v>2005</v>
      </c>
      <c r="B445">
        <v>5793</v>
      </c>
      <c r="C445" t="s">
        <v>6819</v>
      </c>
      <c r="D445" t="s">
        <v>6820</v>
      </c>
      <c r="E445">
        <v>339950</v>
      </c>
      <c r="F445" t="s">
        <v>6821</v>
      </c>
      <c r="G445" t="s">
        <v>6822</v>
      </c>
      <c r="H445" t="s">
        <v>21</v>
      </c>
      <c r="I445" t="s">
        <v>478</v>
      </c>
      <c r="J445" t="s">
        <v>479</v>
      </c>
      <c r="K445" t="s">
        <v>480</v>
      </c>
      <c r="L445" t="s">
        <v>5875</v>
      </c>
      <c r="M445" t="s">
        <v>5876</v>
      </c>
      <c r="N445" t="s">
        <v>6823</v>
      </c>
    </row>
    <row r="446" spans="1:14" x14ac:dyDescent="0.25">
      <c r="A446">
        <v>2010</v>
      </c>
      <c r="B446">
        <v>11616</v>
      </c>
      <c r="C446" t="s">
        <v>6824</v>
      </c>
      <c r="D446" t="s">
        <v>4260</v>
      </c>
      <c r="E446">
        <v>325190</v>
      </c>
      <c r="F446" t="s">
        <v>832</v>
      </c>
      <c r="G446" t="s">
        <v>601</v>
      </c>
      <c r="H446" t="s">
        <v>79</v>
      </c>
      <c r="I446" t="s">
        <v>1441</v>
      </c>
      <c r="J446" t="s">
        <v>1442</v>
      </c>
      <c r="K446" t="s">
        <v>1443</v>
      </c>
      <c r="L446" t="s">
        <v>5828</v>
      </c>
      <c r="M446" t="s">
        <v>5829</v>
      </c>
      <c r="N446" t="s">
        <v>6825</v>
      </c>
    </row>
    <row r="447" spans="1:14" x14ac:dyDescent="0.25">
      <c r="A447">
        <v>2004</v>
      </c>
      <c r="B447">
        <v>5108</v>
      </c>
      <c r="C447" t="s">
        <v>5300</v>
      </c>
      <c r="D447" t="s">
        <v>6826</v>
      </c>
      <c r="E447">
        <v>321216</v>
      </c>
      <c r="F447" t="s">
        <v>1462</v>
      </c>
      <c r="G447" t="s">
        <v>1463</v>
      </c>
      <c r="H447" t="s">
        <v>69</v>
      </c>
      <c r="I447" t="s">
        <v>55</v>
      </c>
      <c r="J447" t="s">
        <v>56</v>
      </c>
      <c r="K447" t="s">
        <v>57</v>
      </c>
      <c r="L447" t="s">
        <v>5828</v>
      </c>
      <c r="M447" t="s">
        <v>5829</v>
      </c>
      <c r="N447" t="s">
        <v>6827</v>
      </c>
    </row>
    <row r="448" spans="1:14" x14ac:dyDescent="0.25">
      <c r="A448">
        <v>2018</v>
      </c>
      <c r="B448">
        <v>4101</v>
      </c>
      <c r="C448" t="s">
        <v>6051</v>
      </c>
      <c r="D448" t="s">
        <v>6828</v>
      </c>
      <c r="E448">
        <v>324110</v>
      </c>
      <c r="F448" t="s">
        <v>196</v>
      </c>
      <c r="G448" t="s">
        <v>96</v>
      </c>
      <c r="H448" t="s">
        <v>661</v>
      </c>
      <c r="I448" t="s">
        <v>209</v>
      </c>
      <c r="J448" t="s">
        <v>210</v>
      </c>
      <c r="K448" t="s">
        <v>211</v>
      </c>
      <c r="L448" t="s">
        <v>5875</v>
      </c>
      <c r="M448" t="s">
        <v>5876</v>
      </c>
      <c r="N448" t="s">
        <v>6829</v>
      </c>
    </row>
    <row r="449" spans="1:14" x14ac:dyDescent="0.25">
      <c r="A449">
        <v>2018</v>
      </c>
      <c r="B449">
        <v>3163</v>
      </c>
      <c r="C449" t="s">
        <v>5288</v>
      </c>
      <c r="D449" t="s">
        <v>6830</v>
      </c>
      <c r="E449">
        <v>221113</v>
      </c>
      <c r="F449" t="s">
        <v>6831</v>
      </c>
      <c r="G449" t="s">
        <v>912</v>
      </c>
      <c r="H449" t="s">
        <v>21</v>
      </c>
      <c r="I449" t="s">
        <v>504</v>
      </c>
      <c r="J449" t="s">
        <v>505</v>
      </c>
      <c r="K449" t="s">
        <v>506</v>
      </c>
      <c r="L449" t="s">
        <v>6111</v>
      </c>
      <c r="M449" t="s">
        <v>6112</v>
      </c>
      <c r="N449" t="s">
        <v>6832</v>
      </c>
    </row>
    <row r="450" spans="1:14" x14ac:dyDescent="0.25">
      <c r="A450">
        <v>2016</v>
      </c>
      <c r="B450">
        <v>2100</v>
      </c>
      <c r="C450" t="s">
        <v>6833</v>
      </c>
      <c r="D450" t="s">
        <v>6834</v>
      </c>
      <c r="E450">
        <v>212299</v>
      </c>
      <c r="F450" t="s">
        <v>1434</v>
      </c>
      <c r="G450" t="s">
        <v>1435</v>
      </c>
      <c r="H450" t="s">
        <v>79</v>
      </c>
      <c r="I450" t="s">
        <v>35</v>
      </c>
      <c r="J450" t="s">
        <v>36</v>
      </c>
      <c r="K450" t="s">
        <v>37</v>
      </c>
      <c r="L450" t="s">
        <v>5828</v>
      </c>
      <c r="M450" t="s">
        <v>5829</v>
      </c>
      <c r="N450" t="s">
        <v>6835</v>
      </c>
    </row>
    <row r="451" spans="1:14" x14ac:dyDescent="0.25">
      <c r="A451">
        <v>2008</v>
      </c>
      <c r="B451">
        <v>3634</v>
      </c>
      <c r="C451" t="s">
        <v>6836</v>
      </c>
      <c r="D451" t="s">
        <v>6837</v>
      </c>
      <c r="E451">
        <v>325110</v>
      </c>
      <c r="F451" t="s">
        <v>1194</v>
      </c>
      <c r="G451" t="s">
        <v>445</v>
      </c>
      <c r="H451" t="s">
        <v>79</v>
      </c>
      <c r="I451" t="s">
        <v>648</v>
      </c>
      <c r="J451" t="s">
        <v>649</v>
      </c>
      <c r="K451" t="s">
        <v>650</v>
      </c>
      <c r="L451" t="s">
        <v>5828</v>
      </c>
      <c r="M451" t="s">
        <v>5829</v>
      </c>
      <c r="N451" t="s">
        <v>6838</v>
      </c>
    </row>
    <row r="452" spans="1:14" x14ac:dyDescent="0.25">
      <c r="A452">
        <v>2019</v>
      </c>
      <c r="B452">
        <v>4772</v>
      </c>
      <c r="C452" t="s">
        <v>642</v>
      </c>
      <c r="D452" t="s">
        <v>6257</v>
      </c>
      <c r="E452">
        <v>324190</v>
      </c>
      <c r="F452" t="s">
        <v>666</v>
      </c>
      <c r="G452" t="s">
        <v>667</v>
      </c>
      <c r="H452" t="s">
        <v>21</v>
      </c>
      <c r="I452" t="s">
        <v>847</v>
      </c>
      <c r="J452" t="s">
        <v>848</v>
      </c>
      <c r="K452" t="s">
        <v>849</v>
      </c>
      <c r="L452" t="s">
        <v>5875</v>
      </c>
      <c r="M452" t="s">
        <v>5876</v>
      </c>
      <c r="N452" t="s">
        <v>6343</v>
      </c>
    </row>
    <row r="453" spans="1:14" x14ac:dyDescent="0.25">
      <c r="A453">
        <v>2015</v>
      </c>
      <c r="B453">
        <v>3701</v>
      </c>
      <c r="C453" t="s">
        <v>194</v>
      </c>
      <c r="D453" t="s">
        <v>681</v>
      </c>
      <c r="E453">
        <v>324110</v>
      </c>
      <c r="F453" t="s">
        <v>196</v>
      </c>
      <c r="G453" t="s">
        <v>96</v>
      </c>
      <c r="H453" t="s">
        <v>21</v>
      </c>
      <c r="I453" t="s">
        <v>70</v>
      </c>
      <c r="J453" t="s">
        <v>71</v>
      </c>
      <c r="K453" t="s">
        <v>72</v>
      </c>
      <c r="L453" t="s">
        <v>5828</v>
      </c>
      <c r="M453" t="s">
        <v>5829</v>
      </c>
      <c r="N453" t="s">
        <v>6839</v>
      </c>
    </row>
    <row r="454" spans="1:14" x14ac:dyDescent="0.25">
      <c r="A454">
        <v>2015</v>
      </c>
      <c r="B454">
        <v>3111</v>
      </c>
      <c r="C454" t="s">
        <v>591</v>
      </c>
      <c r="D454" t="s">
        <v>592</v>
      </c>
      <c r="E454">
        <v>332810</v>
      </c>
      <c r="F454" t="s">
        <v>361</v>
      </c>
      <c r="G454" t="s">
        <v>362</v>
      </c>
      <c r="H454" t="s">
        <v>21</v>
      </c>
      <c r="I454" t="s">
        <v>281</v>
      </c>
      <c r="J454" t="s">
        <v>282</v>
      </c>
      <c r="K454" t="s">
        <v>283</v>
      </c>
      <c r="L454" t="s">
        <v>5875</v>
      </c>
      <c r="M454" t="s">
        <v>5876</v>
      </c>
      <c r="N454" t="s">
        <v>6840</v>
      </c>
    </row>
    <row r="455" spans="1:14" x14ac:dyDescent="0.25">
      <c r="A455">
        <v>2002</v>
      </c>
      <c r="B455">
        <v>3802</v>
      </c>
      <c r="C455" t="s">
        <v>6841</v>
      </c>
      <c r="D455" t="s">
        <v>6842</v>
      </c>
      <c r="E455">
        <v>331410</v>
      </c>
      <c r="F455" t="s">
        <v>1453</v>
      </c>
      <c r="G455" t="s">
        <v>1235</v>
      </c>
      <c r="H455" t="s">
        <v>69</v>
      </c>
      <c r="I455" t="s">
        <v>504</v>
      </c>
      <c r="J455" t="s">
        <v>505</v>
      </c>
      <c r="K455" t="s">
        <v>506</v>
      </c>
      <c r="L455" t="s">
        <v>5828</v>
      </c>
      <c r="M455" t="s">
        <v>5829</v>
      </c>
      <c r="N455" t="s">
        <v>6843</v>
      </c>
    </row>
    <row r="456" spans="1:14" x14ac:dyDescent="0.25">
      <c r="A456">
        <v>2011</v>
      </c>
      <c r="B456">
        <v>5727</v>
      </c>
      <c r="C456" t="s">
        <v>6844</v>
      </c>
      <c r="D456" t="s">
        <v>6845</v>
      </c>
      <c r="E456">
        <v>336390</v>
      </c>
      <c r="F456" t="s">
        <v>60</v>
      </c>
      <c r="G456" t="s">
        <v>61</v>
      </c>
      <c r="H456" t="s">
        <v>21</v>
      </c>
      <c r="I456" t="s">
        <v>136</v>
      </c>
      <c r="J456" t="s">
        <v>137</v>
      </c>
      <c r="K456" t="s">
        <v>138</v>
      </c>
      <c r="L456" t="s">
        <v>5875</v>
      </c>
      <c r="M456" t="s">
        <v>5876</v>
      </c>
      <c r="N456" t="s">
        <v>6846</v>
      </c>
    </row>
    <row r="457" spans="1:14" x14ac:dyDescent="0.25">
      <c r="A457">
        <v>2007</v>
      </c>
      <c r="B457">
        <v>7413</v>
      </c>
      <c r="C457" t="s">
        <v>6847</v>
      </c>
      <c r="D457" t="s">
        <v>6848</v>
      </c>
      <c r="E457">
        <v>221320</v>
      </c>
      <c r="F457" t="s">
        <v>390</v>
      </c>
      <c r="G457" t="s">
        <v>147</v>
      </c>
      <c r="H457" t="s">
        <v>21</v>
      </c>
      <c r="I457" t="s">
        <v>504</v>
      </c>
      <c r="J457" t="s">
        <v>505</v>
      </c>
      <c r="K457" t="s">
        <v>506</v>
      </c>
      <c r="L457" t="s">
        <v>5828</v>
      </c>
      <c r="M457" t="s">
        <v>5829</v>
      </c>
      <c r="N457" t="s">
        <v>6849</v>
      </c>
    </row>
    <row r="458" spans="1:14" x14ac:dyDescent="0.25">
      <c r="A458">
        <v>2006</v>
      </c>
      <c r="B458">
        <v>15989</v>
      </c>
      <c r="C458" t="s">
        <v>2164</v>
      </c>
      <c r="D458" t="s">
        <v>6850</v>
      </c>
      <c r="E458">
        <v>211113</v>
      </c>
      <c r="F458" t="s">
        <v>425</v>
      </c>
      <c r="G458" t="s">
        <v>426</v>
      </c>
      <c r="H458" t="s">
        <v>85</v>
      </c>
      <c r="I458" t="s">
        <v>1421</v>
      </c>
      <c r="J458" t="s">
        <v>1422</v>
      </c>
      <c r="K458" t="s">
        <v>1423</v>
      </c>
      <c r="L458" t="s">
        <v>5828</v>
      </c>
      <c r="M458" t="s">
        <v>5829</v>
      </c>
      <c r="N458" t="s">
        <v>6851</v>
      </c>
    </row>
    <row r="459" spans="1:14" x14ac:dyDescent="0.25">
      <c r="A459">
        <v>2020</v>
      </c>
      <c r="B459">
        <v>3707</v>
      </c>
      <c r="C459" t="s">
        <v>194</v>
      </c>
      <c r="D459" t="s">
        <v>651</v>
      </c>
      <c r="E459">
        <v>324110</v>
      </c>
      <c r="F459" t="s">
        <v>196</v>
      </c>
      <c r="G459" t="s">
        <v>96</v>
      </c>
      <c r="H459" t="s">
        <v>85</v>
      </c>
      <c r="I459" t="s">
        <v>106</v>
      </c>
      <c r="J459" t="s">
        <v>107</v>
      </c>
      <c r="K459" t="s">
        <v>108</v>
      </c>
      <c r="L459" t="s">
        <v>5828</v>
      </c>
      <c r="M459" t="s">
        <v>5829</v>
      </c>
      <c r="N459" t="s">
        <v>6852</v>
      </c>
    </row>
    <row r="460" spans="1:14" x14ac:dyDescent="0.25">
      <c r="A460">
        <v>2020</v>
      </c>
      <c r="B460">
        <v>2070</v>
      </c>
      <c r="C460" t="s">
        <v>6128</v>
      </c>
      <c r="D460" t="s">
        <v>6128</v>
      </c>
      <c r="E460">
        <v>325190</v>
      </c>
      <c r="F460" t="s">
        <v>600</v>
      </c>
      <c r="G460" t="s">
        <v>601</v>
      </c>
      <c r="H460" t="s">
        <v>21</v>
      </c>
      <c r="I460" t="s">
        <v>348</v>
      </c>
      <c r="J460" t="s">
        <v>349</v>
      </c>
      <c r="K460" t="s">
        <v>350</v>
      </c>
      <c r="L460" t="s">
        <v>5875</v>
      </c>
      <c r="M460" t="s">
        <v>5876</v>
      </c>
      <c r="N460" t="s">
        <v>6853</v>
      </c>
    </row>
    <row r="461" spans="1:14" x14ac:dyDescent="0.25">
      <c r="A461">
        <v>2010</v>
      </c>
      <c r="B461">
        <v>8122</v>
      </c>
      <c r="C461" t="s">
        <v>6854</v>
      </c>
      <c r="D461" t="s">
        <v>6855</v>
      </c>
      <c r="E461">
        <v>562210</v>
      </c>
      <c r="F461" t="s">
        <v>52</v>
      </c>
      <c r="G461" t="s">
        <v>53</v>
      </c>
      <c r="H461" t="s">
        <v>1625</v>
      </c>
      <c r="I461" t="s">
        <v>628</v>
      </c>
      <c r="J461" t="s">
        <v>629</v>
      </c>
      <c r="K461" t="s">
        <v>630</v>
      </c>
      <c r="L461" t="s">
        <v>5828</v>
      </c>
      <c r="M461" t="s">
        <v>5829</v>
      </c>
    </row>
    <row r="462" spans="1:14" x14ac:dyDescent="0.25">
      <c r="A462">
        <v>2022</v>
      </c>
      <c r="B462">
        <v>6669</v>
      </c>
      <c r="C462" t="s">
        <v>2057</v>
      </c>
      <c r="D462" t="s">
        <v>5275</v>
      </c>
      <c r="E462">
        <v>212114</v>
      </c>
      <c r="F462" t="s">
        <v>2059</v>
      </c>
      <c r="G462" t="s">
        <v>2060</v>
      </c>
      <c r="H462" t="s">
        <v>69</v>
      </c>
      <c r="I462" t="s">
        <v>106</v>
      </c>
      <c r="J462" t="s">
        <v>107</v>
      </c>
      <c r="K462" t="s">
        <v>108</v>
      </c>
      <c r="L462" t="s">
        <v>5828</v>
      </c>
      <c r="M462" t="s">
        <v>5829</v>
      </c>
      <c r="N462" t="s">
        <v>6856</v>
      </c>
    </row>
    <row r="463" spans="1:14" x14ac:dyDescent="0.25">
      <c r="A463">
        <v>2003</v>
      </c>
      <c r="B463">
        <v>983</v>
      </c>
      <c r="C463" t="s">
        <v>6857</v>
      </c>
      <c r="D463" t="s">
        <v>6858</v>
      </c>
      <c r="E463">
        <v>322111</v>
      </c>
      <c r="F463" t="s">
        <v>1077</v>
      </c>
      <c r="G463" t="s">
        <v>1078</v>
      </c>
      <c r="H463" t="s">
        <v>79</v>
      </c>
      <c r="I463" t="s">
        <v>1533</v>
      </c>
      <c r="J463" t="s">
        <v>1534</v>
      </c>
      <c r="K463" t="s">
        <v>1535</v>
      </c>
      <c r="L463" t="s">
        <v>5828</v>
      </c>
      <c r="M463" t="s">
        <v>5829</v>
      </c>
      <c r="N463" t="s">
        <v>6859</v>
      </c>
    </row>
    <row r="464" spans="1:14" x14ac:dyDescent="0.25">
      <c r="A464">
        <v>2013</v>
      </c>
      <c r="B464">
        <v>4846</v>
      </c>
      <c r="C464" t="s">
        <v>6860</v>
      </c>
      <c r="D464" t="s">
        <v>1211</v>
      </c>
      <c r="E464">
        <v>315190</v>
      </c>
      <c r="F464" t="s">
        <v>6861</v>
      </c>
      <c r="G464" t="s">
        <v>6862</v>
      </c>
      <c r="H464" t="s">
        <v>483</v>
      </c>
      <c r="I464" t="s">
        <v>1421</v>
      </c>
      <c r="J464" t="s">
        <v>1422</v>
      </c>
      <c r="K464" t="s">
        <v>1423</v>
      </c>
      <c r="L464" t="s">
        <v>5888</v>
      </c>
      <c r="M464" t="s">
        <v>5889</v>
      </c>
      <c r="N464" t="s">
        <v>6863</v>
      </c>
    </row>
    <row r="465" spans="1:14" x14ac:dyDescent="0.25">
      <c r="A465">
        <v>2022</v>
      </c>
      <c r="B465">
        <v>27608</v>
      </c>
      <c r="C465" t="s">
        <v>1938</v>
      </c>
      <c r="D465" t="s">
        <v>6864</v>
      </c>
      <c r="E465">
        <v>211110</v>
      </c>
      <c r="F465" t="s">
        <v>233</v>
      </c>
      <c r="G465" t="s">
        <v>234</v>
      </c>
      <c r="H465" t="s">
        <v>85</v>
      </c>
      <c r="I465" t="s">
        <v>1457</v>
      </c>
      <c r="J465" t="s">
        <v>1680</v>
      </c>
      <c r="K465" t="s">
        <v>1681</v>
      </c>
      <c r="L465" t="s">
        <v>5828</v>
      </c>
      <c r="M465" t="s">
        <v>5829</v>
      </c>
      <c r="N465" t="s">
        <v>6604</v>
      </c>
    </row>
    <row r="466" spans="1:14" x14ac:dyDescent="0.25">
      <c r="A466">
        <v>1999</v>
      </c>
      <c r="B466">
        <v>4157</v>
      </c>
      <c r="C466" t="s">
        <v>6865</v>
      </c>
      <c r="D466" t="s">
        <v>5762</v>
      </c>
      <c r="E466">
        <v>211113</v>
      </c>
      <c r="F466" t="s">
        <v>425</v>
      </c>
      <c r="G466" t="s">
        <v>426</v>
      </c>
      <c r="H466" t="s">
        <v>243</v>
      </c>
      <c r="I466" t="s">
        <v>6866</v>
      </c>
      <c r="J466" t="s">
        <v>6867</v>
      </c>
      <c r="K466" t="s">
        <v>6868</v>
      </c>
      <c r="L466" t="s">
        <v>5828</v>
      </c>
      <c r="M466" t="s">
        <v>5829</v>
      </c>
      <c r="N466" t="s">
        <v>6869</v>
      </c>
    </row>
    <row r="467" spans="1:14" x14ac:dyDescent="0.25">
      <c r="A467">
        <v>2002</v>
      </c>
      <c r="B467">
        <v>2446</v>
      </c>
      <c r="C467" t="s">
        <v>6870</v>
      </c>
      <c r="D467" t="s">
        <v>6871</v>
      </c>
      <c r="E467">
        <v>327120</v>
      </c>
      <c r="F467" t="s">
        <v>5649</v>
      </c>
      <c r="G467" t="s">
        <v>5650</v>
      </c>
      <c r="H467" t="s">
        <v>85</v>
      </c>
      <c r="I467" t="s">
        <v>136</v>
      </c>
      <c r="J467" t="s">
        <v>137</v>
      </c>
      <c r="K467" t="s">
        <v>138</v>
      </c>
      <c r="L467" t="s">
        <v>5828</v>
      </c>
      <c r="M467" t="s">
        <v>5829</v>
      </c>
      <c r="N467" t="s">
        <v>6872</v>
      </c>
    </row>
    <row r="468" spans="1:14" x14ac:dyDescent="0.25">
      <c r="A468">
        <v>2008</v>
      </c>
      <c r="B468">
        <v>18241</v>
      </c>
      <c r="C468" t="s">
        <v>6873</v>
      </c>
      <c r="D468" t="s">
        <v>2219</v>
      </c>
      <c r="E468">
        <v>212392</v>
      </c>
      <c r="F468" t="s">
        <v>2084</v>
      </c>
      <c r="G468" t="s">
        <v>2085</v>
      </c>
      <c r="H468" t="s">
        <v>379</v>
      </c>
      <c r="I468" t="s">
        <v>70</v>
      </c>
      <c r="J468" t="s">
        <v>71</v>
      </c>
      <c r="K468" t="s">
        <v>72</v>
      </c>
      <c r="L468" t="s">
        <v>5875</v>
      </c>
      <c r="M468" t="s">
        <v>5876</v>
      </c>
      <c r="N468" t="s">
        <v>6874</v>
      </c>
    </row>
    <row r="469" spans="1:14" x14ac:dyDescent="0.25">
      <c r="A469">
        <v>2016</v>
      </c>
      <c r="B469">
        <v>6572</v>
      </c>
      <c r="C469" t="s">
        <v>5425</v>
      </c>
      <c r="D469" t="s">
        <v>6668</v>
      </c>
      <c r="E469">
        <v>211114</v>
      </c>
      <c r="F469" t="s">
        <v>956</v>
      </c>
      <c r="G469" t="s">
        <v>836</v>
      </c>
      <c r="H469" t="s">
        <v>85</v>
      </c>
      <c r="I469" t="s">
        <v>1421</v>
      </c>
      <c r="J469" t="s">
        <v>1422</v>
      </c>
      <c r="K469" t="s">
        <v>1423</v>
      </c>
      <c r="L469" t="s">
        <v>5828</v>
      </c>
      <c r="M469" t="s">
        <v>5829</v>
      </c>
      <c r="N469" t="s">
        <v>6875</v>
      </c>
    </row>
    <row r="470" spans="1:14" x14ac:dyDescent="0.25">
      <c r="A470">
        <v>2002</v>
      </c>
      <c r="B470">
        <v>5158</v>
      </c>
      <c r="C470" t="s">
        <v>6876</v>
      </c>
      <c r="D470" t="s">
        <v>6877</v>
      </c>
      <c r="E470">
        <v>321111</v>
      </c>
      <c r="F470" t="s">
        <v>1474</v>
      </c>
      <c r="G470" t="s">
        <v>1368</v>
      </c>
      <c r="H470" t="s">
        <v>69</v>
      </c>
      <c r="I470" t="s">
        <v>35</v>
      </c>
      <c r="J470" t="s">
        <v>36</v>
      </c>
      <c r="K470" t="s">
        <v>37</v>
      </c>
      <c r="L470" t="s">
        <v>5875</v>
      </c>
      <c r="M470" t="s">
        <v>5876</v>
      </c>
      <c r="N470" t="s">
        <v>6878</v>
      </c>
    </row>
    <row r="471" spans="1:14" x14ac:dyDescent="0.25">
      <c r="A471">
        <v>2010</v>
      </c>
      <c r="B471">
        <v>7641</v>
      </c>
      <c r="C471" t="s">
        <v>6879</v>
      </c>
      <c r="D471" t="s">
        <v>6880</v>
      </c>
      <c r="E471">
        <v>911110</v>
      </c>
      <c r="F471" t="s">
        <v>6881</v>
      </c>
      <c r="G471" t="s">
        <v>5981</v>
      </c>
      <c r="H471" t="s">
        <v>21</v>
      </c>
      <c r="I471" t="s">
        <v>1533</v>
      </c>
      <c r="J471" t="s">
        <v>1534</v>
      </c>
      <c r="K471" t="s">
        <v>1535</v>
      </c>
      <c r="L471" t="s">
        <v>5828</v>
      </c>
      <c r="M471" t="s">
        <v>5829</v>
      </c>
      <c r="N471" t="s">
        <v>6882</v>
      </c>
    </row>
    <row r="472" spans="1:14" x14ac:dyDescent="0.25">
      <c r="A472">
        <v>2022</v>
      </c>
      <c r="B472">
        <v>7838</v>
      </c>
      <c r="C472" t="s">
        <v>2057</v>
      </c>
      <c r="D472" t="s">
        <v>2252</v>
      </c>
      <c r="E472">
        <v>212114</v>
      </c>
      <c r="F472" t="s">
        <v>2059</v>
      </c>
      <c r="G472" t="s">
        <v>2060</v>
      </c>
      <c r="H472" t="s">
        <v>69</v>
      </c>
      <c r="I472" t="s">
        <v>209</v>
      </c>
      <c r="J472" t="s">
        <v>210</v>
      </c>
      <c r="K472" t="s">
        <v>211</v>
      </c>
      <c r="L472" t="s">
        <v>5828</v>
      </c>
      <c r="M472" t="s">
        <v>5829</v>
      </c>
      <c r="N472" t="s">
        <v>6883</v>
      </c>
    </row>
    <row r="473" spans="1:14" x14ac:dyDescent="0.25">
      <c r="A473">
        <v>2020</v>
      </c>
      <c r="B473">
        <v>1779</v>
      </c>
      <c r="C473" t="s">
        <v>1600</v>
      </c>
      <c r="D473" t="s">
        <v>2078</v>
      </c>
      <c r="E473">
        <v>325110</v>
      </c>
      <c r="F473" t="s">
        <v>444</v>
      </c>
      <c r="G473" t="s">
        <v>445</v>
      </c>
      <c r="H473" t="s">
        <v>85</v>
      </c>
      <c r="I473" t="s">
        <v>6884</v>
      </c>
      <c r="J473" t="s">
        <v>6885</v>
      </c>
      <c r="K473" t="s">
        <v>6886</v>
      </c>
      <c r="L473" t="s">
        <v>5828</v>
      </c>
      <c r="M473" t="s">
        <v>5829</v>
      </c>
      <c r="N473" t="s">
        <v>6887</v>
      </c>
    </row>
    <row r="474" spans="1:14" x14ac:dyDescent="0.25">
      <c r="A474">
        <v>2018</v>
      </c>
      <c r="B474">
        <v>479</v>
      </c>
      <c r="C474" t="s">
        <v>6756</v>
      </c>
      <c r="D474" t="s">
        <v>6756</v>
      </c>
      <c r="E474">
        <v>322112</v>
      </c>
      <c r="F474" t="s">
        <v>660</v>
      </c>
      <c r="G474" t="s">
        <v>621</v>
      </c>
      <c r="H474" t="s">
        <v>69</v>
      </c>
      <c r="I474" t="s">
        <v>136</v>
      </c>
      <c r="J474" t="s">
        <v>137</v>
      </c>
      <c r="K474" t="s">
        <v>138</v>
      </c>
      <c r="L474" t="s">
        <v>5875</v>
      </c>
      <c r="M474" t="s">
        <v>5876</v>
      </c>
      <c r="N474" t="s">
        <v>6888</v>
      </c>
    </row>
    <row r="475" spans="1:14" x14ac:dyDescent="0.25">
      <c r="A475">
        <v>2017</v>
      </c>
      <c r="B475">
        <v>2912</v>
      </c>
      <c r="C475" t="s">
        <v>1210</v>
      </c>
      <c r="D475" t="s">
        <v>6889</v>
      </c>
      <c r="E475">
        <v>321114</v>
      </c>
      <c r="F475" t="s">
        <v>1212</v>
      </c>
      <c r="G475" t="s">
        <v>366</v>
      </c>
      <c r="H475" t="s">
        <v>69</v>
      </c>
      <c r="I475" t="s">
        <v>543</v>
      </c>
      <c r="J475" t="s">
        <v>544</v>
      </c>
      <c r="K475" t="s">
        <v>545</v>
      </c>
      <c r="L475" t="s">
        <v>5875</v>
      </c>
      <c r="M475" t="s">
        <v>5876</v>
      </c>
      <c r="N475" t="s">
        <v>6890</v>
      </c>
    </row>
    <row r="476" spans="1:14" x14ac:dyDescent="0.25">
      <c r="A476">
        <v>2015</v>
      </c>
      <c r="B476">
        <v>8579</v>
      </c>
      <c r="C476" t="s">
        <v>6891</v>
      </c>
      <c r="D476" t="s">
        <v>6892</v>
      </c>
      <c r="E476">
        <v>336350</v>
      </c>
      <c r="F476" t="s">
        <v>1477</v>
      </c>
      <c r="G476" t="s">
        <v>1005</v>
      </c>
      <c r="H476" t="s">
        <v>79</v>
      </c>
      <c r="I476" t="s">
        <v>136</v>
      </c>
      <c r="J476" t="s">
        <v>137</v>
      </c>
      <c r="K476" t="s">
        <v>138</v>
      </c>
      <c r="L476" t="s">
        <v>5828</v>
      </c>
      <c r="M476" t="s">
        <v>5829</v>
      </c>
      <c r="N476" t="s">
        <v>6893</v>
      </c>
    </row>
    <row r="477" spans="1:14" x14ac:dyDescent="0.25">
      <c r="A477">
        <v>2008</v>
      </c>
      <c r="B477">
        <v>4155</v>
      </c>
      <c r="C477" t="s">
        <v>1906</v>
      </c>
      <c r="D477" t="s">
        <v>6894</v>
      </c>
      <c r="E477">
        <v>211113</v>
      </c>
      <c r="F477" t="s">
        <v>425</v>
      </c>
      <c r="G477" t="s">
        <v>426</v>
      </c>
      <c r="H477" t="s">
        <v>21</v>
      </c>
      <c r="I477" t="s">
        <v>348</v>
      </c>
      <c r="J477" t="s">
        <v>349</v>
      </c>
      <c r="K477" t="s">
        <v>350</v>
      </c>
      <c r="L477" t="s">
        <v>5846</v>
      </c>
      <c r="M477" t="s">
        <v>5847</v>
      </c>
      <c r="N477" t="s">
        <v>6895</v>
      </c>
    </row>
    <row r="478" spans="1:14" x14ac:dyDescent="0.25">
      <c r="A478">
        <v>2020</v>
      </c>
      <c r="B478">
        <v>5247</v>
      </c>
      <c r="C478" t="s">
        <v>1704</v>
      </c>
      <c r="D478" t="s">
        <v>785</v>
      </c>
      <c r="E478">
        <v>211110</v>
      </c>
      <c r="F478" t="s">
        <v>233</v>
      </c>
      <c r="G478" t="s">
        <v>234</v>
      </c>
      <c r="H478" t="s">
        <v>85</v>
      </c>
      <c r="I478" t="s">
        <v>1413</v>
      </c>
      <c r="J478" t="s">
        <v>1414</v>
      </c>
      <c r="K478" t="s">
        <v>1415</v>
      </c>
      <c r="L478" t="s">
        <v>5828</v>
      </c>
      <c r="M478" t="s">
        <v>5829</v>
      </c>
      <c r="N478" t="s">
        <v>6896</v>
      </c>
    </row>
    <row r="479" spans="1:14" x14ac:dyDescent="0.25">
      <c r="A479">
        <v>2023</v>
      </c>
      <c r="B479">
        <v>27099</v>
      </c>
      <c r="C479" t="s">
        <v>1718</v>
      </c>
      <c r="D479" t="s">
        <v>5482</v>
      </c>
      <c r="E479">
        <v>211110</v>
      </c>
      <c r="F479" t="s">
        <v>233</v>
      </c>
      <c r="G479" t="s">
        <v>234</v>
      </c>
      <c r="H479" t="s">
        <v>243</v>
      </c>
      <c r="I479" t="s">
        <v>271</v>
      </c>
      <c r="J479" t="s">
        <v>272</v>
      </c>
      <c r="K479" t="s">
        <v>273</v>
      </c>
      <c r="L479" t="s">
        <v>5828</v>
      </c>
      <c r="M479" t="s">
        <v>5829</v>
      </c>
      <c r="N479" t="s">
        <v>6897</v>
      </c>
    </row>
    <row r="480" spans="1:14" x14ac:dyDescent="0.25">
      <c r="A480">
        <v>2021</v>
      </c>
      <c r="B480">
        <v>4316</v>
      </c>
      <c r="C480" t="s">
        <v>5245</v>
      </c>
      <c r="D480" t="s">
        <v>6898</v>
      </c>
      <c r="E480">
        <v>324110</v>
      </c>
      <c r="F480" t="s">
        <v>196</v>
      </c>
      <c r="G480" t="s">
        <v>96</v>
      </c>
      <c r="H480" t="s">
        <v>1625</v>
      </c>
      <c r="I480" t="s">
        <v>35</v>
      </c>
      <c r="J480" t="s">
        <v>36</v>
      </c>
      <c r="K480" t="s">
        <v>37</v>
      </c>
      <c r="L480" t="s">
        <v>5828</v>
      </c>
      <c r="M480" t="s">
        <v>5829</v>
      </c>
      <c r="N480" t="s">
        <v>6899</v>
      </c>
    </row>
    <row r="481" spans="1:14" x14ac:dyDescent="0.25">
      <c r="A481">
        <v>2007</v>
      </c>
      <c r="B481">
        <v>3962</v>
      </c>
      <c r="C481" t="s">
        <v>1955</v>
      </c>
      <c r="D481" t="s">
        <v>1956</v>
      </c>
      <c r="E481">
        <v>324110</v>
      </c>
      <c r="F481" t="s">
        <v>95</v>
      </c>
      <c r="G481" t="s">
        <v>96</v>
      </c>
      <c r="H481" t="s">
        <v>21</v>
      </c>
      <c r="I481" t="s">
        <v>55</v>
      </c>
      <c r="J481" t="s">
        <v>56</v>
      </c>
      <c r="K481" t="s">
        <v>57</v>
      </c>
      <c r="L481" t="s">
        <v>5875</v>
      </c>
      <c r="M481" t="s">
        <v>5876</v>
      </c>
      <c r="N481" t="s">
        <v>5983</v>
      </c>
    </row>
    <row r="482" spans="1:14" x14ac:dyDescent="0.25">
      <c r="A482">
        <v>2020</v>
      </c>
      <c r="B482">
        <v>2286</v>
      </c>
      <c r="C482" t="s">
        <v>2830</v>
      </c>
      <c r="D482" t="s">
        <v>6602</v>
      </c>
      <c r="E482">
        <v>221112</v>
      </c>
      <c r="F482" t="s">
        <v>499</v>
      </c>
      <c r="G482" t="s">
        <v>135</v>
      </c>
      <c r="H482" t="s">
        <v>85</v>
      </c>
      <c r="I482" t="s">
        <v>35</v>
      </c>
      <c r="J482" t="s">
        <v>36</v>
      </c>
      <c r="K482" t="s">
        <v>37</v>
      </c>
      <c r="L482" t="s">
        <v>5828</v>
      </c>
      <c r="M482" t="s">
        <v>5829</v>
      </c>
      <c r="N482" t="s">
        <v>6900</v>
      </c>
    </row>
    <row r="483" spans="1:14" x14ac:dyDescent="0.25">
      <c r="A483">
        <v>2018</v>
      </c>
      <c r="B483">
        <v>11093</v>
      </c>
      <c r="C483" t="s">
        <v>1071</v>
      </c>
      <c r="D483" t="s">
        <v>6901</v>
      </c>
      <c r="E483">
        <v>336390</v>
      </c>
      <c r="F483" t="s">
        <v>182</v>
      </c>
      <c r="G483" t="s">
        <v>61</v>
      </c>
      <c r="H483" t="s">
        <v>21</v>
      </c>
      <c r="I483" t="s">
        <v>22</v>
      </c>
      <c r="J483" t="s">
        <v>23</v>
      </c>
      <c r="K483" t="s">
        <v>24</v>
      </c>
      <c r="L483" t="s">
        <v>5828</v>
      </c>
      <c r="M483" t="s">
        <v>5829</v>
      </c>
      <c r="N483" t="s">
        <v>6902</v>
      </c>
    </row>
    <row r="484" spans="1:14" x14ac:dyDescent="0.25">
      <c r="A484">
        <v>2019</v>
      </c>
      <c r="B484">
        <v>29548</v>
      </c>
      <c r="C484" t="s">
        <v>6903</v>
      </c>
      <c r="D484" t="s">
        <v>6904</v>
      </c>
      <c r="E484">
        <v>212220</v>
      </c>
      <c r="F484" t="s">
        <v>1619</v>
      </c>
      <c r="G484" t="s">
        <v>1620</v>
      </c>
      <c r="H484" t="s">
        <v>21</v>
      </c>
      <c r="I484" t="s">
        <v>1441</v>
      </c>
      <c r="J484" t="s">
        <v>1442</v>
      </c>
      <c r="K484" t="s">
        <v>1443</v>
      </c>
      <c r="L484" t="s">
        <v>5828</v>
      </c>
      <c r="M484" t="s">
        <v>5829</v>
      </c>
      <c r="N484" t="s">
        <v>6905</v>
      </c>
    </row>
    <row r="485" spans="1:14" x14ac:dyDescent="0.25">
      <c r="A485">
        <v>2005</v>
      </c>
      <c r="B485">
        <v>231</v>
      </c>
      <c r="C485" t="s">
        <v>6906</v>
      </c>
      <c r="D485" t="s">
        <v>6907</v>
      </c>
      <c r="E485">
        <v>331221</v>
      </c>
      <c r="F485" t="s">
        <v>418</v>
      </c>
      <c r="G485" t="s">
        <v>419</v>
      </c>
      <c r="H485" t="s">
        <v>21</v>
      </c>
      <c r="I485" t="s">
        <v>152</v>
      </c>
      <c r="J485" t="s">
        <v>153</v>
      </c>
      <c r="K485" t="s">
        <v>154</v>
      </c>
      <c r="L485" t="s">
        <v>5828</v>
      </c>
      <c r="M485" t="s">
        <v>5829</v>
      </c>
      <c r="N485" t="s">
        <v>6908</v>
      </c>
    </row>
    <row r="486" spans="1:14" x14ac:dyDescent="0.25">
      <c r="A486">
        <v>2003</v>
      </c>
      <c r="B486">
        <v>5056</v>
      </c>
      <c r="C486" t="s">
        <v>6909</v>
      </c>
      <c r="D486" t="s">
        <v>1862</v>
      </c>
      <c r="E486">
        <v>562210</v>
      </c>
      <c r="F486" t="s">
        <v>52</v>
      </c>
      <c r="G486" t="s">
        <v>53</v>
      </c>
      <c r="H486" t="s">
        <v>1625</v>
      </c>
      <c r="I486" t="s">
        <v>1457</v>
      </c>
      <c r="J486" t="s">
        <v>1458</v>
      </c>
      <c r="K486" t="s">
        <v>1459</v>
      </c>
      <c r="L486" t="s">
        <v>5828</v>
      </c>
      <c r="M486" t="s">
        <v>5829</v>
      </c>
      <c r="N486" t="s">
        <v>6910</v>
      </c>
    </row>
    <row r="487" spans="1:14" x14ac:dyDescent="0.25">
      <c r="A487">
        <v>2003</v>
      </c>
      <c r="B487">
        <v>4567</v>
      </c>
      <c r="C487" t="s">
        <v>6911</v>
      </c>
      <c r="D487" t="s">
        <v>6912</v>
      </c>
      <c r="E487">
        <v>325999</v>
      </c>
      <c r="F487" t="s">
        <v>396</v>
      </c>
      <c r="G487" t="s">
        <v>397</v>
      </c>
      <c r="H487" t="s">
        <v>85</v>
      </c>
      <c r="I487" t="s">
        <v>271</v>
      </c>
      <c r="J487" t="s">
        <v>272</v>
      </c>
      <c r="K487" t="s">
        <v>273</v>
      </c>
      <c r="L487" t="s">
        <v>5846</v>
      </c>
      <c r="M487" t="s">
        <v>5847</v>
      </c>
      <c r="N487" t="s">
        <v>6913</v>
      </c>
    </row>
    <row r="488" spans="1:14" x14ac:dyDescent="0.25">
      <c r="A488">
        <v>1998</v>
      </c>
      <c r="B488">
        <v>2963</v>
      </c>
      <c r="C488" t="s">
        <v>6914</v>
      </c>
      <c r="D488" t="s">
        <v>2239</v>
      </c>
      <c r="E488">
        <v>325110</v>
      </c>
      <c r="F488" t="s">
        <v>1194</v>
      </c>
      <c r="G488" t="s">
        <v>445</v>
      </c>
      <c r="H488" t="s">
        <v>85</v>
      </c>
      <c r="I488" t="s">
        <v>844</v>
      </c>
      <c r="J488" t="s">
        <v>845</v>
      </c>
      <c r="K488" t="s">
        <v>846</v>
      </c>
      <c r="L488" t="s">
        <v>5828</v>
      </c>
      <c r="M488" t="s">
        <v>5829</v>
      </c>
      <c r="N488" t="s">
        <v>6915</v>
      </c>
    </row>
    <row r="489" spans="1:14" x14ac:dyDescent="0.25">
      <c r="A489">
        <v>2009</v>
      </c>
      <c r="B489">
        <v>19979</v>
      </c>
      <c r="C489" t="s">
        <v>6916</v>
      </c>
      <c r="D489" t="s">
        <v>6917</v>
      </c>
      <c r="E489">
        <v>211113</v>
      </c>
      <c r="F489" t="s">
        <v>425</v>
      </c>
      <c r="G489" t="s">
        <v>426</v>
      </c>
      <c r="H489" t="s">
        <v>85</v>
      </c>
      <c r="I489" t="s">
        <v>1533</v>
      </c>
      <c r="J489" t="s">
        <v>1534</v>
      </c>
      <c r="K489" t="s">
        <v>1535</v>
      </c>
      <c r="L489" t="s">
        <v>5828</v>
      </c>
      <c r="M489" t="s">
        <v>5829</v>
      </c>
      <c r="N489" t="s">
        <v>6918</v>
      </c>
    </row>
    <row r="490" spans="1:14" x14ac:dyDescent="0.25">
      <c r="A490">
        <v>2008</v>
      </c>
      <c r="B490">
        <v>2515</v>
      </c>
      <c r="C490" t="s">
        <v>6919</v>
      </c>
      <c r="D490" t="s">
        <v>6919</v>
      </c>
      <c r="E490">
        <v>325314</v>
      </c>
      <c r="F490" t="s">
        <v>6920</v>
      </c>
      <c r="G490" t="s">
        <v>6921</v>
      </c>
      <c r="H490" t="s">
        <v>54</v>
      </c>
      <c r="I490" t="s">
        <v>55</v>
      </c>
      <c r="J490" t="s">
        <v>56</v>
      </c>
      <c r="K490" t="s">
        <v>57</v>
      </c>
      <c r="L490" t="s">
        <v>5828</v>
      </c>
      <c r="M490" t="s">
        <v>5829</v>
      </c>
      <c r="N490" t="s">
        <v>6922</v>
      </c>
    </row>
    <row r="491" spans="1:14" x14ac:dyDescent="0.25">
      <c r="A491">
        <v>2001</v>
      </c>
      <c r="B491">
        <v>2346</v>
      </c>
      <c r="C491" t="s">
        <v>6748</v>
      </c>
      <c r="D491" t="s">
        <v>475</v>
      </c>
      <c r="E491">
        <v>418410</v>
      </c>
      <c r="F491" t="s">
        <v>315</v>
      </c>
      <c r="G491" t="s">
        <v>316</v>
      </c>
      <c r="H491" t="s">
        <v>21</v>
      </c>
      <c r="I491" t="s">
        <v>264</v>
      </c>
      <c r="J491" t="s">
        <v>265</v>
      </c>
      <c r="K491" t="s">
        <v>266</v>
      </c>
      <c r="L491" t="s">
        <v>5875</v>
      </c>
      <c r="M491" t="s">
        <v>5876</v>
      </c>
      <c r="N491" t="s">
        <v>6923</v>
      </c>
    </row>
    <row r="492" spans="1:14" x14ac:dyDescent="0.25">
      <c r="A492">
        <v>2014</v>
      </c>
      <c r="B492">
        <v>7641</v>
      </c>
      <c r="C492" t="s">
        <v>6879</v>
      </c>
      <c r="D492" t="s">
        <v>6924</v>
      </c>
      <c r="E492">
        <v>911110</v>
      </c>
      <c r="F492" t="s">
        <v>5980</v>
      </c>
      <c r="G492" t="s">
        <v>5981</v>
      </c>
      <c r="H492" t="s">
        <v>21</v>
      </c>
      <c r="I492" t="s">
        <v>152</v>
      </c>
      <c r="J492" t="s">
        <v>153</v>
      </c>
      <c r="K492" t="s">
        <v>154</v>
      </c>
      <c r="L492" t="s">
        <v>5828</v>
      </c>
      <c r="M492" t="s">
        <v>5829</v>
      </c>
      <c r="N492" t="s">
        <v>6925</v>
      </c>
    </row>
    <row r="493" spans="1:14" x14ac:dyDescent="0.25">
      <c r="A493">
        <v>2021</v>
      </c>
      <c r="B493">
        <v>23544</v>
      </c>
      <c r="C493" t="s">
        <v>370</v>
      </c>
      <c r="D493" t="s">
        <v>1340</v>
      </c>
      <c r="E493">
        <v>562990</v>
      </c>
      <c r="F493" t="s">
        <v>581</v>
      </c>
      <c r="G493" t="s">
        <v>105</v>
      </c>
      <c r="H493" t="s">
        <v>85</v>
      </c>
      <c r="I493" t="s">
        <v>668</v>
      </c>
      <c r="J493" t="s">
        <v>669</v>
      </c>
      <c r="K493" t="s">
        <v>670</v>
      </c>
      <c r="L493" t="s">
        <v>5875</v>
      </c>
      <c r="M493" t="s">
        <v>5876</v>
      </c>
      <c r="N493" t="s">
        <v>6386</v>
      </c>
    </row>
    <row r="494" spans="1:14" x14ac:dyDescent="0.25">
      <c r="A494">
        <v>2004</v>
      </c>
      <c r="B494">
        <v>20069</v>
      </c>
      <c r="C494" t="s">
        <v>1300</v>
      </c>
      <c r="D494" t="s">
        <v>6926</v>
      </c>
      <c r="E494">
        <v>481110</v>
      </c>
      <c r="F494" t="s">
        <v>455</v>
      </c>
      <c r="G494" t="s">
        <v>456</v>
      </c>
      <c r="H494" t="s">
        <v>21</v>
      </c>
      <c r="I494" t="s">
        <v>1457</v>
      </c>
      <c r="J494" t="s">
        <v>1458</v>
      </c>
      <c r="K494" t="s">
        <v>1459</v>
      </c>
      <c r="L494" t="s">
        <v>5828</v>
      </c>
      <c r="M494" t="s">
        <v>5829</v>
      </c>
      <c r="N494" t="s">
        <v>6927</v>
      </c>
    </row>
    <row r="495" spans="1:14" x14ac:dyDescent="0.25">
      <c r="A495">
        <v>2007</v>
      </c>
      <c r="B495">
        <v>2855</v>
      </c>
      <c r="C495" t="s">
        <v>5583</v>
      </c>
      <c r="D495" t="s">
        <v>5584</v>
      </c>
      <c r="E495">
        <v>325181</v>
      </c>
      <c r="F495" t="s">
        <v>1947</v>
      </c>
      <c r="G495" t="s">
        <v>729</v>
      </c>
      <c r="H495" t="s">
        <v>79</v>
      </c>
      <c r="I495" t="s">
        <v>913</v>
      </c>
      <c r="J495" t="s">
        <v>914</v>
      </c>
      <c r="K495" t="s">
        <v>915</v>
      </c>
      <c r="L495" t="s">
        <v>5875</v>
      </c>
      <c r="M495" t="s">
        <v>5876</v>
      </c>
      <c r="N495" t="s">
        <v>6928</v>
      </c>
    </row>
    <row r="496" spans="1:14" x14ac:dyDescent="0.25">
      <c r="A496">
        <v>2013</v>
      </c>
      <c r="B496">
        <v>21585</v>
      </c>
      <c r="C496" t="s">
        <v>65</v>
      </c>
      <c r="D496" t="s">
        <v>66</v>
      </c>
      <c r="E496">
        <v>562110</v>
      </c>
      <c r="F496" t="s">
        <v>644</v>
      </c>
      <c r="G496" t="s">
        <v>645</v>
      </c>
      <c r="H496" t="s">
        <v>69</v>
      </c>
      <c r="I496" t="s">
        <v>271</v>
      </c>
      <c r="J496" t="s">
        <v>272</v>
      </c>
      <c r="K496" t="s">
        <v>273</v>
      </c>
      <c r="L496" t="s">
        <v>5846</v>
      </c>
      <c r="M496" t="s">
        <v>5847</v>
      </c>
      <c r="N496" t="s">
        <v>6929</v>
      </c>
    </row>
    <row r="497" spans="1:14" x14ac:dyDescent="0.25">
      <c r="A497">
        <v>2023</v>
      </c>
      <c r="B497">
        <v>5729</v>
      </c>
      <c r="C497" t="s">
        <v>995</v>
      </c>
      <c r="D497" t="s">
        <v>996</v>
      </c>
      <c r="E497">
        <v>562110</v>
      </c>
      <c r="F497" t="s">
        <v>644</v>
      </c>
      <c r="G497" t="s">
        <v>645</v>
      </c>
      <c r="H497" t="s">
        <v>21</v>
      </c>
      <c r="I497" t="s">
        <v>45</v>
      </c>
      <c r="J497" t="s">
        <v>46</v>
      </c>
      <c r="K497" t="s">
        <v>47</v>
      </c>
      <c r="L497" t="s">
        <v>5828</v>
      </c>
      <c r="M497" t="s">
        <v>5829</v>
      </c>
      <c r="N497" t="s">
        <v>6386</v>
      </c>
    </row>
    <row r="498" spans="1:14" x14ac:dyDescent="0.25">
      <c r="A498">
        <v>2011</v>
      </c>
      <c r="B498">
        <v>2134</v>
      </c>
      <c r="C498" t="s">
        <v>1115</v>
      </c>
      <c r="D498" t="s">
        <v>1338</v>
      </c>
      <c r="E498">
        <v>325313</v>
      </c>
      <c r="F498" t="s">
        <v>1585</v>
      </c>
      <c r="G498" t="s">
        <v>1055</v>
      </c>
      <c r="H498" t="s">
        <v>85</v>
      </c>
      <c r="I498" t="s">
        <v>152</v>
      </c>
      <c r="J498" t="s">
        <v>153</v>
      </c>
      <c r="K498" t="s">
        <v>154</v>
      </c>
      <c r="L498" t="s">
        <v>5828</v>
      </c>
      <c r="M498" t="s">
        <v>5829</v>
      </c>
      <c r="N498" t="s">
        <v>6930</v>
      </c>
    </row>
    <row r="499" spans="1:14" x14ac:dyDescent="0.25">
      <c r="A499">
        <v>2000</v>
      </c>
      <c r="B499">
        <v>5449</v>
      </c>
      <c r="C499" t="s">
        <v>6276</v>
      </c>
      <c r="D499" t="s">
        <v>6277</v>
      </c>
      <c r="E499">
        <v>562210</v>
      </c>
      <c r="F499" t="s">
        <v>52</v>
      </c>
      <c r="G499" t="s">
        <v>53</v>
      </c>
      <c r="H499" t="s">
        <v>79</v>
      </c>
      <c r="I499" t="s">
        <v>80</v>
      </c>
      <c r="J499" t="s">
        <v>81</v>
      </c>
      <c r="K499" t="s">
        <v>82</v>
      </c>
      <c r="L499" t="s">
        <v>5828</v>
      </c>
      <c r="M499" t="s">
        <v>5829</v>
      </c>
      <c r="N499" t="s">
        <v>6931</v>
      </c>
    </row>
    <row r="500" spans="1:14" x14ac:dyDescent="0.25">
      <c r="A500">
        <v>2020</v>
      </c>
      <c r="B500">
        <v>23544</v>
      </c>
      <c r="C500" t="s">
        <v>370</v>
      </c>
      <c r="D500" t="s">
        <v>1340</v>
      </c>
      <c r="E500">
        <v>562990</v>
      </c>
      <c r="F500" t="s">
        <v>581</v>
      </c>
      <c r="G500" t="s">
        <v>105</v>
      </c>
      <c r="H500" t="s">
        <v>85</v>
      </c>
      <c r="I500" t="s">
        <v>2201</v>
      </c>
      <c r="J500" t="s">
        <v>2202</v>
      </c>
      <c r="K500" t="s">
        <v>2203</v>
      </c>
      <c r="L500" t="s">
        <v>6111</v>
      </c>
      <c r="M500" t="s">
        <v>6112</v>
      </c>
      <c r="N500" t="s">
        <v>6433</v>
      </c>
    </row>
    <row r="501" spans="1:14" x14ac:dyDescent="0.25">
      <c r="A501">
        <v>2009</v>
      </c>
      <c r="B501">
        <v>6249</v>
      </c>
      <c r="C501" t="s">
        <v>6932</v>
      </c>
      <c r="D501" t="s">
        <v>6933</v>
      </c>
      <c r="E501">
        <v>311814</v>
      </c>
      <c r="F501" t="s">
        <v>1771</v>
      </c>
      <c r="G501" t="s">
        <v>1772</v>
      </c>
      <c r="H501" t="s">
        <v>79</v>
      </c>
      <c r="I501" t="s">
        <v>1457</v>
      </c>
      <c r="J501" t="s">
        <v>1458</v>
      </c>
      <c r="K501" t="s">
        <v>1459</v>
      </c>
      <c r="L501" t="s">
        <v>5828</v>
      </c>
      <c r="M501" t="s">
        <v>5829</v>
      </c>
      <c r="N501" t="s">
        <v>6934</v>
      </c>
    </row>
  </sheetData>
  <sheetProtection algorithmName="SHA-512" hashValue="itxKWse76y+Bv9TLUvt8FvPqYQtoSzyxkZYTPhtH6DXPkM+R6O+hiFfate/Zoen3u9xixgGrqsYYA1zr9w4UpA==" saltValue="p7eIYz+AQdkz29Nuc4BosA==" spinCount="100000" sheet="1" objects="1" scenarios="1" selectLockedCells="1" selectUnlockedCell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78BD2-127F-447A-936D-A15D1029B6C5}">
  <sheetPr>
    <tabColor theme="0"/>
  </sheetPr>
  <dimension ref="A1:A3"/>
  <sheetViews>
    <sheetView workbookViewId="0"/>
  </sheetViews>
  <sheetFormatPr defaultRowHeight="15" x14ac:dyDescent="0.25"/>
  <sheetData>
    <row r="1" spans="1:1" x14ac:dyDescent="0.25">
      <c r="A1" s="13" t="s">
        <v>6950</v>
      </c>
    </row>
    <row r="2" spans="1:1" x14ac:dyDescent="0.25">
      <c r="A2" t="s">
        <v>6951</v>
      </c>
    </row>
    <row r="3" spans="1:1" x14ac:dyDescent="0.25">
      <c r="A3" s="12" t="s">
        <v>6949</v>
      </c>
    </row>
  </sheetData>
  <sheetProtection algorithmName="SHA-512" hashValue="8h08quOjaFvsJPoSmhBlcu2ct6CfPQ8pXFNVvThE2C29R2Ixw8fvkOnUQ8Ndu4H8RXyeByX5IXWsTVgw7dswmQ==" saltValue="RjHtn1LF5IGbHHeYH6pSVA==" spinCount="100000" sheet="1" objects="1" scenarios="1"/>
  <hyperlinks>
    <hyperlink ref="A3" r:id="rId1" xr:uid="{43154CC8-D96F-44A8-888A-76374C487B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12</vt:i4>
      </vt:variant>
    </vt:vector>
  </HeadingPairs>
  <TitlesOfParts>
    <vt:vector size="12" baseType="lpstr">
      <vt:lpstr>Dashboard</vt:lpstr>
      <vt:lpstr>Pivot - pollutant totals</vt:lpstr>
      <vt:lpstr>Pivot - facility count</vt:lpstr>
      <vt:lpstr>Pivot - provinces by year</vt:lpstr>
      <vt:lpstr>Pivot - quantity by method</vt:lpstr>
      <vt:lpstr>Merged table</vt:lpstr>
      <vt:lpstr>transfers</vt:lpstr>
      <vt:lpstr>releases</vt:lpstr>
      <vt:lpstr>disposals</vt:lpstr>
      <vt:lpstr>geolocations</vt:lpstr>
      <vt:lpstr>comments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2025-11-03T05:22:34Z</cp:lastPrinted>
  <dcterms:created xsi:type="dcterms:W3CDTF">2025-11-03T01:54:24Z</dcterms:created>
  <dcterms:modified xsi:type="dcterms:W3CDTF">2025-11-03T23:37:34Z</dcterms:modified>
</cp:coreProperties>
</file>